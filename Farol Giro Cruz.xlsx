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 (meus projetos)\fracasso - giro\"/>
    </mc:Choice>
  </mc:AlternateContent>
  <xr:revisionPtr revIDLastSave="0" documentId="13_ncr:1_{DA6F2578-83EF-4846-8EF9-29B752FF426D}" xr6:coauthVersionLast="47" xr6:coauthVersionMax="47" xr10:uidLastSave="{00000000-0000-0000-0000-000000000000}"/>
  <bookViews>
    <workbookView xWindow="420" yWindow="390" windowWidth="20070" windowHeight="10410" xr2:uid="{00000000-000D-0000-FFFF-FFFF00000000}"/>
  </bookViews>
  <sheets>
    <sheet name="Base Cruz" sheetId="1" r:id="rId1"/>
    <sheet name="Setor" sheetId="3" r:id="rId2"/>
  </sheets>
  <definedNames>
    <definedName name="_xlnm._FilterDatabase" localSheetId="0" hidden="1">'Base Cruz'!$A$1:$S$16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" i="1" l="1"/>
  <c r="AA16" i="1"/>
  <c r="AA2" i="1"/>
  <c r="AG2" i="1" l="1"/>
  <c r="AH2" i="1" s="1"/>
  <c r="X2" i="1"/>
  <c r="Y2" i="1" s="1"/>
  <c r="W2" i="1"/>
  <c r="Z2" i="1" s="1"/>
  <c r="U2" i="1"/>
  <c r="V2" i="1" s="1"/>
  <c r="T2" i="1"/>
  <c r="X4" i="1"/>
  <c r="Y4" i="1" s="1"/>
  <c r="X5" i="1"/>
  <c r="Y5" i="1" s="1"/>
  <c r="X6" i="1"/>
  <c r="Y6" i="1" s="1"/>
  <c r="X7" i="1"/>
  <c r="Y7" i="1" s="1"/>
  <c r="X3" i="1"/>
  <c r="X11" i="1"/>
  <c r="Y11" i="1" s="1"/>
  <c r="X8" i="1"/>
  <c r="Y8" i="1" s="1"/>
  <c r="X12" i="1"/>
  <c r="Y12" i="1" s="1"/>
  <c r="X9" i="1"/>
  <c r="Y9" i="1" s="1"/>
  <c r="X10" i="1"/>
  <c r="Y10" i="1" s="1"/>
  <c r="X13" i="1"/>
  <c r="Y13" i="1" s="1"/>
  <c r="X14" i="1"/>
  <c r="X15" i="1"/>
  <c r="X16" i="1"/>
  <c r="Y16" i="1" s="1"/>
  <c r="W4" i="1"/>
  <c r="Z4" i="1" s="1"/>
  <c r="W5" i="1"/>
  <c r="Z5" i="1" s="1"/>
  <c r="W6" i="1"/>
  <c r="Z6" i="1" s="1"/>
  <c r="W7" i="1"/>
  <c r="Z7" i="1" s="1"/>
  <c r="W3" i="1"/>
  <c r="Z3" i="1" s="1"/>
  <c r="W11" i="1"/>
  <c r="Z11" i="1" s="1"/>
  <c r="W8" i="1"/>
  <c r="Z8" i="1" s="1"/>
  <c r="W12" i="1"/>
  <c r="Z12" i="1" s="1"/>
  <c r="W9" i="1"/>
  <c r="Z9" i="1" s="1"/>
  <c r="W10" i="1"/>
  <c r="Z10" i="1" s="1"/>
  <c r="W13" i="1"/>
  <c r="Z13" i="1" s="1"/>
  <c r="W14" i="1"/>
  <c r="Z14" i="1" s="1"/>
  <c r="W15" i="1"/>
  <c r="Z15" i="1" s="1"/>
  <c r="W16" i="1"/>
  <c r="Z16" i="1" s="1"/>
  <c r="U4" i="1"/>
  <c r="V4" i="1" s="1"/>
  <c r="U5" i="1"/>
  <c r="V5" i="1" s="1"/>
  <c r="U6" i="1"/>
  <c r="V6" i="1" s="1"/>
  <c r="U7" i="1"/>
  <c r="V7" i="1" s="1"/>
  <c r="U3" i="1"/>
  <c r="V3" i="1" s="1"/>
  <c r="U11" i="1"/>
  <c r="V11" i="1" s="1"/>
  <c r="U8" i="1"/>
  <c r="V8" i="1" s="1"/>
  <c r="U12" i="1"/>
  <c r="V12" i="1" s="1"/>
  <c r="U9" i="1"/>
  <c r="V9" i="1" s="1"/>
  <c r="U10" i="1"/>
  <c r="V10" i="1" s="1"/>
  <c r="U13" i="1"/>
  <c r="V13" i="1" s="1"/>
  <c r="U14" i="1"/>
  <c r="V14" i="1" s="1"/>
  <c r="U15" i="1"/>
  <c r="V15" i="1" s="1"/>
  <c r="U16" i="1"/>
  <c r="V16" i="1" s="1"/>
  <c r="T4" i="1"/>
  <c r="T5" i="1"/>
  <c r="T6" i="1"/>
  <c r="T7" i="1"/>
  <c r="T3" i="1"/>
  <c r="T11" i="1"/>
  <c r="T8" i="1"/>
  <c r="T12" i="1"/>
  <c r="T9" i="1"/>
  <c r="T10" i="1"/>
  <c r="T13" i="1"/>
  <c r="T14" i="1"/>
  <c r="T15" i="1"/>
  <c r="T16" i="1"/>
  <c r="Y15" i="1" l="1"/>
  <c r="AA15" i="1"/>
  <c r="Y3" i="1"/>
  <c r="AA3" i="1"/>
  <c r="AA4" i="1"/>
  <c r="Y14" i="1"/>
  <c r="AA14" i="1"/>
  <c r="AA9" i="1"/>
  <c r="AA5" i="1"/>
  <c r="AA10" i="1"/>
  <c r="AA6" i="1"/>
  <c r="AA13" i="1"/>
  <c r="AA7" i="1"/>
  <c r="AA11" i="1"/>
  <c r="AA8" i="1"/>
  <c r="AA12" i="1"/>
</calcChain>
</file>

<file path=xl/sharedStrings.xml><?xml version="1.0" encoding="utf-8"?>
<sst xmlns="http://schemas.openxmlformats.org/spreadsheetml/2006/main" count="44348" uniqueCount="9189">
  <si>
    <t>Cliente</t>
  </si>
  <si>
    <t>AG</t>
  </si>
  <si>
    <t>Caixas Comodatadas</t>
  </si>
  <si>
    <t>Vol. Real Hl Trimestral</t>
  </si>
  <si>
    <t>Vol. Real Cx Trimestral</t>
  </si>
  <si>
    <t>Giro Trimestral</t>
  </si>
  <si>
    <t>Vol. Real Hl Mensal</t>
  </si>
  <si>
    <t>Vol. Real Cx Mensal</t>
  </si>
  <si>
    <t>Giro</t>
  </si>
  <si>
    <t>Tend. Giro</t>
  </si>
  <si>
    <t>Meta Unit.</t>
  </si>
  <si>
    <t>Item Comodato</t>
  </si>
  <si>
    <t>Quantidade</t>
  </si>
  <si>
    <t>Valor Uni.</t>
  </si>
  <si>
    <t>Valor Tot.</t>
  </si>
  <si>
    <t>Tipo Giro Trimestral</t>
  </si>
  <si>
    <t>Tipo Giro Mensal</t>
  </si>
  <si>
    <t xml:space="preserve">ACARAU CONVENIENCIA                                               </t>
  </si>
  <si>
    <t xml:space="preserve">Cerveja 1/2         </t>
  </si>
  <si>
    <t xml:space="preserve">OK          </t>
  </si>
  <si>
    <t xml:space="preserve">Não OK      </t>
  </si>
  <si>
    <t xml:space="preserve">GARRAFEIRA PLAST,23 GFA 300ML,AZUL                                 </t>
  </si>
  <si>
    <t xml:space="preserve">JOSE ZILMAR ARAUJO                                                </t>
  </si>
  <si>
    <t xml:space="preserve">JACINTA GUILHERME DE SOUSA SANTOS                                 </t>
  </si>
  <si>
    <t xml:space="preserve">FRANCISCO RICARDO ARAUJO                                          </t>
  </si>
  <si>
    <t xml:space="preserve">MARIA ELIANE SILVEIRA                                             </t>
  </si>
  <si>
    <t xml:space="preserve">FRANCISCO LEANDRO CRUZ ME                                         </t>
  </si>
  <si>
    <t xml:space="preserve">Cerveja 1/1         </t>
  </si>
  <si>
    <t xml:space="preserve">Zero        </t>
  </si>
  <si>
    <t xml:space="preserve">GARRAFEIRA PLAST,24 GFA 600ML,ANTARCTICA,                          </t>
  </si>
  <si>
    <t xml:space="preserve">JOSE JONAS DOS SANTOS                                             </t>
  </si>
  <si>
    <t xml:space="preserve">M EAMP                                                            </t>
  </si>
  <si>
    <t xml:space="preserve">GARRAFEIRA PLAST,24 GFA 600ML,SKOL,C/1,                            </t>
  </si>
  <si>
    <t xml:space="preserve">JOAO VICTOR DO NASCIMENTO BRANDAO                                 </t>
  </si>
  <si>
    <t xml:space="preserve">MANOEL RODRIGO SILVA ROCHA                                        </t>
  </si>
  <si>
    <t xml:space="preserve">LE CHARME JERICOACOARA LTDA                                       </t>
  </si>
  <si>
    <t xml:space="preserve">GARRAFEIRA PLAST,24 GFA 600ML,,,,                                  </t>
  </si>
  <si>
    <t xml:space="preserve">IERY MARIA ARAUJO OSTERNO CAVALCANTE                              </t>
  </si>
  <si>
    <t>Razão Social</t>
  </si>
  <si>
    <t>tipo</t>
  </si>
  <si>
    <t>Empresa</t>
  </si>
  <si>
    <t>Filial</t>
  </si>
  <si>
    <t>Cód PDV</t>
  </si>
  <si>
    <t>Documento</t>
  </si>
  <si>
    <t>Situação na RF</t>
  </si>
  <si>
    <t>Nome Fantasia</t>
  </si>
  <si>
    <t>Endereço</t>
  </si>
  <si>
    <t>Complemento</t>
  </si>
  <si>
    <t>Bairro</t>
  </si>
  <si>
    <t>Cidade</t>
  </si>
  <si>
    <t>UF</t>
  </si>
  <si>
    <t>CEP</t>
  </si>
  <si>
    <t>Telefone(s)</t>
  </si>
  <si>
    <t>Categoria</t>
  </si>
  <si>
    <t>Cód Rede</t>
  </si>
  <si>
    <t>Nome Rede</t>
  </si>
  <si>
    <t>Classe Risco Atual</t>
  </si>
  <si>
    <t>Pontuação Score</t>
  </si>
  <si>
    <t>Modelo Score</t>
  </si>
  <si>
    <t>Segmento Score</t>
  </si>
  <si>
    <t>Limite de Crédito</t>
  </si>
  <si>
    <t>Limite de Crédito Usado</t>
  </si>
  <si>
    <t>Limite de Crédito Disponível</t>
  </si>
  <si>
    <t>Prazo Atual</t>
  </si>
  <si>
    <t>Prazo Máximo Matriz</t>
  </si>
  <si>
    <t>Maior Prazo por Título</t>
  </si>
  <si>
    <t>Atraso Médio</t>
  </si>
  <si>
    <t>Perc Pgto em Atraso</t>
  </si>
  <si>
    <t>Possui Comodato</t>
  </si>
  <si>
    <t>Situação Documentação</t>
  </si>
  <si>
    <t>Data de Cadastro</t>
  </si>
  <si>
    <t>Data da Última Compra</t>
  </si>
  <si>
    <t>Compra Média</t>
  </si>
  <si>
    <t>Maior Compra</t>
  </si>
  <si>
    <t>Acumulado de Vendas</t>
  </si>
  <si>
    <t>Títulos Pendentes</t>
  </si>
  <si>
    <t>Títulos à Vencer</t>
  </si>
  <si>
    <t>Perc CR à Vencer (M-1)</t>
  </si>
  <si>
    <t>Data de Envio Serasa</t>
  </si>
  <si>
    <t>Data de Retorno Serasa</t>
  </si>
  <si>
    <t>Cód EG</t>
  </si>
  <si>
    <t>Cliente em Inativação</t>
  </si>
  <si>
    <t>Motivo Lista de Restrições</t>
  </si>
  <si>
    <t>Tipo de Pessoa</t>
  </si>
  <si>
    <t>Status do PDV</t>
  </si>
  <si>
    <t>Setor VDE</t>
  </si>
  <si>
    <t>Área VDE</t>
  </si>
  <si>
    <t>GV VDE</t>
  </si>
  <si>
    <t>Data Início da Visita VDE</t>
  </si>
  <si>
    <t>Dia de Visita do VDE</t>
  </si>
  <si>
    <t>Data da Prox Visita VDE</t>
  </si>
  <si>
    <t>Perc Positivação VDE(Mês)</t>
  </si>
  <si>
    <t>Perc Positivação VDE(TRI)</t>
  </si>
  <si>
    <t>Perc GPS VDE(Mês)</t>
  </si>
  <si>
    <t>Setor VDI</t>
  </si>
  <si>
    <t>Área VDI</t>
  </si>
  <si>
    <t>GV VDI</t>
  </si>
  <si>
    <t>Data Início da Visita VDI</t>
  </si>
  <si>
    <t>Dia de Visita do VDI</t>
  </si>
  <si>
    <t>Data da Prox Visita VDI</t>
  </si>
  <si>
    <t>Perc Positivação VDI(Mês)</t>
  </si>
  <si>
    <t>Perc Positivação VDI(TRI)</t>
  </si>
  <si>
    <t>Perc Contatos VDI(Mês)</t>
  </si>
  <si>
    <t>Prazo Médio Ponderado à Prazo (M-1)</t>
  </si>
  <si>
    <t>Prazo Médio Ponderado (M-1)</t>
  </si>
  <si>
    <t>Faturamento à Prazo (M-1)</t>
  </si>
  <si>
    <t>Faturamento DH (M-1)</t>
  </si>
  <si>
    <t>Faturamento Total (M-1)</t>
  </si>
  <si>
    <t>CR a Vencer (M-1)</t>
  </si>
  <si>
    <t>Prazo Médio Ponderado à Prazo (Mês)</t>
  </si>
  <si>
    <t>Prazo Médio Ponderado (Mês)</t>
  </si>
  <si>
    <t>Faturamento à Prazo (Mês)</t>
  </si>
  <si>
    <t>Faturamento DH (Mês)</t>
  </si>
  <si>
    <t>Faturamento Total (Mês)</t>
  </si>
  <si>
    <t>CR a Vencer (Mês)</t>
  </si>
  <si>
    <t>Perc CR a Vencer (Mês)</t>
  </si>
  <si>
    <t>Perc Atraso(6 meses)</t>
  </si>
  <si>
    <t>Maior Atraso(6 meses)</t>
  </si>
  <si>
    <t>Média Faturamento(3 meses)</t>
  </si>
  <si>
    <t>Segmento NGE</t>
  </si>
  <si>
    <t xml:space="preserve">    906.489.003-04</t>
  </si>
  <si>
    <t xml:space="preserve">                                   </t>
  </si>
  <si>
    <t xml:space="preserve">AGUA NA BOCA                            </t>
  </si>
  <si>
    <t xml:space="preserve">ELAINE CRISTINA RIOS FONTELES           </t>
  </si>
  <si>
    <t xml:space="preserve">R R GUIDO OSTERNUO SN                   </t>
  </si>
  <si>
    <t xml:space="preserve">                                        </t>
  </si>
  <si>
    <t xml:space="preserve">CENTRO                                                      </t>
  </si>
  <si>
    <t xml:space="preserve">MARCO                         </t>
  </si>
  <si>
    <t>CE</t>
  </si>
  <si>
    <t>62.560-000</t>
  </si>
  <si>
    <t xml:space="preserve"> 88 99959-0105                                      </t>
  </si>
  <si>
    <t xml:space="preserve">ARMAZEM/MERCEARIA   </t>
  </si>
  <si>
    <t xml:space="preserve">     </t>
  </si>
  <si>
    <t xml:space="preserve">   </t>
  </si>
  <si>
    <t>Nao</t>
  </si>
  <si>
    <t xml:space="preserve">          </t>
  </si>
  <si>
    <t xml:space="preserve">             </t>
  </si>
  <si>
    <t>N</t>
  </si>
  <si>
    <t xml:space="preserve">                                                  </t>
  </si>
  <si>
    <t xml:space="preserve">Fisica  </t>
  </si>
  <si>
    <t xml:space="preserve">Ativo            </t>
  </si>
  <si>
    <t xml:space="preserve">SEG/                        </t>
  </si>
  <si>
    <t xml:space="preserve">DOM/                        </t>
  </si>
  <si>
    <t xml:space="preserve">TRAD            </t>
  </si>
  <si>
    <t>21.261.228/0001-05</t>
  </si>
  <si>
    <t xml:space="preserve">DEP RAIMUNDO MONTE                      </t>
  </si>
  <si>
    <t xml:space="preserve">TRES Y COMERCIAL DE ALIMENTOS           </t>
  </si>
  <si>
    <t xml:space="preserve">R R GOVERNADOR RAUL BARBOSA 553 55553   </t>
  </si>
  <si>
    <t xml:space="preserve"> 88  3664-1550                                      </t>
  </si>
  <si>
    <t xml:space="preserve">DEPOSITO DE BEBIDAS </t>
  </si>
  <si>
    <t>Juridica</t>
  </si>
  <si>
    <t xml:space="preserve">SEX/                        </t>
  </si>
  <si>
    <t xml:space="preserve">SUB             </t>
  </si>
  <si>
    <t xml:space="preserve">    680.078.413-34</t>
  </si>
  <si>
    <t xml:space="preserve">REST DA ELENITA TRI                     </t>
  </si>
  <si>
    <t xml:space="preserve">MARIA ELENITA LEITE                     </t>
  </si>
  <si>
    <t xml:space="preserve">RUA AV TRIANGULO DO MARCO 10            </t>
  </si>
  <si>
    <t xml:space="preserve">TRIANGULO DO MARCO                                          </t>
  </si>
  <si>
    <t xml:space="preserve"> 88  3664-4053                                      </t>
  </si>
  <si>
    <t>REST./PIZZARIA/CHURR</t>
  </si>
  <si>
    <t xml:space="preserve">SAB/                        </t>
  </si>
  <si>
    <t xml:space="preserve">Rota            </t>
  </si>
  <si>
    <t xml:space="preserve">    547.792.353-91</t>
  </si>
  <si>
    <t xml:space="preserve">BAR DO 100 MARCO                        </t>
  </si>
  <si>
    <t xml:space="preserve">JOAO VALNEY SILVA                       </t>
  </si>
  <si>
    <t xml:space="preserve">RUA R JOSE MARIA FARIAS 720             </t>
  </si>
  <si>
    <t xml:space="preserve"> 88 99600-2082                                      </t>
  </si>
  <si>
    <t xml:space="preserve">BAR/BARZINHO        </t>
  </si>
  <si>
    <t xml:space="preserve">QUA/                        </t>
  </si>
  <si>
    <t xml:space="preserve">    923.862.373-20</t>
  </si>
  <si>
    <t xml:space="preserve">MERC DO PAULO MARCO                     </t>
  </si>
  <si>
    <t xml:space="preserve">PAULO CESAR SOUZA                       </t>
  </si>
  <si>
    <t xml:space="preserve">RUA R VIRGILIO TAVORA 1713              </t>
  </si>
  <si>
    <t xml:space="preserve">ALEMAES                                                     </t>
  </si>
  <si>
    <t xml:space="preserve"> 88 99915-7756                                      </t>
  </si>
  <si>
    <t xml:space="preserve">    048.352.613-48</t>
  </si>
  <si>
    <t xml:space="preserve">CHUR MANOEL FRANKLIN                    </t>
  </si>
  <si>
    <t xml:space="preserve">JONAS FRANKLIM SILVA MELO               </t>
  </si>
  <si>
    <t xml:space="preserve">EST EST TRIANGULO DE MARCO SN           </t>
  </si>
  <si>
    <t xml:space="preserve"> 88  3664-4009                                      </t>
  </si>
  <si>
    <t xml:space="preserve">    027.816.953-86</t>
  </si>
  <si>
    <t xml:space="preserve">S5 - DEP SAO FRANCIS                    </t>
  </si>
  <si>
    <t xml:space="preserve">JOSE GLEISON ALVES                      </t>
  </si>
  <si>
    <t xml:space="preserve">R R PADRE APOLIANO SN                   </t>
  </si>
  <si>
    <t xml:space="preserve"> 08 89634-2862                                      </t>
  </si>
  <si>
    <t xml:space="preserve">    907.050.333-68</t>
  </si>
  <si>
    <t xml:space="preserve">MARCOS ANDRE                            </t>
  </si>
  <si>
    <t xml:space="preserve">MARCOS ANDRE GOMES                      </t>
  </si>
  <si>
    <t xml:space="preserve">R R FRANCISCO TEoFILO DA ROCHA SN       </t>
  </si>
  <si>
    <t xml:space="preserve"> 88 99916-7948                                      </t>
  </si>
  <si>
    <t>14.420.595/0001-49</t>
  </si>
  <si>
    <t xml:space="preserve">LANCH D GUSTE 99                        </t>
  </si>
  <si>
    <t xml:space="preserve">CLAUDIA CRISTINA SILVA SILVEIRA ME.     </t>
  </si>
  <si>
    <t xml:space="preserve">RUA R PADRE APOLIANO 357                </t>
  </si>
  <si>
    <t xml:space="preserve"> 88 99915-2535                                      </t>
  </si>
  <si>
    <t>LANCHONETE/PASTELARI</t>
  </si>
  <si>
    <t xml:space="preserve">    907.205.123-87</t>
  </si>
  <si>
    <t xml:space="preserve">MARIA ELIDENE                           </t>
  </si>
  <si>
    <t xml:space="preserve">MARIA ELIDENE DE SOUZA                  </t>
  </si>
  <si>
    <t xml:space="preserve">R R TRIANGULO DO MARCO SN               </t>
  </si>
  <si>
    <t xml:space="preserve"> 88 99964-1443                                      </t>
  </si>
  <si>
    <t xml:space="preserve">MINIMERCADO         </t>
  </si>
  <si>
    <t xml:space="preserve">    682.119.703-25</t>
  </si>
  <si>
    <t xml:space="preserve">MERC ROGENIO SANTA                      </t>
  </si>
  <si>
    <t xml:space="preserve">JOSE ROGENIO DE FREITAS                 </t>
  </si>
  <si>
    <t xml:space="preserve">VIL R SANTA ROSA 144                    </t>
  </si>
  <si>
    <t xml:space="preserve">SANTA ROSA                                                  </t>
  </si>
  <si>
    <t xml:space="preserve"> 88 99640-1663                                      </t>
  </si>
  <si>
    <t xml:space="preserve">    645.481.123-91</t>
  </si>
  <si>
    <t xml:space="preserve">MERC SANDRO                             </t>
  </si>
  <si>
    <t xml:space="preserve">SANDRO JOVINO FREITAS                   </t>
  </si>
  <si>
    <t xml:space="preserve">VIL DT BOM JESUS I 10                   </t>
  </si>
  <si>
    <t xml:space="preserve"> 66  0064-4003                                      </t>
  </si>
  <si>
    <t xml:space="preserve">    002.959.643-24</t>
  </si>
  <si>
    <t xml:space="preserve">MERC SAO MANUEL ROZ                     </t>
  </si>
  <si>
    <t xml:space="preserve">MARIA ROZANE DE FREITAS VASCONCELOS     </t>
  </si>
  <si>
    <t xml:space="preserve">R R POV.SANTA ROSA SN                   </t>
  </si>
  <si>
    <t xml:space="preserve">BOM JESUS                                                   </t>
  </si>
  <si>
    <t xml:space="preserve"> 88 99939-9374                                      </t>
  </si>
  <si>
    <t>13.191.738/0001-25</t>
  </si>
  <si>
    <t xml:space="preserve">MERCEARIA MARQUENSE                     </t>
  </si>
  <si>
    <t xml:space="preserve">FRANCISCO VALMIR SILVA 01533787352      </t>
  </si>
  <si>
    <t xml:space="preserve">R R Senador Virgilio Tavora SN          </t>
  </si>
  <si>
    <t xml:space="preserve"> 88 99918-7101                                      </t>
  </si>
  <si>
    <t xml:space="preserve">    018.222.723-51</t>
  </si>
  <si>
    <t xml:space="preserve">COM JOAO BATISTA                        </t>
  </si>
  <si>
    <t xml:space="preserve">JOAO BATISTA SILVA                      </t>
  </si>
  <si>
    <t xml:space="preserve">VIL R SANTA ROSA 3                      </t>
  </si>
  <si>
    <t xml:space="preserve"> 88 98145-8073                                      </t>
  </si>
  <si>
    <t>12.951.445/0002-17</t>
  </si>
  <si>
    <t xml:space="preserve">PIT STOP POSTO MARC                     </t>
  </si>
  <si>
    <t xml:space="preserve">MARIA MARLENE SILVEIRA VASCONCELOS      </t>
  </si>
  <si>
    <t xml:space="preserve">AVE AV PREFEITO GUIDO OSTERNO 1385      </t>
  </si>
  <si>
    <t xml:space="preserve"> 85 99969-6173                                      </t>
  </si>
  <si>
    <t>Sim</t>
  </si>
  <si>
    <t>03.205.735/0001-40</t>
  </si>
  <si>
    <t xml:space="preserve">SUPER RIOS MARCO                        </t>
  </si>
  <si>
    <t xml:space="preserve">SUPERMERCADO RIOS LTDA ME               </t>
  </si>
  <si>
    <t xml:space="preserve">RUA R MONSENHOR VALDIR 610              </t>
  </si>
  <si>
    <t xml:space="preserve"> 08 89828-5280                                      </t>
  </si>
  <si>
    <t xml:space="preserve">    007.628.153-10</t>
  </si>
  <si>
    <t xml:space="preserve">REST ROTA DOS SABORE                    </t>
  </si>
  <si>
    <t xml:space="preserve">FRANCISCO ERONDI ARAUJO                 </t>
  </si>
  <si>
    <t xml:space="preserve">R TRIANGULO DO MARCO SN                 </t>
  </si>
  <si>
    <t xml:space="preserve"> 08 83664-2552                                      </t>
  </si>
  <si>
    <t xml:space="preserve">    048.702.003-09</t>
  </si>
  <si>
    <t xml:space="preserve">DEP DE AGUAS JONAS                      </t>
  </si>
  <si>
    <t xml:space="preserve">FRANCISCO JONAS DE FREITAS              </t>
  </si>
  <si>
    <t xml:space="preserve">R TRIANGULO DO MARCO 11                 </t>
  </si>
  <si>
    <t xml:space="preserve"> 88 89731-3007                                      </t>
  </si>
  <si>
    <t xml:space="preserve">                            </t>
  </si>
  <si>
    <t xml:space="preserve">    155.742.613-91</t>
  </si>
  <si>
    <t xml:space="preserve">MERC MARJO                              </t>
  </si>
  <si>
    <t xml:space="preserve">FRANCISCO DE ASSIS DO NASCIMENTO        </t>
  </si>
  <si>
    <t xml:space="preserve">R GOV RAUL BARBOSA SN                   </t>
  </si>
  <si>
    <t xml:space="preserve"> 08 89752-2153                                      </t>
  </si>
  <si>
    <t xml:space="preserve">    069.418.613-98</t>
  </si>
  <si>
    <t xml:space="preserve">MERC ISAIAS TRIANGU                     </t>
  </si>
  <si>
    <t xml:space="preserve">FRANCISCO ALEXSANDRO RIBEIRO            </t>
  </si>
  <si>
    <t xml:space="preserve">VIL TRIANGULO DO MARCO 10               </t>
  </si>
  <si>
    <t xml:space="preserve"> 08 89625-6704                                      </t>
  </si>
  <si>
    <t xml:space="preserve">    709.361.883-91</t>
  </si>
  <si>
    <t xml:space="preserve">DEP FURTUOSO SANTA                      </t>
  </si>
  <si>
    <t xml:space="preserve">JOSE FURTUOSO DE FREITAS                </t>
  </si>
  <si>
    <t xml:space="preserve">VIL SANTA ROSA 10                       </t>
  </si>
  <si>
    <t xml:space="preserve"> 08 89922-5756                                      </t>
  </si>
  <si>
    <t xml:space="preserve">    025.215.253-08</t>
  </si>
  <si>
    <t xml:space="preserve">DEPOSITO TIAGO MARC                     </t>
  </si>
  <si>
    <t xml:space="preserve">MANOEL TIAGO LEITAO                     </t>
  </si>
  <si>
    <t xml:space="preserve">RUA MANOEL RODRIGUES 10                 </t>
  </si>
  <si>
    <t xml:space="preserve"> 08 89863-5800                                      </t>
  </si>
  <si>
    <t xml:space="preserve">    038.646.553-31</t>
  </si>
  <si>
    <t xml:space="preserve">DEP E ARMAZEM RD MA                     </t>
  </si>
  <si>
    <t xml:space="preserve">LEIDYANA CRISTINA SILVA SILVEIRA        </t>
  </si>
  <si>
    <t xml:space="preserve">RUA 30 DE JULHO 207                     </t>
  </si>
  <si>
    <t xml:space="preserve"> 08 89685-2389                                      </t>
  </si>
  <si>
    <t xml:space="preserve">    080.143.583-84</t>
  </si>
  <si>
    <t xml:space="preserve">LANCHONET MAIS SABOR                    </t>
  </si>
  <si>
    <t xml:space="preserve">FRANCISCO JOEL DE FREITAS               </t>
  </si>
  <si>
    <t xml:space="preserve">AV GUIDO OSTERNO 10                     </t>
  </si>
  <si>
    <t xml:space="preserve"> 88 89816-9737                                      </t>
  </si>
  <si>
    <t>34.437.443/0001-66</t>
  </si>
  <si>
    <t xml:space="preserve">BAR MANUEL MARCO                        </t>
  </si>
  <si>
    <t xml:space="preserve">MANOEL EDSON SILVA                      </t>
  </si>
  <si>
    <t xml:space="preserve">R RIOS SN                               </t>
  </si>
  <si>
    <t xml:space="preserve"> 08 89809-2367                                      </t>
  </si>
  <si>
    <t xml:space="preserve">    633.695.833-72</t>
  </si>
  <si>
    <t xml:space="preserve">DEP DO JUNIOR MARCO                     </t>
  </si>
  <si>
    <t xml:space="preserve">ANTONIO FLAVIO DOS SANTOS               </t>
  </si>
  <si>
    <t xml:space="preserve">RUA 22 DE NOVEMBRO 10                   </t>
  </si>
  <si>
    <t xml:space="preserve"> 08 89702-1221                                      </t>
  </si>
  <si>
    <t xml:space="preserve">    010.374.023-67</t>
  </si>
  <si>
    <t xml:space="preserve">CONV POSTO ROCHA                        </t>
  </si>
  <si>
    <t xml:space="preserve">ANDRE GUSTAVO OLIVEIRA ROCHA            </t>
  </si>
  <si>
    <t xml:space="preserve">RUA BOM JESUS 10                        </t>
  </si>
  <si>
    <t xml:space="preserve"> 08 59970-6842                                      </t>
  </si>
  <si>
    <t>LOJA DE CONVENIENCIA</t>
  </si>
  <si>
    <t>Lj. Conveniencia</t>
  </si>
  <si>
    <t xml:space="preserve">    011.272.653-42</t>
  </si>
  <si>
    <t xml:space="preserve">DEP DO MARCELO MARC                     </t>
  </si>
  <si>
    <t xml:space="preserve">MARCELO SILVA MOURA                     </t>
  </si>
  <si>
    <t xml:space="preserve">RUA MANOEL CLOVES RIOS 804              </t>
  </si>
  <si>
    <t xml:space="preserve"> 08 89724-0449                                      </t>
  </si>
  <si>
    <t xml:space="preserve">    069.895.533-16</t>
  </si>
  <si>
    <t xml:space="preserve">MERC JP                                 </t>
  </si>
  <si>
    <t xml:space="preserve">MARIA KAINARA VASCONCELOS               </t>
  </si>
  <si>
    <t xml:space="preserve">R TRIANGULO DO MARCO 10                 </t>
  </si>
  <si>
    <t xml:space="preserve"> 88 89909-2507                                      </t>
  </si>
  <si>
    <t xml:space="preserve">QUI/                        </t>
  </si>
  <si>
    <t xml:space="preserve">    725.858.113-87</t>
  </si>
  <si>
    <t xml:space="preserve">BAIAO DE DOIS                           </t>
  </si>
  <si>
    <t xml:space="preserve">FRANCISCO EDSON MENEZES                 </t>
  </si>
  <si>
    <t xml:space="preserve">R RUA GOVERNADOR CESAR CALS SN          </t>
  </si>
  <si>
    <t xml:space="preserve"> 88 99914-3539                                      </t>
  </si>
  <si>
    <t xml:space="preserve">    070.759.943-10</t>
  </si>
  <si>
    <t xml:space="preserve">MERC SAO GERALDO LA                     </t>
  </si>
  <si>
    <t xml:space="preserve">CANDIDA EDUARDA FREITAS DA SILVA        </t>
  </si>
  <si>
    <t xml:space="preserve">R PV LAGOA DE SANTA ROSA 10             </t>
  </si>
  <si>
    <t xml:space="preserve">LAGOA DE SANTA ROSA                                         </t>
  </si>
  <si>
    <t xml:space="preserve"> 88 89746-5132                                      </t>
  </si>
  <si>
    <t xml:space="preserve">    616.145.133-68</t>
  </si>
  <si>
    <t xml:space="preserve">DEP SAO ROQUE MARCO                     </t>
  </si>
  <si>
    <t xml:space="preserve">ALEX DOS SANTOS                         </t>
  </si>
  <si>
    <t xml:space="preserve">R GOV CESAR CARLS SN                    </t>
  </si>
  <si>
    <t xml:space="preserve"> 08 89840-2108                                      </t>
  </si>
  <si>
    <t xml:space="preserve">    014.531.423-55</t>
  </si>
  <si>
    <t xml:space="preserve">DEPOSITO O PINTO                        </t>
  </si>
  <si>
    <t xml:space="preserve">PAULO ALEX DA COSTA DUARTE              </t>
  </si>
  <si>
    <t xml:space="preserve">R PADRE APOLIANO SN                     </t>
  </si>
  <si>
    <t xml:space="preserve"> 88 89652-1818                                      </t>
  </si>
  <si>
    <t xml:space="preserve">    064.497.153-32</t>
  </si>
  <si>
    <t xml:space="preserve">MERC VVN LAGOA DO C                     </t>
  </si>
  <si>
    <t xml:space="preserve">JOAO PAULO DE PAULO SOUSA               </t>
  </si>
  <si>
    <t xml:space="preserve">R PV LAGOA DO CANEMA SN                 </t>
  </si>
  <si>
    <t xml:space="preserve"> PROX AO MERCADINHO VVN                 </t>
  </si>
  <si>
    <t xml:space="preserve">LAGOA DO CANEMA                                             </t>
  </si>
  <si>
    <t xml:space="preserve">ACARAU                        </t>
  </si>
  <si>
    <t>62.580-000</t>
  </si>
  <si>
    <t xml:space="preserve"> 08 89695-7642                                      </t>
  </si>
  <si>
    <t xml:space="preserve">AS  1-4         </t>
  </si>
  <si>
    <t>38.251.332/0001-11</t>
  </si>
  <si>
    <t xml:space="preserve">MERC SAO FRANCISCO                      </t>
  </si>
  <si>
    <t xml:space="preserve">F KEILO ALVES ME                        </t>
  </si>
  <si>
    <t xml:space="preserve">RUA BOSQUE DOS NAMORADOS 425            </t>
  </si>
  <si>
    <t xml:space="preserve"> 08 89819-9470                                      </t>
  </si>
  <si>
    <t xml:space="preserve">    268.408.038-05</t>
  </si>
  <si>
    <t xml:space="preserve">LANCHONETE CHAPADAO                     </t>
  </si>
  <si>
    <t xml:space="preserve">CLEBER JOSE DE SOUZA                    </t>
  </si>
  <si>
    <t xml:space="preserve">R JOSE MARIA FARIAS SN                  </t>
  </si>
  <si>
    <t xml:space="preserve"> 08 89950-5408                                      </t>
  </si>
  <si>
    <t xml:space="preserve">    027.844.783-00</t>
  </si>
  <si>
    <t xml:space="preserve">DEP WLR RACOES MARC                     </t>
  </si>
  <si>
    <t xml:space="preserve">JOSE CARVALHO ROCHA                     </t>
  </si>
  <si>
    <t xml:space="preserve">RUA PROJETADA 3                         </t>
  </si>
  <si>
    <t xml:space="preserve"> 08 89694-7763                                      </t>
  </si>
  <si>
    <t xml:space="preserve">    083.532.053-78</t>
  </si>
  <si>
    <t xml:space="preserve">MERC DO JOELIO TRIA                     </t>
  </si>
  <si>
    <t xml:space="preserve">JOSE JOELIO MARINHO                     </t>
  </si>
  <si>
    <t xml:space="preserve">R DO POSTO ROCHA SN                     </t>
  </si>
  <si>
    <t xml:space="preserve"> 08 88898-7889                                      </t>
  </si>
  <si>
    <t xml:space="preserve">    906.919.033-87</t>
  </si>
  <si>
    <t xml:space="preserve">MERC VASCONCELOS                        </t>
  </si>
  <si>
    <t xml:space="preserve">JOSE REGINALDO VASCONCELOS              </t>
  </si>
  <si>
    <t xml:space="preserve">RUA RUA GOVERNADOR RAUL BARBOSA 1054    </t>
  </si>
  <si>
    <t xml:space="preserve">COQUEIRINHO                                                 </t>
  </si>
  <si>
    <t xml:space="preserve"> 08 89857-9070                                      </t>
  </si>
  <si>
    <t xml:space="preserve">    070.572.763-70</t>
  </si>
  <si>
    <t xml:space="preserve">MERC SAO MANOEL NETO                    </t>
  </si>
  <si>
    <t xml:space="preserve">MARIANA ANTONIA MARAIS FONTELES         </t>
  </si>
  <si>
    <t xml:space="preserve">AVE PREF GUIDO OSTERNO 10               </t>
  </si>
  <si>
    <t xml:space="preserve"> 08 89984-8688                                      </t>
  </si>
  <si>
    <t xml:space="preserve">    949.074.553-72</t>
  </si>
  <si>
    <t xml:space="preserve">DEP DIOGO ACARAU                        </t>
  </si>
  <si>
    <t xml:space="preserve">DIOGO HENRIQUE CARNEIRO DE BARROS       </t>
  </si>
  <si>
    <t xml:space="preserve">RUA AVENIDA NICODEMOS ARAUJO 874        </t>
  </si>
  <si>
    <t xml:space="preserve">PAULO VI                                                    </t>
  </si>
  <si>
    <t xml:space="preserve"> 08 48147-0116                                      </t>
  </si>
  <si>
    <t xml:space="preserve">TER/                        </t>
  </si>
  <si>
    <t xml:space="preserve">    059.076.153-62</t>
  </si>
  <si>
    <t xml:space="preserve">DEP O CHIQUINHO VIL                     </t>
  </si>
  <si>
    <t xml:space="preserve">EFIGENIA LOPES DA SILVA                 </t>
  </si>
  <si>
    <t xml:space="preserve">VL VILA GADO BRAVO SN                   </t>
  </si>
  <si>
    <t xml:space="preserve"> SN                                     </t>
  </si>
  <si>
    <t xml:space="preserve">VILA GADO BRAVO                                             </t>
  </si>
  <si>
    <t xml:space="preserve"> 08 89845-8319                                      </t>
  </si>
  <si>
    <t xml:space="preserve">    063.389.523-79</t>
  </si>
  <si>
    <t xml:space="preserve">DEP DE BEBIDAS RIOS                     </t>
  </si>
  <si>
    <t xml:space="preserve">FELIPE RIOS SILVA                       </t>
  </si>
  <si>
    <t xml:space="preserve"> 08 89605-3644                                      </t>
  </si>
  <si>
    <t xml:space="preserve">    074.635.363-43</t>
  </si>
  <si>
    <t xml:space="preserve">MERC WELLINGTON                         </t>
  </si>
  <si>
    <t xml:space="preserve">WERIK ROCHA FILHO                       </t>
  </si>
  <si>
    <t xml:space="preserve">R R DEPUTADO MANOEL RODRIGUES SN        </t>
  </si>
  <si>
    <t xml:space="preserve"> 08 89637-0123                                      </t>
  </si>
  <si>
    <t xml:space="preserve">    099.486.313-66</t>
  </si>
  <si>
    <t xml:space="preserve">DEP DO EDUARDO MARC                     </t>
  </si>
  <si>
    <t xml:space="preserve">SAMUEL ARAUJO DOS SANTOS JUNIOR         </t>
  </si>
  <si>
    <t xml:space="preserve">RUA RUA GOVER CESAR CALS 423            </t>
  </si>
  <si>
    <t xml:space="preserve"> AVENIDA                                </t>
  </si>
  <si>
    <t xml:space="preserve"> 08 89961-5460                                      </t>
  </si>
  <si>
    <t xml:space="preserve">    035.073.653-75</t>
  </si>
  <si>
    <t xml:space="preserve">COMERCIO DO SERGIO                      </t>
  </si>
  <si>
    <t xml:space="preserve">FRANCISCO SERGIO DUTRA                  </t>
  </si>
  <si>
    <t xml:space="preserve">VIL TRIANGULO DO MARCO 132              </t>
  </si>
  <si>
    <t xml:space="preserve"> 08 89808-5471                                      </t>
  </si>
  <si>
    <t>48.527.217/0001-80</t>
  </si>
  <si>
    <t xml:space="preserve">DEP DO OLAVO MARCO                      </t>
  </si>
  <si>
    <t xml:space="preserve">JOSE OLAVO TEOFILO                      </t>
  </si>
  <si>
    <t xml:space="preserve">RUA RUA RIOS 222                        </t>
  </si>
  <si>
    <t xml:space="preserve"> AO LADO DA MERCEARIA GIFONE            </t>
  </si>
  <si>
    <t xml:space="preserve"> 08 89762-5033                                      </t>
  </si>
  <si>
    <t xml:space="preserve">    080.735.793-67</t>
  </si>
  <si>
    <t xml:space="preserve">CHURRASCARIA BELO SA                    </t>
  </si>
  <si>
    <t xml:space="preserve">CAIO JARBAS DO NASCIMENTO               </t>
  </si>
  <si>
    <t xml:space="preserve">AV AV PREFEITO GUIDO OSTERNO SN         </t>
  </si>
  <si>
    <t xml:space="preserve"> 08 59841-6972                                      </t>
  </si>
  <si>
    <t xml:space="preserve">    012.050.003-56</t>
  </si>
  <si>
    <t xml:space="preserve">BAR E MERC EVELINE                      </t>
  </si>
  <si>
    <t xml:space="preserve">MARIA EVILENE BEZERRA DIAS              </t>
  </si>
  <si>
    <t xml:space="preserve">VIL TRIANGULO DO MARCO 10000            </t>
  </si>
  <si>
    <t xml:space="preserve"> VIZINHO AO MARINO SOEIRA               </t>
  </si>
  <si>
    <t xml:space="preserve"> 08 59771-8488                                      </t>
  </si>
  <si>
    <t xml:space="preserve">    050.816.313-70</t>
  </si>
  <si>
    <t xml:space="preserve">JR BEBIDAS TRIANGUL                     </t>
  </si>
  <si>
    <t xml:space="preserve">JAIR RONNYS ALVES                       </t>
  </si>
  <si>
    <t xml:space="preserve">VL TRIANGULO DO MARCO 1000              </t>
  </si>
  <si>
    <t xml:space="preserve"> PERTO DA OFICINA DO ZE BI              </t>
  </si>
  <si>
    <t xml:space="preserve"> 88 89818-2074                                      </t>
  </si>
  <si>
    <t xml:space="preserve">    906.881.473-72</t>
  </si>
  <si>
    <t xml:space="preserve">MERCEARIA O FROTAO                      </t>
  </si>
  <si>
    <t xml:space="preserve">JOSE FROTA BASILIO                      </t>
  </si>
  <si>
    <t xml:space="preserve">Rua RUA DEPUTADO MANOEL RODRIGUES 900   </t>
  </si>
  <si>
    <t xml:space="preserve"> 08 89741-3259                                      </t>
  </si>
  <si>
    <t xml:space="preserve">    011.238.603-27</t>
  </si>
  <si>
    <t xml:space="preserve">RESTAURANTE BOM GOST                    </t>
  </si>
  <si>
    <t xml:space="preserve">MARIA GLEYDIANE LEITE MESSIAS           </t>
  </si>
  <si>
    <t xml:space="preserve">VIL TRIANGULO DO MARCO 1000             </t>
  </si>
  <si>
    <t xml:space="preserve"> PROXIMO AO POSTO DE MARIA              </t>
  </si>
  <si>
    <t xml:space="preserve"> 08 89671-6120                                      </t>
  </si>
  <si>
    <t xml:space="preserve">    050.192.923-11</t>
  </si>
  <si>
    <t xml:space="preserve">PIZZARIA DO GERALDO                     </t>
  </si>
  <si>
    <t xml:space="preserve">MARIA GLAUCIA DOS SANTOS                </t>
  </si>
  <si>
    <t xml:space="preserve">VIL Santa Rosa 1000                     </t>
  </si>
  <si>
    <t xml:space="preserve"> 08 89845-1575                                      </t>
  </si>
  <si>
    <t xml:space="preserve">    076.390.783-93</t>
  </si>
  <si>
    <t xml:space="preserve">DISTRIBUIDORA RIOS                      </t>
  </si>
  <si>
    <t xml:space="preserve">ANTONIO EUDES FERREIRA                  </t>
  </si>
  <si>
    <t>RUA RUA ANTONIO MIRNEVINO VASCONCELOS 56</t>
  </si>
  <si>
    <t xml:space="preserve"> 08 89711-1007                                      </t>
  </si>
  <si>
    <t>49.460.383/0001-70</t>
  </si>
  <si>
    <t xml:space="preserve">DEPOSITO DO LEORNE                      </t>
  </si>
  <si>
    <t xml:space="preserve">GUILESPE RIOS LEORNE                    </t>
  </si>
  <si>
    <t xml:space="preserve">R RUA PARSIFAL BARROSO SN               </t>
  </si>
  <si>
    <t xml:space="preserve"> PROXIMO A IGREJA MATRIX DEARCO         </t>
  </si>
  <si>
    <t xml:space="preserve"> 08 89614-0865                                      </t>
  </si>
  <si>
    <t xml:space="preserve">    026.829.133-00</t>
  </si>
  <si>
    <t xml:space="preserve">ADEGA DO ARI                            </t>
  </si>
  <si>
    <t xml:space="preserve">ARI DHEIME JONE NASCIMENTO              </t>
  </si>
  <si>
    <t xml:space="preserve">RUA ENTRADA ARANAU DO LADO DA ESCOLA1   </t>
  </si>
  <si>
    <t xml:space="preserve">ARANAU                                                      </t>
  </si>
  <si>
    <t xml:space="preserve"> 08 88177-2773                                      </t>
  </si>
  <si>
    <t>40.475.398/0001-37</t>
  </si>
  <si>
    <t xml:space="preserve">SUPERMERCADO PAGUE M                    </t>
  </si>
  <si>
    <t xml:space="preserve">C E SUPERMERCADO LTDA                   </t>
  </si>
  <si>
    <t xml:space="preserve">RUA 07 DE SETEMBRO 347                  </t>
  </si>
  <si>
    <t xml:space="preserve"> PROX AO PRIMOS GRILL                   </t>
  </si>
  <si>
    <t xml:space="preserve">CRUZ                          </t>
  </si>
  <si>
    <t>62.595-000</t>
  </si>
  <si>
    <t xml:space="preserve"> 88 99783-4872                                      </t>
  </si>
  <si>
    <t>07.780.869/0001-45</t>
  </si>
  <si>
    <t xml:space="preserve">PEDRO DUTRA BELA CR                     </t>
  </si>
  <si>
    <t xml:space="preserve">PEDRO ROGERIO MORAIS                    </t>
  </si>
  <si>
    <t xml:space="preserve">RUA HUMAITA 117                         </t>
  </si>
  <si>
    <t xml:space="preserve">BELA CRUZ                     </t>
  </si>
  <si>
    <t>62.570-000</t>
  </si>
  <si>
    <t xml:space="preserve"> 08 89693-1600                                      </t>
  </si>
  <si>
    <t>16.435.559/0001-84</t>
  </si>
  <si>
    <t xml:space="preserve">C E MERCANTIL CENT                      </t>
  </si>
  <si>
    <t xml:space="preserve">DEBORA VALQUIRIA DO NASCIMENTO ME       </t>
  </si>
  <si>
    <t xml:space="preserve">RUA R EXPEDITO FARIAS 259               </t>
  </si>
  <si>
    <t xml:space="preserve"> 08 89767-7250                                      </t>
  </si>
  <si>
    <t xml:space="preserve">    728.076.363-49</t>
  </si>
  <si>
    <t xml:space="preserve">BAR DA EUNICE CENTR                     </t>
  </si>
  <si>
    <t xml:space="preserve">EUNICE MATIAS DA SILVA MIRANDA          </t>
  </si>
  <si>
    <t xml:space="preserve">R PREFEITO RAIMUNDO ROCHA SN            </t>
  </si>
  <si>
    <t xml:space="preserve"> PROX AO HOTEL RIVIERA                  </t>
  </si>
  <si>
    <t xml:space="preserve"> 88 99854-6725                                      </t>
  </si>
  <si>
    <t xml:space="preserve">    600.774.373-06</t>
  </si>
  <si>
    <t xml:space="preserve">RANCHO DOS LOPES GE                     </t>
  </si>
  <si>
    <t xml:space="preserve">ROBERTO DIONEI LOPES                    </t>
  </si>
  <si>
    <t xml:space="preserve">RUA RANCHO DO LOPES 10000               </t>
  </si>
  <si>
    <t xml:space="preserve"> A 100 METROS DO PESQUE PAGUE           </t>
  </si>
  <si>
    <t xml:space="preserve">GENIPAPEIRO                                                 </t>
  </si>
  <si>
    <t xml:space="preserve"> 08 89709-5162                                      </t>
  </si>
  <si>
    <t xml:space="preserve">    512.627.703-00</t>
  </si>
  <si>
    <t xml:space="preserve">BAR O PANTANAL ACAR                     </t>
  </si>
  <si>
    <t xml:space="preserve">BERNADETE DO NASCIMENTO RODRIGUES       </t>
  </si>
  <si>
    <t xml:space="preserve">RUA R JOSE MONTEIRO DE MELO 10000       </t>
  </si>
  <si>
    <t xml:space="preserve"> S/N                                    </t>
  </si>
  <si>
    <t xml:space="preserve">SAGUIM                                                      </t>
  </si>
  <si>
    <t xml:space="preserve"> 88 99679-6291                                      </t>
  </si>
  <si>
    <t xml:space="preserve">    060.769.653-20</t>
  </si>
  <si>
    <t xml:space="preserve">MERC PRECO BOM PORT                     </t>
  </si>
  <si>
    <t xml:space="preserve">FRANCISCO DEIJAIR FARIAS                </t>
  </si>
  <si>
    <t xml:space="preserve">R PORTEIRAS SN                          </t>
  </si>
  <si>
    <t xml:space="preserve">PORTEIRAS                                                   </t>
  </si>
  <si>
    <t xml:space="preserve"> 88 99796-3614                                      </t>
  </si>
  <si>
    <t>28.075.874/0001-27</t>
  </si>
  <si>
    <t xml:space="preserve">MERCADINHO JB CENTR                     </t>
  </si>
  <si>
    <t xml:space="preserve">JAILMA LIMA LIBARINO                    </t>
  </si>
  <si>
    <t xml:space="preserve">RUA MANOEL SALES 380                    </t>
  </si>
  <si>
    <t xml:space="preserve"> 88 99775-7298                                      </t>
  </si>
  <si>
    <t>27.591.784/0001-26</t>
  </si>
  <si>
    <t xml:space="preserve">ZE - ARMAZEM EXPRESS                    </t>
  </si>
  <si>
    <t xml:space="preserve">ACARAU CONVENIENCIA                     </t>
  </si>
  <si>
    <t xml:space="preserve">AV AV JOAO JAIME FERREIRA GOMES 517     </t>
  </si>
  <si>
    <t xml:space="preserve"> 85 99958-0826                                      </t>
  </si>
  <si>
    <t xml:space="preserve">TER/QUI/SAB/                </t>
  </si>
  <si>
    <t>23.084.469/0001-51</t>
  </si>
  <si>
    <t xml:space="preserve">PIZZARIA SABOR DA PI                    </t>
  </si>
  <si>
    <t xml:space="preserve">ANTONIO CARLOS ALVES FERREIRA ME        </t>
  </si>
  <si>
    <t xml:space="preserve">RUA DEP AMADEU GOMES 203                </t>
  </si>
  <si>
    <t xml:space="preserve"> 85 99957-2751                                      </t>
  </si>
  <si>
    <t xml:space="preserve">    012.984.653-89</t>
  </si>
  <si>
    <t xml:space="preserve">MERCADINHO SEU ANTON                    </t>
  </si>
  <si>
    <t xml:space="preserve">FRANCISCO ANTONIO DE SOUSA              </t>
  </si>
  <si>
    <t xml:space="preserve">R R PRESIDENTE JUSCELINO SN             </t>
  </si>
  <si>
    <t xml:space="preserve">BRASILIA                                                    </t>
  </si>
  <si>
    <t xml:space="preserve"> 08 89632-7616                                      </t>
  </si>
  <si>
    <t>05.436.145/0001-53</t>
  </si>
  <si>
    <t xml:space="preserve">MERCANTIL BARATEIRO                     </t>
  </si>
  <si>
    <t xml:space="preserve">ANTONIO FLAVIO DA SILVEIRA ME           </t>
  </si>
  <si>
    <t xml:space="preserve">RUA R CEL TEIXEIRA PINTO 350            </t>
  </si>
  <si>
    <t xml:space="preserve"> 08 89938-4607                                      </t>
  </si>
  <si>
    <t>11.959.925/0001-80</t>
  </si>
  <si>
    <t xml:space="preserve">MERCADINHO ANA JULIA                    </t>
  </si>
  <si>
    <t xml:space="preserve">JOSE CLEBER VASCONCELOS ME              </t>
  </si>
  <si>
    <t xml:space="preserve">RUA BERNARDINO ALBUQUERQUE 233          </t>
  </si>
  <si>
    <t xml:space="preserve"> 88 99949-1622                                      </t>
  </si>
  <si>
    <t xml:space="preserve">    060.127.943-39</t>
  </si>
  <si>
    <t xml:space="preserve">MERCADINHO DO BARROS                    </t>
  </si>
  <si>
    <t xml:space="preserve">JOSE BARROSO RODRIGUES                  </t>
  </si>
  <si>
    <t xml:space="preserve">R ALMECEGAS SN                          </t>
  </si>
  <si>
    <t xml:space="preserve">ALMACEGAS                                                   </t>
  </si>
  <si>
    <t xml:space="preserve"> 88 99682-2385                                      </t>
  </si>
  <si>
    <t>13.757.852/0001-70</t>
  </si>
  <si>
    <t xml:space="preserve">PANIFICADORA E MERCA                    </t>
  </si>
  <si>
    <t xml:space="preserve">FRANCISCO DAS CHAGAS FARIAS FILHO       </t>
  </si>
  <si>
    <t xml:space="preserve">RUA TANCREDO NEVES 266                  </t>
  </si>
  <si>
    <t xml:space="preserve"> 88 99980-0790                                      </t>
  </si>
  <si>
    <t xml:space="preserve">    236.187.873-91</t>
  </si>
  <si>
    <t xml:space="preserve">MERCADINHO SAO FRANC                    </t>
  </si>
  <si>
    <t xml:space="preserve">FRANCISCO RIOS ROCHA FILHO              </t>
  </si>
  <si>
    <t xml:space="preserve">R SANTO ANTONIO SN                      </t>
  </si>
  <si>
    <t xml:space="preserve">OUTRA BANDA                                                 </t>
  </si>
  <si>
    <t xml:space="preserve"> 88 99691-6087                                      </t>
  </si>
  <si>
    <t xml:space="preserve">    764.754.093-91</t>
  </si>
  <si>
    <t xml:space="preserve">MERCEARIA DO MARCIO                     </t>
  </si>
  <si>
    <t xml:space="preserve">MARCIO JOSE DO NASCIMENTO               </t>
  </si>
  <si>
    <t xml:space="preserve"> 08 89926-8403                                      </t>
  </si>
  <si>
    <t xml:space="preserve">    148.755.808-27</t>
  </si>
  <si>
    <t xml:space="preserve">MERCANTIL JC CURRAL                     </t>
  </si>
  <si>
    <t xml:space="preserve">JOSE CLEUDES DOS SANTOS                 </t>
  </si>
  <si>
    <t xml:space="preserve">RUA CURRAL VELHO 10000                  </t>
  </si>
  <si>
    <t xml:space="preserve"> CURRAL DE CIMA S/N                     </t>
  </si>
  <si>
    <t xml:space="preserve">CURRAL VELHO                                                </t>
  </si>
  <si>
    <t xml:space="preserve"> 88 99967-5430                                      </t>
  </si>
  <si>
    <t xml:space="preserve">    477.043.488-09</t>
  </si>
  <si>
    <t xml:space="preserve">BAR DA MANGUEIRA TU                     </t>
  </si>
  <si>
    <t xml:space="preserve">KAUAN TAYLON DE VASCONCELOS             </t>
  </si>
  <si>
    <t xml:space="preserve">AV TUCUNS 10000                         </t>
  </si>
  <si>
    <t xml:space="preserve"> S N                                    </t>
  </si>
  <si>
    <t xml:space="preserve">TUCUNS                                                      </t>
  </si>
  <si>
    <t xml:space="preserve"> 88 99606-6606                                      </t>
  </si>
  <si>
    <t xml:space="preserve">    025.573.793-95</t>
  </si>
  <si>
    <t xml:space="preserve">MS MERCANTIL PORTEI                     </t>
  </si>
  <si>
    <t xml:space="preserve">SHIRLEY FREITAS LIMA SILVEIRA           </t>
  </si>
  <si>
    <t xml:space="preserve">VIL PORTEIRAS 10000                     </t>
  </si>
  <si>
    <t xml:space="preserve"> 08 89787-3518                                      </t>
  </si>
  <si>
    <t xml:space="preserve">    066.755.093-30</t>
  </si>
  <si>
    <t xml:space="preserve">MERCANTIL PEKETO PI                     </t>
  </si>
  <si>
    <t xml:space="preserve">FERNANDO FARIAS FREITAS                 </t>
  </si>
  <si>
    <t xml:space="preserve">VIL DT PITOMBEIRAS 10000                </t>
  </si>
  <si>
    <t xml:space="preserve">PITOMBEIRAS                                                 </t>
  </si>
  <si>
    <t xml:space="preserve"> 08 89841-3222                                      </t>
  </si>
  <si>
    <t xml:space="preserve">    623.073.963-14</t>
  </si>
  <si>
    <t xml:space="preserve">RICARDO COMERCIO AC                     </t>
  </si>
  <si>
    <t xml:space="preserve">RICARDO SEBASTIAOPASSOS                 </t>
  </si>
  <si>
    <t xml:space="preserve">RUA R CEL SALES 10000                   </t>
  </si>
  <si>
    <t xml:space="preserve">ACUDE NOVO                                                  </t>
  </si>
  <si>
    <t xml:space="preserve"> 88 99861-3937                                      </t>
  </si>
  <si>
    <t xml:space="preserve">    189.963.963-20</t>
  </si>
  <si>
    <t xml:space="preserve">S5 - MERCEARIA DEHON                    </t>
  </si>
  <si>
    <t xml:space="preserve">UMBELINA LAURA FONTENELE                </t>
  </si>
  <si>
    <t xml:space="preserve">R CURRAL VELHO SN                       </t>
  </si>
  <si>
    <t xml:space="preserve"> 88 99857-2162                                      </t>
  </si>
  <si>
    <t xml:space="preserve">    781.986.153-34</t>
  </si>
  <si>
    <t xml:space="preserve">IDEAL LANCHES E ACAI                    </t>
  </si>
  <si>
    <t xml:space="preserve">JOSE ROBERTO SILVA FLOR                 </t>
  </si>
  <si>
    <t xml:space="preserve">DT DT LAGOA DO CARNEIRO SN              </t>
  </si>
  <si>
    <t xml:space="preserve">LAGOA DO CARNEIRO                                           </t>
  </si>
  <si>
    <t xml:space="preserve"> 08 88129-8522                                      </t>
  </si>
  <si>
    <t>08.270.152/0001-16</t>
  </si>
  <si>
    <t xml:space="preserve">MERCEARIA O TADEU A                     </t>
  </si>
  <si>
    <t xml:space="preserve">JOSE TADEU FILHO                        </t>
  </si>
  <si>
    <t xml:space="preserve">R Padre joao Batista Pereira SN         </t>
  </si>
  <si>
    <t xml:space="preserve">MORADA NOVA                                                 </t>
  </si>
  <si>
    <t xml:space="preserve"> 88 99663-7029                                      </t>
  </si>
  <si>
    <t xml:space="preserve">    324.243.533-87</t>
  </si>
  <si>
    <t xml:space="preserve">RANCHO DA ROCA                          </t>
  </si>
  <si>
    <t xml:space="preserve">JOSE ZILMAR ARAUJO                      </t>
  </si>
  <si>
    <t xml:space="preserve">RUA RUA CEARA 936                       </t>
  </si>
  <si>
    <t xml:space="preserve">CORREGO DO REINALDO                                         </t>
  </si>
  <si>
    <t xml:space="preserve"> 08 89986-3593                                      </t>
  </si>
  <si>
    <t xml:space="preserve">    726.350.963-68</t>
  </si>
  <si>
    <t xml:space="preserve">PADARIA SANTO EXPEDI                    </t>
  </si>
  <si>
    <t xml:space="preserve">FRANCISCO DE ASSIS MORAIS               </t>
  </si>
  <si>
    <t xml:space="preserve">RUA JOSE MILTON DE OLIVEIRA 1041        </t>
  </si>
  <si>
    <t xml:space="preserve"> 08 89728-9661                                      </t>
  </si>
  <si>
    <t xml:space="preserve">PADARIA/CONFEITARIA </t>
  </si>
  <si>
    <t xml:space="preserve">    057.224.243-31</t>
  </si>
  <si>
    <t xml:space="preserve">MERC VALDERI LAGOA                      </t>
  </si>
  <si>
    <t xml:space="preserve">FRANCISCO ALEX SENA MEDEIROS            </t>
  </si>
  <si>
    <t xml:space="preserve">LGA LAGOA DO CARNEIRO SN                </t>
  </si>
  <si>
    <t xml:space="preserve"> No Valdeci                             </t>
  </si>
  <si>
    <t xml:space="preserve"> 08 89936-1480                                      </t>
  </si>
  <si>
    <t xml:space="preserve">    051.600.123-03</t>
  </si>
  <si>
    <t xml:space="preserve">MERC EUGENIO CAUASS                     </t>
  </si>
  <si>
    <t xml:space="preserve">MILQUESEDESK SILVA DOS SANTOS           </t>
  </si>
  <si>
    <t xml:space="preserve">RUA CAUASSU 10000                       </t>
  </si>
  <si>
    <t xml:space="preserve">CAUASSU                                                     </t>
  </si>
  <si>
    <t xml:space="preserve"> 88 99713-7889                                      </t>
  </si>
  <si>
    <t xml:space="preserve">    465.853.543-20</t>
  </si>
  <si>
    <t xml:space="preserve">GL VARIEDADES LAGOA                     </t>
  </si>
  <si>
    <t xml:space="preserve">RAIMUNDO LUIS DE SOUSA                  </t>
  </si>
  <si>
    <t xml:space="preserve">RUA DT LAGOA DO CARNEIRO 1440           </t>
  </si>
  <si>
    <t xml:space="preserve"> 88 98161-6515                                      </t>
  </si>
  <si>
    <t xml:space="preserve">    070.440.227-07</t>
  </si>
  <si>
    <t xml:space="preserve">BAR E MERCEARIA RECA                    </t>
  </si>
  <si>
    <t xml:space="preserve">RAIMUNDO ADRIANO DE ANDRADE             </t>
  </si>
  <si>
    <t xml:space="preserve">RUA CELSOLANDIA 10000                   </t>
  </si>
  <si>
    <t xml:space="preserve"> EM FRENTE AO COLEGIO CAROLINO          </t>
  </si>
  <si>
    <t xml:space="preserve">CELSOLANDIA                                                 </t>
  </si>
  <si>
    <t xml:space="preserve"> 88 99988-5610                                      </t>
  </si>
  <si>
    <t xml:space="preserve">    007.488.193-04</t>
  </si>
  <si>
    <t xml:space="preserve">LUAN BEBIDAS ACARAU                     </t>
  </si>
  <si>
    <t xml:space="preserve">VIVIANE MOURA GOMES                     </t>
  </si>
  <si>
    <t xml:space="preserve">RUA RUA CAPITAO ANTONIO RAIMUNDO 356    </t>
  </si>
  <si>
    <t xml:space="preserve"> 88 99729-6341                                      </t>
  </si>
  <si>
    <t xml:space="preserve">    324.248.413-49</t>
  </si>
  <si>
    <t xml:space="preserve">MERC CHEGA MAIS LAG                     </t>
  </si>
  <si>
    <t xml:space="preserve">MANOEL GILBERTO SILVEIRA                </t>
  </si>
  <si>
    <t xml:space="preserve">RUA LAGOA DO CARNEIRO 10000             </t>
  </si>
  <si>
    <t xml:space="preserve"> 08 88137-2491                                      </t>
  </si>
  <si>
    <t xml:space="preserve">    675.013.623-00</t>
  </si>
  <si>
    <t xml:space="preserve">MERC AROLDO LAGOA D                     </t>
  </si>
  <si>
    <t xml:space="preserve">FRANCISCO AROLDO ARAUJO                 </t>
  </si>
  <si>
    <t xml:space="preserve"> 08 88122-9492                                      </t>
  </si>
  <si>
    <t xml:space="preserve">    055.159.298-29</t>
  </si>
  <si>
    <t xml:space="preserve">MERC SAO PEDRO LAGO                     </t>
  </si>
  <si>
    <t xml:space="preserve">JOSE ARMANDO DE ARAUJO                  </t>
  </si>
  <si>
    <t xml:space="preserve">RUA DT LAGOA DO CARNEIRO 10000          </t>
  </si>
  <si>
    <t xml:space="preserve"> 08 88195-7946                                      </t>
  </si>
  <si>
    <t xml:space="preserve">    707.647.353-49</t>
  </si>
  <si>
    <t xml:space="preserve">BAR O ROBERTO MACAJ                     </t>
  </si>
  <si>
    <t xml:space="preserve">CARLOS ALBERTO DOS SANTOS               </t>
  </si>
  <si>
    <t xml:space="preserve">VIL MACAJUBA 51                         </t>
  </si>
  <si>
    <t xml:space="preserve">MACAJUBA                                                    </t>
  </si>
  <si>
    <t xml:space="preserve"> 08 89952-1834                                      </t>
  </si>
  <si>
    <t>22.623.737/0001-01</t>
  </si>
  <si>
    <t xml:space="preserve">MERC MARCELO LAGOA                      </t>
  </si>
  <si>
    <t xml:space="preserve">JOSE MARCELO LOPES ME                   </t>
  </si>
  <si>
    <t xml:space="preserve">RUA DT LAGOA DO CANEMA 10000            </t>
  </si>
  <si>
    <t xml:space="preserve"> 08 89765-1619                                      </t>
  </si>
  <si>
    <t xml:space="preserve">    804.950.953-20</t>
  </si>
  <si>
    <t xml:space="preserve">VALTIM PITOMBEIRAS                      </t>
  </si>
  <si>
    <t xml:space="preserve">MARIA BERNADETE DE VASCONCELOS          </t>
  </si>
  <si>
    <t xml:space="preserve"> 08 89700-6516                                      </t>
  </si>
  <si>
    <t xml:space="preserve">    010.945.843-55</t>
  </si>
  <si>
    <t xml:space="preserve">MERCANTIL MF                            </t>
  </si>
  <si>
    <t xml:space="preserve">ROSA MARIA DE S. FREITAS                </t>
  </si>
  <si>
    <t xml:space="preserve">R AV. TENENTE ALBANO 1450               </t>
  </si>
  <si>
    <t xml:space="preserve"> 88 89606-9537                                      </t>
  </si>
  <si>
    <t xml:space="preserve">    064.843.253-08</t>
  </si>
  <si>
    <t xml:space="preserve">MERC SALES LAGOA GR                     </t>
  </si>
  <si>
    <t xml:space="preserve">FRANCISCO DAS CHAGAS PEREIRA JUNIOR     </t>
  </si>
  <si>
    <t xml:space="preserve">VIL DT LAGOA GRANDE 10000               </t>
  </si>
  <si>
    <t xml:space="preserve"> Pista na esquina depois do WES         </t>
  </si>
  <si>
    <t xml:space="preserve">LAGOA GRANDE                                                </t>
  </si>
  <si>
    <t xml:space="preserve"> 08 89977-4778                                      </t>
  </si>
  <si>
    <t xml:space="preserve">    834.727.623-49</t>
  </si>
  <si>
    <t xml:space="preserve">MERCADINHO CHICHICO                     </t>
  </si>
  <si>
    <t xml:space="preserve">FRANCISCO PEDRO DE SOUZA NETO           </t>
  </si>
  <si>
    <t xml:space="preserve">RUA Vila Moura 12                       </t>
  </si>
  <si>
    <t xml:space="preserve"> Pista                                  </t>
  </si>
  <si>
    <t xml:space="preserve">VILA MOURA                                                  </t>
  </si>
  <si>
    <t xml:space="preserve"> 88 99711-6924                                      </t>
  </si>
  <si>
    <t>13.595.724/0001-77</t>
  </si>
  <si>
    <t xml:space="preserve">BAR O VALDECI MORAD                     </t>
  </si>
  <si>
    <t xml:space="preserve">JOSE VALDECI DO NASCIMENTO              </t>
  </si>
  <si>
    <t xml:space="preserve">R PADRE LUIZ MARTINS SN                 </t>
  </si>
  <si>
    <t xml:space="preserve"> 08 89937-5803                                      </t>
  </si>
  <si>
    <t xml:space="preserve">    684.248.683-15</t>
  </si>
  <si>
    <t xml:space="preserve">COMERCIO PAULO DA CA                    </t>
  </si>
  <si>
    <t xml:space="preserve">FRANCISCO PAULO ORLANDO DE ARAUJO       </t>
  </si>
  <si>
    <t xml:space="preserve">VL VILA MOURA SN                        </t>
  </si>
  <si>
    <t xml:space="preserve"> NA CAIXA D AGUA A ESQUERDA             </t>
  </si>
  <si>
    <t xml:space="preserve"> 88 99941-9904                                      </t>
  </si>
  <si>
    <t xml:space="preserve">    868.436.213-68</t>
  </si>
  <si>
    <t xml:space="preserve">MERC ROBERIO CORREG                     </t>
  </si>
  <si>
    <t xml:space="preserve">ANTONIO ARAUJO DOS SANTOS               </t>
  </si>
  <si>
    <t xml:space="preserve">RUA CE 085 - CORREGUINHO DO MUNIZ 2451  </t>
  </si>
  <si>
    <t xml:space="preserve">CORREGUINHO DO MUNIZ                                        </t>
  </si>
  <si>
    <t xml:space="preserve"> 88 99796-2232                                      </t>
  </si>
  <si>
    <t xml:space="preserve">    026.864.263-06</t>
  </si>
  <si>
    <t xml:space="preserve">COMERCIO FREITAS AC                     </t>
  </si>
  <si>
    <t xml:space="preserve">MARIA ELIONE FERREIRA ARAUJO            </t>
  </si>
  <si>
    <t xml:space="preserve">RUA CORONEL SALES 1072                  </t>
  </si>
  <si>
    <t xml:space="preserve"> 08 89805-2379                                      </t>
  </si>
  <si>
    <t>04.520.082/0001-56</t>
  </si>
  <si>
    <t xml:space="preserve">MERCADINHO MENOR PRE                    </t>
  </si>
  <si>
    <t xml:space="preserve">JOSE M ARAUJO MERCADINHO                </t>
  </si>
  <si>
    <t xml:space="preserve">RUA SAO PAULO 10000                     </t>
  </si>
  <si>
    <t xml:space="preserve">PEDRINHAS                                                   </t>
  </si>
  <si>
    <t xml:space="preserve"> 88 99607-2496                                      </t>
  </si>
  <si>
    <t xml:space="preserve">    067.102.413-27</t>
  </si>
  <si>
    <t xml:space="preserve">BAR PAIXAO VELHA TI                     </t>
  </si>
  <si>
    <t xml:space="preserve">JOSE RAIMUNDO SILVEIRA                  </t>
  </si>
  <si>
    <t xml:space="preserve">RUA SITIO TIMBIRA 10000                 </t>
  </si>
  <si>
    <t xml:space="preserve">TIMBIRA                                                     </t>
  </si>
  <si>
    <t xml:space="preserve"> 08 89936-0890                                      </t>
  </si>
  <si>
    <t xml:space="preserve">    964.377.313-20</t>
  </si>
  <si>
    <t xml:space="preserve">BAR DO L ESPRAIADO                      </t>
  </si>
  <si>
    <t xml:space="preserve">LEISON HELIO LOPES                      </t>
  </si>
  <si>
    <t xml:space="preserve">RUA DT ESPRAIADO 10000                  </t>
  </si>
  <si>
    <t xml:space="preserve">ESPRAIADO                                                   </t>
  </si>
  <si>
    <t xml:space="preserve"> 08 88159-9331                                      </t>
  </si>
  <si>
    <t xml:space="preserve">    049.243.083-74</t>
  </si>
  <si>
    <t xml:space="preserve">DEP DO MAILSON ESPR                     </t>
  </si>
  <si>
    <t xml:space="preserve">FRANCISCO MAILSON DE VASCONCELOS        </t>
  </si>
  <si>
    <t xml:space="preserve">R ESPRAIADO SN                          </t>
  </si>
  <si>
    <t xml:space="preserve"> 88 99733-1347                                      </t>
  </si>
  <si>
    <t xml:space="preserve">    265.122.113-91</t>
  </si>
  <si>
    <t xml:space="preserve">ANABELLY CAFE RESTO                     </t>
  </si>
  <si>
    <t xml:space="preserve">FRANCISCO DE ASSIS SOUSA                </t>
  </si>
  <si>
    <t xml:space="preserve">R CEL TEXEIRA PINTO 23                  </t>
  </si>
  <si>
    <t xml:space="preserve"> 88 99805-7592                                      </t>
  </si>
  <si>
    <t xml:space="preserve">    794.395.783-00</t>
  </si>
  <si>
    <t xml:space="preserve">MERCADINHO JOAO VIL                     </t>
  </si>
  <si>
    <t xml:space="preserve">JOAO AUGUSTO DE VASCONCELOS SOBRINHO    </t>
  </si>
  <si>
    <t xml:space="preserve"> 08 89938-2407                                      </t>
  </si>
  <si>
    <t xml:space="preserve">    943.911.223-91</t>
  </si>
  <si>
    <t xml:space="preserve">PESQUE E PAGUE SAO J                    </t>
  </si>
  <si>
    <t xml:space="preserve">EDILSON MUNIZ DE MORAES                 </t>
  </si>
  <si>
    <t xml:space="preserve">R VL GENIPAPEIRO 10000                  </t>
  </si>
  <si>
    <t xml:space="preserve"> 88 89867-9697                                      </t>
  </si>
  <si>
    <t>18.607.047/0001-83</t>
  </si>
  <si>
    <t xml:space="preserve">MERCEARIA NEWTON AC                     </t>
  </si>
  <si>
    <t xml:space="preserve">ADON SENA CRUZ                          </t>
  </si>
  <si>
    <t xml:space="preserve">RUA JOSE MARIA SALES 625                </t>
  </si>
  <si>
    <t xml:space="preserve"> 08 89613-8794                                      </t>
  </si>
  <si>
    <t>04.707.868/0001-87</t>
  </si>
  <si>
    <t xml:space="preserve">MERCANTIL CENTRAL C                     </t>
  </si>
  <si>
    <t xml:space="preserve">MARIA CLEIA COSTA ME                    </t>
  </si>
  <si>
    <t xml:space="preserve">R CEL TEIXEIRA PINTO SN                 </t>
  </si>
  <si>
    <t xml:space="preserve"> 08 89964-3597                                      </t>
  </si>
  <si>
    <t>09.180.368/0001-53</t>
  </si>
  <si>
    <t xml:space="preserve">CHURRASCARIA A TOCA                     </t>
  </si>
  <si>
    <t xml:space="preserve">A DAMASCENO SILVEIRA MERCEARIA ME       </t>
  </si>
  <si>
    <t xml:space="preserve">RUA VL GENIPAPEIRO 10000                </t>
  </si>
  <si>
    <t xml:space="preserve"> 08 89279-6248                                      </t>
  </si>
  <si>
    <t xml:space="preserve">    003.314.443-56</t>
  </si>
  <si>
    <t xml:space="preserve">DEP CAUBI CORREGUIN                     </t>
  </si>
  <si>
    <t xml:space="preserve">CAUBI OTACIANO DE MENESES               </t>
  </si>
  <si>
    <t xml:space="preserve">RUA CEL TEIXEIRA PINTO 10000            </t>
  </si>
  <si>
    <t xml:space="preserve"> 08 89839-6045                                      </t>
  </si>
  <si>
    <t xml:space="preserve">    070.709.993-56</t>
  </si>
  <si>
    <t xml:space="preserve">MERCADINHO DO TANTIC                    </t>
  </si>
  <si>
    <t xml:space="preserve">MARIA KELVIA DO NASCIMENTO FERREIRA     </t>
  </si>
  <si>
    <t xml:space="preserve">R ZONA RURAL 5                          </t>
  </si>
  <si>
    <t xml:space="preserve"> VIZINHO A BADALTOS                     </t>
  </si>
  <si>
    <t xml:space="preserve">AROEIRA                                                     </t>
  </si>
  <si>
    <t xml:space="preserve"> 88 99683-6266                                      </t>
  </si>
  <si>
    <t xml:space="preserve">    066.826.903-04</t>
  </si>
  <si>
    <t xml:space="preserve">MERCADINHO ALBENIR                      </t>
  </si>
  <si>
    <t xml:space="preserve">FABRICIO LOPES MARTINS DA SILVA         </t>
  </si>
  <si>
    <t xml:space="preserve">R MANOEL SALES SN                       </t>
  </si>
  <si>
    <t xml:space="preserve"> 88 99604-4685                                      </t>
  </si>
  <si>
    <t xml:space="preserve">    953.158.883-04</t>
  </si>
  <si>
    <t xml:space="preserve">BARRACA SOMBRA E AGU                    </t>
  </si>
  <si>
    <t xml:space="preserve">FRANCISCO ELISARDO DA SILVA             </t>
  </si>
  <si>
    <t xml:space="preserve">R PRAIA DA VOLTA DO RIO SN              </t>
  </si>
  <si>
    <t xml:space="preserve"> PROXIMO A TORRE                        </t>
  </si>
  <si>
    <t xml:space="preserve">VOLTA DO RIO                                                </t>
  </si>
  <si>
    <t xml:space="preserve"> 88 99733-6988                                      </t>
  </si>
  <si>
    <t xml:space="preserve">    072.482.533-91</t>
  </si>
  <si>
    <t xml:space="preserve">BAR DO CARLOS E MAZE                    </t>
  </si>
  <si>
    <t xml:space="preserve">CARLOS JOSE DE VASCONCELOS              </t>
  </si>
  <si>
    <t xml:space="preserve">VIL CORREGO DAS VARAS 10000             </t>
  </si>
  <si>
    <t xml:space="preserve"> 08 99999-9999                                      </t>
  </si>
  <si>
    <t>30.018.798/0002-40</t>
  </si>
  <si>
    <t xml:space="preserve">STAR CONVENIENCIA A                     </t>
  </si>
  <si>
    <t xml:space="preserve">FREITAS COMERCIAL DE ALIMENTOS LTDA     </t>
  </si>
  <si>
    <t xml:space="preserve">AV PADRE ANTONIO TOMAZ 2300             </t>
  </si>
  <si>
    <t xml:space="preserve"> 88 99807-7269                                      </t>
  </si>
  <si>
    <t xml:space="preserve">    615.733.663-31</t>
  </si>
  <si>
    <t xml:space="preserve">MERCEARIA O GASPAR                      </t>
  </si>
  <si>
    <t xml:space="preserve">JORGE LUIZ VASCONCELOS                  </t>
  </si>
  <si>
    <t xml:space="preserve">RUA RUA VEREADOR RAIMUNDO COSTA 115     </t>
  </si>
  <si>
    <t xml:space="preserve"> 88 99130-7470                                      </t>
  </si>
  <si>
    <t xml:space="preserve">    018.597.473-29</t>
  </si>
  <si>
    <t xml:space="preserve">MERC BAR DO ADAO AR                     </t>
  </si>
  <si>
    <t xml:space="preserve">FRANCISCO FABIO DOS SANTOS              </t>
  </si>
  <si>
    <t xml:space="preserve">R AROEIRAS 10000                        </t>
  </si>
  <si>
    <t xml:space="preserve"> FABIM                                  </t>
  </si>
  <si>
    <t xml:space="preserve"> 88 99983-7463                                      </t>
  </si>
  <si>
    <t xml:space="preserve">    826.011.353-87</t>
  </si>
  <si>
    <t xml:space="preserve">MERC. BOM PRECO                         </t>
  </si>
  <si>
    <t xml:space="preserve">FRANCISCO CESAR ARAUJO                  </t>
  </si>
  <si>
    <t xml:space="preserve">R PE ODECIO SN                          </t>
  </si>
  <si>
    <t xml:space="preserve"> 88 99668-7066                                      </t>
  </si>
  <si>
    <t xml:space="preserve">    877.417.503-30</t>
  </si>
  <si>
    <t xml:space="preserve">MERC OSMAR JURITIAN                     </t>
  </si>
  <si>
    <t xml:space="preserve">MANASSES JOSE DE VASCONCELOS            </t>
  </si>
  <si>
    <t xml:space="preserve">DT DT JURITIANHA SN                     </t>
  </si>
  <si>
    <t xml:space="preserve">JURITIANHA                                                  </t>
  </si>
  <si>
    <t xml:space="preserve"> 08 88841-3068                                      </t>
  </si>
  <si>
    <t xml:space="preserve">    015.110.543-01</t>
  </si>
  <si>
    <t xml:space="preserve">MERC IVAN ILHA DOS                      </t>
  </si>
  <si>
    <t xml:space="preserve">JOSE IVAN DA SILVA                      </t>
  </si>
  <si>
    <t xml:space="preserve">IA ILHA DOS COQUEIROS SN                </t>
  </si>
  <si>
    <t xml:space="preserve">ILHA DOS COQUEIROS                                          </t>
  </si>
  <si>
    <t xml:space="preserve"> 88 99780-7297                                      </t>
  </si>
  <si>
    <t xml:space="preserve">    638.581.343-68</t>
  </si>
  <si>
    <t xml:space="preserve">BAR DA JACINTA CORR                     </t>
  </si>
  <si>
    <t xml:space="preserve">JACINTA GUILHERME DE SOUSA SANTOS       </t>
  </si>
  <si>
    <t xml:space="preserve">RUA CORREGO DE ANA VERISSIMO 10000      </t>
  </si>
  <si>
    <t xml:space="preserve"> 88 99998-1695                                      </t>
  </si>
  <si>
    <t xml:space="preserve">    811.759.303-34</t>
  </si>
  <si>
    <t xml:space="preserve">MERC MAURICIO VOLTA                     </t>
  </si>
  <si>
    <t xml:space="preserve">JOSE MAURICIO DOS SANTOS                </t>
  </si>
  <si>
    <t xml:space="preserve">RUA DT VOLTA DO RIO 10000               </t>
  </si>
  <si>
    <t xml:space="preserve"> 88 99610-1351                                      </t>
  </si>
  <si>
    <t xml:space="preserve">    014.824.393-28</t>
  </si>
  <si>
    <t xml:space="preserve">MERC MINEIDE VOLTA                      </t>
  </si>
  <si>
    <t xml:space="preserve">MARIA CLEANE GOMES                      </t>
  </si>
  <si>
    <t xml:space="preserve"> 88 99723-4555                                      </t>
  </si>
  <si>
    <t xml:space="preserve">    050.883.123-77</t>
  </si>
  <si>
    <t xml:space="preserve">MERCADINHO BRANDAO                      </t>
  </si>
  <si>
    <t xml:space="preserve">DANILO NASCIMENTO BRANDAO               </t>
  </si>
  <si>
    <t xml:space="preserve">VIL PRATA PRACA 10000                   </t>
  </si>
  <si>
    <t xml:space="preserve">PRATA                                                       </t>
  </si>
  <si>
    <t xml:space="preserve"> 08 88135-0503                                      </t>
  </si>
  <si>
    <t xml:space="preserve">    913.678.593-87</t>
  </si>
  <si>
    <t xml:space="preserve">MERCADINHO O LOURO                      </t>
  </si>
  <si>
    <t xml:space="preserve">MAGNA XAVIER ALVES                      </t>
  </si>
  <si>
    <t xml:space="preserve">R AV JOSE MONTEIRO DE MELO 10000        </t>
  </si>
  <si>
    <t xml:space="preserve"> RUA DO DETRAN                          </t>
  </si>
  <si>
    <t xml:space="preserve">RODAGEM                                                     </t>
  </si>
  <si>
    <t xml:space="preserve"> 88 99746-8862                                      </t>
  </si>
  <si>
    <t xml:space="preserve">    194.599.258-12</t>
  </si>
  <si>
    <t xml:space="preserve">JHONNES BURGUER CRU                     </t>
  </si>
  <si>
    <t xml:space="preserve">JOAO ESTEVAM DE VASCONCELOS             </t>
  </si>
  <si>
    <t xml:space="preserve">R RUA CELSO ARAUJO SN                   </t>
  </si>
  <si>
    <t xml:space="preserve"> PROX O ESPETOS BAR                     </t>
  </si>
  <si>
    <t xml:space="preserve"> 88 99698-2179                                      </t>
  </si>
  <si>
    <t>17.543.645/0001-73</t>
  </si>
  <si>
    <t xml:space="preserve">CENTER CARNES CRUZ                      </t>
  </si>
  <si>
    <t xml:space="preserve">JULIENE PESSOA VASCONCELOS ME           </t>
  </si>
  <si>
    <t xml:space="preserve">R VEREADOR MUNDICO MARTINS 685          </t>
  </si>
  <si>
    <t xml:space="preserve"> 88 99669-7156                                      </t>
  </si>
  <si>
    <t xml:space="preserve">    011.824.323-36</t>
  </si>
  <si>
    <t xml:space="preserve">MERC CRISTIANO JURI                     </t>
  </si>
  <si>
    <t xml:space="preserve">FRANCISCO CRISTIANO DA COSTA            </t>
  </si>
  <si>
    <t xml:space="preserve">VIL DT JURITIANHA 10000                 </t>
  </si>
  <si>
    <t xml:space="preserve"> 08 88136-2822                                      </t>
  </si>
  <si>
    <t xml:space="preserve">    061.369.883-56</t>
  </si>
  <si>
    <t xml:space="preserve">MERC GERARDO ESPRAI                     </t>
  </si>
  <si>
    <t xml:space="preserve">JOSE GERARDO DE M FILHO                 </t>
  </si>
  <si>
    <t xml:space="preserve">DT DT ESPRAIADO SN                      </t>
  </si>
  <si>
    <t xml:space="preserve"> 88 98155-7789                                      </t>
  </si>
  <si>
    <t xml:space="preserve">    064.833.173-36</t>
  </si>
  <si>
    <t xml:space="preserve">MERC KIBARATO CAITI                     </t>
  </si>
  <si>
    <t xml:space="preserve">JOSE LEANDRO DE SOUSA                   </t>
  </si>
  <si>
    <t xml:space="preserve">VIL CAITITU 10000                       </t>
  </si>
  <si>
    <t xml:space="preserve">CAITITU                                                     </t>
  </si>
  <si>
    <t xml:space="preserve"> 08 89951-7347                                      </t>
  </si>
  <si>
    <t xml:space="preserve">    047.832.743-98</t>
  </si>
  <si>
    <t xml:space="preserve">DK BEBIDAS E CEREAIS                    </t>
  </si>
  <si>
    <t xml:space="preserve">MANOEL GENISIO ROCHA DE OLIVEIRA        </t>
  </si>
  <si>
    <t xml:space="preserve">R RUA EXPEDITO FARIAS SN                </t>
  </si>
  <si>
    <t xml:space="preserve"> AO LADO DO AMILCO                      </t>
  </si>
  <si>
    <t xml:space="preserve"> 08 89945-9911                                      </t>
  </si>
  <si>
    <t xml:space="preserve">    264.549.553-20</t>
  </si>
  <si>
    <t xml:space="preserve">SKINA BAR                               </t>
  </si>
  <si>
    <t xml:space="preserve">PEDRO DAMIAO FILHO                      </t>
  </si>
  <si>
    <t xml:space="preserve">R PEDRO ROMAO DE CARVALHO 156           </t>
  </si>
  <si>
    <t xml:space="preserve">CORREGO GRANDE                                              </t>
  </si>
  <si>
    <t xml:space="preserve"> 88 89853-7497                                      </t>
  </si>
  <si>
    <t>58.827.966/0001-87</t>
  </si>
  <si>
    <t xml:space="preserve">BALNEARIO RECANTO DA                    </t>
  </si>
  <si>
    <t xml:space="preserve">J.G. DE AGUIAR                          </t>
  </si>
  <si>
    <t xml:space="preserve">R MIRINDIBA 10000                       </t>
  </si>
  <si>
    <t xml:space="preserve">MIRINDIBA                                                   </t>
  </si>
  <si>
    <t xml:space="preserve"> 88 99955-9656                                      </t>
  </si>
  <si>
    <t xml:space="preserve">    264.293.858-17</t>
  </si>
  <si>
    <t xml:space="preserve">DIK MERCANTIL                           </t>
  </si>
  <si>
    <t xml:space="preserve">JOSE VANDERLEI VASCONCELOS              </t>
  </si>
  <si>
    <t xml:space="preserve">RUA R DA PRACA MERCADO 1                </t>
  </si>
  <si>
    <t xml:space="preserve">BARRINHA DE CIMA                                            </t>
  </si>
  <si>
    <t xml:space="preserve"> 08 89989-7979                                      </t>
  </si>
  <si>
    <t xml:space="preserve">    733.596.103-34</t>
  </si>
  <si>
    <t xml:space="preserve">SUBINDO AO CEU BEL                      </t>
  </si>
  <si>
    <t xml:space="preserve">EDVAR BRANDAO DA SILVA                  </t>
  </si>
  <si>
    <t xml:space="preserve">R MIGUEL LOPES SN                       </t>
  </si>
  <si>
    <t xml:space="preserve">CHAPADINHA                                                  </t>
  </si>
  <si>
    <t xml:space="preserve"> 88 99918-6822                                      </t>
  </si>
  <si>
    <t xml:space="preserve">    006.685.353-26</t>
  </si>
  <si>
    <t xml:space="preserve">COMERCIO DO RONIELLE                    </t>
  </si>
  <si>
    <t xml:space="preserve">FRANCISCO RONIELLE ARAUJO               </t>
  </si>
  <si>
    <t xml:space="preserve">VIL DT POCOS 10000                      </t>
  </si>
  <si>
    <t xml:space="preserve">POCOS                                                       </t>
  </si>
  <si>
    <t xml:space="preserve"> 08 89680-0486                                      </t>
  </si>
  <si>
    <t>30.891.331/0001-20</t>
  </si>
  <si>
    <t xml:space="preserve">LANCHONETE RAINHA DO                    </t>
  </si>
  <si>
    <t xml:space="preserve">BAR E LANCHONETE RAINHA DO VALE LTDA    </t>
  </si>
  <si>
    <t xml:space="preserve">RUA JOSE JULIO LOUZADA 471              </t>
  </si>
  <si>
    <t xml:space="preserve"> 88 99942-7984                                      </t>
  </si>
  <si>
    <t xml:space="preserve">    432.932.978-62</t>
  </si>
  <si>
    <t xml:space="preserve">FRANCISCO LEIVANES FARIAS CRUZ          </t>
  </si>
  <si>
    <t xml:space="preserve">RUA VEREADOR MUNDICO MARTINS 7          </t>
  </si>
  <si>
    <t xml:space="preserve">CANEMA                                                      </t>
  </si>
  <si>
    <t xml:space="preserve"> 88 99993-9984                                      </t>
  </si>
  <si>
    <t xml:space="preserve">    287.906.388-40</t>
  </si>
  <si>
    <t xml:space="preserve">MERC DO PAULO GUARD                     </t>
  </si>
  <si>
    <t xml:space="preserve">PAULO CESAR DE ARAUJO                   </t>
  </si>
  <si>
    <t xml:space="preserve">VIL DT SITIO DO GUARDA 10000            </t>
  </si>
  <si>
    <t xml:space="preserve">GUARDA                                                      </t>
  </si>
  <si>
    <t xml:space="preserve"> 88 99679-3737                                      </t>
  </si>
  <si>
    <t xml:space="preserve">    002.650.933-41</t>
  </si>
  <si>
    <t xml:space="preserve">BAR DA BRAHMA POCO                      </t>
  </si>
  <si>
    <t xml:space="preserve">ADENISSON ANCELMO DA SILVEIRA           </t>
  </si>
  <si>
    <t xml:space="preserve">RUA POCO DOCE 10000                     </t>
  </si>
  <si>
    <t xml:space="preserve"> SEM NUM                                </t>
  </si>
  <si>
    <t xml:space="preserve">POCO DOCE                                                   </t>
  </si>
  <si>
    <t xml:space="preserve"> 08 89801-0415                                      </t>
  </si>
  <si>
    <t xml:space="preserve">    765.799.803-20</t>
  </si>
  <si>
    <t xml:space="preserve">MERC CRAVO ILHA DOS                     </t>
  </si>
  <si>
    <t xml:space="preserve">MARIA DE JESUS SILVEIRA                 </t>
  </si>
  <si>
    <t xml:space="preserve">RUA ILHA DOS COQUEIROS 10000            </t>
  </si>
  <si>
    <t xml:space="preserve"> RUA DO PORTO                           </t>
  </si>
  <si>
    <t xml:space="preserve"> 08 89655-7428                                      </t>
  </si>
  <si>
    <t xml:space="preserve">    078.499.363-70</t>
  </si>
  <si>
    <t xml:space="preserve">MERC 3 IRMAOS ILHA                      </t>
  </si>
  <si>
    <t xml:space="preserve">ANDRESA DE SOUSA RODRIGUES              </t>
  </si>
  <si>
    <t xml:space="preserve">ILH ILHA DOS COQUEIROS 10000            </t>
  </si>
  <si>
    <t xml:space="preserve"> EM FRENTE O BAR DO SEU FROTA           </t>
  </si>
  <si>
    <t xml:space="preserve"> 88 99609-6377                                      </t>
  </si>
  <si>
    <t xml:space="preserve">    045.862.473-04</t>
  </si>
  <si>
    <t xml:space="preserve">COMERCIO DO JOAOZINH                    </t>
  </si>
  <si>
    <t xml:space="preserve">JOAO PEDRO ALVES NETO                   </t>
  </si>
  <si>
    <t xml:space="preserve">RUA MACAJUBA 10000                      </t>
  </si>
  <si>
    <t xml:space="preserve"> 08 83661-9198                                      </t>
  </si>
  <si>
    <t xml:space="preserve">    186.294.728-71</t>
  </si>
  <si>
    <t xml:space="preserve">MERCEARIA JR LAGOA                      </t>
  </si>
  <si>
    <t xml:space="preserve">JOSE ROBERTO DE SOUSA                   </t>
  </si>
  <si>
    <t xml:space="preserve">VIL LAGOA SALGADA 10000                 </t>
  </si>
  <si>
    <t xml:space="preserve">LAGOA SALGADA                                               </t>
  </si>
  <si>
    <t xml:space="preserve"> 88 99634-1766                                      </t>
  </si>
  <si>
    <t xml:space="preserve">    874.018.003-49</t>
  </si>
  <si>
    <t xml:space="preserve">MERC PEDRO DA SALETE                    </t>
  </si>
  <si>
    <t xml:space="preserve">LEILA SOLANGE DE SOUSA COSTA            </t>
  </si>
  <si>
    <t xml:space="preserve">RUA PV GENIPAPEIRO 10000                </t>
  </si>
  <si>
    <t xml:space="preserve"> PEDRO DA SALETE                        </t>
  </si>
  <si>
    <t xml:space="preserve"> 08 89918-5036                                      </t>
  </si>
  <si>
    <t xml:space="preserve">    603.432.623-04</t>
  </si>
  <si>
    <t xml:space="preserve">MERCEARIA MARCIO FIL                    </t>
  </si>
  <si>
    <t xml:space="preserve">FRANCISCO MARCIO DA SILVEIRA FILHO      </t>
  </si>
  <si>
    <t xml:space="preserve">RUA AV DOM VALFRIDO 323                 </t>
  </si>
  <si>
    <t xml:space="preserve"> PX A PADARIA SANTA TEREZINHA           </t>
  </si>
  <si>
    <t xml:space="preserve"> 08 89711-3000                                      </t>
  </si>
  <si>
    <t>15.189.396/0001-34</t>
  </si>
  <si>
    <t xml:space="preserve">JR PAPELARIA E MERCA                    </t>
  </si>
  <si>
    <t xml:space="preserve">OSMAURY REGIS VASCONCELOS               </t>
  </si>
  <si>
    <t xml:space="preserve">RUA 7 DE SETEMBRO 419                   </t>
  </si>
  <si>
    <t xml:space="preserve"> PX AO ARCO                             </t>
  </si>
  <si>
    <t xml:space="preserve"> 08 89664-0482                                      </t>
  </si>
  <si>
    <t xml:space="preserve">    018.391.483-06</t>
  </si>
  <si>
    <t xml:space="preserve">MERC VASCONCELOS CA                     </t>
  </si>
  <si>
    <t xml:space="preserve">MIRLENE MEIRE LOPES                     </t>
  </si>
  <si>
    <t xml:space="preserve">RUA VILA CAJUEIRINHO 10000              </t>
  </si>
  <si>
    <t xml:space="preserve"> EM FRENTE A IGREJA DO CAJUEIRI         </t>
  </si>
  <si>
    <t xml:space="preserve">CAJUEIRINHO                                                 </t>
  </si>
  <si>
    <t xml:space="preserve"> 08 83661-0000                                      </t>
  </si>
  <si>
    <t xml:space="preserve">    024.422.183-99</t>
  </si>
  <si>
    <t xml:space="preserve">HORTIFRIOS CRUZ                         </t>
  </si>
  <si>
    <t xml:space="preserve">VALTER LEIVANIO SILVEIRA MUNIZ          </t>
  </si>
  <si>
    <t xml:space="preserve">R RUA MIGUEL ALBANO 26                  </t>
  </si>
  <si>
    <t xml:space="preserve"> 88 99992-8362                                      </t>
  </si>
  <si>
    <t xml:space="preserve">    072.776.043-26</t>
  </si>
  <si>
    <t xml:space="preserve">PITOMBEIRAS BAR                         </t>
  </si>
  <si>
    <t xml:space="preserve">DAVID CARDOSO NASCIMENTO                </t>
  </si>
  <si>
    <t xml:space="preserve">VIL PITOMBEIRAS 10000                   </t>
  </si>
  <si>
    <t xml:space="preserve"> 88 99700-6516                                      </t>
  </si>
  <si>
    <t xml:space="preserve">    053.884.913-40</t>
  </si>
  <si>
    <t xml:space="preserve">ESPETINHO DO ANASTAC                    </t>
  </si>
  <si>
    <t xml:space="preserve">ANASTACIO FERREIRA AGUIA                </t>
  </si>
  <si>
    <t xml:space="preserve">RUA AV VOLUNTARIOS DA PATRIA 10000      </t>
  </si>
  <si>
    <t xml:space="preserve"> EM FRENTE A PRACA DA BAILARINA         </t>
  </si>
  <si>
    <t xml:space="preserve">BAILARINA                                                   </t>
  </si>
  <si>
    <t xml:space="preserve"> 08 89800-4517                                      </t>
  </si>
  <si>
    <t xml:space="preserve">    994.557.813-87</t>
  </si>
  <si>
    <t xml:space="preserve">MERC VITORIA POCO D                     </t>
  </si>
  <si>
    <t>FRANCISCA FRANCILENE DUTRA DO NASCIMENTO</t>
  </si>
  <si>
    <t xml:space="preserve">RUA LOCALIDADE DE POCO DOCE II 10000    </t>
  </si>
  <si>
    <t xml:space="preserve"> PX AO BALNEARIO DO DEL                 </t>
  </si>
  <si>
    <t xml:space="preserve"> 08 89949-3529                                      </t>
  </si>
  <si>
    <t xml:space="preserve">    058.574.193-01</t>
  </si>
  <si>
    <t xml:space="preserve">BAR DA SOMBRA CORRE                     </t>
  </si>
  <si>
    <t xml:space="preserve">CICERO JOSE COSTA                       </t>
  </si>
  <si>
    <t xml:space="preserve">R DT CORREGUINHO 10000                  </t>
  </si>
  <si>
    <t xml:space="preserve">CORREGUINHO                                                 </t>
  </si>
  <si>
    <t xml:space="preserve"> 88 89973-4465                                      </t>
  </si>
  <si>
    <t xml:space="preserve">    548.469.193-15</t>
  </si>
  <si>
    <t xml:space="preserve">MERC DA JACINTA ALM                     </t>
  </si>
  <si>
    <t xml:space="preserve">JACINTA GUILHERME DA SILVA              </t>
  </si>
  <si>
    <t xml:space="preserve">RUA ALMECEGAS 10000                     </t>
  </si>
  <si>
    <t xml:space="preserve"> NA RODAGEM PX AL LAVA JATO DO          </t>
  </si>
  <si>
    <t xml:space="preserve"> 08 89723-3421                                      </t>
  </si>
  <si>
    <t xml:space="preserve">    051.182.732-69</t>
  </si>
  <si>
    <t xml:space="preserve">PANIFICADORA MACAJUB                    </t>
  </si>
  <si>
    <t xml:space="preserve">LUIS CLAUDIO SOUZA ROSA JUNIOR          </t>
  </si>
  <si>
    <t xml:space="preserve">AVE MACAJUBA 119                        </t>
  </si>
  <si>
    <t xml:space="preserve"> PX AO PEIXE                            </t>
  </si>
  <si>
    <t xml:space="preserve">    638.654.673-34</t>
  </si>
  <si>
    <t xml:space="preserve">BAR DO AZEVEDO ACAR                     </t>
  </si>
  <si>
    <t xml:space="preserve">JOSE AZEVEDO BARROSA                    </t>
  </si>
  <si>
    <t xml:space="preserve">AVE AV JOSE MARIA SALES 10000           </t>
  </si>
  <si>
    <t xml:space="preserve"> VIZINHO A PIZZADORA                    </t>
  </si>
  <si>
    <t xml:space="preserve"> 08 89617-4471                                      </t>
  </si>
  <si>
    <t xml:space="preserve">    052.682.503-02</t>
  </si>
  <si>
    <t xml:space="preserve">SP CENTRAL DE BEBIDA                    </t>
  </si>
  <si>
    <t xml:space="preserve">PATRICIA FERREIRA DO NASCIMENTO         </t>
  </si>
  <si>
    <t xml:space="preserve">RUA RUA CORONEL SALES 309               </t>
  </si>
  <si>
    <t xml:space="preserve"> 08 89955-6388                                      </t>
  </si>
  <si>
    <t xml:space="preserve">    901.604.283-00</t>
  </si>
  <si>
    <t xml:space="preserve">MERC RICARDO TIMBIR                     </t>
  </si>
  <si>
    <t xml:space="preserve">FRANCISCO RICARDO ARAUJO                </t>
  </si>
  <si>
    <t xml:space="preserve">VIL SITIO TIMBIRA 10000                 </t>
  </si>
  <si>
    <t xml:space="preserve"> 08 89950-3620                                      </t>
  </si>
  <si>
    <t xml:space="preserve">    916.948.923-87</t>
  </si>
  <si>
    <t xml:space="preserve">MERCADINHO DA SILVA                     </t>
  </si>
  <si>
    <t xml:space="preserve">FATIMA HELENA DA SILVA                  </t>
  </si>
  <si>
    <t xml:space="preserve">RUA Rua Rua RUA 14 DE JANEIRO 256       </t>
  </si>
  <si>
    <t xml:space="preserve"> EM FRENTE O DEPOSITO FREITAS C         </t>
  </si>
  <si>
    <t xml:space="preserve"> 08 89636-6741                                      </t>
  </si>
  <si>
    <t xml:space="preserve">    054.131.113-12</t>
  </si>
  <si>
    <t xml:space="preserve">COMERCIAL SOUSA FAMI                    </t>
  </si>
  <si>
    <t xml:space="preserve">FRANCISCO BRUNO DE SOUSA                </t>
  </si>
  <si>
    <t xml:space="preserve">R RUA NOSSA SENHORA DE FATIMA SN        </t>
  </si>
  <si>
    <t xml:space="preserve"> 08 89643-1558                                      </t>
  </si>
  <si>
    <t xml:space="preserve">    059.366.293-84</t>
  </si>
  <si>
    <t xml:space="preserve">DEPOSITO DO KEVEN                       </t>
  </si>
  <si>
    <t xml:space="preserve">JOSE KEVEN CIPRIANO                     </t>
  </si>
  <si>
    <t xml:space="preserve">DT DT CORREGUINHO SN                    </t>
  </si>
  <si>
    <t xml:space="preserve"> 08 89808-6625                                      </t>
  </si>
  <si>
    <t xml:space="preserve">    048.485.973-07</t>
  </si>
  <si>
    <t xml:space="preserve">MERC NACELIO MIRIND                     </t>
  </si>
  <si>
    <t xml:space="preserve">ANACELIO RUFINO ALVES                   </t>
  </si>
  <si>
    <t xml:space="preserve">DT DT MIRINDIBA SN                      </t>
  </si>
  <si>
    <t xml:space="preserve"> 08 58913-4768                                      </t>
  </si>
  <si>
    <t xml:space="preserve">    568.315.443-04</t>
  </si>
  <si>
    <t xml:space="preserve">CANTINA CONTEMPORANI                    </t>
  </si>
  <si>
    <t xml:space="preserve">MANOEL A RIOS FILHOS                    </t>
  </si>
  <si>
    <t xml:space="preserve">R AV 14 DE JANEIRO 107                  </t>
  </si>
  <si>
    <t xml:space="preserve"> PX AO BOMBAR                           </t>
  </si>
  <si>
    <t xml:space="preserve"> 88 89601-4632                                      </t>
  </si>
  <si>
    <t>09.168.852/0001-67</t>
  </si>
  <si>
    <t xml:space="preserve">STOP BAR BELA CRUZ                      </t>
  </si>
  <si>
    <t xml:space="preserve">FRANCISCO JANAIO CORDEIRO               </t>
  </si>
  <si>
    <t xml:space="preserve">Rua PROFESSOR NICACIO 1615              </t>
  </si>
  <si>
    <t xml:space="preserve"> NA RUA DO CASSIANO                     </t>
  </si>
  <si>
    <t xml:space="preserve">    770.372.003-87</t>
  </si>
  <si>
    <t xml:space="preserve">DEP ANTONIO NETO AR                     </t>
  </si>
  <si>
    <t xml:space="preserve">ANTONIO LEANDRO BRAGA ALBES             </t>
  </si>
  <si>
    <t xml:space="preserve">VIL DT AROEIRA 10000                    </t>
  </si>
  <si>
    <t xml:space="preserve">    601.290.023-64</t>
  </si>
  <si>
    <t xml:space="preserve">DEPOSITO DO NENEM C                     </t>
  </si>
  <si>
    <t xml:space="preserve">JOSE ISMARO NASCIMENTO                  </t>
  </si>
  <si>
    <t xml:space="preserve">Rua RUA MUNDOCA MUNIZ 413 2275          </t>
  </si>
  <si>
    <t xml:space="preserve"> VIZINHO A OFICINA DO JACINTO           </t>
  </si>
  <si>
    <t xml:space="preserve">MASSARANDUBA                                                </t>
  </si>
  <si>
    <t xml:space="preserve"> 08 89619-3851                                      </t>
  </si>
  <si>
    <t xml:space="preserve">    057.160.753-55</t>
  </si>
  <si>
    <t xml:space="preserve">MERC LIDERANCA ACAR                     </t>
  </si>
  <si>
    <t xml:space="preserve">DAVID GUILHERME DA SILVA                </t>
  </si>
  <si>
    <t xml:space="preserve"> 88 99631-9897                                      </t>
  </si>
  <si>
    <t xml:space="preserve">    335.456.478-46</t>
  </si>
  <si>
    <t xml:space="preserve">MERCEARIA DA GERALDA                    </t>
  </si>
  <si>
    <t xml:space="preserve">MARIA GERALDA DE SOUZA ARAUJO           </t>
  </si>
  <si>
    <t xml:space="preserve">AVE PV GUARDA 100000                    </t>
  </si>
  <si>
    <t xml:space="preserve"> PARENTE DO CAJUBAR                     </t>
  </si>
  <si>
    <t xml:space="preserve"> 08 89993-5682                                      </t>
  </si>
  <si>
    <t>14.028.907/0001-73</t>
  </si>
  <si>
    <t xml:space="preserve">POSTO MORAES CAJUEI                     </t>
  </si>
  <si>
    <t xml:space="preserve">MARIA DEUZANIR MEDEIROS                 </t>
  </si>
  <si>
    <t xml:space="preserve">R Rua: ROD 085 KM 262 SN                </t>
  </si>
  <si>
    <t xml:space="preserve"> VIZINHO AO REST MARIANOS CRUZ          </t>
  </si>
  <si>
    <t xml:space="preserve"> 08 89866-8191                                      </t>
  </si>
  <si>
    <t xml:space="preserve">    975.602.603-06</t>
  </si>
  <si>
    <t xml:space="preserve">MERC E BAR DA MENTA                     </t>
  </si>
  <si>
    <t xml:space="preserve">MARIA DO LIVRAMENTO DA COSTA            </t>
  </si>
  <si>
    <t xml:space="preserve"> 08 59774-7373                                      </t>
  </si>
  <si>
    <t>27.263.973/0001-70</t>
  </si>
  <si>
    <t xml:space="preserve">GUGAS BAR AROEIRAC                      </t>
  </si>
  <si>
    <t xml:space="preserve">CLUB BADALOS                            </t>
  </si>
  <si>
    <t xml:space="preserve">R Rua Lagoa dos Monteiros 1220          </t>
  </si>
  <si>
    <t xml:space="preserve"> 88 88142-5838                                      </t>
  </si>
  <si>
    <t xml:space="preserve">    947.987.533-00</t>
  </si>
  <si>
    <t xml:space="preserve">DISTRIBUIDORA JP MO                     </t>
  </si>
  <si>
    <t xml:space="preserve">JOAO PAULO DE LIMA ARAUJO               </t>
  </si>
  <si>
    <t xml:space="preserve">R NEWTON TAVARES GONCALVES SN           </t>
  </si>
  <si>
    <t xml:space="preserve"> DEPOIS DA METALURGICA O DEL            </t>
  </si>
  <si>
    <t xml:space="preserve"> 08 89855-1494                                      </t>
  </si>
  <si>
    <t xml:space="preserve">    792.759.073-15</t>
  </si>
  <si>
    <t xml:space="preserve">DEP ELIAS ESPRAIADO                     </t>
  </si>
  <si>
    <t xml:space="preserve">ELIAS FERREIRA ALVES                    </t>
  </si>
  <si>
    <t xml:space="preserve">DT DT ESPRAIADOS SN                     </t>
  </si>
  <si>
    <t xml:space="preserve">BAIRRO AMERICA                                              </t>
  </si>
  <si>
    <t xml:space="preserve"> 08 88193-0238                                      </t>
  </si>
  <si>
    <t xml:space="preserve">    760.176.993-34</t>
  </si>
  <si>
    <t xml:space="preserve">BETOS GRILL BELA                        </t>
  </si>
  <si>
    <t xml:space="preserve">BETO FREITAS DE VASCONCELOS             </t>
  </si>
  <si>
    <t xml:space="preserve">RUA R CAP MIGUEL LOPES 1299             </t>
  </si>
  <si>
    <t xml:space="preserve"> 08 89999-9031                                      </t>
  </si>
  <si>
    <t xml:space="preserve">    153.013.998-88</t>
  </si>
  <si>
    <t xml:space="preserve">MERCADINHO ADILTON B                    </t>
  </si>
  <si>
    <t xml:space="preserve">ADILTON JOSE CHAVES                     </t>
  </si>
  <si>
    <t xml:space="preserve">RUA MAJOR BENTO MOURA 10000             </t>
  </si>
  <si>
    <t xml:space="preserve"> 08 89950-1666                                      </t>
  </si>
  <si>
    <t xml:space="preserve">    901.606.903-82</t>
  </si>
  <si>
    <t xml:space="preserve">CHURR POINT DA GAL                      </t>
  </si>
  <si>
    <t xml:space="preserve">FCO ROBSON ARAUJO                       </t>
  </si>
  <si>
    <t xml:space="preserve">LGA LGA DO MATO SN                      </t>
  </si>
  <si>
    <t xml:space="preserve">LAGOA DO MATO                                               </t>
  </si>
  <si>
    <t xml:space="preserve"> 88 89951-0790                                      </t>
  </si>
  <si>
    <t xml:space="preserve">BOTECO/BOTEQUIM     </t>
  </si>
  <si>
    <t xml:space="preserve">    173.604.728-06</t>
  </si>
  <si>
    <t xml:space="preserve">BAR DA BRAHMA LAGOA                     </t>
  </si>
  <si>
    <t xml:space="preserve">JOAO MARQUES DE VASCONCELOS             </t>
  </si>
  <si>
    <t xml:space="preserve"> 88 99933-3385                                      </t>
  </si>
  <si>
    <t xml:space="preserve">    111.457.223-34</t>
  </si>
  <si>
    <t xml:space="preserve">MERCADINHO O MALAQUI                    </t>
  </si>
  <si>
    <t xml:space="preserve">JOSE ARTEIRO DO NASCIMENTO              </t>
  </si>
  <si>
    <t xml:space="preserve">RUA R MANOEL SALES 10000                </t>
  </si>
  <si>
    <t xml:space="preserve"> 88  3661-4262                                      </t>
  </si>
  <si>
    <t xml:space="preserve">    281.898.598-62</t>
  </si>
  <si>
    <t xml:space="preserve">BAR DO COXINHA CRUZ                     </t>
  </si>
  <si>
    <t xml:space="preserve">MARIA ELIANE SILVEIRA                   </t>
  </si>
  <si>
    <t xml:space="preserve">R AV TENENTE ALBANO 10000               </t>
  </si>
  <si>
    <t xml:space="preserve"> 88 99741-5797                                      </t>
  </si>
  <si>
    <t xml:space="preserve">    377.799.153-87</t>
  </si>
  <si>
    <t xml:space="preserve">MANSU BAR BELA CRUZ                     </t>
  </si>
  <si>
    <t xml:space="preserve">ANTONIO MANSUETO DUTRA                  </t>
  </si>
  <si>
    <t xml:space="preserve">R R CAPITAO MIGUEL LOPES SN             </t>
  </si>
  <si>
    <t xml:space="preserve"> 08 89937-3928                                      </t>
  </si>
  <si>
    <t xml:space="preserve">    151.965.248-86</t>
  </si>
  <si>
    <t xml:space="preserve">BAR DO RUBENS BELA                      </t>
  </si>
  <si>
    <t xml:space="preserve">SEBASTIAO CARLOS FONTENELE              </t>
  </si>
  <si>
    <t xml:space="preserve">RUA R ISAURA ARAUJO PINTO 10000         </t>
  </si>
  <si>
    <t xml:space="preserve"> 08 89665-3979                                      </t>
  </si>
  <si>
    <t xml:space="preserve">    445.560.043-49</t>
  </si>
  <si>
    <t xml:space="preserve">MERCADINHO SABRAJ B                     </t>
  </si>
  <si>
    <t xml:space="preserve">JOSE JARBAS MORAIS                      </t>
  </si>
  <si>
    <t xml:space="preserve">RUA R PROF NICASSIO 425                 </t>
  </si>
  <si>
    <t xml:space="preserve"> 08 89721-3370                                      </t>
  </si>
  <si>
    <t xml:space="preserve">    246.887.113-87</t>
  </si>
  <si>
    <t xml:space="preserve">MENTA CRUZ                              </t>
  </si>
  <si>
    <t xml:space="preserve">MARIA DO LIVRAMENTO NASCIMENTO          </t>
  </si>
  <si>
    <t xml:space="preserve">RUA ROD BELA CRUZ GENIPAPEIRO 10000     </t>
  </si>
  <si>
    <t xml:space="preserve">SAO JOAO                                                    </t>
  </si>
  <si>
    <t xml:space="preserve"> 08 89601-0292                                      </t>
  </si>
  <si>
    <t xml:space="preserve">    706.499.013-04</t>
  </si>
  <si>
    <t xml:space="preserve">BAR O JUCELINO LAGO                     </t>
  </si>
  <si>
    <t xml:space="preserve">JOSE JUCELINO DE ARAUJO                 </t>
  </si>
  <si>
    <t xml:space="preserve">DT DT LAGOA DO CANEMA SN                </t>
  </si>
  <si>
    <t xml:space="preserve"> 08 89944-2694                                      </t>
  </si>
  <si>
    <t xml:space="preserve">    762.002.218-04</t>
  </si>
  <si>
    <t xml:space="preserve">S5 - MERC O MOISES A                    </t>
  </si>
  <si>
    <t xml:space="preserve">MOISES CABRAL SILVA                     </t>
  </si>
  <si>
    <t xml:space="preserve">R R JOSE MONTEIRO MELO SN               </t>
  </si>
  <si>
    <t xml:space="preserve"> 08 83300-5059                                      </t>
  </si>
  <si>
    <t xml:space="preserve">    056.047.533-00</t>
  </si>
  <si>
    <t xml:space="preserve">BAR A IVONILDE ACAR                     </t>
  </si>
  <si>
    <t xml:space="preserve">MARIA IVONILDE FERREIRA                 </t>
  </si>
  <si>
    <t xml:space="preserve">RUA R CORONEL SALES 732                 </t>
  </si>
  <si>
    <t xml:space="preserve"> 88 99623-8550                                      </t>
  </si>
  <si>
    <t xml:space="preserve">    732.271.613-20</t>
  </si>
  <si>
    <t xml:space="preserve">BARRACA DO JOEL PA                      </t>
  </si>
  <si>
    <t xml:space="preserve">JOEL NEVES BRANDAO                      </t>
  </si>
  <si>
    <t xml:space="preserve">RUA VL PARAGUAI 10000                   </t>
  </si>
  <si>
    <t xml:space="preserve">PARAGUAI                                                    </t>
  </si>
  <si>
    <t xml:space="preserve"> 08 88878-5300                                      </t>
  </si>
  <si>
    <t>02.053.322/0001-24</t>
  </si>
  <si>
    <t xml:space="preserve">MERCADINHO CASA MORA                    </t>
  </si>
  <si>
    <t xml:space="preserve">SEAROM COMERCIO DE CEREAIS EIRELI - ME  </t>
  </si>
  <si>
    <t xml:space="preserve">RUA HUMAITA 10000                       </t>
  </si>
  <si>
    <t xml:space="preserve"> 08 89639-4249                                      </t>
  </si>
  <si>
    <t>11.365.715/0001-64</t>
  </si>
  <si>
    <t xml:space="preserve">C C ROCHA VARIEDADES                    </t>
  </si>
  <si>
    <t xml:space="preserve">CARLOS AUGUSTO DA ROCHA                 </t>
  </si>
  <si>
    <t xml:space="preserve">R SANTO ANTONIO 642                     </t>
  </si>
  <si>
    <t xml:space="preserve"> 88 89742-7077                                      </t>
  </si>
  <si>
    <t xml:space="preserve">    390.277.593-91</t>
  </si>
  <si>
    <t xml:space="preserve">BAR DO GONZAGA                          </t>
  </si>
  <si>
    <t xml:space="preserve">LUIS GONZAGA LOPES                      </t>
  </si>
  <si>
    <t xml:space="preserve">EST EST BELA CRUZ SN                    </t>
  </si>
  <si>
    <t xml:space="preserve">LAGOA SECA                                                  </t>
  </si>
  <si>
    <t xml:space="preserve"> 08 89858-2718                                      </t>
  </si>
  <si>
    <t xml:space="preserve">    142.788.458-71</t>
  </si>
  <si>
    <t xml:space="preserve">JERIBAR LAGOA VELHA                     </t>
  </si>
  <si>
    <t xml:space="preserve">VALDERI RAMOS OLIVEIRA                  </t>
  </si>
  <si>
    <t xml:space="preserve">TRV TREVO DO ARANAU SN                  </t>
  </si>
  <si>
    <t xml:space="preserve">LAGOA VELHA                                                 </t>
  </si>
  <si>
    <t xml:space="preserve"> 08 89689-7059                                      </t>
  </si>
  <si>
    <t xml:space="preserve">    119.037.748-96</t>
  </si>
  <si>
    <t xml:space="preserve">MERCEARIA DO NILTON                     </t>
  </si>
  <si>
    <t xml:space="preserve">JOSE NILTON DE FREITAS                  </t>
  </si>
  <si>
    <t xml:space="preserve">CRG CORREGO DAS VARAS SN                </t>
  </si>
  <si>
    <t xml:space="preserve"> 88 83661-9195                                      </t>
  </si>
  <si>
    <t xml:space="preserve">    066.361.848-76</t>
  </si>
  <si>
    <t xml:space="preserve">CHICO GORDO LAGOA S                     </t>
  </si>
  <si>
    <t xml:space="preserve">JOSE MARIA DA SILVEIRA                  </t>
  </si>
  <si>
    <t xml:space="preserve">LGA LAGOA SALGADA SN                    </t>
  </si>
  <si>
    <t xml:space="preserve"> 88 99906-7101                                      </t>
  </si>
  <si>
    <t>04.421.404/0001-00</t>
  </si>
  <si>
    <t xml:space="preserve">MERCANFRIO O FERNAND                    </t>
  </si>
  <si>
    <t xml:space="preserve">FERNANDES CESAR MONTEIRO                </t>
  </si>
  <si>
    <t xml:space="preserve">RUA R 7 DE SETEMBRO 54                  </t>
  </si>
  <si>
    <t xml:space="preserve"> 88 99772-6361                                      </t>
  </si>
  <si>
    <t xml:space="preserve">    637.797.223-72</t>
  </si>
  <si>
    <t xml:space="preserve">BAR DO DEDE CURRAL                      </t>
  </si>
  <si>
    <t xml:space="preserve">MARIA LEONETE RIBEIRO SOUSA             </t>
  </si>
  <si>
    <t xml:space="preserve"> 88 99875-7512                                      </t>
  </si>
  <si>
    <t xml:space="preserve">    321.763.333-49</t>
  </si>
  <si>
    <t xml:space="preserve">DEP LEONARDO                            </t>
  </si>
  <si>
    <t xml:space="preserve">LEONARDO MALCHER VASCONCELOS            </t>
  </si>
  <si>
    <t xml:space="preserve">RUA R JOSE XEREZ DE SOUSA 10000         </t>
  </si>
  <si>
    <t xml:space="preserve"> 08 89617-5278                                      </t>
  </si>
  <si>
    <t xml:space="preserve">    917.710.303-30</t>
  </si>
  <si>
    <t xml:space="preserve">BAR O EDINHO                            </t>
  </si>
  <si>
    <t xml:space="preserve">EDSON JOSE DO NASCIMENTO                </t>
  </si>
  <si>
    <t xml:space="preserve">TV TRAVESSA SETE DE SETEMBRO 20         </t>
  </si>
  <si>
    <t xml:space="preserve"> 88 89822-8550                                      </t>
  </si>
  <si>
    <t xml:space="preserve">    103.353.678-44</t>
  </si>
  <si>
    <t xml:space="preserve">CHAGAS                                  </t>
  </si>
  <si>
    <t xml:space="preserve">FRANCISCO DAS CHAGAS FREITAS            </t>
  </si>
  <si>
    <t xml:space="preserve">R R GABRIEL VASCONCELOS SN              </t>
  </si>
  <si>
    <t xml:space="preserve"> 88 90000-0000                                      </t>
  </si>
  <si>
    <t xml:space="preserve">    004.041.813-84</t>
  </si>
  <si>
    <t xml:space="preserve">DEPOSITO O DAVI CAJU                    </t>
  </si>
  <si>
    <t xml:space="preserve">ANERITA SOUZA SILVA                     </t>
  </si>
  <si>
    <t xml:space="preserve">R 14 DE JANEIRO SN                      </t>
  </si>
  <si>
    <t xml:space="preserve">PREA                                                        </t>
  </si>
  <si>
    <t xml:space="preserve">    499.905.603-82</t>
  </si>
  <si>
    <t xml:space="preserve">NOVA CRUZ                               </t>
  </si>
  <si>
    <t xml:space="preserve">JOSE AUGUSTO DE VASCONCELOS             </t>
  </si>
  <si>
    <t xml:space="preserve">R R CEL TEIXEIRA PINTO SN SN            </t>
  </si>
  <si>
    <t xml:space="preserve"> 88 99621-0825                                      </t>
  </si>
  <si>
    <t>07.125.287/0001-25</t>
  </si>
  <si>
    <t xml:space="preserve">PSD RANCHO DO PEIXE                     </t>
  </si>
  <si>
    <t xml:space="preserve">PREA LOTEAMENTO E POUSADA LTDA - EPP    </t>
  </si>
  <si>
    <t xml:space="preserve">R R VILA PREA SN                        </t>
  </si>
  <si>
    <t xml:space="preserve"> 08 83660-3118                                      </t>
  </si>
  <si>
    <t xml:space="preserve">    036.778.873-05</t>
  </si>
  <si>
    <t xml:space="preserve">ZE MARIA DO CAMPO C                     </t>
  </si>
  <si>
    <t xml:space="preserve">JOSE MARIA DE FREITAS                   </t>
  </si>
  <si>
    <t xml:space="preserve">RUA CORREGO DAS VARAS 10000             </t>
  </si>
  <si>
    <t xml:space="preserve">CORREGO DAS VARAS                                           </t>
  </si>
  <si>
    <t xml:space="preserve"> 88 99946-3961                                      </t>
  </si>
  <si>
    <t xml:space="preserve">    276.747.078-06</t>
  </si>
  <si>
    <t xml:space="preserve">MERC MANCHA BELA C                      </t>
  </si>
  <si>
    <t xml:space="preserve">ELDRON LOPES FREITAS                    </t>
  </si>
  <si>
    <t xml:space="preserve">RUA JOSE MARIA LOUSADA 10000            </t>
  </si>
  <si>
    <t xml:space="preserve"> 08 89991-2568                                      </t>
  </si>
  <si>
    <t xml:space="preserve">    655.757.843-04</t>
  </si>
  <si>
    <t xml:space="preserve">MERC.KELSO                              </t>
  </si>
  <si>
    <t xml:space="preserve">MARIA JOCIEUDA DE SOUSA                 </t>
  </si>
  <si>
    <t xml:space="preserve">R R CORONEL SALES 160                   </t>
  </si>
  <si>
    <t xml:space="preserve"> 88 99745-6030                                      </t>
  </si>
  <si>
    <t xml:space="preserve">    697.925.183-04</t>
  </si>
  <si>
    <t xml:space="preserve">ALTOS BAR BELA CRU                      </t>
  </si>
  <si>
    <t xml:space="preserve">JOAO CARLOS DE VASCONCELOS              </t>
  </si>
  <si>
    <t xml:space="preserve">RUA R CAP MIGUEL LOPES 10000            </t>
  </si>
  <si>
    <t xml:space="preserve"> 08 89917-8412                                      </t>
  </si>
  <si>
    <t>10.396.373/0001-87</t>
  </si>
  <si>
    <t xml:space="preserve">MERCADINHO SILVEIRA                     </t>
  </si>
  <si>
    <t xml:space="preserve">S HELENA SILVEIRA ME                    </t>
  </si>
  <si>
    <t xml:space="preserve">RUA VEREADOR MUNDICO MARTINS 637        </t>
  </si>
  <si>
    <t xml:space="preserve"> 08 89639-5331                                      </t>
  </si>
  <si>
    <t xml:space="preserve">    816.606.263-15</t>
  </si>
  <si>
    <t xml:space="preserve">ALTO LANCHE BELA CR                     </t>
  </si>
  <si>
    <t xml:space="preserve">FRANCISCO DE ASSIS CORDEIRO             </t>
  </si>
  <si>
    <t xml:space="preserve">RUA R 07 DE SETEMBRO 48                 </t>
  </si>
  <si>
    <t xml:space="preserve"> AO LADO DA PREFEITURA                  </t>
  </si>
  <si>
    <t xml:space="preserve"> 08 89605-6546                                      </t>
  </si>
  <si>
    <t xml:space="preserve">    034.874.673-30</t>
  </si>
  <si>
    <t xml:space="preserve">MERC TETE LAGOA DO                      </t>
  </si>
  <si>
    <t xml:space="preserve">MARIA DE FATIMA LOPES                   </t>
  </si>
  <si>
    <t xml:space="preserve">VIL LAGOA DO MATO 11                    </t>
  </si>
  <si>
    <t xml:space="preserve"> 08 89696-8047                                      </t>
  </si>
  <si>
    <t xml:space="preserve">    053.961.683-40</t>
  </si>
  <si>
    <t xml:space="preserve">BAR DO GENIVAL ACAR                     </t>
  </si>
  <si>
    <t xml:space="preserve">GENIVAL BATISTA VIEIRA                  </t>
  </si>
  <si>
    <t xml:space="preserve">AV AV VOLUNTARIO DA PATRIA SN           </t>
  </si>
  <si>
    <t xml:space="preserve"> 08 89682-6751                                      </t>
  </si>
  <si>
    <t>63.310.114/0001-58</t>
  </si>
  <si>
    <t xml:space="preserve">ARMAZEM MACEDO BELA                     </t>
  </si>
  <si>
    <t xml:space="preserve">MANOEL MACEDO ARAUJO FILHO ME           </t>
  </si>
  <si>
    <t xml:space="preserve">R R SETE DE SETEMBRO SN                 </t>
  </si>
  <si>
    <t xml:space="preserve"> 08 89922-8814                                      </t>
  </si>
  <si>
    <t xml:space="preserve">    007.628.263-55</t>
  </si>
  <si>
    <t xml:space="preserve">MERCEARIA ERONILDO                      </t>
  </si>
  <si>
    <t xml:space="preserve">MARIA ELENICE DE FREITAS                </t>
  </si>
  <si>
    <t xml:space="preserve">RUA LGA GRANDE SN 9                     </t>
  </si>
  <si>
    <t>62.590-000</t>
  </si>
  <si>
    <t xml:space="preserve"> 08 89998-4402                                      </t>
  </si>
  <si>
    <t>11.496.538/0001-55</t>
  </si>
  <si>
    <t xml:space="preserve">MERCANTIL TODO DIA                      </t>
  </si>
  <si>
    <t xml:space="preserve">JOSE ERASMO SILVEIRA ME                 </t>
  </si>
  <si>
    <t xml:space="preserve">R R CEL TEIXEIRA PINTO SN               </t>
  </si>
  <si>
    <t xml:space="preserve"> 88 99987-5649                                      </t>
  </si>
  <si>
    <t>06.064.727/0001-19</t>
  </si>
  <si>
    <t xml:space="preserve">SUPERMERCADO SKINAO                     </t>
  </si>
  <si>
    <t xml:space="preserve">FRANCISCO LEANDRO CRUZ ME               </t>
  </si>
  <si>
    <t xml:space="preserve">R R TANCREDO NEVES 116                  </t>
  </si>
  <si>
    <t xml:space="preserve"> 88  3660-1050                                      </t>
  </si>
  <si>
    <t xml:space="preserve">    016.368.013-23</t>
  </si>
  <si>
    <t xml:space="preserve">MERC O DOUTOR CAUAS                     </t>
  </si>
  <si>
    <t xml:space="preserve">JOSE CHARLES FURTADO                    </t>
  </si>
  <si>
    <t xml:space="preserve"> 88  3674-3129                                      </t>
  </si>
  <si>
    <t xml:space="preserve">    933.562.003-30</t>
  </si>
  <si>
    <t xml:space="preserve">ZAMZIBAR BELA CRUZ                      </t>
  </si>
  <si>
    <t xml:space="preserve">JOSE AUGUSTO SILVEIRA MATOS             </t>
  </si>
  <si>
    <t xml:space="preserve">RUA CORONEL DUCA 10000                  </t>
  </si>
  <si>
    <t xml:space="preserve"> 08 89663-4465                                      </t>
  </si>
  <si>
    <t xml:space="preserve">    890.976.613-15</t>
  </si>
  <si>
    <t xml:space="preserve">MERC. RUBENS                            </t>
  </si>
  <si>
    <t xml:space="preserve">RUBENS FONTELES ROCHA                   </t>
  </si>
  <si>
    <t xml:space="preserve"> 08 89693-2468                                      </t>
  </si>
  <si>
    <t xml:space="preserve">    068.157.253-16</t>
  </si>
  <si>
    <t xml:space="preserve">MERC. OMA                               </t>
  </si>
  <si>
    <t xml:space="preserve">MATHEUS DA CRUZ FRANCA DOS SANTOS       </t>
  </si>
  <si>
    <t xml:space="preserve">EST EST SITIO DO GUARDA SN              </t>
  </si>
  <si>
    <t xml:space="preserve"> 08 89807-7931                                      </t>
  </si>
  <si>
    <t>11.143.701/0001-04</t>
  </si>
  <si>
    <t xml:space="preserve">MK MERCANTIL ARANAU                     </t>
  </si>
  <si>
    <t xml:space="preserve">MK MERCANTIL COMERCIO DE ALIMENTOS LTDA </t>
  </si>
  <si>
    <t xml:space="preserve">RUA FRANCISCO SALGUEIRO FILHO 100       </t>
  </si>
  <si>
    <t xml:space="preserve"> 88 99960-9318                                      </t>
  </si>
  <si>
    <t xml:space="preserve">    410.552.093-87</t>
  </si>
  <si>
    <t xml:space="preserve">BAR DO CASTELO CRUZ                     </t>
  </si>
  <si>
    <t xml:space="preserve">MARIA ROSANGELA MEDEIROS                </t>
  </si>
  <si>
    <t xml:space="preserve">R 14jan SN                              </t>
  </si>
  <si>
    <t xml:space="preserve"> 08 59701-6055                                      </t>
  </si>
  <si>
    <t xml:space="preserve">    951.963.313-87</t>
  </si>
  <si>
    <t xml:space="preserve">MERCEARIA DA HERLENA                    </t>
  </si>
  <si>
    <t xml:space="preserve">HERLENA CLARA VASCONCELOS               </t>
  </si>
  <si>
    <t xml:space="preserve">SIT SITIO SAO JOSE SN                   </t>
  </si>
  <si>
    <t xml:space="preserve">SAO JOSE                                                    </t>
  </si>
  <si>
    <t xml:space="preserve"> 08 89723-7265                                      </t>
  </si>
  <si>
    <t>24.196.630/0001-41</t>
  </si>
  <si>
    <t xml:space="preserve">MERCADINHO SANTO ANT                    </t>
  </si>
  <si>
    <t xml:space="preserve">ANTONIO MARQUES DE ARAUJO NETO          </t>
  </si>
  <si>
    <t xml:space="preserve">RUA NICOLAU PEIXOTO 10000               </t>
  </si>
  <si>
    <t xml:space="preserve">AREIAS                                                      </t>
  </si>
  <si>
    <t xml:space="preserve"> 08 89629-3180                                      </t>
  </si>
  <si>
    <t xml:space="preserve">    880.344.103-49</t>
  </si>
  <si>
    <t xml:space="preserve">BAR DO TOINHO CAUAS                     </t>
  </si>
  <si>
    <t xml:space="preserve">ANTONIO AUGUSTO DE OLIVEIRA FILHO       </t>
  </si>
  <si>
    <t xml:space="preserve"> 88 99644-6646                                      </t>
  </si>
  <si>
    <t xml:space="preserve">    008.701.763-66</t>
  </si>
  <si>
    <t xml:space="preserve">BAR DO SERGIO MACAJ                     </t>
  </si>
  <si>
    <t xml:space="preserve">FRANCISCO SERGIO MOURA                  </t>
  </si>
  <si>
    <t xml:space="preserve"> 88 99695-2682                                      </t>
  </si>
  <si>
    <t xml:space="preserve">    205.324.468-28</t>
  </si>
  <si>
    <t xml:space="preserve">LANC E PIZZ REPLAY                      </t>
  </si>
  <si>
    <t xml:space="preserve">JOSE JOSIVA PEREIRA                     </t>
  </si>
  <si>
    <t xml:space="preserve">EST EST ESTRADA DA JIJOCA 10000         </t>
  </si>
  <si>
    <t xml:space="preserve"> 08 89834-0329                                      </t>
  </si>
  <si>
    <t>13.470.631/0001-16</t>
  </si>
  <si>
    <t xml:space="preserve">MASTER GRILL CRUZ                       </t>
  </si>
  <si>
    <t xml:space="preserve">JOSE ARRILSON DO NASCIMENTO             </t>
  </si>
  <si>
    <t xml:space="preserve">AV AV 14 DE JANEIRO SN                  </t>
  </si>
  <si>
    <t xml:space="preserve"> 08 89993-5779                                      </t>
  </si>
  <si>
    <t xml:space="preserve">    569.427.373-72</t>
  </si>
  <si>
    <t xml:space="preserve">MERCADINHO MAC IMBE                     </t>
  </si>
  <si>
    <t xml:space="preserve">FRANCISCO CLETO ADAHIL DE SOUSA         </t>
  </si>
  <si>
    <t xml:space="preserve">R IMBE ENFRENTE A FZ LAGOA AZUL SN      </t>
  </si>
  <si>
    <t xml:space="preserve">IMBE                                                        </t>
  </si>
  <si>
    <t xml:space="preserve"> 88 99933-5017                                      </t>
  </si>
  <si>
    <t xml:space="preserve">    998.367.343-68</t>
  </si>
  <si>
    <t xml:space="preserve">JOSE JONAS CURRAL V                     </t>
  </si>
  <si>
    <t xml:space="preserve">JOSE JONAS DOS SANTOS                   </t>
  </si>
  <si>
    <t xml:space="preserve">R CURRAL VELHO 120                      </t>
  </si>
  <si>
    <t xml:space="preserve"> 88 89847-4715                                      </t>
  </si>
  <si>
    <t>00.203.502/0002-09</t>
  </si>
  <si>
    <t xml:space="preserve">POUSADA DAS CANOAS                      </t>
  </si>
  <si>
    <t xml:space="preserve">J I F G FILHO ME                        </t>
  </si>
  <si>
    <t xml:space="preserve">RUA ARPOEIRAS 100                       </t>
  </si>
  <si>
    <t xml:space="preserve"> 88 99620-2444                                      </t>
  </si>
  <si>
    <t xml:space="preserve">    465.852.143-15</t>
  </si>
  <si>
    <t xml:space="preserve">COMERCIO DO MANOELZI                    </t>
  </si>
  <si>
    <t xml:space="preserve">MANOEL NILSON ALVES                     </t>
  </si>
  <si>
    <t xml:space="preserve">RUA AV ESPRAIADO 10000                  </t>
  </si>
  <si>
    <t xml:space="preserve"> 08 88144-3849                                      </t>
  </si>
  <si>
    <t xml:space="preserve">    771.228.793-72</t>
  </si>
  <si>
    <t xml:space="preserve">DEP DO OLAVO ESPRAI                     </t>
  </si>
  <si>
    <t xml:space="preserve">FRANCISCO OLAVO FIRMINO                 </t>
  </si>
  <si>
    <t xml:space="preserve">RUA ESPRAIADO 102                       </t>
  </si>
  <si>
    <t xml:space="preserve"> 08 58877-1823                                      </t>
  </si>
  <si>
    <t>12.696.793/0001-04</t>
  </si>
  <si>
    <t xml:space="preserve">MERCADINHO ESPERANCA                    </t>
  </si>
  <si>
    <t xml:space="preserve">JOSE GILVAN DE SOUSA ME                 </t>
  </si>
  <si>
    <t xml:space="preserve">RUA R CEL TEIXEIRA PINTO 534            </t>
  </si>
  <si>
    <t xml:space="preserve"> 88 99600-7141                                      </t>
  </si>
  <si>
    <t xml:space="preserve">    172.510.458-00</t>
  </si>
  <si>
    <t xml:space="preserve">MERC DO ZECA PITOMB                     </t>
  </si>
  <si>
    <t xml:space="preserve">FRANCISCO DAS CHAGAS NASCIMENTO         </t>
  </si>
  <si>
    <t xml:space="preserve">R PITOMBEIRAS SN                        </t>
  </si>
  <si>
    <t xml:space="preserve"> 88 99847-0842                                      </t>
  </si>
  <si>
    <t>15.049.735/0001-87</t>
  </si>
  <si>
    <t xml:space="preserve">COMERCIAL BOM PRECO                     </t>
  </si>
  <si>
    <t xml:space="preserve">JOSE IVANILDO DO NASCIMENTO ME          </t>
  </si>
  <si>
    <t xml:space="preserve">R R RUA MIGUEL ARCANJO MENEZES SN       </t>
  </si>
  <si>
    <t xml:space="preserve"> 08 83674-1130                                      </t>
  </si>
  <si>
    <t>17.030.442/0001-83</t>
  </si>
  <si>
    <t xml:space="preserve">PORTO SEGURO SUPERME                    </t>
  </si>
  <si>
    <t xml:space="preserve">BRUNO PIAUI DO NASCIMENTO ME - ME       </t>
  </si>
  <si>
    <t xml:space="preserve">R VEREADOR MUNDICO MARTINS SN           </t>
  </si>
  <si>
    <t xml:space="preserve"> 08 89672-1347                                      </t>
  </si>
  <si>
    <t>00.092.104/0001-73</t>
  </si>
  <si>
    <t xml:space="preserve">JM SUPERMERCADO CRU                     </t>
  </si>
  <si>
    <t>JM SUPERMERCADO COMERCIO DE ALIMENTOS LT</t>
  </si>
  <si>
    <t xml:space="preserve">RUA TENETE ALBANO 1479                  </t>
  </si>
  <si>
    <t xml:space="preserve"> 08 89999-9999                                      </t>
  </si>
  <si>
    <t>22.395.223/0001-38</t>
  </si>
  <si>
    <t xml:space="preserve">MERCADINHO E LANCHON                    </t>
  </si>
  <si>
    <t xml:space="preserve">JOAO ERMESON MENEZES VASCONCELOS ME     </t>
  </si>
  <si>
    <t xml:space="preserve">R R JOSE PEREIRA DUTRA SN               </t>
  </si>
  <si>
    <t xml:space="preserve"> 08 88133-0201                                      </t>
  </si>
  <si>
    <t>03.367.057/0001-11</t>
  </si>
  <si>
    <t xml:space="preserve">POSTO BAILARINA BAI                     </t>
  </si>
  <si>
    <t xml:space="preserve">BAILARINA COMERCIA DE COMBUSTIVEL LTDA  </t>
  </si>
  <si>
    <t>RUA AV AVENIDA VOLUNTARIOS DA PATRIA2189</t>
  </si>
  <si>
    <t xml:space="preserve"> 08 89692-0110                                      </t>
  </si>
  <si>
    <t xml:space="preserve">    501.150.303-87</t>
  </si>
  <si>
    <t xml:space="preserve">COMERCIAL MULTIGIRO                     </t>
  </si>
  <si>
    <t>RAIMUNDA ISABEL GONCALVES S. A. DA SILVE</t>
  </si>
  <si>
    <t xml:space="preserve">RUA MC MERCADO PUBLICO JURITIANHA 10000 </t>
  </si>
  <si>
    <t xml:space="preserve"> 08 88144-2792                                      </t>
  </si>
  <si>
    <t>26.142.215/0001-30</t>
  </si>
  <si>
    <t xml:space="preserve">MERCADINHO OLIVEIRA                     </t>
  </si>
  <si>
    <t xml:space="preserve">ISMARQUE TEIXEIRA DE OLIVEIRA ME        </t>
  </si>
  <si>
    <t xml:space="preserve">RUA R MONSENHOR SABINO 37               </t>
  </si>
  <si>
    <t xml:space="preserve">CAICARA                                                     </t>
  </si>
  <si>
    <t xml:space="preserve"> 88 98831-8002                                      </t>
  </si>
  <si>
    <t xml:space="preserve">    063.389.353-69</t>
  </si>
  <si>
    <t xml:space="preserve">REST TOBIAS DO CARAN                    </t>
  </si>
  <si>
    <t xml:space="preserve">VALCILENE FERREIRA DA SILVA             </t>
  </si>
  <si>
    <t xml:space="preserve">AVE PREA 1                              </t>
  </si>
  <si>
    <t xml:space="preserve"> 88 99887-5447                                      </t>
  </si>
  <si>
    <t xml:space="preserve">    948.679.923-72</t>
  </si>
  <si>
    <t xml:space="preserve">MERC PAULINHO CRUZ                      </t>
  </si>
  <si>
    <t xml:space="preserve">PAULO CARLOS SILVEIRA                   </t>
  </si>
  <si>
    <t xml:space="preserve">R VEREADOR MUNDICO MARTINS 1084         </t>
  </si>
  <si>
    <t xml:space="preserve"> 88 89634-3476                                      </t>
  </si>
  <si>
    <t>26.426.554/0001-49</t>
  </si>
  <si>
    <t xml:space="preserve">S5 - BOMBAR CONVENIE                    </t>
  </si>
  <si>
    <t xml:space="preserve">GABRIEL MARCOS MUNIZ - ME               </t>
  </si>
  <si>
    <t xml:space="preserve"> 08 89926-7426                                      </t>
  </si>
  <si>
    <t>15.069.168/0001-20</t>
  </si>
  <si>
    <t xml:space="preserve">SUP MERC ECONOMICO 0                    </t>
  </si>
  <si>
    <t xml:space="preserve">ANTONIA LUCIVANDA DA SILVEIRA ME        </t>
  </si>
  <si>
    <t xml:space="preserve">AVE AV FRANCISCO XAVIER CHAVES 11       </t>
  </si>
  <si>
    <t xml:space="preserve"> 08 83660-3071                                      </t>
  </si>
  <si>
    <t xml:space="preserve">    273.042.643-49</t>
  </si>
  <si>
    <t xml:space="preserve">MERC ISAURO                             </t>
  </si>
  <si>
    <t xml:space="preserve">ISAURO SOUSA ALBUQUERQUE                </t>
  </si>
  <si>
    <t xml:space="preserve">R PV CAICARA SN                         </t>
  </si>
  <si>
    <t xml:space="preserve"> 88 99970-4803                                      </t>
  </si>
  <si>
    <t xml:space="preserve">    022.814.973-80</t>
  </si>
  <si>
    <t xml:space="preserve">ESQUINA DAS FRUTAS Z                    </t>
  </si>
  <si>
    <t xml:space="preserve">JOSE NEUTON DOS SANTOS                  </t>
  </si>
  <si>
    <t xml:space="preserve">AVE MANOEL DANIEL DA SILVEIRA 10000     </t>
  </si>
  <si>
    <t xml:space="preserve"> 08 88117-7263                                      </t>
  </si>
  <si>
    <t>21.468.903/0001-71</t>
  </si>
  <si>
    <t xml:space="preserve">REST/PSD CABARE DU V                    </t>
  </si>
  <si>
    <t xml:space="preserve">L DANIEL LEARRETA LTDA                  </t>
  </si>
  <si>
    <t xml:space="preserve">AVE AV AV BEIRA MAR 11                  </t>
  </si>
  <si>
    <t xml:space="preserve"> 88 98881-7604                                      </t>
  </si>
  <si>
    <t xml:space="preserve">    917.655.523-20</t>
  </si>
  <si>
    <t xml:space="preserve">MERC WESLEY LAGOA D                     </t>
  </si>
  <si>
    <t xml:space="preserve">FRANCISCO WESLEY ARAUJO                 </t>
  </si>
  <si>
    <t xml:space="preserve">VIL R PV LAGOA DO CANEMA 10000          </t>
  </si>
  <si>
    <t xml:space="preserve"> 08 89838-8197                                      </t>
  </si>
  <si>
    <t xml:space="preserve">    027.626.593-96</t>
  </si>
  <si>
    <t xml:space="preserve">MERCADINHO JD OUTRA                     </t>
  </si>
  <si>
    <t xml:space="preserve">JESSANA GOMES DE ANDRADE LINO           </t>
  </si>
  <si>
    <t xml:space="preserve"> 02 18133-8867                                      </t>
  </si>
  <si>
    <t xml:space="preserve">    166.917.093-49</t>
  </si>
  <si>
    <t xml:space="preserve">MERC E LANCH O CARLO                    </t>
  </si>
  <si>
    <t xml:space="preserve">JOSE CARLOS DE OLIVEIRA                 </t>
  </si>
  <si>
    <t xml:space="preserve">R VIGARIO XAVIER SN                     </t>
  </si>
  <si>
    <t xml:space="preserve"> 08 89795-2340                                      </t>
  </si>
  <si>
    <t xml:space="preserve">    317.407.868-74</t>
  </si>
  <si>
    <t xml:space="preserve">ARENA PONTO NOBRE C                     </t>
  </si>
  <si>
    <t xml:space="preserve">JAILMO MANDU DE LIMA                    </t>
  </si>
  <si>
    <t xml:space="preserve">RUA CE 085 - CORREGUINHO DO MUNIZ 10000 </t>
  </si>
  <si>
    <t xml:space="preserve"> 08 89662-1174                                      </t>
  </si>
  <si>
    <t xml:space="preserve">    187.830.743-68</t>
  </si>
  <si>
    <t xml:space="preserve">BAR ANTONIO LIOH                        </t>
  </si>
  <si>
    <t xml:space="preserve">ANTONIO MAGALHAES DE SOUZA              </t>
  </si>
  <si>
    <t xml:space="preserve">RUA R MONSENHOR SABINO 11               </t>
  </si>
  <si>
    <t xml:space="preserve"> 08 88879-4811                                      </t>
  </si>
  <si>
    <t xml:space="preserve">    819.054.243-53</t>
  </si>
  <si>
    <t xml:space="preserve">REFUGIO DA JU                           </t>
  </si>
  <si>
    <t xml:space="preserve">FRANCISCA JULIANA SUZANA FERREIRA       </t>
  </si>
  <si>
    <t xml:space="preserve">R RUA DR. VALDEMAR GONCALVES 135        </t>
  </si>
  <si>
    <t xml:space="preserve"> MERCANTIL DO ROCHA                     </t>
  </si>
  <si>
    <t xml:space="preserve"> 88 99723-2309                                      </t>
  </si>
  <si>
    <t xml:space="preserve">    646.805.413-34</t>
  </si>
  <si>
    <t xml:space="preserve">CHICO VELHO MORADA                      </t>
  </si>
  <si>
    <t xml:space="preserve">FRANCISCO BARBOZA DA SILVA              </t>
  </si>
  <si>
    <t xml:space="preserve">AVE AV. JOSE MARIA SALES 10000          </t>
  </si>
  <si>
    <t xml:space="preserve"> 08 89980-5530                                      </t>
  </si>
  <si>
    <t>21.487.472/0001-90</t>
  </si>
  <si>
    <t xml:space="preserve">BAR DO PEDRO BELA C                     </t>
  </si>
  <si>
    <t xml:space="preserve">PEDRO CEZAR VASCONCELOS 90264657349     </t>
  </si>
  <si>
    <t xml:space="preserve">RUA RUA AGRIPINO BIAS DA SILVEIRA 10000 </t>
  </si>
  <si>
    <t xml:space="preserve"> PROX A CAGECE                          </t>
  </si>
  <si>
    <t xml:space="preserve"> 08 89976-3061                                      </t>
  </si>
  <si>
    <t>22.462.624/0001-63</t>
  </si>
  <si>
    <t xml:space="preserve">MERC NOSSA SENHORA                      </t>
  </si>
  <si>
    <t xml:space="preserve">MARIA BRUNA SILVEIRA SOUSA 05700837374  </t>
  </si>
  <si>
    <t xml:space="preserve">R JOAO BATISTA MENEZES SN               </t>
  </si>
  <si>
    <t xml:space="preserve"> 08 89713-7378                                      </t>
  </si>
  <si>
    <t>20.276.561/0001-25</t>
  </si>
  <si>
    <t xml:space="preserve">SOLANGE MARIA MACAJ                     </t>
  </si>
  <si>
    <t xml:space="preserve">SOLANGE MARIA DE VASCONCELOS            </t>
  </si>
  <si>
    <t xml:space="preserve">VIL MACAJUBA 10000                      </t>
  </si>
  <si>
    <t xml:space="preserve"> 88 99714-2782                                      </t>
  </si>
  <si>
    <t>15.035.240/0001-07</t>
  </si>
  <si>
    <t xml:space="preserve">MERC JC ARATICUNS                       </t>
  </si>
  <si>
    <t xml:space="preserve">JEAN CHARLES CARVALHO 77883276387       </t>
  </si>
  <si>
    <t xml:space="preserve">ROD CE 179 - BELA CRUZ / MARCO 10000    </t>
  </si>
  <si>
    <t xml:space="preserve">ARATICUNS                                                   </t>
  </si>
  <si>
    <t xml:space="preserve"> 08 89900-5621                                      </t>
  </si>
  <si>
    <t xml:space="preserve">    011.977.633-25</t>
  </si>
  <si>
    <t xml:space="preserve">MERCADINHO NENEM JU                     </t>
  </si>
  <si>
    <t xml:space="preserve">IRISMAR TEIXEIRA FELIX                  </t>
  </si>
  <si>
    <t xml:space="preserve">R MANOEL DANIEL DA SILVEIRA SN          </t>
  </si>
  <si>
    <t xml:space="preserve"> PROXIMO ESCOLA HUGO MARTINS            </t>
  </si>
  <si>
    <t xml:space="preserve"> 08 89642-5287                                      </t>
  </si>
  <si>
    <t xml:space="preserve">    014.627.673-62</t>
  </si>
  <si>
    <t xml:space="preserve">MERCADINHO CLAUDIA V                    </t>
  </si>
  <si>
    <t xml:space="preserve">ANA CLAUDIA SOARES DA SILVA             </t>
  </si>
  <si>
    <t xml:space="preserve"> 08 89708-8419                                      </t>
  </si>
  <si>
    <t xml:space="preserve">    785.190.983-04</t>
  </si>
  <si>
    <t xml:space="preserve">CHURRASCARIA SABOR N                    </t>
  </si>
  <si>
    <t xml:space="preserve">ANTONIO MARCOS DO NASCIMENTO SILVA      </t>
  </si>
  <si>
    <t xml:space="preserve"> 08 89796-7891                                      </t>
  </si>
  <si>
    <t xml:space="preserve">    252.033.058-97</t>
  </si>
  <si>
    <t xml:space="preserve">KITANDA DO SKEMA                        </t>
  </si>
  <si>
    <t xml:space="preserve">PEDRO AGOSTINHO DOS SANTOS              </t>
  </si>
  <si>
    <t xml:space="preserve">AV AV JOSE MILTO DE OLIVEIRA SN         </t>
  </si>
  <si>
    <t xml:space="preserve"> 08 89226-2469                                      </t>
  </si>
  <si>
    <t>17.671.657/0001-83</t>
  </si>
  <si>
    <t xml:space="preserve">DEP VANDERLEY                           </t>
  </si>
  <si>
    <t xml:space="preserve">VANDERLEY BRANDAO CARDOZO 04090303338   </t>
  </si>
  <si>
    <t xml:space="preserve">R PRATA SN                              </t>
  </si>
  <si>
    <t xml:space="preserve"> 88 99614-2787                                      </t>
  </si>
  <si>
    <t>24.076.678/0001-16</t>
  </si>
  <si>
    <t xml:space="preserve">CHURRASCARIA ACARAU                     </t>
  </si>
  <si>
    <t xml:space="preserve">GERALDO LUCIANO DE FREITAS              </t>
  </si>
  <si>
    <t xml:space="preserve">AVE AV VOLUNTARIOS 10000                </t>
  </si>
  <si>
    <t xml:space="preserve"> 08 89788-0413                                      </t>
  </si>
  <si>
    <t xml:space="preserve">    071.367.723-62</t>
  </si>
  <si>
    <t xml:space="preserve">ACAIMANIA CURRAL VE                     </t>
  </si>
  <si>
    <t xml:space="preserve">MARIA MICAELE RIBEIRO                   </t>
  </si>
  <si>
    <t xml:space="preserve"> PROXIMO A PRACA                        </t>
  </si>
  <si>
    <t xml:space="preserve"> 08 89684-9952                                      </t>
  </si>
  <si>
    <t xml:space="preserve">    032.439.183-83</t>
  </si>
  <si>
    <t xml:space="preserve">PONTO DO CAFE DA CEL                    </t>
  </si>
  <si>
    <t xml:space="preserve">FERNANDA REGIA MUNIZ                    </t>
  </si>
  <si>
    <t xml:space="preserve">R MARIA DO CARMO SN                     </t>
  </si>
  <si>
    <t xml:space="preserve"> 08 89623-6866                                      </t>
  </si>
  <si>
    <t xml:space="preserve">    757.415.393-00</t>
  </si>
  <si>
    <t xml:space="preserve">BAR DO CHICO PRETO                      </t>
  </si>
  <si>
    <t xml:space="preserve">FRANCISCO DAS CHAGAS ARAUJO             </t>
  </si>
  <si>
    <t xml:space="preserve">R FRANCISCO SERAFIM DO NASCIMENTSN      </t>
  </si>
  <si>
    <t xml:space="preserve"> PROXIMO AO HOSPITAL                    </t>
  </si>
  <si>
    <t xml:space="preserve"> 08 89615-3069                                      </t>
  </si>
  <si>
    <t xml:space="preserve">    069.212.853-08</t>
  </si>
  <si>
    <t xml:space="preserve">MERC ROCHA ACARAU                       </t>
  </si>
  <si>
    <t xml:space="preserve">JOAQUIM ARAUJO DA ROCHA NETO            </t>
  </si>
  <si>
    <t xml:space="preserve">R JOSE MARIA SALES SN                   </t>
  </si>
  <si>
    <t xml:space="preserve"> 08 89794-7055                                      </t>
  </si>
  <si>
    <t xml:space="preserve">    067.055.563-07</t>
  </si>
  <si>
    <t xml:space="preserve">MERC STA LUZIA                          </t>
  </si>
  <si>
    <t xml:space="preserve">CAD DHONATAN                            </t>
  </si>
  <si>
    <t xml:space="preserve">R JOSE JULIO LOUSADA SN                 </t>
  </si>
  <si>
    <t xml:space="preserve"> 88 89971-7230                                      </t>
  </si>
  <si>
    <t xml:space="preserve">    003.648.203-06</t>
  </si>
  <si>
    <t xml:space="preserve">PONTO LAGOA CRUZ                        </t>
  </si>
  <si>
    <t xml:space="preserve">FRANCISCO DAS CHAGAS SILVEIRA           </t>
  </si>
  <si>
    <t xml:space="preserve">RUA PRES JUSCELINO 105                  </t>
  </si>
  <si>
    <t xml:space="preserve"> 88 99729-4158                                      </t>
  </si>
  <si>
    <t xml:space="preserve">    356.374.473-49</t>
  </si>
  <si>
    <t xml:space="preserve">MERCADINHO O BRANDAO                    </t>
  </si>
  <si>
    <t xml:space="preserve">FRANCISCO DE OLIVEIRA BRANDAO           </t>
  </si>
  <si>
    <t xml:space="preserve">R DEPUTADO RODRIGUES MAGALHAES SN       </t>
  </si>
  <si>
    <t xml:space="preserve">BURITI                                                      </t>
  </si>
  <si>
    <t xml:space="preserve"> 08 89920-5719                                      </t>
  </si>
  <si>
    <t xml:space="preserve">    183.770.333-72</t>
  </si>
  <si>
    <t xml:space="preserve">TAPIOCARIA JURITI                       </t>
  </si>
  <si>
    <t xml:space="preserve">FRANCISCO FABIO CORREIA RIBEIRO         </t>
  </si>
  <si>
    <t xml:space="preserve">R JURITIANHA SN                         </t>
  </si>
  <si>
    <t xml:space="preserve"> proximo a R3                           </t>
  </si>
  <si>
    <t xml:space="preserve">    047.738.473-01</t>
  </si>
  <si>
    <t xml:space="preserve">EVA BAR CRUZ                            </t>
  </si>
  <si>
    <t xml:space="preserve">JOAO EVAMAR ALVES                       </t>
  </si>
  <si>
    <t xml:space="preserve">R ESRAEL MANOEL DA SILVEIRA SN          </t>
  </si>
  <si>
    <t xml:space="preserve"> PROXIMO A CAGECE                       </t>
  </si>
  <si>
    <t xml:space="preserve"> 08 89819-2925                                      </t>
  </si>
  <si>
    <t xml:space="preserve">    068.017.483-43</t>
  </si>
  <si>
    <t xml:space="preserve">RESTAURANTE TIA LUCI                    </t>
  </si>
  <si>
    <t xml:space="preserve">RODRIGO SOUSA ARAUJO COSTA              </t>
  </si>
  <si>
    <t xml:space="preserve">RUA PARAGUAI 10000                      </t>
  </si>
  <si>
    <t xml:space="preserve"> 08 88869-4138                                      </t>
  </si>
  <si>
    <t xml:space="preserve">    996.980.648-34</t>
  </si>
  <si>
    <t xml:space="preserve">VALDIR OLAVO LAGOA                      </t>
  </si>
  <si>
    <t xml:space="preserve">JOSE VALDIR DE SOUZA                    </t>
  </si>
  <si>
    <t xml:space="preserve"> s/n/                                   </t>
  </si>
  <si>
    <t xml:space="preserve"> 08 89934-8149                                      </t>
  </si>
  <si>
    <t>04.010.543/0001-40</t>
  </si>
  <si>
    <t xml:space="preserve">MK MERCANTIL CRUZ                       </t>
  </si>
  <si>
    <t xml:space="preserve">MK MERCANTIL LTDA                       </t>
  </si>
  <si>
    <t xml:space="preserve">R CEL DUCA SILVEIRA 71                  </t>
  </si>
  <si>
    <t xml:space="preserve"> 88 99939-1577                                      </t>
  </si>
  <si>
    <t xml:space="preserve">SUPERMERCADO GRANDE </t>
  </si>
  <si>
    <t>33.790.282/0001-27</t>
  </si>
  <si>
    <t xml:space="preserve">MERCADINHO HELLEN C                     </t>
  </si>
  <si>
    <t xml:space="preserve">MARIA HELENA DA SILVA                   </t>
  </si>
  <si>
    <t xml:space="preserve">VIL CAJUEIRINHO 100000                  </t>
  </si>
  <si>
    <t xml:space="preserve"> EM FRENTE A PRACA                      </t>
  </si>
  <si>
    <t xml:space="preserve"> 08 89950-1679                                      </t>
  </si>
  <si>
    <t>20.496.096/0001-38</t>
  </si>
  <si>
    <t xml:space="preserve">MK ATACADAO CRUZ                        </t>
  </si>
  <si>
    <t xml:space="preserve">MK ATACADAO COMERCIO DE ALIMENTOS LTDA  </t>
  </si>
  <si>
    <t xml:space="preserve"> 88 99714-3849                                      </t>
  </si>
  <si>
    <t xml:space="preserve">    084.616.453-16</t>
  </si>
  <si>
    <t xml:space="preserve">MERCADINHO AVENIDA                      </t>
  </si>
  <si>
    <t xml:space="preserve">JANDAS SAMPAIO ROCHA                    </t>
  </si>
  <si>
    <t xml:space="preserve">R AV. JOAO JAIME FERREIRA GOMES SN      </t>
  </si>
  <si>
    <t xml:space="preserve"> 88 99648-6109                                      </t>
  </si>
  <si>
    <t xml:space="preserve">    027.795.853-90</t>
  </si>
  <si>
    <t xml:space="preserve">BUTECO DO CHARLES                       </t>
  </si>
  <si>
    <t xml:space="preserve">JOSE CHARLES FREITAS VIDAL              </t>
  </si>
  <si>
    <t xml:space="preserve">R PRA NANINHA SN                        </t>
  </si>
  <si>
    <t xml:space="preserve"> PROX AO BAR DO BOA                     </t>
  </si>
  <si>
    <t xml:space="preserve">ANINGAS                                                     </t>
  </si>
  <si>
    <t xml:space="preserve"> 08 89964-6867                                      </t>
  </si>
  <si>
    <t xml:space="preserve">    658.584.921-34</t>
  </si>
  <si>
    <t xml:space="preserve">BAR DO GALLEGO                          </t>
  </si>
  <si>
    <t xml:space="preserve">ARAGAO JUNIOR ARAUJO                    </t>
  </si>
  <si>
    <t xml:space="preserve">R LUIZ JOAO DE FARIAS SN                </t>
  </si>
  <si>
    <t xml:space="preserve"> 08 89946-8685                                      </t>
  </si>
  <si>
    <t xml:space="preserve">    096.522.423-65</t>
  </si>
  <si>
    <t xml:space="preserve">MERCEARIA LIVIA BEL                     </t>
  </si>
  <si>
    <t xml:space="preserve">LIVIA CARVALHO ROCHA                    </t>
  </si>
  <si>
    <t xml:space="preserve">RUA RUA PADRE ODECIO 10000              </t>
  </si>
  <si>
    <t xml:space="preserve"> PROX AO PONTO DA AGUA                  </t>
  </si>
  <si>
    <t xml:space="preserve"> 08 89991-6347                                      </t>
  </si>
  <si>
    <t xml:space="preserve">    972.941.013-53</t>
  </si>
  <si>
    <t xml:space="preserve">PADARIA CARVALHO BE                     </t>
  </si>
  <si>
    <t xml:space="preserve">DAVY ARAUJO CARVALHO                    </t>
  </si>
  <si>
    <t xml:space="preserve">RUA RUA CAPITAO MIGUEL LOPES 765        </t>
  </si>
  <si>
    <t xml:space="preserve"> ESQUINA COM A RUA JOAO AMBROSI         </t>
  </si>
  <si>
    <t xml:space="preserve"> 08 89712-7698                                      </t>
  </si>
  <si>
    <t xml:space="preserve">    601.289.293-40</t>
  </si>
  <si>
    <t xml:space="preserve">BAR E MERC LA BELA                      </t>
  </si>
  <si>
    <t xml:space="preserve">MARIA LUZIRENE MORAIS                   </t>
  </si>
  <si>
    <t xml:space="preserve">RUA NICOLAU PEIXOTO 172                 </t>
  </si>
  <si>
    <t xml:space="preserve"> PROX AO BAR DO FIM DA LINHA            </t>
  </si>
  <si>
    <t xml:space="preserve"> 08 89960-4611                                      </t>
  </si>
  <si>
    <t xml:space="preserve">    926.779.593-72</t>
  </si>
  <si>
    <t xml:space="preserve">COMERCIAL MOISES BE                     </t>
  </si>
  <si>
    <t xml:space="preserve">FRANCISCO MOISES DA SILVA               </t>
  </si>
  <si>
    <t xml:space="preserve">RUA NOSSA SENHORA DE FATIMA 209         </t>
  </si>
  <si>
    <t xml:space="preserve"> PROX AO COMERCIAL SOUSA FAMILY         </t>
  </si>
  <si>
    <t xml:space="preserve"> 08 89925-6595                                      </t>
  </si>
  <si>
    <t>32.584.846/0001-02</t>
  </si>
  <si>
    <t xml:space="preserve">CARAVELAS CENTRO /                      </t>
  </si>
  <si>
    <t xml:space="preserve">ROBERLANDIA FABIANA SOUSA               </t>
  </si>
  <si>
    <t xml:space="preserve">AVE JOAO JAIME FERREIRA GOMES 214       </t>
  </si>
  <si>
    <t xml:space="preserve"> 88 99712-7405                                      </t>
  </si>
  <si>
    <t xml:space="preserve">    770.678.433-91</t>
  </si>
  <si>
    <t xml:space="preserve">A MAIS MERCANTIL LA                     </t>
  </si>
  <si>
    <t xml:space="preserve">CLAUDIA GESSIA DE VASCONCELOS           </t>
  </si>
  <si>
    <t xml:space="preserve">EST TREVO DO ARANAU 10000               </t>
  </si>
  <si>
    <t xml:space="preserve"> 11 95491-6544                                      </t>
  </si>
  <si>
    <t xml:space="preserve">    060.814.683-80</t>
  </si>
  <si>
    <t xml:space="preserve">MERC PR JURITIANHA                      </t>
  </si>
  <si>
    <t xml:space="preserve">MANOEL RODRIGO DA COSTA SILVEIRA        </t>
  </si>
  <si>
    <t xml:space="preserve">RUA LIVINO GRACIANO DA SILVEIRA 10000   </t>
  </si>
  <si>
    <t xml:space="preserve"> PROX AO COMERCIAL IVAN                 </t>
  </si>
  <si>
    <t xml:space="preserve"> 08 89913-9083                                      </t>
  </si>
  <si>
    <t xml:space="preserve">    814.154.353-91</t>
  </si>
  <si>
    <t xml:space="preserve">VW MERCADINHO LAGOA                     </t>
  </si>
  <si>
    <t xml:space="preserve">PEDRO JOSE DE MEDEIROS                  </t>
  </si>
  <si>
    <t xml:space="preserve">Rua LAGOA DO CARNEIRO 10000             </t>
  </si>
  <si>
    <t xml:space="preserve"> 08 89736-0491                                      </t>
  </si>
  <si>
    <t xml:space="preserve">    118.807.243-91</t>
  </si>
  <si>
    <t xml:space="preserve">RESTAURANTE FRANZE                      </t>
  </si>
  <si>
    <t xml:space="preserve">FRANCISCO JOSE DOS SANTOS               </t>
  </si>
  <si>
    <t xml:space="preserve"> PROX AO ZE NEUTON                      </t>
  </si>
  <si>
    <t xml:space="preserve"> 08 88107-5275                                      </t>
  </si>
  <si>
    <t xml:space="preserve">    769.904.003-15</t>
  </si>
  <si>
    <t xml:space="preserve">RESTAURANTE SABOR DO                    </t>
  </si>
  <si>
    <t xml:space="preserve">IVAN CARLOS RICARDO                     </t>
  </si>
  <si>
    <t xml:space="preserve">Rua Rua: ESPRAIADO 10000                </t>
  </si>
  <si>
    <t xml:space="preserve"> DO LADO DA IGREJA                      </t>
  </si>
  <si>
    <t xml:space="preserve"> 08 89657-8662                                      </t>
  </si>
  <si>
    <t xml:space="preserve">    050.076.083-78</t>
  </si>
  <si>
    <t xml:space="preserve">BAR DO DIDEUS CORRE                     </t>
  </si>
  <si>
    <t xml:space="preserve">JOSE DEUS DE ARAUJO                     </t>
  </si>
  <si>
    <t xml:space="preserve">EST CORREGO DO SAO FRANCISCO 10000      </t>
  </si>
  <si>
    <t xml:space="preserve">CORREGO SAO FRANCISCO                                       </t>
  </si>
  <si>
    <t xml:space="preserve"> 08 89728-0274                                      </t>
  </si>
  <si>
    <t>08.496.048/0001-44</t>
  </si>
  <si>
    <t xml:space="preserve">COMERCIAL POPULAR C                     </t>
  </si>
  <si>
    <t xml:space="preserve">COMERCIAL POPULAR DE ALIMENTOS EIRELI   </t>
  </si>
  <si>
    <t xml:space="preserve">R EZEQUIEL VASCNCELOS SN                </t>
  </si>
  <si>
    <t xml:space="preserve"> PROXIMO A RODOVIARIA                   </t>
  </si>
  <si>
    <t xml:space="preserve"> 08 58724-0634                                      </t>
  </si>
  <si>
    <t xml:space="preserve">    830.886.443-00</t>
  </si>
  <si>
    <t xml:space="preserve">MERC MARCOS DO ORACI                    </t>
  </si>
  <si>
    <t xml:space="preserve">MARCOS ANTONIO ARAUJO                   </t>
  </si>
  <si>
    <t xml:space="preserve">Rua Rua: PV LAGOA DO CANEMA 10000       </t>
  </si>
  <si>
    <t xml:space="preserve"> DEPOIS DO SABOR DO INTERIOR            </t>
  </si>
  <si>
    <t xml:space="preserve"> 08 88189-9801                                      </t>
  </si>
  <si>
    <t xml:space="preserve">    898.941.463-68</t>
  </si>
  <si>
    <t xml:space="preserve">MERCADINHO E PERFUMA                    </t>
  </si>
  <si>
    <t xml:space="preserve">MARIA ERINEIDE PINTO                    </t>
  </si>
  <si>
    <t xml:space="preserve">VIL ST CAJUEIRINHO 10000                </t>
  </si>
  <si>
    <t xml:space="preserve"> PROXIMO AO COLEGIO                     </t>
  </si>
  <si>
    <t xml:space="preserve"> 08 89663-6624                                      </t>
  </si>
  <si>
    <t xml:space="preserve">    863.392.653-91</t>
  </si>
  <si>
    <t xml:space="preserve">PIZZARIA BELEM BELE                     </t>
  </si>
  <si>
    <t xml:space="preserve">TONHINHO MUNIZ DA COSTA                 </t>
  </si>
  <si>
    <t xml:space="preserve">VIL BELEM 10000                         </t>
  </si>
  <si>
    <t xml:space="preserve">BELEM                                                       </t>
  </si>
  <si>
    <t xml:space="preserve"> 08 89969-3251                                      </t>
  </si>
  <si>
    <t xml:space="preserve">    287.828.168-32</t>
  </si>
  <si>
    <t xml:space="preserve">MERCADINHO CARLINHOS                    </t>
  </si>
  <si>
    <t xml:space="preserve">JOAO EDCARLOS DA SILVA MUNIZ            </t>
  </si>
  <si>
    <t xml:space="preserve">R RUA FRANCISCO PEREIRA,00355 SN        </t>
  </si>
  <si>
    <t xml:space="preserve"> VIZINHO MANOEL DA NASA                 </t>
  </si>
  <si>
    <t xml:space="preserve"> 08 89870-4233                                      </t>
  </si>
  <si>
    <t>37.331.561/0001-83</t>
  </si>
  <si>
    <t xml:space="preserve">MERCADINHO RM CORRE                     </t>
  </si>
  <si>
    <t xml:space="preserve">RAFAEL DE FREITAS MOURA 05422342380     </t>
  </si>
  <si>
    <t xml:space="preserve"> 88 99684-8023                                      </t>
  </si>
  <si>
    <t xml:space="preserve">    700.481.503-04</t>
  </si>
  <si>
    <t xml:space="preserve">MERC LUIS CARLOS IL                     </t>
  </si>
  <si>
    <t xml:space="preserve">LUIZ CARLOS DE SOUSA                    </t>
  </si>
  <si>
    <t xml:space="preserve"> 88 99964-8181                                      </t>
  </si>
  <si>
    <t xml:space="preserve">    984.862.093-15</t>
  </si>
  <si>
    <t xml:space="preserve">MARIA ROSELANDIA SILVEIRA               </t>
  </si>
  <si>
    <t xml:space="preserve">R BAHIA SN                              </t>
  </si>
  <si>
    <t xml:space="preserve"> PROXIMO AO CLAUDIO                     </t>
  </si>
  <si>
    <t xml:space="preserve">BAHIA                                                       </t>
  </si>
  <si>
    <t xml:space="preserve">    080.729.183-89</t>
  </si>
  <si>
    <t xml:space="preserve">GIGA BYTE GENIPAPE                      </t>
  </si>
  <si>
    <t xml:space="preserve">PEDRO EMANUEL SOUSA COSTA               </t>
  </si>
  <si>
    <t xml:space="preserve">R ZONA RURAL SN                         </t>
  </si>
  <si>
    <t xml:space="preserve">    111.447.503-34</t>
  </si>
  <si>
    <t xml:space="preserve">BAR DO MELADINHO CE                     </t>
  </si>
  <si>
    <t xml:space="preserve">JOAO BATISTA FONTENELLE                 </t>
  </si>
  <si>
    <t xml:space="preserve">RUA JOSE JULIO LOUZADA 38               </t>
  </si>
  <si>
    <t xml:space="preserve"> 88 99614-6026                                      </t>
  </si>
  <si>
    <t>03.375.337/0001-71</t>
  </si>
  <si>
    <t xml:space="preserve">FRANCISCO EDINARDO DE VASCONCELOS       </t>
  </si>
  <si>
    <t xml:space="preserve">Rua AV VOLUNTARIOS DA PATRIA 1152       </t>
  </si>
  <si>
    <t xml:space="preserve"> AO LADO DO CVT                         </t>
  </si>
  <si>
    <t xml:space="preserve"> 88 99951-6607                                      </t>
  </si>
  <si>
    <t xml:space="preserve">    070.764.813-08</t>
  </si>
  <si>
    <t xml:space="preserve">MERC DO NARCELIO CO                     </t>
  </si>
  <si>
    <t xml:space="preserve">JOSE NARCELIO DO NASCIMENTO             </t>
  </si>
  <si>
    <t xml:space="preserve">EST CORREGO DA ROLA 10000               </t>
  </si>
  <si>
    <t xml:space="preserve">CORREGO DA ROLA                                             </t>
  </si>
  <si>
    <t xml:space="preserve"> 08 89999-2127                                      </t>
  </si>
  <si>
    <t xml:space="preserve">    075.453.583-50</t>
  </si>
  <si>
    <t xml:space="preserve">IMPERIO DAS BEBIDAS                     </t>
  </si>
  <si>
    <t xml:space="preserve">JOSE ALENCAR ROCHA                      </t>
  </si>
  <si>
    <t xml:space="preserve">R RUA 21 DE ABRIL 101                   </t>
  </si>
  <si>
    <t xml:space="preserve"> OFICINA DO BASTIaO                     </t>
  </si>
  <si>
    <t xml:space="preserve"> 88 99990-0054                                      </t>
  </si>
  <si>
    <t xml:space="preserve">    040.546.153-41</t>
  </si>
  <si>
    <t xml:space="preserve">COMERCIO DO GERLIANO                    </t>
  </si>
  <si>
    <t xml:space="preserve">FRANCISCO GERLIANO ARAUJO               </t>
  </si>
  <si>
    <t xml:space="preserve">LGA LAGOA DO MATO SN                    </t>
  </si>
  <si>
    <t xml:space="preserve"> PROXIMO AO BECO DA IGREJA SAO          </t>
  </si>
  <si>
    <t xml:space="preserve"> 08 89967-1861                                      </t>
  </si>
  <si>
    <t xml:space="preserve">    261.593.738-38</t>
  </si>
  <si>
    <t xml:space="preserve">LUCIA DOS SANTOS LINHARES               </t>
  </si>
  <si>
    <t xml:space="preserve">RUA VOLTA DO RIO 10000                  </t>
  </si>
  <si>
    <t xml:space="preserve"> PROXIMO A BARRACA ESTRELA DO M         </t>
  </si>
  <si>
    <t xml:space="preserve"> 88 98144-4212                                      </t>
  </si>
  <si>
    <t xml:space="preserve">    980.489.373-87</t>
  </si>
  <si>
    <t xml:space="preserve">BAR DO TAITI MIRIND                     </t>
  </si>
  <si>
    <t xml:space="preserve">MARIA DO SOCORRO DO NASCIMENTO          </t>
  </si>
  <si>
    <t xml:space="preserve">RUA ESTRADA DA MIRINDIBA 10000          </t>
  </si>
  <si>
    <t xml:space="preserve"> 08 88139-3537                                      </t>
  </si>
  <si>
    <t xml:space="preserve">    054.128.343-02</t>
  </si>
  <si>
    <t xml:space="preserve">BAR DO RICARDO TRE                      </t>
  </si>
  <si>
    <t xml:space="preserve">PAULO RICARDO BRANDAO                   </t>
  </si>
  <si>
    <t xml:space="preserve">TRV TREVO DO ARANAU 10000               </t>
  </si>
  <si>
    <t xml:space="preserve"> PROX AO LANCHONETE JERI                </t>
  </si>
  <si>
    <t xml:space="preserve"> 88 89604-5707                                      </t>
  </si>
  <si>
    <t>33.055.467/0001-98</t>
  </si>
  <si>
    <t xml:space="preserve">PONTO DA PANELADA                       </t>
  </si>
  <si>
    <t xml:space="preserve">JOSE IVAN SOUZA 55651569391             </t>
  </si>
  <si>
    <t xml:space="preserve">RUA FRANCISCO DAS CHAGAS SILVEIRA 185   </t>
  </si>
  <si>
    <t xml:space="preserve"> 08 89980-4213                                      </t>
  </si>
  <si>
    <t xml:space="preserve">    045.222.163-35</t>
  </si>
  <si>
    <t xml:space="preserve">MERC NOSSA SENHORA A                    </t>
  </si>
  <si>
    <t xml:space="preserve">REGINA ANGELA DE MARIA                  </t>
  </si>
  <si>
    <t xml:space="preserve">RUA RUA NSA DE FATIMA 23                </t>
  </si>
  <si>
    <t xml:space="preserve"> PROX AO VEREADOR ZE ARTUR              </t>
  </si>
  <si>
    <t xml:space="preserve"> 08 89746-4923                                      </t>
  </si>
  <si>
    <t xml:space="preserve">    614.127.553-28</t>
  </si>
  <si>
    <t xml:space="preserve">MERC LIDERANCA BURI                     </t>
  </si>
  <si>
    <t xml:space="preserve">MARIA JAMILLY FREITAS                   </t>
  </si>
  <si>
    <t xml:space="preserve">R RUA SDO 1180                          </t>
  </si>
  <si>
    <t xml:space="preserve"> BURITI                                 </t>
  </si>
  <si>
    <t xml:space="preserve"> 88 99694-6489                                      </t>
  </si>
  <si>
    <t>36.997.485/0001-87</t>
  </si>
  <si>
    <t xml:space="preserve">MERCANTIL CASTELHANO                    </t>
  </si>
  <si>
    <t xml:space="preserve">R BIBIANO LOURENCO 10                   </t>
  </si>
  <si>
    <t xml:space="preserve"> DEPOIS DO POINT DA GALERA              </t>
  </si>
  <si>
    <t xml:space="preserve">CASTELHANO                                                  </t>
  </si>
  <si>
    <t xml:space="preserve">JIJOCA DE JERICOACOARA        </t>
  </si>
  <si>
    <t>62.598-000</t>
  </si>
  <si>
    <t xml:space="preserve"> 88 98153-4770                                      </t>
  </si>
  <si>
    <t>35.991.475/0001-71</t>
  </si>
  <si>
    <t xml:space="preserve">ARENAS BIL CERAMIC                      </t>
  </si>
  <si>
    <t xml:space="preserve">GERLAN LIMA DA COSTA08302567337         </t>
  </si>
  <si>
    <t xml:space="preserve">R RUA DA CERAMICA 10000                 </t>
  </si>
  <si>
    <t xml:space="preserve"> PROXIMO A ESCOLA                       </t>
  </si>
  <si>
    <t xml:space="preserve">CERAMICA                                                    </t>
  </si>
  <si>
    <t xml:space="preserve"> 88 89969-6450                                      </t>
  </si>
  <si>
    <t xml:space="preserve">    283.465.248-11</t>
  </si>
  <si>
    <t xml:space="preserve">BAR DA LULU CORREGO                     </t>
  </si>
  <si>
    <t xml:space="preserve">CARLOS ALBERTO DE FREITAS               </t>
  </si>
  <si>
    <t xml:space="preserve">VIA CORREGO DAS VARAS 10000             </t>
  </si>
  <si>
    <t xml:space="preserve"> 08 89959-8257                                      </t>
  </si>
  <si>
    <t xml:space="preserve">    731.718.323-72</t>
  </si>
  <si>
    <t xml:space="preserve">DEPOSITO MAIS BARATO                    </t>
  </si>
  <si>
    <t xml:space="preserve">JOSE DE PAULO ROCHA                     </t>
  </si>
  <si>
    <t xml:space="preserve">Rua RUA DOM VALFRIDO 164                </t>
  </si>
  <si>
    <t xml:space="preserve"> 88 99607-1349                                      </t>
  </si>
  <si>
    <t xml:space="preserve">    078.618.103-64</t>
  </si>
  <si>
    <t xml:space="preserve">MERCADINHO NOSSA SEN                    </t>
  </si>
  <si>
    <t xml:space="preserve">CARLOS YURI PENHA                       </t>
  </si>
  <si>
    <t xml:space="preserve">RUA AGRIPINO BIAS DA SILVEIRA 10000     </t>
  </si>
  <si>
    <t xml:space="preserve"> 08 89688-6165                                      </t>
  </si>
  <si>
    <t xml:space="preserve">    737.955.003-97</t>
  </si>
  <si>
    <t xml:space="preserve">ARANAU BEBIDAS ARAN                     </t>
  </si>
  <si>
    <t xml:space="preserve">EDMUNDO EDSON SILVEIRA                  </t>
  </si>
  <si>
    <t xml:space="preserve">SIT SITIO CARRAPATERIAS SN              </t>
  </si>
  <si>
    <t xml:space="preserve">CARRAPATEIRAS                                               </t>
  </si>
  <si>
    <t xml:space="preserve"> 88 89740-2324                                      </t>
  </si>
  <si>
    <t xml:space="preserve">    037.166.233-85</t>
  </si>
  <si>
    <t xml:space="preserve">COLISEU CRUZ                            </t>
  </si>
  <si>
    <t xml:space="preserve">JOSE EDSON SOUSA                        </t>
  </si>
  <si>
    <t xml:space="preserve">R RUA GETULIO VARGAS 51                 </t>
  </si>
  <si>
    <t xml:space="preserve"> PROX AO JOAO DE BARRO                  </t>
  </si>
  <si>
    <t xml:space="preserve"> 88 98129-2689                                      </t>
  </si>
  <si>
    <t xml:space="preserve">    260.618.358-41</t>
  </si>
  <si>
    <t xml:space="preserve">ARAPUCAS BAR LAGOA                      </t>
  </si>
  <si>
    <t xml:space="preserve">JOAO EDVALSON BRANDAO                   </t>
  </si>
  <si>
    <t xml:space="preserve">EST ESTRADA PARA O ARANAU 10000         </t>
  </si>
  <si>
    <t xml:space="preserve"> PROXIMO AO MERCANTIL A                 </t>
  </si>
  <si>
    <t xml:space="preserve"> 08 89692-7025                                      </t>
  </si>
  <si>
    <t xml:space="preserve">    891.161.863-20</t>
  </si>
  <si>
    <t xml:space="preserve">GORDINHO REI DO BAIA                    </t>
  </si>
  <si>
    <t xml:space="preserve">MARIA DE FATIMA DE SOUSA                </t>
  </si>
  <si>
    <t xml:space="preserve">RUA CAP MIGUEL LOPES 1557               </t>
  </si>
  <si>
    <t xml:space="preserve"> ANTIGO LOM ,RUA DO OUTRO LAD           </t>
  </si>
  <si>
    <t xml:space="preserve"> 08 59665-5712                                      </t>
  </si>
  <si>
    <t xml:space="preserve">    025.975.123-55</t>
  </si>
  <si>
    <t xml:space="preserve">BAR DA FATINHA MORA                     </t>
  </si>
  <si>
    <t xml:space="preserve">MARIA DE FATIMA MOURA                   </t>
  </si>
  <si>
    <t xml:space="preserve">Rua RU MARIA DO SOCORRO RODRIGUES 10000 </t>
  </si>
  <si>
    <t xml:space="preserve"> PROX AO BAR DO VALDECI                 </t>
  </si>
  <si>
    <t xml:space="preserve"> 08 89932-9296                                      </t>
  </si>
  <si>
    <t xml:space="preserve">    087.455.503-52</t>
  </si>
  <si>
    <t xml:space="preserve">MERC DO POVO BELA C                     </t>
  </si>
  <si>
    <t xml:space="preserve">LUIZ FERNANDO VASCONCELOS               </t>
  </si>
  <si>
    <t xml:space="preserve">RUA RUA GABRIEL VASCONCELOS 10000       </t>
  </si>
  <si>
    <t xml:space="preserve"> PROX AO CHAGAS                         </t>
  </si>
  <si>
    <t xml:space="preserve"> 88 99968-5743                                      </t>
  </si>
  <si>
    <t xml:space="preserve">    984.397.583-91</t>
  </si>
  <si>
    <t xml:space="preserve">PANORAMA BEER CRUZ                      </t>
  </si>
  <si>
    <t xml:space="preserve">ROSELI VASCONCELOS DO NASCIMENTO        </t>
  </si>
  <si>
    <t xml:space="preserve"> PROX AO MERC FEIJAO                    </t>
  </si>
  <si>
    <t xml:space="preserve"> 08 89608-4002                                      </t>
  </si>
  <si>
    <t xml:space="preserve">    157.488.118-39</t>
  </si>
  <si>
    <t xml:space="preserve">BAR DO AROLDO CRUZ                      </t>
  </si>
  <si>
    <t xml:space="preserve">AROLDO DE AZEVEDO ARAUJO                </t>
  </si>
  <si>
    <t xml:space="preserve">RUA RUA LUIS JOAO DE FARIAS 191         </t>
  </si>
  <si>
    <t xml:space="preserve"> PROXIMO AO DEPOSITO ZERO GRA           </t>
  </si>
  <si>
    <t xml:space="preserve"> 08 89909-8704                                      </t>
  </si>
  <si>
    <t xml:space="preserve">    163.398.158-47</t>
  </si>
  <si>
    <t xml:space="preserve">LANCHAO DA MADRUGADA                    </t>
  </si>
  <si>
    <t xml:space="preserve">EDSON MUNIZ NASCIMENTO                  </t>
  </si>
  <si>
    <t xml:space="preserve">RUA TRAVESSA SETE DE SETEMBRO 10000     </t>
  </si>
  <si>
    <t xml:space="preserve"> AO LADO DA PANIFICADORA CEAREN         </t>
  </si>
  <si>
    <t xml:space="preserve"> 08 89736-2802                                      </t>
  </si>
  <si>
    <t xml:space="preserve">    023.483.383-19</t>
  </si>
  <si>
    <t xml:space="preserve">BAR DA MARIAZINHA A                     </t>
  </si>
  <si>
    <t xml:space="preserve">MARIA DOS NAVEGANTES DOS SANTOS SOUSA   </t>
  </si>
  <si>
    <t xml:space="preserve">R RUA VEREADOR RAIMUNDO COSTA SN        </t>
  </si>
  <si>
    <t xml:space="preserve"> PROXIMO AO COMERCIO DO GASPA           </t>
  </si>
  <si>
    <t xml:space="preserve"> 08 89866-9699                                      </t>
  </si>
  <si>
    <t>39.270.881/0001-04</t>
  </si>
  <si>
    <t xml:space="preserve">MANGO BAR LAGOA SAL                     </t>
  </si>
  <si>
    <t xml:space="preserve">NORBERTO SILVA LIMA 03056962382         </t>
  </si>
  <si>
    <t xml:space="preserve"> 88 99752-6303                                      </t>
  </si>
  <si>
    <t xml:space="preserve">    254.390.088-88</t>
  </si>
  <si>
    <t xml:space="preserve">MERC PARAIBA CORREG                     </t>
  </si>
  <si>
    <t xml:space="preserve">MARIA ERILENE MOTA                      </t>
  </si>
  <si>
    <t xml:space="preserve">RUA CORREGUINHO DO MUNIZ 10000          </t>
  </si>
  <si>
    <t xml:space="preserve"> PROX POSTO DE SAUDE                    </t>
  </si>
  <si>
    <t xml:space="preserve"> 08 89606-3900                                      </t>
  </si>
  <si>
    <t>12.249.578/0001-65</t>
  </si>
  <si>
    <t xml:space="preserve">REST JOAO DE BARRO                      </t>
  </si>
  <si>
    <t xml:space="preserve">MARIA CLEIDINEIA DE ARAUJO              </t>
  </si>
  <si>
    <t xml:space="preserve">RUA RUA MIGUEL INACIO 250               </t>
  </si>
  <si>
    <t xml:space="preserve"> PROX AO COLISEU                        </t>
  </si>
  <si>
    <t xml:space="preserve"> 88 99979-2336                                      </t>
  </si>
  <si>
    <t xml:space="preserve">    071.706.743-27</t>
  </si>
  <si>
    <t xml:space="preserve">MERCADINHO ELIAS AR                     </t>
  </si>
  <si>
    <t xml:space="preserve">ELIAS NATANAEL FREITAS                  </t>
  </si>
  <si>
    <t xml:space="preserve">R Rua: ST AROEIRA 10000                 </t>
  </si>
  <si>
    <t xml:space="preserve"> AO LADO DA IGREJA DE A                 </t>
  </si>
  <si>
    <t xml:space="preserve"> 88 89954-8814                                      </t>
  </si>
  <si>
    <t xml:space="preserve">    046.915.353-90</t>
  </si>
  <si>
    <t xml:space="preserve">POUSADA E MERCADINHO                    </t>
  </si>
  <si>
    <t xml:space="preserve">TIARA PATRICIA DE PAULO                 </t>
  </si>
  <si>
    <t xml:space="preserve"> 88 99810-3585                                      </t>
  </si>
  <si>
    <t xml:space="preserve">    735.007.473-53</t>
  </si>
  <si>
    <t xml:space="preserve">BARRACA O NEL ARPOE                     </t>
  </si>
  <si>
    <t xml:space="preserve">JOSE NILSON DOS SANTOS                  </t>
  </si>
  <si>
    <t xml:space="preserve">RUA ARPOEIRAS 2                         </t>
  </si>
  <si>
    <t xml:space="preserve"> 88 99634-6632                                      </t>
  </si>
  <si>
    <t xml:space="preserve">    647.761.823-00</t>
  </si>
  <si>
    <t xml:space="preserve">DEP DA LIVRAMENTO                       </t>
  </si>
  <si>
    <t xml:space="preserve">MARIA DO LIVRAMENTO SILVEIRA            </t>
  </si>
  <si>
    <t xml:space="preserve">R RUA DA PAZ 00001 SN                   </t>
  </si>
  <si>
    <t xml:space="preserve"> EM FRENTE A DANCETERIA R3              </t>
  </si>
  <si>
    <t xml:space="preserve"> 08 88152-3589                                      </t>
  </si>
  <si>
    <t xml:space="preserve">    600.770.793-88</t>
  </si>
  <si>
    <t xml:space="preserve">MERCADINHO JD CRUZ                      </t>
  </si>
  <si>
    <t xml:space="preserve">LUZIA DANIELLE ALVES RIOS               </t>
  </si>
  <si>
    <t xml:space="preserve">RUA JOSE LUCIO 1056                     </t>
  </si>
  <si>
    <t xml:space="preserve"> PROX AO BAR DA LORA                    </t>
  </si>
  <si>
    <t xml:space="preserve"> 08 89953-0740                                      </t>
  </si>
  <si>
    <t xml:space="preserve">    147.377.588-41</t>
  </si>
  <si>
    <t xml:space="preserve">MERC PONTE MOLHADA                      </t>
  </si>
  <si>
    <t xml:space="preserve">JOSE ALDENI DO NASCIMENTO               </t>
  </si>
  <si>
    <t xml:space="preserve">RUA Rua: RUA CELSO PATRICIO 165         </t>
  </si>
  <si>
    <t xml:space="preserve"> PROX A PONTE MOLHADA                   </t>
  </si>
  <si>
    <t xml:space="preserve"> 88 99650-3089                                      </t>
  </si>
  <si>
    <t xml:space="preserve">    263.062.713-68</t>
  </si>
  <si>
    <t xml:space="preserve">DEP GERALDO PIA ARA                     </t>
  </si>
  <si>
    <t xml:space="preserve">MARIA EDVIRGENS MENDES ROCHA            </t>
  </si>
  <si>
    <t xml:space="preserve">RUA ARANAU 10000                        </t>
  </si>
  <si>
    <t xml:space="preserve"> PROX AO MERCADINHO ROCHA               </t>
  </si>
  <si>
    <t xml:space="preserve"> 08 89916-4025                                      </t>
  </si>
  <si>
    <t xml:space="preserve">    926.786.703-25</t>
  </si>
  <si>
    <t xml:space="preserve">DEPOSITO GERALDINHO                     </t>
  </si>
  <si>
    <t xml:space="preserve">GERALDO EDMILSON FREITAS JUNIOR         </t>
  </si>
  <si>
    <t xml:space="preserve">R CE 182 1                              </t>
  </si>
  <si>
    <t xml:space="preserve">MONTEIROS                                                   </t>
  </si>
  <si>
    <t xml:space="preserve"> 88 89636-5345                                      </t>
  </si>
  <si>
    <t xml:space="preserve">    362.443.923-53</t>
  </si>
  <si>
    <t xml:space="preserve">MERCADINHO GIFONE A                     </t>
  </si>
  <si>
    <t xml:space="preserve">JOSE GIFONE RIOS NETO                   </t>
  </si>
  <si>
    <t xml:space="preserve">Rua RUA DR FRANCISCO ODEON SILVA 10000  </t>
  </si>
  <si>
    <t xml:space="preserve"> EM FRENTE A SUBESTACAO ELETR           </t>
  </si>
  <si>
    <t xml:space="preserve"> 08 89775-2393                                      </t>
  </si>
  <si>
    <t>39.769.748/0001-99</t>
  </si>
  <si>
    <t xml:space="preserve">BARRACA O MESSIAS A                     </t>
  </si>
  <si>
    <t xml:space="preserve">SILVERLANDIA PEIXOTO PEREIRA            </t>
  </si>
  <si>
    <t xml:space="preserve">EST ARPOEIRAS 1                         </t>
  </si>
  <si>
    <t xml:space="preserve"> 88 99705-8437                                      </t>
  </si>
  <si>
    <t>39.908.431/0001-96</t>
  </si>
  <si>
    <t xml:space="preserve">BARRACA DEON DA PRAI                    </t>
  </si>
  <si>
    <t xml:space="preserve">MANOEL ODEON FONTENELE FILHO            </t>
  </si>
  <si>
    <t xml:space="preserve">EST ARPOEIRAS 4                         </t>
  </si>
  <si>
    <t xml:space="preserve"> 88 98149-3466                                      </t>
  </si>
  <si>
    <t>38.072.158/0001-40</t>
  </si>
  <si>
    <t xml:space="preserve">BAR E TABACARIA SMOK                    </t>
  </si>
  <si>
    <t>ALEX SANDRO DO NASCIMENTO PEREIRA 037385</t>
  </si>
  <si>
    <t xml:space="preserve">R RUA VEREADOR MUNDICO MARTINS SN       </t>
  </si>
  <si>
    <t xml:space="preserve"> 88 99797-2385                                      </t>
  </si>
  <si>
    <t xml:space="preserve">    963.680.393-53</t>
  </si>
  <si>
    <t xml:space="preserve">MERCADINHO BOA OPCAO                    </t>
  </si>
  <si>
    <t xml:space="preserve">ELANE RIBEIRO DOS SANTOS ROCHA          </t>
  </si>
  <si>
    <t xml:space="preserve"> PROX AO RAINHA DO VALE                 </t>
  </si>
  <si>
    <t xml:space="preserve"> 08 89933-2753                                      </t>
  </si>
  <si>
    <t xml:space="preserve">    151.265.498-12</t>
  </si>
  <si>
    <t xml:space="preserve">LANCH DO TIM POCO D                     </t>
  </si>
  <si>
    <t xml:space="preserve">JOSE EGILSON BRANDAO                    </t>
  </si>
  <si>
    <t xml:space="preserve">R POCO DOCE SN                          </t>
  </si>
  <si>
    <t xml:space="preserve"> PROXIMO A FABRICA DE CAJU              </t>
  </si>
  <si>
    <t xml:space="preserve"> 08 89836-9720                                      </t>
  </si>
  <si>
    <t xml:space="preserve">    020.748.613-11</t>
  </si>
  <si>
    <t xml:space="preserve">MERCADINHO DO AGESSO                    </t>
  </si>
  <si>
    <t xml:space="preserve">MARIA CHIRLIANE MENESES SILVEIRA        </t>
  </si>
  <si>
    <t xml:space="preserve"> 88 99614-5932                                      </t>
  </si>
  <si>
    <t xml:space="preserve">    055.451.623-30</t>
  </si>
  <si>
    <t xml:space="preserve">BAR DA LOURA TUCUNS                     </t>
  </si>
  <si>
    <t xml:space="preserve">MARIA ELIANE VASCONCELOS                </t>
  </si>
  <si>
    <t xml:space="preserve">R TUCUNS SN                             </t>
  </si>
  <si>
    <t xml:space="preserve"> PROX A IGREJA E O CALCAMENTO N         </t>
  </si>
  <si>
    <t xml:space="preserve"> 08 89615-1334                                      </t>
  </si>
  <si>
    <t xml:space="preserve">    057.550.483-80</t>
  </si>
  <si>
    <t xml:space="preserve">COMERCIAL TEM DE TUD                    </t>
  </si>
  <si>
    <t xml:space="preserve">RAQUEL ARAUJO DA SILVA                  </t>
  </si>
  <si>
    <t xml:space="preserve"> 88 99834-8850                                      </t>
  </si>
  <si>
    <t xml:space="preserve">    058.368.053-42</t>
  </si>
  <si>
    <t xml:space="preserve">ADEGA JUSTINO CRUZ                      </t>
  </si>
  <si>
    <t xml:space="preserve">EVERARDO EDSON DE VASCONCELOS           </t>
  </si>
  <si>
    <t xml:space="preserve">R JUSTINO MUNIZ SN                      </t>
  </si>
  <si>
    <t xml:space="preserve"> PROXIO AO PARQUE DE VAQUEJADA          </t>
  </si>
  <si>
    <t xml:space="preserve"> 08 89762-2606                                      </t>
  </si>
  <si>
    <t xml:space="preserve">    046.532.843-18</t>
  </si>
  <si>
    <t xml:space="preserve">MERCADINHO DO DAMIA                     </t>
  </si>
  <si>
    <t xml:space="preserve">MARIA ELIANE REIS                       </t>
  </si>
  <si>
    <t xml:space="preserve">R RUA JOSE ANICETO SALES 170            </t>
  </si>
  <si>
    <t xml:space="preserve"> VIZINHO A CASA DO VALMI                </t>
  </si>
  <si>
    <t xml:space="preserve"> 88 89773-2077                                      </t>
  </si>
  <si>
    <t xml:space="preserve">    014.338.863-08</t>
  </si>
  <si>
    <t xml:space="preserve">MERCADINHO JG ACUD                      </t>
  </si>
  <si>
    <t xml:space="preserve">JOSE ANAILTON DE SOUSA                  </t>
  </si>
  <si>
    <t xml:space="preserve">R RUA PADRE JOSE ARTEIRO SN             </t>
  </si>
  <si>
    <t xml:space="preserve"> 08 89691-9919                                      </t>
  </si>
  <si>
    <t xml:space="preserve">    040.135.133-58</t>
  </si>
  <si>
    <t xml:space="preserve">FABIO DO ESPETO MOR                     </t>
  </si>
  <si>
    <t xml:space="preserve">FRANCISCO FABIO SANTANA GREGORIO        </t>
  </si>
  <si>
    <t xml:space="preserve">Rua VOLUNTARIOS DA PATRIA 3390          </t>
  </si>
  <si>
    <t xml:space="preserve"> PROX AO BAR DO GENIVAL                 </t>
  </si>
  <si>
    <t xml:space="preserve"> 08 89793-4067                                      </t>
  </si>
  <si>
    <t xml:space="preserve">    011.329.803-05</t>
  </si>
  <si>
    <t xml:space="preserve">MERCADINHO DO NOCA                      </t>
  </si>
  <si>
    <t xml:space="preserve">JOSE HELIO DOS SANTOS GOMES             </t>
  </si>
  <si>
    <t xml:space="preserve">VIL VILA MOURA 10000                    </t>
  </si>
  <si>
    <t xml:space="preserve"> PROX AO MERC JOAO                      </t>
  </si>
  <si>
    <t xml:space="preserve"> 08 89817-4882                                      </t>
  </si>
  <si>
    <t xml:space="preserve">    014.322.323-20</t>
  </si>
  <si>
    <t xml:space="preserve">PONTO G MOTEL ALMEC                     </t>
  </si>
  <si>
    <t xml:space="preserve">GEOVANIO SILVEIRA SILVA                 </t>
  </si>
  <si>
    <t xml:space="preserve"> PROX AO MERC JACINTA                   </t>
  </si>
  <si>
    <t xml:space="preserve"> 08 89918-6070                                      </t>
  </si>
  <si>
    <t xml:space="preserve">    072.245.233-05</t>
  </si>
  <si>
    <t xml:space="preserve">RESTAURANTE KERO                        </t>
  </si>
  <si>
    <t xml:space="preserve">EMANOEL TOBIAS VASCONCELOS              </t>
  </si>
  <si>
    <t xml:space="preserve">RUA ZONA RURAL 10000                    </t>
  </si>
  <si>
    <t xml:space="preserve"> PROXIMO BALNEARIO DEL                  </t>
  </si>
  <si>
    <t xml:space="preserve"> 08 89683-6266                                      </t>
  </si>
  <si>
    <t xml:space="preserve">    038.001.163-83</t>
  </si>
  <si>
    <t xml:space="preserve">MERCEARIA SE TU UMA                     </t>
  </si>
  <si>
    <t xml:space="preserve">JOSE LIVRAMENTO OLIVEIRA                </t>
  </si>
  <si>
    <t xml:space="preserve">Rua NOSSA SENHORA DE FATIMA 10000       </t>
  </si>
  <si>
    <t xml:space="preserve"> PROX AO MERC NOSSA SENHORA             </t>
  </si>
  <si>
    <t xml:space="preserve"> 08 89946-3071                                      </t>
  </si>
  <si>
    <t xml:space="preserve">    041.141.103-99</t>
  </si>
  <si>
    <t xml:space="preserve">MR BEER BELA CRUZ                       </t>
  </si>
  <si>
    <t xml:space="preserve">LEANDRO SILVEIRA BRANDAO                </t>
  </si>
  <si>
    <t xml:space="preserve">R ANICETO PINTO VASCONCELOS 172         </t>
  </si>
  <si>
    <t xml:space="preserve"> 88 98175-2137                                      </t>
  </si>
  <si>
    <t>32.880.751/0001-36</t>
  </si>
  <si>
    <t xml:space="preserve">FARMACIA CERTA CRUZ                     </t>
  </si>
  <si>
    <t xml:space="preserve">ITALO FERNANDO DUTRA DA MOTA            </t>
  </si>
  <si>
    <t xml:space="preserve">R RUA SETR DE SETEMBRO 116              </t>
  </si>
  <si>
    <t xml:space="preserve"> 88 89608-9258                                      </t>
  </si>
  <si>
    <t xml:space="preserve">    258.098.588-30</t>
  </si>
  <si>
    <t xml:space="preserve">BAR DO CLEILDOBELEM                     </t>
  </si>
  <si>
    <t xml:space="preserve">FRANCISCO CLEILDO ALBUQUERQUE           </t>
  </si>
  <si>
    <t xml:space="preserve">R ZONA RURAL 10000                      </t>
  </si>
  <si>
    <t xml:space="preserve"> PROXIMO AO COMERCIO DO Chico           </t>
  </si>
  <si>
    <t xml:space="preserve"> 88 99942-9343                                      </t>
  </si>
  <si>
    <t xml:space="preserve">    283.663.103-10</t>
  </si>
  <si>
    <t xml:space="preserve">BARRACA DO NONATO A                     </t>
  </si>
  <si>
    <t xml:space="preserve">RAIMUNDO NONATO RODRIGUES               </t>
  </si>
  <si>
    <t xml:space="preserve">R R JOAO TOME 1                         </t>
  </si>
  <si>
    <t xml:space="preserve"> 88 98172-2720                                      </t>
  </si>
  <si>
    <t xml:space="preserve">    040.735.653-38</t>
  </si>
  <si>
    <t xml:space="preserve">PONTO DA TAPIOCA PA                     </t>
  </si>
  <si>
    <t xml:space="preserve">JOSE ELDO PEREIRA                       </t>
  </si>
  <si>
    <t xml:space="preserve">Rua ZONA RURAL 10000                    </t>
  </si>
  <si>
    <t xml:space="preserve"> PROXIMO AO PISTO DE SAUDE              </t>
  </si>
  <si>
    <t xml:space="preserve"> 08 89985-3515                                      </t>
  </si>
  <si>
    <t xml:space="preserve">    600.776.923-22</t>
  </si>
  <si>
    <t xml:space="preserve">MERCADINHO SAO PEDRO                    </t>
  </si>
  <si>
    <t xml:space="preserve">FRANCISCO JOSE RODRIGUES DO NASCIMENTO  </t>
  </si>
  <si>
    <t xml:space="preserve">RUA LAGOA SALGADA 10000                 </t>
  </si>
  <si>
    <t xml:space="preserve"> PROXIMO A IGREJA SAO PEDRO             </t>
  </si>
  <si>
    <t xml:space="preserve"> 08 89907-7981                                      </t>
  </si>
  <si>
    <t xml:space="preserve">    020.149.453-14</t>
  </si>
  <si>
    <t xml:space="preserve">ROCK VARIEDADES JUR                     </t>
  </si>
  <si>
    <t xml:space="preserve">JOSE EDNALDO ALVES NASCIMENTO           </t>
  </si>
  <si>
    <t xml:space="preserve">R JURITIANHA 10000                      </t>
  </si>
  <si>
    <t xml:space="preserve"> PROX AO MERC RAIPO                     </t>
  </si>
  <si>
    <t xml:space="preserve"> 88 89716-1577                                      </t>
  </si>
  <si>
    <t xml:space="preserve">SEG/DOM/                    </t>
  </si>
  <si>
    <t xml:space="preserve">    174.316.893-49</t>
  </si>
  <si>
    <t xml:space="preserve">MERCADINHO O IVO AC                     </t>
  </si>
  <si>
    <t xml:space="preserve">GLAUCIA MARIA DA SILVEIRA RODRIGUES     </t>
  </si>
  <si>
    <t xml:space="preserve">R RUA GENERAL HUMBERTO MOURA SN         </t>
  </si>
  <si>
    <t xml:space="preserve"> 08 89830-0377                                      </t>
  </si>
  <si>
    <t xml:space="preserve">    025.282.913-10</t>
  </si>
  <si>
    <t xml:space="preserve">BAR DA PANELADA                         </t>
  </si>
  <si>
    <t xml:space="preserve">JOSE VALBERTO DE SOUSA                  </t>
  </si>
  <si>
    <t xml:space="preserve">R IMBE 0001                             </t>
  </si>
  <si>
    <t xml:space="preserve"> EM FRENTE O GELADAO DELIV              </t>
  </si>
  <si>
    <t xml:space="preserve"> 88 98896-8856                                      </t>
  </si>
  <si>
    <t xml:space="preserve">    886.266.523-72</t>
  </si>
  <si>
    <t xml:space="preserve">ESPETINHO DO GEISON                     </t>
  </si>
  <si>
    <t xml:space="preserve">MARIA ALEUDA ALVES DA COSTA             </t>
  </si>
  <si>
    <t xml:space="preserve">Rua RUA JOSE ANASTACIO FONTELES 40      </t>
  </si>
  <si>
    <t xml:space="preserve"> PROXIMO A GRANJA DO RIBA               </t>
  </si>
  <si>
    <t xml:space="preserve"> 08 89632-5607                                      </t>
  </si>
  <si>
    <t xml:space="preserve">    091.450.903-94</t>
  </si>
  <si>
    <t xml:space="preserve">MERCADINHO DO FEIJAO                    </t>
  </si>
  <si>
    <t xml:space="preserve">FRANCISCO RIAN SILVA FONTINELE          </t>
  </si>
  <si>
    <t xml:space="preserve">R RUA PROJETADA 3 SN                    </t>
  </si>
  <si>
    <t xml:space="preserve"> ANTIGO MERCADINHO DO FEIJAO            </t>
  </si>
  <si>
    <t xml:space="preserve">TIADOSIO                                                    </t>
  </si>
  <si>
    <t xml:space="preserve"> 08 89712-5971                                      </t>
  </si>
  <si>
    <t xml:space="preserve">    600.832.523-04</t>
  </si>
  <si>
    <t xml:space="preserve">MERC DO ODECIO CRUZ                     </t>
  </si>
  <si>
    <t xml:space="preserve">ODECIO JOAO DO NASCIMENTO FILHO         </t>
  </si>
  <si>
    <t xml:space="preserve">RUA RUA EZEQUIEL VASCONCELOS 289        </t>
  </si>
  <si>
    <t xml:space="preserve"> PROX AO MERC DENILSON                  </t>
  </si>
  <si>
    <t xml:space="preserve"> 08 89668-9497                                      </t>
  </si>
  <si>
    <t xml:space="preserve">    046.807.363-99</t>
  </si>
  <si>
    <t xml:space="preserve">BAR DO GAGO CAITITU                     </t>
  </si>
  <si>
    <t xml:space="preserve">FRANCISCO GILDENE DE SOUSA              </t>
  </si>
  <si>
    <t xml:space="preserve">R CAITITU 10000                         </t>
  </si>
  <si>
    <t xml:space="preserve"> 88 99650-8555                                      </t>
  </si>
  <si>
    <t>41.920.350/0001-53</t>
  </si>
  <si>
    <t xml:space="preserve">MERC LOHANA CAJUEIR                     </t>
  </si>
  <si>
    <t xml:space="preserve">MARIA ALINE DE FREITAS 02205435345      </t>
  </si>
  <si>
    <t xml:space="preserve"> PROXIMO AO DEPOSITO DO CARLINH         </t>
  </si>
  <si>
    <t xml:space="preserve"> 08 89980-0333                                      </t>
  </si>
  <si>
    <t xml:space="preserve">    070.519.403-50</t>
  </si>
  <si>
    <t xml:space="preserve">BARRACA RAIMUNDO DA                     </t>
  </si>
  <si>
    <t xml:space="preserve">FERNANDA CAROLINE MIRANDA FONTENELE     </t>
  </si>
  <si>
    <t xml:space="preserve">RUA ARPOEIRAS 8                         </t>
  </si>
  <si>
    <t xml:space="preserve"> 08 89741-9246                                      </t>
  </si>
  <si>
    <t xml:space="preserve">    061.796.183-21</t>
  </si>
  <si>
    <t xml:space="preserve">BAR DOS PLAY BOYS P                     </t>
  </si>
  <si>
    <t xml:space="preserve">EVALDO MARQUES DE VASCONCELOS           </t>
  </si>
  <si>
    <t xml:space="preserve"> 08 89925-5797                                      </t>
  </si>
  <si>
    <t xml:space="preserve">    079.201.203-81</t>
  </si>
  <si>
    <t xml:space="preserve">DEP CARLINHOS CAJUE                     </t>
  </si>
  <si>
    <t xml:space="preserve">PALLOMA DE FATIMA MORAES PINTO          </t>
  </si>
  <si>
    <t xml:space="preserve">R BR CAJUERINHO SN                      </t>
  </si>
  <si>
    <t xml:space="preserve"> ENTRADA AEROPORTO                      </t>
  </si>
  <si>
    <t xml:space="preserve"> 08 88978-6782                                      </t>
  </si>
  <si>
    <t xml:space="preserve">    542.358.043-91</t>
  </si>
  <si>
    <t xml:space="preserve">BAR DO OLINTO SAO J                     </t>
  </si>
  <si>
    <t xml:space="preserve">JOSE OLINTO SILVA                       </t>
  </si>
  <si>
    <t xml:space="preserve">R SAO JOSE SN                           </t>
  </si>
  <si>
    <t xml:space="preserve"> 08 89603-0394                                      </t>
  </si>
  <si>
    <t>42.014.866/0001-00</t>
  </si>
  <si>
    <t xml:space="preserve">MERC E PANIF FREITAS                    </t>
  </si>
  <si>
    <t xml:space="preserve">LUIS FILYPE VASCONCELOS FREITAS         </t>
  </si>
  <si>
    <t xml:space="preserve">R RUA MIGUEL ARCANJO MENESES SN         </t>
  </si>
  <si>
    <t xml:space="preserve"> 88 88135-2221                                      </t>
  </si>
  <si>
    <t xml:space="preserve">    046.326.443-66</t>
  </si>
  <si>
    <t xml:space="preserve">BAR DO CACOTE CAUAS                     </t>
  </si>
  <si>
    <t xml:space="preserve">JOEL DA SILVA ALVES                     </t>
  </si>
  <si>
    <t xml:space="preserve">R CAUASSU SN                            </t>
  </si>
  <si>
    <t xml:space="preserve"> 08 89918-2009                                      </t>
  </si>
  <si>
    <t xml:space="preserve">    077.768.523-09</t>
  </si>
  <si>
    <t xml:space="preserve">TOK BEBIDAS BELA CR                     </t>
  </si>
  <si>
    <t xml:space="preserve">PEDRO HENRIQUE MORAES ARAUJO            </t>
  </si>
  <si>
    <t xml:space="preserve">R RUA SAO VICENTE SN                    </t>
  </si>
  <si>
    <t xml:space="preserve"> AO LADO DA TOK laser                   </t>
  </si>
  <si>
    <t xml:space="preserve"> 08 89712-6889                                      </t>
  </si>
  <si>
    <t xml:space="preserve">    366.079.593-34</t>
  </si>
  <si>
    <t xml:space="preserve">MERCADINHO DO MARCIA                    </t>
  </si>
  <si>
    <t xml:space="preserve">MARCIANO MARQUES DA SILVA               </t>
  </si>
  <si>
    <t>Rua RUA VEREADOR RAIMUNDO SILVEIRA BASTO</t>
  </si>
  <si>
    <t xml:space="preserve"> PROX AO MINI BAR                       </t>
  </si>
  <si>
    <t xml:space="preserve"> 08 89947-4167                                      </t>
  </si>
  <si>
    <t>42.697.017/0001-90</t>
  </si>
  <si>
    <t xml:space="preserve">MERC O NETO VOLTA D                     </t>
  </si>
  <si>
    <t>RAIMUNDO GOMES DE SOUSA NETO 01179641358</t>
  </si>
  <si>
    <t xml:space="preserve"> 08 89868-3929                                      </t>
  </si>
  <si>
    <t>25.207.236/0001-24</t>
  </si>
  <si>
    <t xml:space="preserve">SAVANAS LANCHES ACA                     </t>
  </si>
  <si>
    <t xml:space="preserve">CARLOS CESAR MORAES ME                  </t>
  </si>
  <si>
    <t xml:space="preserve">RUA JOSE JULIO LOUZADA 225              </t>
  </si>
  <si>
    <t xml:space="preserve"> 08 89640-8784                                      </t>
  </si>
  <si>
    <t xml:space="preserve">    416.560.913-72</t>
  </si>
  <si>
    <t xml:space="preserve">MERCEARIA VO DICA                       </t>
  </si>
  <si>
    <t xml:space="preserve">MARCOS ANTONIO FURTADO                  </t>
  </si>
  <si>
    <t xml:space="preserve">R CAMPO NOVO 1310                       </t>
  </si>
  <si>
    <t xml:space="preserve"> PROXIMO A IGREJA BATISTA               </t>
  </si>
  <si>
    <t xml:space="preserve">CAMPO NOVO                                                  </t>
  </si>
  <si>
    <t xml:space="preserve"> 88 99851-8245                                      </t>
  </si>
  <si>
    <t xml:space="preserve">    424.421.413-53</t>
  </si>
  <si>
    <t xml:space="preserve">ESPACO PAIXAO ACARA                     </t>
  </si>
  <si>
    <t xml:space="preserve">MARIA RIBAMAR HOLANDA DA SILVA          </t>
  </si>
  <si>
    <t xml:space="preserve">Rua RUA DR NEWTON TEOFILO GONCALVES770  </t>
  </si>
  <si>
    <t xml:space="preserve"> PROXIMO A CASA DO NONATINHO            </t>
  </si>
  <si>
    <t xml:space="preserve"> 08 89916-2652                                      </t>
  </si>
  <si>
    <t xml:space="preserve">    062.434.353-77</t>
  </si>
  <si>
    <t xml:space="preserve">MASSARANDUBA BAR C                      </t>
  </si>
  <si>
    <t xml:space="preserve">FRANCISCO MARCELO CRUZ                  </t>
  </si>
  <si>
    <t xml:space="preserve">R MUNDOCA MUNIZ SN                      </t>
  </si>
  <si>
    <t xml:space="preserve"> PROXIMO AO MERCATIL ML                 </t>
  </si>
  <si>
    <t xml:space="preserve"> 08 89940-6587                                      </t>
  </si>
  <si>
    <t xml:space="preserve">    613.854.273-88</t>
  </si>
  <si>
    <t xml:space="preserve">MERCADINHO DO URI A                     </t>
  </si>
  <si>
    <t xml:space="preserve">CYNTHIA ROCHA RODRIGUES                 </t>
  </si>
  <si>
    <t xml:space="preserve">RUA RUA DOM ALUIZIO 10000               </t>
  </si>
  <si>
    <t xml:space="preserve"> PROX AO BOM PRECO DO IVAN              </t>
  </si>
  <si>
    <t xml:space="preserve"> 08 88113-5775                                      </t>
  </si>
  <si>
    <t xml:space="preserve">    052.348.283-36</t>
  </si>
  <si>
    <t xml:space="preserve">BUTECO DADI ARANAU                      </t>
  </si>
  <si>
    <t xml:space="preserve">DIERLY PESSOA SILVA                     </t>
  </si>
  <si>
    <t xml:space="preserve">R Thomas Eronderson 1                   </t>
  </si>
  <si>
    <t xml:space="preserve"> Prox ao mercantil do Rau               </t>
  </si>
  <si>
    <t xml:space="preserve"> 88 98105-9819                                      </t>
  </si>
  <si>
    <t xml:space="preserve">    512.603.873-72</t>
  </si>
  <si>
    <t xml:space="preserve">BAR DA DONA RITA DO                     </t>
  </si>
  <si>
    <t xml:space="preserve">RITA FAUSTA DA SILVA                    </t>
  </si>
  <si>
    <t xml:space="preserve">Rua RUA MANOEL LOUSADA 2252             </t>
  </si>
  <si>
    <t xml:space="preserve"> PROX AO ACUDE                          </t>
  </si>
  <si>
    <t xml:space="preserve">MONGUBAS                                                    </t>
  </si>
  <si>
    <t xml:space="preserve"> 08 89953-0374                                      </t>
  </si>
  <si>
    <t xml:space="preserve">    084.368.363-59</t>
  </si>
  <si>
    <t xml:space="preserve">MERC NIVARDO ESPINH                     </t>
  </si>
  <si>
    <t xml:space="preserve">JOSE DIEGO DO NASCIMENTO                </t>
  </si>
  <si>
    <t xml:space="preserve">R ESPINHOS SN                           </t>
  </si>
  <si>
    <t xml:space="preserve"> PROXIMO AO CAMPO DE FUTEBOL            </t>
  </si>
  <si>
    <t xml:space="preserve">ESPINHOS                                                    </t>
  </si>
  <si>
    <t xml:space="preserve"> 08 89735-5300                                      </t>
  </si>
  <si>
    <t xml:space="preserve">    072.791.103-12</t>
  </si>
  <si>
    <t xml:space="preserve">POINT DO PASTEL ARA                     </t>
  </si>
  <si>
    <t xml:space="preserve">MARIA DE JESUS VASCONCELOS              </t>
  </si>
  <si>
    <t xml:space="preserve">LGA LAGOA DE FORA SN                    </t>
  </si>
  <si>
    <t xml:space="preserve"> 88 99917-6929                                      </t>
  </si>
  <si>
    <t>40.372.789/0001-26</t>
  </si>
  <si>
    <t xml:space="preserve">RESTAURANTE BRASA BR                    </t>
  </si>
  <si>
    <t>SILVIA MARIA ALBUQUERQUE COM. DE ALIMENT</t>
  </si>
  <si>
    <t xml:space="preserve">R RUA CAPITAO DIOGO LOPES SN            </t>
  </si>
  <si>
    <t xml:space="preserve"> PROX AO POINT DO ANJINHO               </t>
  </si>
  <si>
    <t xml:space="preserve"> 08 89976-7617                                      </t>
  </si>
  <si>
    <t xml:space="preserve">    770.144.723-72</t>
  </si>
  <si>
    <t xml:space="preserve">MERCANTIL PEDRO PAIN                    </t>
  </si>
  <si>
    <t xml:space="preserve">PEDRO FERREIRA CRUZ                     </t>
  </si>
  <si>
    <t xml:space="preserve">LGA LAGOA DA VOLTA SN                   </t>
  </si>
  <si>
    <t xml:space="preserve"> PROX AO MERC COMPANHEIRO               </t>
  </si>
  <si>
    <t xml:space="preserve"> 08 89600-8108                                      </t>
  </si>
  <si>
    <t xml:space="preserve">    063.132.623-52</t>
  </si>
  <si>
    <t xml:space="preserve">MERCADINHO LAGOA GRA                    </t>
  </si>
  <si>
    <t xml:space="preserve">CARLOS ROBERTO DE ARAUJO NASCIMENTO     </t>
  </si>
  <si>
    <t xml:space="preserve"> PROXIMO AO COMERCIO DO ERONILD         </t>
  </si>
  <si>
    <t xml:space="preserve"> 08 89971-3295                                      </t>
  </si>
  <si>
    <t xml:space="preserve">    054.290.773-99</t>
  </si>
  <si>
    <t xml:space="preserve">CASA DO LANCHE TUCU                     </t>
  </si>
  <si>
    <t xml:space="preserve">ALAN ALBUQUERQUE MONTEIRO               </t>
  </si>
  <si>
    <t xml:space="preserve">RUA AV. TENENTE ALBANO 883              </t>
  </si>
  <si>
    <t xml:space="preserve"> 08 89615-7460                                      </t>
  </si>
  <si>
    <t>43.072.824/0001-80</t>
  </si>
  <si>
    <t xml:space="preserve">BAR CARNAUBAL CLUB                      </t>
  </si>
  <si>
    <t>JOSE RIBAMAR BARBOSA DE CARVALHO 3837618</t>
  </si>
  <si>
    <t xml:space="preserve">Rua LAGOA DO CANEMA 10000               </t>
  </si>
  <si>
    <t xml:space="preserve"> 08 89818-7420                                      </t>
  </si>
  <si>
    <t xml:space="preserve">    646.742.743-20</t>
  </si>
  <si>
    <t xml:space="preserve">RK FRUTAS CRUZ                          </t>
  </si>
  <si>
    <t xml:space="preserve">ANDRESON GLEISSON DO NASCIMENTO         </t>
  </si>
  <si>
    <t xml:space="preserve">R MONSENHOR SABINO SN                   </t>
  </si>
  <si>
    <t xml:space="preserve"> 08 89607-2544                                      </t>
  </si>
  <si>
    <t xml:space="preserve">    902.056.183-91</t>
  </si>
  <si>
    <t xml:space="preserve">MERC KEVINA BELA C                      </t>
  </si>
  <si>
    <t xml:space="preserve">MAILA MEIRILANE DA COSTA                </t>
  </si>
  <si>
    <t xml:space="preserve">RUA AV JOSE MILTON DE OLIVEIRA 820      </t>
  </si>
  <si>
    <t xml:space="preserve"> DEPOIS DO ACONCHEGO DO LOM             </t>
  </si>
  <si>
    <t xml:space="preserve"> 08 59850-0620                                      </t>
  </si>
  <si>
    <t>01.771.720/0001-13</t>
  </si>
  <si>
    <t xml:space="preserve">MERCADINHO O ODAIR                      </t>
  </si>
  <si>
    <t xml:space="preserve">ODAIR JOSE DE PAULO                     </t>
  </si>
  <si>
    <t xml:space="preserve">R MACAJUBA SN                           </t>
  </si>
  <si>
    <t xml:space="preserve"> 08 89727-7027                                      </t>
  </si>
  <si>
    <t>42.983.574/0001-77</t>
  </si>
  <si>
    <t xml:space="preserve">CLUBE DA NILCE ACAR                     </t>
  </si>
  <si>
    <t xml:space="preserve">MARIA NILCE DOS SANTOS 50118161334      </t>
  </si>
  <si>
    <t xml:space="preserve">RUA RUA JOSE MONTEIRO DE MELO 744       </t>
  </si>
  <si>
    <t xml:space="preserve"> 08 89635-2906                                      </t>
  </si>
  <si>
    <t xml:space="preserve">    258.891.298-21</t>
  </si>
  <si>
    <t xml:space="preserve">JE REFEICOES MORADA                     </t>
  </si>
  <si>
    <t xml:space="preserve">JOAO BATISTA DOS SANTOS                 </t>
  </si>
  <si>
    <t xml:space="preserve">Rua AV PADRE ANTONIO TOMAZ 116          </t>
  </si>
  <si>
    <t xml:space="preserve"> AO LADO DO GIFONY                      </t>
  </si>
  <si>
    <t xml:space="preserve"> 08 89815-6372                                      </t>
  </si>
  <si>
    <t xml:space="preserve">    028.193.593-96</t>
  </si>
  <si>
    <t xml:space="preserve">MERCATTO LIDER IR C                     </t>
  </si>
  <si>
    <t xml:space="preserve">ISRAEL ALVES DE OLIVEIRA                </t>
  </si>
  <si>
    <t xml:space="preserve">Rua RUA DO LIONS 867                    </t>
  </si>
  <si>
    <t xml:space="preserve"> PROX AO MERC IVO                       </t>
  </si>
  <si>
    <t xml:space="preserve"> 08 89738-1611                                      </t>
  </si>
  <si>
    <t xml:space="preserve">    075.794.773-51</t>
  </si>
  <si>
    <t xml:space="preserve">BAR DOS LISOS LAGOA                     </t>
  </si>
  <si>
    <t xml:space="preserve">FRANCISCO GUSTAVO ALVES                 </t>
  </si>
  <si>
    <t xml:space="preserve"> PROXIMO AO GONZAGA                     </t>
  </si>
  <si>
    <t xml:space="preserve"> 08 89231-7345                                      </t>
  </si>
  <si>
    <t xml:space="preserve">    082.679.068-27</t>
  </si>
  <si>
    <t xml:space="preserve">TORRE BAR LAGOA DA                      </t>
  </si>
  <si>
    <t xml:space="preserve">JOSE EDMILSON DE VASCONCELOS            </t>
  </si>
  <si>
    <t xml:space="preserve">RUA LAGOA DA VOLTA 10000                </t>
  </si>
  <si>
    <t xml:space="preserve">LAGOA DA VOLTA                                              </t>
  </si>
  <si>
    <t xml:space="preserve"> 01 18615-9156                                      </t>
  </si>
  <si>
    <t xml:space="preserve">    010.359.123-09</t>
  </si>
  <si>
    <t xml:space="preserve">MERCADINHO ENTHONY                      </t>
  </si>
  <si>
    <t xml:space="preserve">EDMUNDO RIBEIRO CRUZ                    </t>
  </si>
  <si>
    <t xml:space="preserve"> PROX A ESCOLA                          </t>
  </si>
  <si>
    <t xml:space="preserve"> 08 88135-1209                                      </t>
  </si>
  <si>
    <t xml:space="preserve">    569.416.253-68</t>
  </si>
  <si>
    <t xml:space="preserve">MERCEARIA ELIETE CE                     </t>
  </si>
  <si>
    <t xml:space="preserve">MARIA ELIETE RIBEIRO ANDRADE            </t>
  </si>
  <si>
    <t xml:space="preserve">AV AVENIDA JOAOA JAIME FERREIRA GSN     </t>
  </si>
  <si>
    <t xml:space="preserve"> em frente ao estadio                   </t>
  </si>
  <si>
    <t xml:space="preserve"> 08 89603-4655                                      </t>
  </si>
  <si>
    <t xml:space="preserve">    425.792.363-68</t>
  </si>
  <si>
    <t xml:space="preserve">CASA DO ESPETO LAGO                     </t>
  </si>
  <si>
    <t xml:space="preserve">AGOSTINHO JOACILLO ANDRADE SANTOS       </t>
  </si>
  <si>
    <t xml:space="preserve"> PROXIMO AO BAR DO BETO                 </t>
  </si>
  <si>
    <t xml:space="preserve"> 88 98181-6674                                      </t>
  </si>
  <si>
    <t xml:space="preserve">    277.503.078-50</t>
  </si>
  <si>
    <t xml:space="preserve">BAR DO CAPITAO CRU                      </t>
  </si>
  <si>
    <t xml:space="preserve">ORZETE SOLON NASCIMENTO                 </t>
  </si>
  <si>
    <t xml:space="preserve">Rua SITIO DOS POCOS 10000               </t>
  </si>
  <si>
    <t xml:space="preserve">SITIO DOS POCOS                                             </t>
  </si>
  <si>
    <t xml:space="preserve"> 08 89925-2925                                      </t>
  </si>
  <si>
    <t xml:space="preserve">    024.847.943-12</t>
  </si>
  <si>
    <t xml:space="preserve">COCO BONGO BAR BEL                      </t>
  </si>
  <si>
    <t xml:space="preserve">ANTONIO CARLOS SOUSA                    </t>
  </si>
  <si>
    <t xml:space="preserve">R Rua: RUA CEARA SN                     </t>
  </si>
  <si>
    <t xml:space="preserve"> PROXIMO AO RECANTO KA ENTRE NO         </t>
  </si>
  <si>
    <t xml:space="preserve"> 08 89614-3396                                      </t>
  </si>
  <si>
    <t xml:space="preserve">    874.650.603-97</t>
  </si>
  <si>
    <t xml:space="preserve">MERC DO GELSON LAGO                     </t>
  </si>
  <si>
    <t xml:space="preserve">FRANCISCO GELSON ARAUJO                 </t>
  </si>
  <si>
    <t xml:space="preserve"> EXPEDITO SALVINO                       </t>
  </si>
  <si>
    <t xml:space="preserve"> 08 89752-0291                                      </t>
  </si>
  <si>
    <t xml:space="preserve">    933.748.793-49</t>
  </si>
  <si>
    <t xml:space="preserve">CHEZ SOCORRO RESTAUR                    </t>
  </si>
  <si>
    <t xml:space="preserve">MARIA DO SOCORRO ARAUJO DEFRACHI        </t>
  </si>
  <si>
    <t xml:space="preserve">RUA VILA PARAGUAI 10000                 </t>
  </si>
  <si>
    <t xml:space="preserve"> 08 88195-3698                                      </t>
  </si>
  <si>
    <t>45.059.892/0001-34</t>
  </si>
  <si>
    <t xml:space="preserve">MERCADINHO QUASE TUD                    </t>
  </si>
  <si>
    <t xml:space="preserve">MARIA ALTENICE ARAUJO 33031664809       </t>
  </si>
  <si>
    <t xml:space="preserve">Rua MORADA DOS VENTOS 302               </t>
  </si>
  <si>
    <t xml:space="preserve"> QUADRA 20 MORADA DOS VENTOS            </t>
  </si>
  <si>
    <t xml:space="preserve"> 01 18412-1848                                      </t>
  </si>
  <si>
    <t xml:space="preserve">    917.164.703-15</t>
  </si>
  <si>
    <t xml:space="preserve">CANTINHO VERDE SAGU                     </t>
  </si>
  <si>
    <t xml:space="preserve">MARIA ROSILENE DA SILVA                 </t>
  </si>
  <si>
    <t xml:space="preserve"> 08 89980-6316                                      </t>
  </si>
  <si>
    <t xml:space="preserve">    027.074.863-61</t>
  </si>
  <si>
    <t xml:space="preserve">DEP LA DANIEL SILVEI                    </t>
  </si>
  <si>
    <t xml:space="preserve">FRANCISCO DANIEL SILVEIRA               </t>
  </si>
  <si>
    <t xml:space="preserve">R DOM WALFRIDO SN                       </t>
  </si>
  <si>
    <t xml:space="preserve"> prox a Grutinha                        </t>
  </si>
  <si>
    <t xml:space="preserve"> 08 89734-9800                                      </t>
  </si>
  <si>
    <t>22.523.504/0001-29</t>
  </si>
  <si>
    <t xml:space="preserve">ZECA BAR BELA CRUZ                      </t>
  </si>
  <si>
    <t xml:space="preserve">JUNIOR SEZAR DE FREITAS                 </t>
  </si>
  <si>
    <t xml:space="preserve">R R JOSE LUDGERO DA SILVEIRA 148        </t>
  </si>
  <si>
    <t xml:space="preserve"> 88 89939-5887                                      </t>
  </si>
  <si>
    <t>45.253.741/0001-12</t>
  </si>
  <si>
    <t xml:space="preserve">CANGAIA RESTAURANTE                     </t>
  </si>
  <si>
    <t>CANGAIA RESTAURANTE BAR E HAPPY HOUR LTD</t>
  </si>
  <si>
    <t xml:space="preserve">ROD ZONA RURAL 10000                    </t>
  </si>
  <si>
    <t xml:space="preserve"> ROD CE 085 KM15                        </t>
  </si>
  <si>
    <t xml:space="preserve"> 01 19644-3146                                      </t>
  </si>
  <si>
    <t xml:space="preserve">    872.782.943-04</t>
  </si>
  <si>
    <t xml:space="preserve">SERGIO AUGUSTO DE ARAUJO                </t>
  </si>
  <si>
    <t xml:space="preserve">R CORREGUINHO SN                        </t>
  </si>
  <si>
    <t xml:space="preserve"> EM FRENTE A PRACA DA IGREJA            </t>
  </si>
  <si>
    <t xml:space="preserve"> 08 87400-6982                                      </t>
  </si>
  <si>
    <t xml:space="preserve">    075.436.913-70</t>
  </si>
  <si>
    <t xml:space="preserve">HOUSE DRINKS DISTRIB                    </t>
  </si>
  <si>
    <t xml:space="preserve">LEANDRO FREITAS VASCONCELOS             </t>
  </si>
  <si>
    <t xml:space="preserve">RUA VEREADOR MUNDICO MARTINS 8          </t>
  </si>
  <si>
    <t xml:space="preserve"> PROX A CLINICA DAS MOTOS               </t>
  </si>
  <si>
    <t xml:space="preserve"> 08 89910-5979                                      </t>
  </si>
  <si>
    <t xml:space="preserve">    059.109.393-60</t>
  </si>
  <si>
    <t xml:space="preserve">MERCADINHO DO CARLIN                    </t>
  </si>
  <si>
    <t xml:space="preserve">ANDREZA MAYARA DOS SANTOS MENESES       </t>
  </si>
  <si>
    <t xml:space="preserve">R RUA NEWTON T GONCALVES SN             </t>
  </si>
  <si>
    <t xml:space="preserve"> 08 89725-0276                                      </t>
  </si>
  <si>
    <t xml:space="preserve">    100.943.783-63</t>
  </si>
  <si>
    <t xml:space="preserve">ADEGA GELADAO LAGOA                     </t>
  </si>
  <si>
    <t xml:space="preserve">MARIO JANDER DA SILVEIRA ARAUJO         </t>
  </si>
  <si>
    <t xml:space="preserve">RUA LAGOA SECA 1000                     </t>
  </si>
  <si>
    <t xml:space="preserve"> 08 89807-2712                                      </t>
  </si>
  <si>
    <t xml:space="preserve">    860.042.983-87</t>
  </si>
  <si>
    <t xml:space="preserve">LA NOSTRA CASA CENT                     </t>
  </si>
  <si>
    <t xml:space="preserve">FRANCISCO GOMES NETO LIMA               </t>
  </si>
  <si>
    <t xml:space="preserve">R SANTO ANTONIO 1220                    </t>
  </si>
  <si>
    <t xml:space="preserve"> ANTIGA PIZZARIA LUNA                   </t>
  </si>
  <si>
    <t xml:space="preserve"> 11 16527-0549                                      </t>
  </si>
  <si>
    <t xml:space="preserve">    027.014.273-80</t>
  </si>
  <si>
    <t xml:space="preserve">DEPOSITO DO MICHEL                      </t>
  </si>
  <si>
    <t xml:space="preserve">MICHEL FLADIMIR NASCIMENTO              </t>
  </si>
  <si>
    <t xml:space="preserve">RUA RUA BERNARDINO ALBUQUERQUE 10000    </t>
  </si>
  <si>
    <t xml:space="preserve"> 08 89630-0007                                      </t>
  </si>
  <si>
    <t>46.786.583/0001-29</t>
  </si>
  <si>
    <t xml:space="preserve">MERCANTIL O CARLIN                      </t>
  </si>
  <si>
    <t xml:space="preserve">CARLOS NIVAN COSTA                      </t>
  </si>
  <si>
    <t xml:space="preserve">R TENENTE ALBANO SN                     </t>
  </si>
  <si>
    <t xml:space="preserve"> 88 89964-3597                                      </t>
  </si>
  <si>
    <t>22.474.322/0001-05</t>
  </si>
  <si>
    <t xml:space="preserve">MERCADINHO N S A CR                     </t>
  </si>
  <si>
    <t xml:space="preserve">JOAO MARCELO DUTRA 02590893388          </t>
  </si>
  <si>
    <t xml:space="preserve">R EZEQUIEL VASCONCELOS 1620             </t>
  </si>
  <si>
    <t xml:space="preserve"> 11 96444-1330                                      </t>
  </si>
  <si>
    <t>20.068.704/0001-03</t>
  </si>
  <si>
    <t xml:space="preserve">MERCADINHO UNIAO BE                     </t>
  </si>
  <si>
    <t xml:space="preserve">FLAVIA MARIA MORAES                     </t>
  </si>
  <si>
    <t xml:space="preserve">AV AV JOSE MILTON DE OLIVEIRA SN        </t>
  </si>
  <si>
    <t xml:space="preserve"> 88 99604-4702                                      </t>
  </si>
  <si>
    <t>11.022.508/0001-07</t>
  </si>
  <si>
    <t xml:space="preserve">PIZZARIA LA BELLA B                     </t>
  </si>
  <si>
    <t xml:space="preserve">ESFIHARIA E PIZZARIA LA BELLA LTDA.     </t>
  </si>
  <si>
    <t xml:space="preserve">R ANICETO PINTO 124                     </t>
  </si>
  <si>
    <t xml:space="preserve"> 11 98671-1472                                      </t>
  </si>
  <si>
    <t>49.565.420/0001-04</t>
  </si>
  <si>
    <t xml:space="preserve">ADEGA DO ADRIANO TU                     </t>
  </si>
  <si>
    <t xml:space="preserve">49.565.420 ADRIANO RIBEIRO DA SILVA     </t>
  </si>
  <si>
    <t xml:space="preserve">R Rua Alfredo Muniz SN                  </t>
  </si>
  <si>
    <t xml:space="preserve"> Tucuns                                 </t>
  </si>
  <si>
    <t xml:space="preserve"> 88 99715-4214                                      </t>
  </si>
  <si>
    <t xml:space="preserve">    040.680.043-07</t>
  </si>
  <si>
    <t xml:space="preserve">DIST MARQUES CRUZ                       </t>
  </si>
  <si>
    <t xml:space="preserve">MANOEL CLEITON SOUSA SILVA              </t>
  </si>
  <si>
    <t xml:space="preserve">R CORONEL TEIXEIRA PINTO SN             </t>
  </si>
  <si>
    <t xml:space="preserve"> PROX AO MK                             </t>
  </si>
  <si>
    <t xml:space="preserve"> 08 89928-5095                                      </t>
  </si>
  <si>
    <t xml:space="preserve">    026.928.343-99</t>
  </si>
  <si>
    <t xml:space="preserve">MERCADINHO FG CENTR                     </t>
  </si>
  <si>
    <t xml:space="preserve">FRANCISCO DE ASSIS FREITAS FERREIRA     </t>
  </si>
  <si>
    <t xml:space="preserve">AV AV JOAO JAIME FERREIRA GOMES SN      </t>
  </si>
  <si>
    <t xml:space="preserve"> EM FRENTE AO MERCADINHO AVENI          </t>
  </si>
  <si>
    <t xml:space="preserve"> 08 89252-6416                                      </t>
  </si>
  <si>
    <t>49.435.834/0001-19</t>
  </si>
  <si>
    <t xml:space="preserve">MERCEARIA ANTONIO AV                    </t>
  </si>
  <si>
    <t xml:space="preserve">ANTONIO MOREIRA DE SOUSA                </t>
  </si>
  <si>
    <t xml:space="preserve">RUA rua presidente Juscelino l 151      </t>
  </si>
  <si>
    <t>48.810.319/0001-09</t>
  </si>
  <si>
    <t xml:space="preserve">MERCADINHO RENAN CU                     </t>
  </si>
  <si>
    <t xml:space="preserve">RENAN JACKSON DO NASCIMENTO SILVA       </t>
  </si>
  <si>
    <t xml:space="preserve"> PROXIMO A PEIXARIA NAZION              </t>
  </si>
  <si>
    <t xml:space="preserve"> 08 89617-1106                                      </t>
  </si>
  <si>
    <t xml:space="preserve">    776.297.793-72</t>
  </si>
  <si>
    <t xml:space="preserve">GELADAO.COM DELIVERY                    </t>
  </si>
  <si>
    <t xml:space="preserve">Antonio Francisco de Sousa              </t>
  </si>
  <si>
    <t xml:space="preserve">RUA IMBE 1                              </t>
  </si>
  <si>
    <t xml:space="preserve"> em frente o Colegio                    </t>
  </si>
  <si>
    <t xml:space="preserve"> 08 89992-8509                                      </t>
  </si>
  <si>
    <t xml:space="preserve">    608.025.563-45</t>
  </si>
  <si>
    <t xml:space="preserve">GELADAO VZ BELA CRU                     </t>
  </si>
  <si>
    <t xml:space="preserve">Antonio carlos de freitas               </t>
  </si>
  <si>
    <t xml:space="preserve">RUA Rua Capitao minguel lopes 422       </t>
  </si>
  <si>
    <t xml:space="preserve"> proximo a plamovir                     </t>
  </si>
  <si>
    <t xml:space="preserve"> 00  0997-6832                                      </t>
  </si>
  <si>
    <t xml:space="preserve">    600.781.843-80</t>
  </si>
  <si>
    <t xml:space="preserve">MERC EVANDRO CANAFI                     </t>
  </si>
  <si>
    <t xml:space="preserve">FRANCISCA KATIANE SOBRINHO SILVEIRA     </t>
  </si>
  <si>
    <t xml:space="preserve">R Canafistula SN                        </t>
  </si>
  <si>
    <t xml:space="preserve"> Na entrada da canafistula              </t>
  </si>
  <si>
    <t xml:space="preserve">CANAFISTULA                                                 </t>
  </si>
  <si>
    <t xml:space="preserve">                                                    </t>
  </si>
  <si>
    <t xml:space="preserve">    456.992.913-34</t>
  </si>
  <si>
    <t xml:space="preserve">MERC SAO VICENTE AC                     </t>
  </si>
  <si>
    <t xml:space="preserve">MARIA DO SOCORRO MUNIZ                  </t>
  </si>
  <si>
    <t xml:space="preserve">AV AV JOSE MONTEIRO DE MELO SN          </t>
  </si>
  <si>
    <t xml:space="preserve"> AO LADO DO ACARAU BEBIDAS              </t>
  </si>
  <si>
    <t xml:space="preserve"> 08 89739-9418                                      </t>
  </si>
  <si>
    <t xml:space="preserve">    024.550.163-07</t>
  </si>
  <si>
    <t xml:space="preserve">ACARAU BEBIDAS ACAR                     </t>
  </si>
  <si>
    <t xml:space="preserve">JOSIANE OLIVEIRA DE MELO                </t>
  </si>
  <si>
    <t xml:space="preserve">AV AV VOLUNTARIOS DA PATRIA SN          </t>
  </si>
  <si>
    <t xml:space="preserve"> AO LADO MERCADINHO SAO VI              </t>
  </si>
  <si>
    <t xml:space="preserve"> 88 89643-8287                                      </t>
  </si>
  <si>
    <t xml:space="preserve">    936.061.413-00</t>
  </si>
  <si>
    <t xml:space="preserve">COMPRE BEM LAGOA D                      </t>
  </si>
  <si>
    <t xml:space="preserve">LUZIA DANIELLE                          </t>
  </si>
  <si>
    <t xml:space="preserve">LGA lagoa da volta SN                   </t>
  </si>
  <si>
    <t xml:space="preserve"> 08 88147-8268                                      </t>
  </si>
  <si>
    <t xml:space="preserve">    008.560.447-09</t>
  </si>
  <si>
    <t xml:space="preserve">BARBAS BAR CELSOLAN                     </t>
  </si>
  <si>
    <t xml:space="preserve">JORGE BERNARDO DA SILVA                 </t>
  </si>
  <si>
    <t xml:space="preserve"> 08 89651-2769                                      </t>
  </si>
  <si>
    <t xml:space="preserve">    029.584.293-85</t>
  </si>
  <si>
    <t xml:space="preserve">ESPETINHO DO LEONE                      </t>
  </si>
  <si>
    <t xml:space="preserve">LEONE RICARDO ALVES                     </t>
  </si>
  <si>
    <t xml:space="preserve">R RUA EDGAR SALES MOURA 1000            </t>
  </si>
  <si>
    <t xml:space="preserve"> VIZINHO A ESCOLA LEONETE BRAND         </t>
  </si>
  <si>
    <t xml:space="preserve"> 88 89856-2948                                      </t>
  </si>
  <si>
    <t>34.223.124/0001-58</t>
  </si>
  <si>
    <t xml:space="preserve">BAR DO CLEITON ARAT                     </t>
  </si>
  <si>
    <t xml:space="preserve">DEIWDCAIO IRINEU SOUSA                  </t>
  </si>
  <si>
    <t xml:space="preserve">RUA VILA ARATICUNS 600                  </t>
  </si>
  <si>
    <t xml:space="preserve"> PROXIMO AO ZE LIZEU                    </t>
  </si>
  <si>
    <t xml:space="preserve"> 00 99672-8913                                      </t>
  </si>
  <si>
    <t>50.122.821/0001-79</t>
  </si>
  <si>
    <t xml:space="preserve">SUPER LIDERANCA ATAC                    </t>
  </si>
  <si>
    <t xml:space="preserve">MARIO AUGUSTO NASCIMENTO DA ROCHA       </t>
  </si>
  <si>
    <t xml:space="preserve">R RUA EXPEDITO JOSE FARIAS SN           </t>
  </si>
  <si>
    <t xml:space="preserve"> 00 88963-1997                                      </t>
  </si>
  <si>
    <t xml:space="preserve">    059.481.543-60</t>
  </si>
  <si>
    <t xml:space="preserve">PONTO IDEAL LANCHES                     </t>
  </si>
  <si>
    <t xml:space="preserve">jerferson lucas muniz                   </t>
  </si>
  <si>
    <t xml:space="preserve">RUA Rua professor Fabiao 37 37          </t>
  </si>
  <si>
    <t xml:space="preserve"> proximo a nova opcao                   </t>
  </si>
  <si>
    <t xml:space="preserve">    915.640.853-68</t>
  </si>
  <si>
    <t xml:space="preserve">MERCANTIL OLIVIA TU                     </t>
  </si>
  <si>
    <t xml:space="preserve">Maria Olivia de Sousa                   </t>
  </si>
  <si>
    <t xml:space="preserve">RUA Rua Alfredo Muniz 303               </t>
  </si>
  <si>
    <t xml:space="preserve"> Comercio do Ermilde vereador           </t>
  </si>
  <si>
    <t xml:space="preserve"> 01 19896-2090                                      </t>
  </si>
  <si>
    <t>07.435.209/0001-27</t>
  </si>
  <si>
    <t xml:space="preserve">J M DA SILVEIRA JU                      </t>
  </si>
  <si>
    <t xml:space="preserve">J M DA SILVEIRA                         </t>
  </si>
  <si>
    <t xml:space="preserve">RUA PRACA DA MATRIZ 1000                </t>
  </si>
  <si>
    <t xml:space="preserve"> PROXIMO A IGREJA                       </t>
  </si>
  <si>
    <t xml:space="preserve"> 08 88104-6245                                      </t>
  </si>
  <si>
    <t xml:space="preserve">    828.280.243-34</t>
  </si>
  <si>
    <t xml:space="preserve">JM MERCADINHO CAUAS                     </t>
  </si>
  <si>
    <t xml:space="preserve">JOSE MARINALDO SILVA RODRIGUES          </t>
  </si>
  <si>
    <t xml:space="preserve">RUA CAUASSU RODAGEM 1000                </t>
  </si>
  <si>
    <t xml:space="preserve"> PROXIMO AO DEPOSITO DO JONAS           </t>
  </si>
  <si>
    <t xml:space="preserve"> 08 89780-9914                                      </t>
  </si>
  <si>
    <t xml:space="preserve">    059.363.483-77</t>
  </si>
  <si>
    <t xml:space="preserve">REST CASA CHEIA CR                      </t>
  </si>
  <si>
    <t xml:space="preserve">Francisco Silveira muniz neto           </t>
  </si>
  <si>
    <t xml:space="preserve">AVE Ruz cel teixeira pinto 5            </t>
  </si>
  <si>
    <t xml:space="preserve"> proximo ao trevo do sao franci         </t>
  </si>
  <si>
    <t xml:space="preserve">    087.852.373-10</t>
  </si>
  <si>
    <t xml:space="preserve">EMPORIO LANCHES BAR                     </t>
  </si>
  <si>
    <t xml:space="preserve">ANDRE CESAR VASCONCELOS CARLOTO         </t>
  </si>
  <si>
    <t xml:space="preserve">R Rua Francisco Amario Brandao SN       </t>
  </si>
  <si>
    <t xml:space="preserve"> Em frente ao bom preco                 </t>
  </si>
  <si>
    <t xml:space="preserve"> 88 98217-5557                                      </t>
  </si>
  <si>
    <t xml:space="preserve">    229.865.023-34</t>
  </si>
  <si>
    <t xml:space="preserve">DEP SAO JORGE BELA                      </t>
  </si>
  <si>
    <t xml:space="preserve">EVANDRO ADRIANO VASCONCELLOS            </t>
  </si>
  <si>
    <t xml:space="preserve">R PROFESSOR NICACIO SN                  </t>
  </si>
  <si>
    <t xml:space="preserve">SAO PAULO                                                   </t>
  </si>
  <si>
    <t xml:space="preserve"> 08 89816-9515                                      </t>
  </si>
  <si>
    <t xml:space="preserve">    295.429.248-28</t>
  </si>
  <si>
    <t xml:space="preserve">ESPETOS BAR CRUZ                        </t>
  </si>
  <si>
    <t xml:space="preserve">MARIA VANDA DUTRA                       </t>
  </si>
  <si>
    <t xml:space="preserve">TR Tr 07 de Setembro SN                 </t>
  </si>
  <si>
    <t xml:space="preserve"> Vz a padaria cearence                  </t>
  </si>
  <si>
    <t xml:space="preserve"> 08 89981-0042                                      </t>
  </si>
  <si>
    <t xml:space="preserve">    056.846.193-20</t>
  </si>
  <si>
    <t xml:space="preserve">SR GULA CRUZ                            </t>
  </si>
  <si>
    <t xml:space="preserve">LEIVANE HENRIQUE VASCONCELOS            </t>
  </si>
  <si>
    <t xml:space="preserve">R Rua Presidente Getulio Vargas SN      </t>
  </si>
  <si>
    <t xml:space="preserve"> Em Frente ao Coliseu                   </t>
  </si>
  <si>
    <t xml:space="preserve">    057.983.993-11</t>
  </si>
  <si>
    <t xml:space="preserve">MARIA IONE DE SOUSA                     </t>
  </si>
  <si>
    <t xml:space="preserve">MARIA IONE SOUSA                        </t>
  </si>
  <si>
    <t xml:space="preserve">R Marambaia 1                           </t>
  </si>
  <si>
    <t xml:space="preserve"> Em frente o porto                      </t>
  </si>
  <si>
    <t xml:space="preserve"> 88 98123-1655                                      </t>
  </si>
  <si>
    <t xml:space="preserve">    457.311.148-46</t>
  </si>
  <si>
    <t xml:space="preserve">COMERCIAL FLAVIO PR                     </t>
  </si>
  <si>
    <t xml:space="preserve">Ulysses Pereira Brandao                 </t>
  </si>
  <si>
    <t xml:space="preserve">RUA Prata 1                             </t>
  </si>
  <si>
    <t xml:space="preserve"> Flavio da Prata                        </t>
  </si>
  <si>
    <t xml:space="preserve"> 08 88147-2388                                      </t>
  </si>
  <si>
    <t xml:space="preserve">    290.818.958-50</t>
  </si>
  <si>
    <t xml:space="preserve">MERC FREITAS AROEIR                     </t>
  </si>
  <si>
    <t xml:space="preserve">OTACILIO JOSE DE FREITAS                </t>
  </si>
  <si>
    <t xml:space="preserve">R Aroeira 1                             </t>
  </si>
  <si>
    <t xml:space="preserve"> Ao lado da danceteria Bad              </t>
  </si>
  <si>
    <t xml:space="preserve"> 88 89807-9996                                      </t>
  </si>
  <si>
    <t xml:space="preserve">    641.146.273-91</t>
  </si>
  <si>
    <t xml:space="preserve">FERNANDO BEBIDAS A                      </t>
  </si>
  <si>
    <t xml:space="preserve">FERNANDO FLAVIO RIBEIRO DE FREITAS      </t>
  </si>
  <si>
    <t xml:space="preserve">Rua RUA NEWTON TEOFILO GONCALVES 418    </t>
  </si>
  <si>
    <t xml:space="preserve"> FERNANDO BEBIDAS                       </t>
  </si>
  <si>
    <t xml:space="preserve"> 08 59641-3710                                      </t>
  </si>
  <si>
    <t xml:space="preserve">    098.207.493-01</t>
  </si>
  <si>
    <t xml:space="preserve">DEP FREITAS BOM JE                      </t>
  </si>
  <si>
    <t xml:space="preserve">EDNEY MARQUES DA PENHA FREITAS          </t>
  </si>
  <si>
    <t xml:space="preserve">RUA BOM JESUS 1000                      </t>
  </si>
  <si>
    <t xml:space="preserve"> 08 89957-3363                                      </t>
  </si>
  <si>
    <t>50.936.630/0001-40</t>
  </si>
  <si>
    <t xml:space="preserve">BAR DO MACARRAO CR                      </t>
  </si>
  <si>
    <t xml:space="preserve">MARCELIO JOSE DE VASCONCELOS            </t>
  </si>
  <si>
    <t xml:space="preserve">R Rua mundinho costa SN                 </t>
  </si>
  <si>
    <t xml:space="preserve"> Proximo ao coliseu de lado do          </t>
  </si>
  <si>
    <t xml:space="preserve"> 08 89969-9274                                      </t>
  </si>
  <si>
    <t>50.894.090/0001-80</t>
  </si>
  <si>
    <t xml:space="preserve">MERC DO NETO JURITI                     </t>
  </si>
  <si>
    <t xml:space="preserve">JOSE SILMARIO AUGUSTO SILVEIRA          </t>
  </si>
  <si>
    <t>RUA RUA LIVINO GRACIACIANO DA SILVEIRA 1</t>
  </si>
  <si>
    <t xml:space="preserve"> 08 88117-7851                                      </t>
  </si>
  <si>
    <t xml:space="preserve">    890.864.143-20</t>
  </si>
  <si>
    <t xml:space="preserve">BOTECO AROEIRA AROE                     </t>
  </si>
  <si>
    <t xml:space="preserve">ANTONIO CLEITON ROCHA                   </t>
  </si>
  <si>
    <t xml:space="preserve"> PROXIMO A FABRICA DE CAST              </t>
  </si>
  <si>
    <t xml:space="preserve"> 11 18238-8107                                      </t>
  </si>
  <si>
    <t>50.644.520/0001-05</t>
  </si>
  <si>
    <t xml:space="preserve">PRIME PUB BAR PETIS                     </t>
  </si>
  <si>
    <t xml:space="preserve">PRIME PUB BAR E RESTAURANTE LTDA        </t>
  </si>
  <si>
    <t xml:space="preserve">V V PADRE ANTONIO TOMAS 2175            </t>
  </si>
  <si>
    <t xml:space="preserve"> VIZINHO O POSTO BAILARINA              </t>
  </si>
  <si>
    <t xml:space="preserve"> 88 89605-4639                                      </t>
  </si>
  <si>
    <t xml:space="preserve">    208.912.703-10</t>
  </si>
  <si>
    <t xml:space="preserve">MERC SAO RAIMUNDO C                     </t>
  </si>
  <si>
    <t xml:space="preserve">JOSE RAIMUNDO DE ARAUJO                 </t>
  </si>
  <si>
    <t xml:space="preserve">R RUA MIGUEL INACIO SN                  </t>
  </si>
  <si>
    <t xml:space="preserve"> PROXIMO AO COLISEU                     </t>
  </si>
  <si>
    <t xml:space="preserve">    035.008.913-22</t>
  </si>
  <si>
    <t xml:space="preserve">COMERCIO DO NETO BE                     </t>
  </si>
  <si>
    <t xml:space="preserve">Jose Osmar Ribeiro                      </t>
  </si>
  <si>
    <t xml:space="preserve">R Nicolau Pexoto 885                    </t>
  </si>
  <si>
    <t xml:space="preserve"> proximo o ermin                        </t>
  </si>
  <si>
    <t xml:space="preserve"> 88  9945-2811                                      </t>
  </si>
  <si>
    <t xml:space="preserve">    052.687.713-88</t>
  </si>
  <si>
    <t xml:space="preserve">MERC BOM PRECO MORA                     </t>
  </si>
  <si>
    <t xml:space="preserve">Antonia Valeria dos Santos              </t>
  </si>
  <si>
    <t xml:space="preserve">RUA Av voluntarios da patria 3220       </t>
  </si>
  <si>
    <t xml:space="preserve"> Proximo ao polo                        </t>
  </si>
  <si>
    <t xml:space="preserve"> 08 89995-4755                                      </t>
  </si>
  <si>
    <t xml:space="preserve">    076.921.163-18</t>
  </si>
  <si>
    <t xml:space="preserve">MERCADINHO E DEPOSIT                    </t>
  </si>
  <si>
    <t xml:space="preserve">FRANCISCO JOEL DO NASCIMENTO            </t>
  </si>
  <si>
    <t xml:space="preserve">Rua RUA DEP AMADEU FILOMENO 198         </t>
  </si>
  <si>
    <t xml:space="preserve"> AO LADO DA INOVARE                     </t>
  </si>
  <si>
    <t xml:space="preserve"> 08 89792-2283                                      </t>
  </si>
  <si>
    <t>23.637.334/0001-76</t>
  </si>
  <si>
    <t xml:space="preserve">MERC. MOISES MARCO                      </t>
  </si>
  <si>
    <t xml:space="preserve">RAIMUNDO NONATO NASCIMENTO              </t>
  </si>
  <si>
    <t xml:space="preserve">RUA GOVERNADOR RUA BARBOSA 941          </t>
  </si>
  <si>
    <t xml:space="preserve"> PROXIMO A CAMERA                       </t>
  </si>
  <si>
    <t xml:space="preserve"> 08 89993-9261                                      </t>
  </si>
  <si>
    <t xml:space="preserve">    073.055.583-62</t>
  </si>
  <si>
    <t xml:space="preserve">MERCADINHO GR JENI                      </t>
  </si>
  <si>
    <t xml:space="preserve">Vanessa Adrissa Santos Sousa            </t>
  </si>
  <si>
    <t xml:space="preserve">R Jenipapeiro 1                         </t>
  </si>
  <si>
    <t xml:space="preserve"> Em frente o catinha                    </t>
  </si>
  <si>
    <t xml:space="preserve">JENIPAPEIRO                                                 </t>
  </si>
  <si>
    <t xml:space="preserve"> 88 99989-8959                                      </t>
  </si>
  <si>
    <t>42.137.245/0001-05</t>
  </si>
  <si>
    <t xml:space="preserve">MERC IMPERIO AROEIR                     </t>
  </si>
  <si>
    <t xml:space="preserve">Maria Gislane Pereira                   </t>
  </si>
  <si>
    <t xml:space="preserve"> Mercantil do jardeu                    </t>
  </si>
  <si>
    <t xml:space="preserve"> 88 98888-8888                                      </t>
  </si>
  <si>
    <t xml:space="preserve">    070.508.003-09</t>
  </si>
  <si>
    <t xml:space="preserve">MERCEARIA DO TEOFILO                    </t>
  </si>
  <si>
    <t xml:space="preserve">RONALDO LIMA FERREIRA                   </t>
  </si>
  <si>
    <t xml:space="preserve">RUA RUA EDGAR SALES MOURA 920           </t>
  </si>
  <si>
    <t xml:space="preserve"> 08 88142-1407                                      </t>
  </si>
  <si>
    <t xml:space="preserve">    007.112.773-97</t>
  </si>
  <si>
    <t xml:space="preserve">JOSE OSMILTON FREITA                    </t>
  </si>
  <si>
    <t xml:space="preserve">JOSE OSMILTON FREITAS                   </t>
  </si>
  <si>
    <t xml:space="preserve">R Jenipapeiro SN                        </t>
  </si>
  <si>
    <t xml:space="preserve"> Proximo a praca                        </t>
  </si>
  <si>
    <t xml:space="preserve"> 01 17031-8984                                      </t>
  </si>
  <si>
    <t xml:space="preserve">    179.564.428-18</t>
  </si>
  <si>
    <t xml:space="preserve">BAR DO RONNE CORRE                      </t>
  </si>
  <si>
    <t xml:space="preserve">ROGERIO RONNE DO NASCIMENTO             </t>
  </si>
  <si>
    <t xml:space="preserve">Rua CORREGO DAS VARAS 1000              </t>
  </si>
  <si>
    <t xml:space="preserve"> Proximo ao Ze Maria do campo           </t>
  </si>
  <si>
    <t xml:space="preserve"> 01 14991-8535                                      </t>
  </si>
  <si>
    <t xml:space="preserve">    610.240.893-47</t>
  </si>
  <si>
    <t xml:space="preserve">ESPETINHO DEON POCO                     </t>
  </si>
  <si>
    <t xml:space="preserve">JOSE ODEON SILVEIRA                     </t>
  </si>
  <si>
    <t xml:space="preserve">R poco doce SN                          </t>
  </si>
  <si>
    <t xml:space="preserve"> espetinho do deon                      </t>
  </si>
  <si>
    <t xml:space="preserve">    073.116.463-67</t>
  </si>
  <si>
    <t xml:space="preserve">MERCADINHO GILMARIO                     </t>
  </si>
  <si>
    <t xml:space="preserve">ANTONIO GILMARIO MENEZES                </t>
  </si>
  <si>
    <t xml:space="preserve">R Lagoa de Santa Rosa 113               </t>
  </si>
  <si>
    <t xml:space="preserve"> antes do merc sao gerardo              </t>
  </si>
  <si>
    <t xml:space="preserve"> 88 89661-4045                                      </t>
  </si>
  <si>
    <t xml:space="preserve">    146.436.478-84</t>
  </si>
  <si>
    <t xml:space="preserve">MERCADINHO O REGIS                      </t>
  </si>
  <si>
    <t xml:space="preserve">JOSE IVAR DE OLIVEIRA                   </t>
  </si>
  <si>
    <t xml:space="preserve">R Rua prof joao pereira SN              </t>
  </si>
  <si>
    <t xml:space="preserve"> vz a delegacia                         </t>
  </si>
  <si>
    <t xml:space="preserve"> 08 89746-2655                                      </t>
  </si>
  <si>
    <t>51.507.793/0001-70</t>
  </si>
  <si>
    <t xml:space="preserve">ACONCHEGO DO LOM RES                    </t>
  </si>
  <si>
    <t xml:space="preserve">Jose Celio de Vasconcelos               </t>
  </si>
  <si>
    <t xml:space="preserve">RUA Jose Milton de Oliveira 610         </t>
  </si>
  <si>
    <t xml:space="preserve"> em frente ao maresia                   </t>
  </si>
  <si>
    <t xml:space="preserve">CORREGO DOS REINALDOS                                       </t>
  </si>
  <si>
    <t xml:space="preserve"> 08 89641-5851                                      </t>
  </si>
  <si>
    <t>17.030.442/0003-45</t>
  </si>
  <si>
    <t xml:space="preserve">PORTO SEGURO SUPERMERCADO LTDA.         </t>
  </si>
  <si>
    <t xml:space="preserve">RUA AV GERALDO LOPES 46                 </t>
  </si>
  <si>
    <t xml:space="preserve"> QUADRA1 LOTE 1                         </t>
  </si>
  <si>
    <t xml:space="preserve">MORADA DOS VENTOS                                           </t>
  </si>
  <si>
    <t>32.768.826/0003-53</t>
  </si>
  <si>
    <t xml:space="preserve">AT VALE BELA CRUZ                       </t>
  </si>
  <si>
    <t>ATACADO DO VALE COMERCIO DE ALIMENTOS LT</t>
  </si>
  <si>
    <t xml:space="preserve">R DR ODEN SILVA 106                     </t>
  </si>
  <si>
    <t xml:space="preserve"> 88 68827-0002                                      </t>
  </si>
  <si>
    <t xml:space="preserve">    002.881.003-10</t>
  </si>
  <si>
    <t xml:space="preserve">PONTO DA COMIDA CASE                    </t>
  </si>
  <si>
    <t xml:space="preserve">SANDRA ROSA DOS SANTOS                  </t>
  </si>
  <si>
    <t xml:space="preserve">Rua VILA PROGRESSO 1000                 </t>
  </si>
  <si>
    <t xml:space="preserve"> 08 88151-5292                                      </t>
  </si>
  <si>
    <t>46.379.100/0001-71</t>
  </si>
  <si>
    <t xml:space="preserve">CONVIVA MERCEARIA C                     </t>
  </si>
  <si>
    <t xml:space="preserve">CONVIVA CONVENIENCIA E MERCEARIA        </t>
  </si>
  <si>
    <t xml:space="preserve">RUA CAJUEIRINHO 100000                  </t>
  </si>
  <si>
    <t xml:space="preserve"> PROXIMO AO POSTO LITORAL               </t>
  </si>
  <si>
    <t xml:space="preserve">    093.381.053-93</t>
  </si>
  <si>
    <t xml:space="preserve">ESPETINHO CIA BOM                       </t>
  </si>
  <si>
    <t xml:space="preserve">JONANTHANS NASCIMENTO DOS SANTOS        </t>
  </si>
  <si>
    <t xml:space="preserve">R BOM JESUS 1000                        </t>
  </si>
  <si>
    <t xml:space="preserve"> 85 89905-9223                                      </t>
  </si>
  <si>
    <t xml:space="preserve">    043.457.263-28</t>
  </si>
  <si>
    <t xml:space="preserve">ESPETINHO VIP LAGOA                     </t>
  </si>
  <si>
    <t xml:space="preserve">FRANCISCO JOSIAS MEDEIROS ARAUJO        </t>
  </si>
  <si>
    <t xml:space="preserve"> PROXIMO AO RESTAURANTE DO BRAN         </t>
  </si>
  <si>
    <t xml:space="preserve"> 08 89980-8735                                      </t>
  </si>
  <si>
    <t xml:space="preserve">    050.074.043-73</t>
  </si>
  <si>
    <t xml:space="preserve">MERC DO GAGUINHO VI                     </t>
  </si>
  <si>
    <t xml:space="preserve">EMANUEL FERREIRA DE SOUSA               </t>
  </si>
  <si>
    <t xml:space="preserve"> 08 89421-2469                                      </t>
  </si>
  <si>
    <t xml:space="preserve">    569.426.563-72</t>
  </si>
  <si>
    <t xml:space="preserve">ESPETINHO DO BECA                       </t>
  </si>
  <si>
    <t xml:space="preserve">Roberto Jose de Freitas                 </t>
  </si>
  <si>
    <t xml:space="preserve">R Estrada da Cruz 1                     </t>
  </si>
  <si>
    <t xml:space="preserve"> Proximo a loja de picinas              </t>
  </si>
  <si>
    <t xml:space="preserve"> 88 98467-9622                                      </t>
  </si>
  <si>
    <t xml:space="preserve">    004.242.993-56</t>
  </si>
  <si>
    <t xml:space="preserve">JUJU DELIVERY PEDRI                     </t>
  </si>
  <si>
    <t xml:space="preserve">JULIANA VERAS DE OLIVEIRA               </t>
  </si>
  <si>
    <t xml:space="preserve">R MANOEL LOUZADA SN                     </t>
  </si>
  <si>
    <t xml:space="preserve"> 08 89814-1983                                      </t>
  </si>
  <si>
    <t xml:space="preserve">    080.675.243-27</t>
  </si>
  <si>
    <t xml:space="preserve">MERCADINHO RIBA FARI                    </t>
  </si>
  <si>
    <t xml:space="preserve">MATEUS COSTA FARIAS                     </t>
  </si>
  <si>
    <t xml:space="preserve">Rua PADRE ANTONIO TOMAS 2636            </t>
  </si>
  <si>
    <t xml:space="preserve"> 08 89729-4929                                      </t>
  </si>
  <si>
    <t>32.264.770/0001-38</t>
  </si>
  <si>
    <t xml:space="preserve">SABOR INTENSO HAMBUR                    </t>
  </si>
  <si>
    <t xml:space="preserve">FRANCISCO CLEITON FIRMINO               </t>
  </si>
  <si>
    <t xml:space="preserve">Rua LOTEAMENTO MORADA DOS VENTOS 450    </t>
  </si>
  <si>
    <t xml:space="preserve"> AO LADO DA CE 085                      </t>
  </si>
  <si>
    <t xml:space="preserve"> 08 89944-3267                                      </t>
  </si>
  <si>
    <t xml:space="preserve">    068.239.963-90</t>
  </si>
  <si>
    <t xml:space="preserve">MERCADINHO O CRISANT                    </t>
  </si>
  <si>
    <t xml:space="preserve">BIANCA MARIA ROCHA VASCONCELOS          </t>
  </si>
  <si>
    <t xml:space="preserve">Rua DEP NEVES OSTERNO 630               </t>
  </si>
  <si>
    <t xml:space="preserve"> VIZINHO AO POSTO DE SAUDE              </t>
  </si>
  <si>
    <t xml:space="preserve"> 08 89996-3954                                      </t>
  </si>
  <si>
    <t xml:space="preserve">    089.577.523-90</t>
  </si>
  <si>
    <t xml:space="preserve">MERC EMILSON ARATIC                     </t>
  </si>
  <si>
    <t xml:space="preserve">MARIA QUECIA ROCHA VASCONCELOS          </t>
  </si>
  <si>
    <t xml:space="preserve">Rua BR 402 1                            </t>
  </si>
  <si>
    <t xml:space="preserve"> 08 89941-7642                                      </t>
  </si>
  <si>
    <t xml:space="preserve">    079.827.833-17</t>
  </si>
  <si>
    <t xml:space="preserve">DECK MERCEARIA LAGO                     </t>
  </si>
  <si>
    <t xml:space="preserve">PEDRO EDUARDO ROCHA                     </t>
  </si>
  <si>
    <t xml:space="preserve">R PV LAGOA DO MATO SN                   </t>
  </si>
  <si>
    <t xml:space="preserve"> RUA DO TETE, VIRA A DIREITA.           </t>
  </si>
  <si>
    <t xml:space="preserve"> 08 89719-7139                                      </t>
  </si>
  <si>
    <t xml:space="preserve">    882.393.903-82</t>
  </si>
  <si>
    <t xml:space="preserve">PIZZADORA MORADA NO                     </t>
  </si>
  <si>
    <t xml:space="preserve">RITA SANDRA DE OLIVEIRA                 </t>
  </si>
  <si>
    <t xml:space="preserve">AV AV JOSE MARIA SALES SN               </t>
  </si>
  <si>
    <t xml:space="preserve"> ESTRADA PCRUZ                          </t>
  </si>
  <si>
    <t xml:space="preserve"> 08 89995-7100                                      </t>
  </si>
  <si>
    <t xml:space="preserve">    279.928.988-69</t>
  </si>
  <si>
    <t xml:space="preserve">MERC MAURA CRUZ                         </t>
  </si>
  <si>
    <t xml:space="preserve">Maria maura de Maria                    </t>
  </si>
  <si>
    <t xml:space="preserve">R Rua Professor Joao Pereira 463        </t>
  </si>
  <si>
    <t xml:space="preserve"> px ao mercadinho regis                 </t>
  </si>
  <si>
    <t xml:space="preserve"> 88 89960-4961                                      </t>
  </si>
  <si>
    <t xml:space="preserve">    061.757.113-94</t>
  </si>
  <si>
    <t xml:space="preserve">BRUNO LANCHES LAGOA                     </t>
  </si>
  <si>
    <t xml:space="preserve">FRANCISCO BRUNO DE VASCONCELOS          </t>
  </si>
  <si>
    <t xml:space="preserve">RUA LAGOA SALGADA 50                    </t>
  </si>
  <si>
    <t xml:space="preserve"> 08 89863-4750                                      </t>
  </si>
  <si>
    <t xml:space="preserve">    078.423.603-83</t>
  </si>
  <si>
    <t xml:space="preserve">MERCADINHO PAULINHO                     </t>
  </si>
  <si>
    <t xml:space="preserve">PAULO JOSE ARAUJO FILHO                 </t>
  </si>
  <si>
    <t xml:space="preserve">Rua CAPITAO MIGUEL LOPES 1413           </t>
  </si>
  <si>
    <t xml:space="preserve"> Depois do mercadinho do Rubens         </t>
  </si>
  <si>
    <t xml:space="preserve"> 08 89377-0524                                      </t>
  </si>
  <si>
    <t xml:space="preserve">    019.842.583-03</t>
  </si>
  <si>
    <t xml:space="preserve">MERCADINHO O DEDEZIN                    </t>
  </si>
  <si>
    <t xml:space="preserve">JOSE ARIMAR DE SOUSA                    </t>
  </si>
  <si>
    <t xml:space="preserve">Rua 7 de setembro 69                    </t>
  </si>
  <si>
    <t xml:space="preserve"> VIZINHO AO MACEDO                      </t>
  </si>
  <si>
    <t xml:space="preserve"> 08 89784-3387                                      </t>
  </si>
  <si>
    <t xml:space="preserve">    808.286.553-91</t>
  </si>
  <si>
    <t xml:space="preserve">BAR DA ELENA ACARAU                     </t>
  </si>
  <si>
    <t xml:space="preserve">Maria Elena Silveira                    </t>
  </si>
  <si>
    <t xml:space="preserve">Rua Rua Ver Raimundo Costa Sousa 10000  </t>
  </si>
  <si>
    <t xml:space="preserve"> proximo o Gaspar bem na esquin         </t>
  </si>
  <si>
    <t xml:space="preserve"> 08 89638-4521                                      </t>
  </si>
  <si>
    <t xml:space="preserve">    992.294.393-04</t>
  </si>
  <si>
    <t xml:space="preserve">CASA DO CHURRASCO A                     </t>
  </si>
  <si>
    <t xml:space="preserve">Priscilla Carmem de Souza lima          </t>
  </si>
  <si>
    <t xml:space="preserve">Rua Capitao Diogo Lopes 100             </t>
  </si>
  <si>
    <t xml:space="preserve"> 08 83661-1540                                      </t>
  </si>
  <si>
    <t xml:space="preserve">    368.043.678-55</t>
  </si>
  <si>
    <t xml:space="preserve">PONTO DA CASTANHA 2                     </t>
  </si>
  <si>
    <t xml:space="preserve">JOSE RONIELE DE SOUSA                   </t>
  </si>
  <si>
    <t xml:space="preserve">R Monteiro SN                           </t>
  </si>
  <si>
    <t xml:space="preserve"> 08 88809-5432                                      </t>
  </si>
  <si>
    <t xml:space="preserve">    073.347.993-64</t>
  </si>
  <si>
    <t xml:space="preserve">DANILO REFEICOES CR                     </t>
  </si>
  <si>
    <t xml:space="preserve">DANILO JOSE SOUSA VASCONCELOS           </t>
  </si>
  <si>
    <t xml:space="preserve">R Professor Fabiao SN                   </t>
  </si>
  <si>
    <t xml:space="preserve"> Meu Lanche                             </t>
  </si>
  <si>
    <t xml:space="preserve"> 00  3661-1013                                      </t>
  </si>
  <si>
    <t xml:space="preserve">    009.766.933-48</t>
  </si>
  <si>
    <t xml:space="preserve">COMERCIO DO CESAR A                     </t>
  </si>
  <si>
    <t xml:space="preserve">RAIMUNDO PAULO ALVES                    </t>
  </si>
  <si>
    <t xml:space="preserve">Rua MANOEL LOUZADA 751                  </t>
  </si>
  <si>
    <t xml:space="preserve"> proximo ao JUJU DELIVERY               </t>
  </si>
  <si>
    <t xml:space="preserve"> 08 88130-3229                                      </t>
  </si>
  <si>
    <t xml:space="preserve">    408.469.973-04</t>
  </si>
  <si>
    <t xml:space="preserve">AROEIRA CITY AROEIR                     </t>
  </si>
  <si>
    <t xml:space="preserve">PEDRO VANDERLEY DE OLIVEIRA             </t>
  </si>
  <si>
    <t xml:space="preserve">Rua AROEIRA 1000                        </t>
  </si>
  <si>
    <t xml:space="preserve"> Em FRENTE a igreja                     </t>
  </si>
  <si>
    <t xml:space="preserve"> 08 89618-2656                                      </t>
  </si>
  <si>
    <t>42.757.235/0001-72</t>
  </si>
  <si>
    <t xml:space="preserve">MERCADINHO DO EKSON                     </t>
  </si>
  <si>
    <t xml:space="preserve">EKSON CARLOS DO NASCIMENTO              </t>
  </si>
  <si>
    <t xml:space="preserve">VIA CORREGO DO ITAPUAN 10000            </t>
  </si>
  <si>
    <t xml:space="preserve"> DEPOIS DO RESTADIO DE FUTEBOL          </t>
  </si>
  <si>
    <t xml:space="preserve"> 08 88199-0177                                      </t>
  </si>
  <si>
    <t xml:space="preserve">    019.493.093-98</t>
  </si>
  <si>
    <t xml:space="preserve">FRUTARIA O MARCOS L                     </t>
  </si>
  <si>
    <t xml:space="preserve">MATHEUS DOUGLAS LOPES ARAUJO            </t>
  </si>
  <si>
    <t xml:space="preserve">RUA LAGOA DO CANEMA BR 403 KM 13 10000  </t>
  </si>
  <si>
    <t xml:space="preserve"> PROXIMO AO CAIPIRAO                    </t>
  </si>
  <si>
    <t xml:space="preserve"> 08 89434-5131                                      </t>
  </si>
  <si>
    <t xml:space="preserve">    107.856.473-68</t>
  </si>
  <si>
    <t xml:space="preserve">BARRACA SAO JOSE SA                     </t>
  </si>
  <si>
    <t xml:space="preserve">JOAO CARVALHO NETO                      </t>
  </si>
  <si>
    <t xml:space="preserve">Rua SAO JOSE 10000                      </t>
  </si>
  <si>
    <t xml:space="preserve"> PROXIMO AO COMERCIO DONA HERLE         </t>
  </si>
  <si>
    <t xml:space="preserve"> 08 89620-7713                                      </t>
  </si>
  <si>
    <t xml:space="preserve">    864.996.533-49</t>
  </si>
  <si>
    <t xml:space="preserve">RIOS FONTELES BURGUE                    </t>
  </si>
  <si>
    <t xml:space="preserve">MARIA NELIANE HELCIAS MOURA             </t>
  </si>
  <si>
    <t xml:space="preserve">R Coronel duca 849                      </t>
  </si>
  <si>
    <t xml:space="preserve"> RIOS FONTELES BURGUER                  </t>
  </si>
  <si>
    <t xml:space="preserve"> 85 99658-0783                                      </t>
  </si>
  <si>
    <t xml:space="preserve">    172.510.508-03</t>
  </si>
  <si>
    <t xml:space="preserve">RESTAURANTE CACIQUE                     </t>
  </si>
  <si>
    <t xml:space="preserve">JOSE CLODOALDO SILVEIRA                 </t>
  </si>
  <si>
    <t xml:space="preserve">R RUA AVENIDA NICODEMOS ARAUJO 2084     </t>
  </si>
  <si>
    <t xml:space="preserve"> 11 16362-6897                                      </t>
  </si>
  <si>
    <t>53.422.640/0001-56</t>
  </si>
  <si>
    <t xml:space="preserve">MERCADINHO IVANIR B                     </t>
  </si>
  <si>
    <t xml:space="preserve">MARIA IVANIR SOUSA                      </t>
  </si>
  <si>
    <t xml:space="preserve">Rua Jose berlindes Vasconcelos 149      </t>
  </si>
  <si>
    <t xml:space="preserve"> proximo ao centro de convencoe         </t>
  </si>
  <si>
    <t xml:space="preserve"> 08 59973-4458                                      </t>
  </si>
  <si>
    <t xml:space="preserve">    094.226.833-43</t>
  </si>
  <si>
    <t xml:space="preserve">DEPOSITO FARIAS CRU                     </t>
  </si>
  <si>
    <t xml:space="preserve">rafaela cristina de sousa menezes       </t>
  </si>
  <si>
    <t xml:space="preserve">RUA rua bernadinho farias 480           </t>
  </si>
  <si>
    <t xml:space="preserve"> casa                                   </t>
  </si>
  <si>
    <t xml:space="preserve">MALVINAS                                                    </t>
  </si>
  <si>
    <t xml:space="preserve"> 08 89251-4412                                      </t>
  </si>
  <si>
    <t xml:space="preserve">    610.462.203-81</t>
  </si>
  <si>
    <t xml:space="preserve">COMERCIAL VITESSY A                     </t>
  </si>
  <si>
    <t xml:space="preserve">FRANCISCA DALVENICE MUNIZ OLIVEIRA      </t>
  </si>
  <si>
    <t xml:space="preserve"> 08 89766-6653                                      </t>
  </si>
  <si>
    <t xml:space="preserve">    045.302.373-89</t>
  </si>
  <si>
    <t xml:space="preserve">MERCADINHO LUCIANA                      </t>
  </si>
  <si>
    <t xml:space="preserve">luciana muniz da costa                  </t>
  </si>
  <si>
    <t xml:space="preserve">RUA rua coronel teixeira pinto 12       </t>
  </si>
  <si>
    <t xml:space="preserve"> 08 89633-7598                                      </t>
  </si>
  <si>
    <t xml:space="preserve">    055.672.433-08</t>
  </si>
  <si>
    <t xml:space="preserve">BARRACA DO ATENOR L                     </t>
  </si>
  <si>
    <t xml:space="preserve">JOSE ATENOR GOMES                       </t>
  </si>
  <si>
    <t xml:space="preserve">LGA LAGOA GRANDE SN                     </t>
  </si>
  <si>
    <t xml:space="preserve"> AO LADO DO COMERCIO DO ERONILD         </t>
  </si>
  <si>
    <t xml:space="preserve"> 08 89658-1586                                      </t>
  </si>
  <si>
    <t xml:space="preserve">    014.182.763-75</t>
  </si>
  <si>
    <t xml:space="preserve">GG BEBIDAS SAO GONC                     </t>
  </si>
  <si>
    <t xml:space="preserve">CARLOS GLAUBIO ALVES SILVA              </t>
  </si>
  <si>
    <t xml:space="preserve">VL VILA COSTA SN                        </t>
  </si>
  <si>
    <t xml:space="preserve">CORREGO GRADE                                               </t>
  </si>
  <si>
    <t xml:space="preserve"> 08 89942-8318                                      </t>
  </si>
  <si>
    <t>51.589.206/0001-30</t>
  </si>
  <si>
    <t xml:space="preserve">KIOSK JERI POINT CA                     </t>
  </si>
  <si>
    <t xml:space="preserve">paulo marzo de sousa                    </t>
  </si>
  <si>
    <t xml:space="preserve">RUA cajuerinho II 1                     </t>
  </si>
  <si>
    <t xml:space="preserve"> KIosk jeri point                       </t>
  </si>
  <si>
    <t xml:space="preserve"> 08 88217-6327                                      </t>
  </si>
  <si>
    <t xml:space="preserve">    052.605.043-80</t>
  </si>
  <si>
    <t xml:space="preserve">MERCEARIA MACIEL CR                     </t>
  </si>
  <si>
    <t xml:space="preserve">MACIEL SOUZA FREITAS                    </t>
  </si>
  <si>
    <t xml:space="preserve">AV av tenente albano 610                </t>
  </si>
  <si>
    <t xml:space="preserve"> comercio                               </t>
  </si>
  <si>
    <t xml:space="preserve"> 88 89695-3975                                      </t>
  </si>
  <si>
    <t xml:space="preserve">    356.908.283-00</t>
  </si>
  <si>
    <t xml:space="preserve">COMERCIO DO CHAGAS                      </t>
  </si>
  <si>
    <t xml:space="preserve">FRANCISCO DAS CHAGAS DE SOUSA           </t>
  </si>
  <si>
    <t xml:space="preserve">Rua RUA EDGA SALES MOURA 990            </t>
  </si>
  <si>
    <t xml:space="preserve"> PROXIMO AO MERC DR                     </t>
  </si>
  <si>
    <t xml:space="preserve"> 08 89926-0051                                      </t>
  </si>
  <si>
    <t xml:space="preserve">    725.419.113-00</t>
  </si>
  <si>
    <t xml:space="preserve">BARNAUTAS 2 ACARAU                      </t>
  </si>
  <si>
    <t xml:space="preserve">RENATO ARAUJO ROCHA                     </t>
  </si>
  <si>
    <t xml:space="preserve">R Rua expedito farias SN                </t>
  </si>
  <si>
    <t xml:space="preserve"> praca                                  </t>
  </si>
  <si>
    <t xml:space="preserve"> 08 89976-8349                                      </t>
  </si>
  <si>
    <t xml:space="preserve">    226.652.498-47</t>
  </si>
  <si>
    <t xml:space="preserve">BAR AROEIRA SHOW AR                     </t>
  </si>
  <si>
    <t xml:space="preserve">COLOMBO MARQUES DA CUNHA                </t>
  </si>
  <si>
    <t xml:space="preserve">R juazeiro 1                            </t>
  </si>
  <si>
    <t xml:space="preserve"> 88 88879-8878                                      </t>
  </si>
  <si>
    <t xml:space="preserve">    110.099.033-06</t>
  </si>
  <si>
    <t xml:space="preserve">SILVA E CIA BEBIDAS                     </t>
  </si>
  <si>
    <t xml:space="preserve">FRANCISCO EMANUEL SILVA                 </t>
  </si>
  <si>
    <t xml:space="preserve"> PROXIMO AO CRISANTO                    </t>
  </si>
  <si>
    <t xml:space="preserve"> 88 89817-0066                                      </t>
  </si>
  <si>
    <t xml:space="preserve">    037.272.444-29</t>
  </si>
  <si>
    <t xml:space="preserve">CORONA HOUSE                            </t>
  </si>
  <si>
    <t xml:space="preserve">MANOEL ANTONIO PONTUAL JUNIOR           </t>
  </si>
  <si>
    <t xml:space="preserve">R PREA 10000                            </t>
  </si>
  <si>
    <t xml:space="preserve"> 81 99620-3000                                      </t>
  </si>
  <si>
    <t>27.535.362/0001-33</t>
  </si>
  <si>
    <t xml:space="preserve">MERCANTIL ESPERANCA                     </t>
  </si>
  <si>
    <t xml:space="preserve">Luis Alves De Sousa Filho               </t>
  </si>
  <si>
    <t xml:space="preserve">VIA estrada da rodagem 68               </t>
  </si>
  <si>
    <t xml:space="preserve"> 08 59974-5493                                      </t>
  </si>
  <si>
    <t>48.789.114/0001-99</t>
  </si>
  <si>
    <t xml:space="preserve">ARMAZEM JURITIANHA                      </t>
  </si>
  <si>
    <t xml:space="preserve">danila alves Vasconcelos                </t>
  </si>
  <si>
    <t xml:space="preserve">Rua sem rua 123                         </t>
  </si>
  <si>
    <t xml:space="preserve"> COMERCIO                               </t>
  </si>
  <si>
    <t xml:space="preserve"> 08 88164-5652                                      </t>
  </si>
  <si>
    <t xml:space="preserve">    039.311.823-12</t>
  </si>
  <si>
    <t xml:space="preserve">MERCADINHO KREK MIR                     </t>
  </si>
  <si>
    <t xml:space="preserve">VANDENBERG ARAUJO ALVES                 </t>
  </si>
  <si>
    <t xml:space="preserve">R sem rua SN                            </t>
  </si>
  <si>
    <t xml:space="preserve"> 08 89662-5172                                      </t>
  </si>
  <si>
    <t xml:space="preserve">    068.156.493-85</t>
  </si>
  <si>
    <t xml:space="preserve">ESPETINHO DO VS ESP                     </t>
  </si>
  <si>
    <t xml:space="preserve">FRANCISCO VITOR DA COSTA SILVA          </t>
  </si>
  <si>
    <t xml:space="preserve">R rua do meio SN                        </t>
  </si>
  <si>
    <t xml:space="preserve"> 08 88140-4743                                      </t>
  </si>
  <si>
    <t xml:space="preserve">    075.563.283-41</t>
  </si>
  <si>
    <t xml:space="preserve">SELECAO DAS FRUTAS                      </t>
  </si>
  <si>
    <t xml:space="preserve">FRANCISCO GUSTAVO DA SILVA RIBEIRO      </t>
  </si>
  <si>
    <t xml:space="preserve">R RUA MANOEL DE ARAUJO FERREIRA 125     </t>
  </si>
  <si>
    <t xml:space="preserve"> 88 99967-9014                                      </t>
  </si>
  <si>
    <t>54.493.807/0001-32</t>
  </si>
  <si>
    <t xml:space="preserve">FERNANDO SOUSA                          </t>
  </si>
  <si>
    <t>54.493.807 THAYRINE YARA SILVEIRA SANTIA</t>
  </si>
  <si>
    <t xml:space="preserve"> estabelecimento                        </t>
  </si>
  <si>
    <t xml:space="preserve"> 01 19518-5202                                      </t>
  </si>
  <si>
    <t xml:space="preserve">EVENTOS             </t>
  </si>
  <si>
    <t>54.177.560/0001-45</t>
  </si>
  <si>
    <t xml:space="preserve">S5 - MARISCO RESTO A                    </t>
  </si>
  <si>
    <t xml:space="preserve">MARISCOS RESTO LTDA                     </t>
  </si>
  <si>
    <t>49.319.542/0001-10</t>
  </si>
  <si>
    <t xml:space="preserve">RESTAURANTE OXENTE                      </t>
  </si>
  <si>
    <t xml:space="preserve">Francisco viterbino de oliveira         </t>
  </si>
  <si>
    <t xml:space="preserve">AVE Voluntarios da patria 2600 2600     </t>
  </si>
  <si>
    <t xml:space="preserve"> 08 89992-2299                                      </t>
  </si>
  <si>
    <t>54.408.941/0001-98</t>
  </si>
  <si>
    <t xml:space="preserve">POINT DO ESPETINHO                      </t>
  </si>
  <si>
    <t xml:space="preserve">MARIA NUBIA MOTA                        </t>
  </si>
  <si>
    <t xml:space="preserve">AV AV JOSE NICOLAS MORADA NOVA SN       </t>
  </si>
  <si>
    <t xml:space="preserve"> PROXIMO A ACAPREU ,SANNETO             </t>
  </si>
  <si>
    <t xml:space="preserve"> 08 89953-0122                                      </t>
  </si>
  <si>
    <t xml:space="preserve">    620.250.773-00</t>
  </si>
  <si>
    <t xml:space="preserve">DEP DR MARCO                            </t>
  </si>
  <si>
    <t xml:space="preserve">FRANCISCO ROCLEU DE SOUSA               </t>
  </si>
  <si>
    <t xml:space="preserve">R GOV CESAR CALS SN                     </t>
  </si>
  <si>
    <t xml:space="preserve"> VOZINHO AO DEPOSITO SAO ROQUE          </t>
  </si>
  <si>
    <t xml:space="preserve"> 08 89938-2436                                      </t>
  </si>
  <si>
    <t>54.364.220/0001-23</t>
  </si>
  <si>
    <t xml:space="preserve">S5 - CONTAINER CARNE                    </t>
  </si>
  <si>
    <t xml:space="preserve">CONTAINER CARNES E BEBIDAS LTDA         </t>
  </si>
  <si>
    <t xml:space="preserve">R RUA 7 DE SETEMBRO SN                  </t>
  </si>
  <si>
    <t xml:space="preserve"> ANEXO AO POSTO                         </t>
  </si>
  <si>
    <t xml:space="preserve">    078.719.873-05</t>
  </si>
  <si>
    <t xml:space="preserve">BEBIDAS LA CASA ARA                     </t>
  </si>
  <si>
    <t xml:space="preserve">ANTONIO ROBSON DO NASCIMENTO            </t>
  </si>
  <si>
    <t xml:space="preserve">Rua rua jose pereira brandao 95         </t>
  </si>
  <si>
    <t xml:space="preserve"> 08 88187-9849                                      </t>
  </si>
  <si>
    <t xml:space="preserve">    097.268.923-09</t>
  </si>
  <si>
    <t xml:space="preserve">YZA FRUTAS OUTRA BA                     </t>
  </si>
  <si>
    <t xml:space="preserve">FRANCISCA JAIZA DOS SANTOS              </t>
  </si>
  <si>
    <t xml:space="preserve">R RUA SANTO ANTONIO SN                  </t>
  </si>
  <si>
    <t xml:space="preserve"> 08 59991-2817                                      </t>
  </si>
  <si>
    <t xml:space="preserve">    045.055.793-60</t>
  </si>
  <si>
    <t xml:space="preserve">CARLITOS BAR                            </t>
  </si>
  <si>
    <t xml:space="preserve">antonio vagno clemente                  </t>
  </si>
  <si>
    <t xml:space="preserve">R SEM RUA SN                            </t>
  </si>
  <si>
    <t xml:space="preserve"> bar                                    </t>
  </si>
  <si>
    <t xml:space="preserve">LAGOA VELHA CRUZ                                            </t>
  </si>
  <si>
    <t xml:space="preserve"> 88 89837-8449                                      </t>
  </si>
  <si>
    <t xml:space="preserve">    056.694.513-41</t>
  </si>
  <si>
    <t xml:space="preserve">FRIGORIFICO DS FRIOS                    </t>
  </si>
  <si>
    <t xml:space="preserve">JOSE DENIS DA SILVA                     </t>
  </si>
  <si>
    <t xml:space="preserve">LGA LAGOA DO CANEMA SN                  </t>
  </si>
  <si>
    <t xml:space="preserve"> 08 89803-4858                                      </t>
  </si>
  <si>
    <t xml:space="preserve">    003.619.803-02</t>
  </si>
  <si>
    <t xml:space="preserve">RESTAURANTE CAIPIRAO                    </t>
  </si>
  <si>
    <t xml:space="preserve">FRANCISCO WELVIS ARAUJO                 </t>
  </si>
  <si>
    <t xml:space="preserve">RUA LAGOA DO CANEMA 1000                </t>
  </si>
  <si>
    <t xml:space="preserve">    029.758.963-60</t>
  </si>
  <si>
    <t xml:space="preserve">VILACITYCLUBE                           </t>
  </si>
  <si>
    <t xml:space="preserve">ERASMO ALVES DOS SANTOS                 </t>
  </si>
  <si>
    <t xml:space="preserve"> clube                                  </t>
  </si>
  <si>
    <t xml:space="preserve"> 08 88134-9745                                      </t>
  </si>
  <si>
    <t xml:space="preserve">    816.032.663-72</t>
  </si>
  <si>
    <t xml:space="preserve">BOTECO DO BICUDO                        </t>
  </si>
  <si>
    <t xml:space="preserve">ALDAIR JOSE TEIXERA                     </t>
  </si>
  <si>
    <t xml:space="preserve">RUA PROFESSORA NADINHA 412              </t>
  </si>
  <si>
    <t xml:space="preserve"> 08 89862-3278                                      </t>
  </si>
  <si>
    <t>21.915.031/0001-42</t>
  </si>
  <si>
    <t xml:space="preserve">REST VIVENDO DO MAR                     </t>
  </si>
  <si>
    <t xml:space="preserve">MARIA LESSANDRA DE SOUSA 28447706818    </t>
  </si>
  <si>
    <t xml:space="preserve">VIL AV BEIRA MAR 11                     </t>
  </si>
  <si>
    <t xml:space="preserve"> 08 89903-1336                                      </t>
  </si>
  <si>
    <t>31.744.834/0001-35</t>
  </si>
  <si>
    <t xml:space="preserve">PREABEACH VILLAS RES                    </t>
  </si>
  <si>
    <t xml:space="preserve">PREABEACH VILLAS RESTAURANTE LTDA       </t>
  </si>
  <si>
    <t xml:space="preserve">AV AVENIDA BEIRA MAR SN                 </t>
  </si>
  <si>
    <t xml:space="preserve"> PROX. AO YEMANJA HOTEL                 </t>
  </si>
  <si>
    <t xml:space="preserve"> 88 98233-0026                                      </t>
  </si>
  <si>
    <t>25.264.209/0001-93</t>
  </si>
  <si>
    <t xml:space="preserve">RESTAURANTE ELLO                        </t>
  </si>
  <si>
    <t xml:space="preserve">ELLO RESTAURANTE LTDA                   </t>
  </si>
  <si>
    <t xml:space="preserve">RUA R SAO FRANCISCO 22                  </t>
  </si>
  <si>
    <t xml:space="preserve"> DO LADO DO PESCADOR                    </t>
  </si>
  <si>
    <t xml:space="preserve">JERICOACOARA                                                </t>
  </si>
  <si>
    <t xml:space="preserve"> 12 99100-5772                                      </t>
  </si>
  <si>
    <t xml:space="preserve">    126.970.888-06</t>
  </si>
  <si>
    <t xml:space="preserve">MERC DO OSCAR BARRI                     </t>
  </si>
  <si>
    <t xml:space="preserve">FRANCISCO OSCAR ALVES                   </t>
  </si>
  <si>
    <t xml:space="preserve">AVE AV BARRINHA 10                      </t>
  </si>
  <si>
    <t xml:space="preserve">BARRINHA DE BAIXO                                           </t>
  </si>
  <si>
    <t xml:space="preserve"> 08 89988-9586                                      </t>
  </si>
  <si>
    <t xml:space="preserve">    298.737.543-34</t>
  </si>
  <si>
    <t xml:space="preserve">BAR DO CHAGUINHA                        </t>
  </si>
  <si>
    <t xml:space="preserve">FRANCISCO DAS CHAGAS DE OLIVEIRA        </t>
  </si>
  <si>
    <t xml:space="preserve">R R PRINCIPAL SN                        </t>
  </si>
  <si>
    <t xml:space="preserve"> 88 99614-6854                                      </t>
  </si>
  <si>
    <t xml:space="preserve">    017.857.253-51</t>
  </si>
  <si>
    <t xml:space="preserve">REST ESPETINHO DKE                      </t>
  </si>
  <si>
    <t xml:space="preserve">FRANCISCO DENIS DE SOUZA                </t>
  </si>
  <si>
    <t xml:space="preserve">RUA R ZE JOAO 1                         </t>
  </si>
  <si>
    <t xml:space="preserve"> 08 88190-2361                                      </t>
  </si>
  <si>
    <t xml:space="preserve">    568.184.160-04</t>
  </si>
  <si>
    <t xml:space="preserve">LC. CLAUDIA                             </t>
  </si>
  <si>
    <t xml:space="preserve">CLAUDIA ARNOLD                          </t>
  </si>
  <si>
    <t xml:space="preserve">R AC RUA SAO FRANCISCO 5                </t>
  </si>
  <si>
    <t xml:space="preserve"> 88 89960-0870                                      </t>
  </si>
  <si>
    <t>59.055.600/0001-08</t>
  </si>
  <si>
    <t xml:space="preserve">RESTAURANTE PIRATAS                     </t>
  </si>
  <si>
    <t xml:space="preserve">J A REYES                               </t>
  </si>
  <si>
    <t xml:space="preserve">R R OLAVO VASCONCELOS 11                </t>
  </si>
  <si>
    <t xml:space="preserve"> 85 98631-5463                                      </t>
  </si>
  <si>
    <t xml:space="preserve">    923.977.273-15</t>
  </si>
  <si>
    <t xml:space="preserve">MERC IVETE MORGADO                      </t>
  </si>
  <si>
    <t xml:space="preserve">FRANCISCA IVETE SILVEIRA                </t>
  </si>
  <si>
    <t xml:space="preserve">EST R RUA CARRAPATEIRAS 10              </t>
  </si>
  <si>
    <t xml:space="preserve"> DEPOIS DA BARRINHA                     </t>
  </si>
  <si>
    <t xml:space="preserve">MORGADO                                                     </t>
  </si>
  <si>
    <t xml:space="preserve"> 88 99681-5265                                      </t>
  </si>
  <si>
    <t>28.974.417/0001-74</t>
  </si>
  <si>
    <t xml:space="preserve">S5 - REST LUA CHEIA                     </t>
  </si>
  <si>
    <t xml:space="preserve">M EAMP                                  </t>
  </si>
  <si>
    <t xml:space="preserve">AV AV DA LAGOA SN                       </t>
  </si>
  <si>
    <t xml:space="preserve">LAGOA JIJOCA                                                </t>
  </si>
  <si>
    <t xml:space="preserve"> 08 88847-2488                                      </t>
  </si>
  <si>
    <t>HOTEL/MOTEL/APART HO</t>
  </si>
  <si>
    <t xml:space="preserve">VIP             </t>
  </si>
  <si>
    <t xml:space="preserve">    048.423.093-00</t>
  </si>
  <si>
    <t xml:space="preserve">NATECIA BARRINHA                        </t>
  </si>
  <si>
    <t xml:space="preserve">NATECIA SILVEIRA CARVALHO               </t>
  </si>
  <si>
    <t xml:space="preserve">VL Vila bela SN                         </t>
  </si>
  <si>
    <t xml:space="preserve"> Boteco da vila                         </t>
  </si>
  <si>
    <t xml:space="preserve">BARRINHA                                                    </t>
  </si>
  <si>
    <t xml:space="preserve"> 08 89962-1196                                      </t>
  </si>
  <si>
    <t>18.477.039/0001-60</t>
  </si>
  <si>
    <t xml:space="preserve">HTO VILLA PREA                          </t>
  </si>
  <si>
    <t xml:space="preserve">SERENDIPISMO TURISMO EIRELI ME          </t>
  </si>
  <si>
    <t xml:space="preserve">AV AV AVENIDA BEIRA MAR 100             </t>
  </si>
  <si>
    <t xml:space="preserve"> 88 98101-1885                                      </t>
  </si>
  <si>
    <t>29.460.831/0001-28</t>
  </si>
  <si>
    <t xml:space="preserve">S5 - MERC DINGO                         </t>
  </si>
  <si>
    <t xml:space="preserve">MERCADINHO DINGO LTDA                   </t>
  </si>
  <si>
    <t xml:space="preserve">R R DIOGO MARTINS SN                    </t>
  </si>
  <si>
    <t xml:space="preserve"> 88 99902-7215                                      </t>
  </si>
  <si>
    <t xml:space="preserve">    305.147.768-03</t>
  </si>
  <si>
    <t xml:space="preserve">MERC DO DEDE                            </t>
  </si>
  <si>
    <t xml:space="preserve">IVANILDO BERNARDO DINIZ OLIVEIRA        </t>
  </si>
  <si>
    <t xml:space="preserve">VL VL CARRAPATEIRA SN                   </t>
  </si>
  <si>
    <t xml:space="preserve"> DEPOIS DA PINGUELA                     </t>
  </si>
  <si>
    <t xml:space="preserve"> 88 99655-8073                                      </t>
  </si>
  <si>
    <t xml:space="preserve">    219.746.508-20</t>
  </si>
  <si>
    <t xml:space="preserve">REST HANI GATO NA BR                    </t>
  </si>
  <si>
    <t xml:space="preserve">HANI SOUZA AHMED                        </t>
  </si>
  <si>
    <t xml:space="preserve">R RUA DA PRAIA 1                        </t>
  </si>
  <si>
    <t xml:space="preserve"> SHOPING ORLA PREA                      </t>
  </si>
  <si>
    <t xml:space="preserve"> 88 89696-9696                                      </t>
  </si>
  <si>
    <t>03.332.703/0001-05</t>
  </si>
  <si>
    <t xml:space="preserve">PSD VILA KALANGO                        </t>
  </si>
  <si>
    <t xml:space="preserve">JERI WINDSURF CLUB LTDA                 </t>
  </si>
  <si>
    <t xml:space="preserve">R R DA PRAIA 30                         </t>
  </si>
  <si>
    <t xml:space="preserve"> 88 83669-2290                                      </t>
  </si>
  <si>
    <t>07.475.170/0001-71</t>
  </si>
  <si>
    <t xml:space="preserve">S5 - REST ALEXANDRE                     </t>
  </si>
  <si>
    <t xml:space="preserve">ALEXANDRE DE MELLO HATYS ME             </t>
  </si>
  <si>
    <t xml:space="preserve">AV AV BEIRA MAR 205                     </t>
  </si>
  <si>
    <t xml:space="preserve"> 88 99903-0114                                      </t>
  </si>
  <si>
    <t>07.102.251/0001-26</t>
  </si>
  <si>
    <t xml:space="preserve">REST BOM DE BOCA                        </t>
  </si>
  <si>
    <t xml:space="preserve">LANCHONETE CASA DAS TRUFAS LTDA ME      </t>
  </si>
  <si>
    <t xml:space="preserve">R R PRINCIPAL 11                        </t>
  </si>
  <si>
    <t xml:space="preserve"> 88 89607-2942                                      </t>
  </si>
  <si>
    <t>20.051.891/0001-12</t>
  </si>
  <si>
    <t xml:space="preserve">S5 - REST. SOL CAP.                     </t>
  </si>
  <si>
    <t xml:space="preserve">TURISMO JERI CEARA SERVICOS LTDA - ME   </t>
  </si>
  <si>
    <t xml:space="preserve">AV AV BEIRA MAR 202                     </t>
  </si>
  <si>
    <t xml:space="preserve"> 88 99701-6554                                      </t>
  </si>
  <si>
    <t>07.944.345/0001-42</t>
  </si>
  <si>
    <t xml:space="preserve">REST TAMARINDO                          </t>
  </si>
  <si>
    <t xml:space="preserve">RESTAURANTE TAMARINDO LTDA ME           </t>
  </si>
  <si>
    <t xml:space="preserve">TRA TV ESMAEL 11                        </t>
  </si>
  <si>
    <t xml:space="preserve"> 08 83669-2082                                      </t>
  </si>
  <si>
    <t>07.102.260/0001-17</t>
  </si>
  <si>
    <t xml:space="preserve">S5 - REST LEO DA VIN                    </t>
  </si>
  <si>
    <t xml:space="preserve">ROBERTO BROTINI                         </t>
  </si>
  <si>
    <t xml:space="preserve">FORQUILHA                                                   </t>
  </si>
  <si>
    <t xml:space="preserve"> 88 99963-6390                                      </t>
  </si>
  <si>
    <t>12.600.200/0003-26</t>
  </si>
  <si>
    <t xml:space="preserve">S5 - ALCHYMIST BEACH                    </t>
  </si>
  <si>
    <t xml:space="preserve">JARDIM DO ALCHYMIST RESTAURANTE LTDA    </t>
  </si>
  <si>
    <t xml:space="preserve">VL VL CHAPADINHA SN                     </t>
  </si>
  <si>
    <t>18.404.825/0001-37</t>
  </si>
  <si>
    <t xml:space="preserve">S5 - REST FORRO DA D                    </t>
  </si>
  <si>
    <t xml:space="preserve">JAQUELINE AMELIA S. BICA ME             </t>
  </si>
  <si>
    <t xml:space="preserve">R R DO FORRO SN                         </t>
  </si>
  <si>
    <t>62.598-970</t>
  </si>
  <si>
    <t xml:space="preserve"> 88 99770-9395                                      </t>
  </si>
  <si>
    <t>15.468.701/0001-27</t>
  </si>
  <si>
    <t xml:space="preserve">REST CANTINHO DA PIZ                    </t>
  </si>
  <si>
    <t xml:space="preserve">J SOBRINHO DA SILVA - ME                </t>
  </si>
  <si>
    <t xml:space="preserve">R R SAO FRANCISCO SN                    </t>
  </si>
  <si>
    <t xml:space="preserve"> 85 99631-8669                                      </t>
  </si>
  <si>
    <t>25.448.680/0001-31</t>
  </si>
  <si>
    <t xml:space="preserve">REST JERILICIA JERI                     </t>
  </si>
  <si>
    <t xml:space="preserve">RESTAURANTE JERILICIAS LTDA             </t>
  </si>
  <si>
    <t xml:space="preserve">R R PRINCIPAL 128                       </t>
  </si>
  <si>
    <t xml:space="preserve"> 88 99631-7180                                      </t>
  </si>
  <si>
    <t xml:space="preserve">    920.601.373-49</t>
  </si>
  <si>
    <t xml:space="preserve">MERC ELIAS JERI                         </t>
  </si>
  <si>
    <t xml:space="preserve">FRANCISCO ELIAS BARROS                  </t>
  </si>
  <si>
    <t xml:space="preserve">R R IRACEMA 55                          </t>
  </si>
  <si>
    <t xml:space="preserve"> PERTO DOS M2                           </t>
  </si>
  <si>
    <t xml:space="preserve"> 88 99938-5497                                      </t>
  </si>
  <si>
    <t>22.840.133/0001-09</t>
  </si>
  <si>
    <t xml:space="preserve">REST ROMA PIZZARIA B                    </t>
  </si>
  <si>
    <t xml:space="preserve">2M RESTAURANTE E PIZZARIA LTDA ME       </t>
  </si>
  <si>
    <t xml:space="preserve">ALA AC RUA DO FORRO 11                  </t>
  </si>
  <si>
    <t xml:space="preserve"> 88 99806-4417                                      </t>
  </si>
  <si>
    <t>26.200.844/0001-70</t>
  </si>
  <si>
    <t xml:space="preserve">LC SANT A JERI                          </t>
  </si>
  <si>
    <t xml:space="preserve">FERNANDO SOARES DA SILVA ME             </t>
  </si>
  <si>
    <t xml:space="preserve"> CASA                                   </t>
  </si>
  <si>
    <t xml:space="preserve"> 88 99704-2581                                      </t>
  </si>
  <si>
    <t xml:space="preserve">    013.503.203-23</t>
  </si>
  <si>
    <t xml:space="preserve">MERC ADRIANA CAICAR                     </t>
  </si>
  <si>
    <t xml:space="preserve">ADRIANA DE SOUSA ALBUQUERQUE            </t>
  </si>
  <si>
    <t xml:space="preserve">RUA R AFONSO FONTES 61                  </t>
  </si>
  <si>
    <t xml:space="preserve"> 08 88135-7750                                      </t>
  </si>
  <si>
    <t>23.385.856/0001-28</t>
  </si>
  <si>
    <t xml:space="preserve">LC. OASIS CONVENIENC                    </t>
  </si>
  <si>
    <t xml:space="preserve">Oasis Conveniencia LTDA                 </t>
  </si>
  <si>
    <t xml:space="preserve">R R DO FORRO 90                         </t>
  </si>
  <si>
    <t xml:space="preserve"> 88 99724-1152                                      </t>
  </si>
  <si>
    <t>26.562.307/0001-70</t>
  </si>
  <si>
    <t xml:space="preserve">S5 - RESTAURANTE PES                    </t>
  </si>
  <si>
    <t xml:space="preserve">M E MAGALHAES - ME                      </t>
  </si>
  <si>
    <t xml:space="preserve">R R RUA DO FORRO 11                     </t>
  </si>
  <si>
    <t xml:space="preserve"> 88 99998-5555                                      </t>
  </si>
  <si>
    <t>20.338.969/0001-84</t>
  </si>
  <si>
    <t xml:space="preserve">REST. DUMUNDO                           </t>
  </si>
  <si>
    <t xml:space="preserve">EDUARDO YUJI YAMAMOTO ME                </t>
  </si>
  <si>
    <t xml:space="preserve">R R DO FORRO 11                         </t>
  </si>
  <si>
    <t xml:space="preserve"> 88 99828-8419                                      </t>
  </si>
  <si>
    <t>08.909.352/0001-76</t>
  </si>
  <si>
    <t xml:space="preserve">SNACK BOBY JERI                         </t>
  </si>
  <si>
    <t xml:space="preserve">MOABIO CRISTINO DE ARAUJO TOMASI ME     </t>
  </si>
  <si>
    <t xml:space="preserve">AV AV BEIRA MAR SN                      </t>
  </si>
  <si>
    <t xml:space="preserve"> 08 83660-9897                                      </t>
  </si>
  <si>
    <t>09.125.335/0001-00</t>
  </si>
  <si>
    <t xml:space="preserve">MERC GG BARRINHA                        </t>
  </si>
  <si>
    <t xml:space="preserve">EVANILDO JOSE DO NASCIMENTO ME          </t>
  </si>
  <si>
    <t xml:space="preserve">SIT SIT BARRINHA DE BAIXO SN            </t>
  </si>
  <si>
    <t xml:space="preserve"> 08 89647-1130                                      </t>
  </si>
  <si>
    <t>35.700.721/0001-99</t>
  </si>
  <si>
    <t xml:space="preserve">MERCADINHO VEM QUE T                    </t>
  </si>
  <si>
    <t>ANTONIO MARQUES DO NASCIMENTO 0542332434</t>
  </si>
  <si>
    <t xml:space="preserve">RUA ANGELA MARQUES rua das dunas 25     </t>
  </si>
  <si>
    <t>62.598-973</t>
  </si>
  <si>
    <t xml:space="preserve"> 08 89648-5129                                      </t>
  </si>
  <si>
    <t>09.359.867/0001-02</t>
  </si>
  <si>
    <t xml:space="preserve">SEU ZECA ROSA MOTA                      </t>
  </si>
  <si>
    <t xml:space="preserve">ROSA MOTA FONTELES FERREIRA ME          </t>
  </si>
  <si>
    <t xml:space="preserve">R R DO FORRO 10                         </t>
  </si>
  <si>
    <t xml:space="preserve"> 88 89999-9999                                      </t>
  </si>
  <si>
    <t>21.572.238/0001-61</t>
  </si>
  <si>
    <t xml:space="preserve">HOTEL MY JERI                           </t>
  </si>
  <si>
    <t xml:space="preserve">MY JERI HOTEL LTDA                      </t>
  </si>
  <si>
    <t xml:space="preserve">R R DUNAS SN                            </t>
  </si>
  <si>
    <t xml:space="preserve"> 08 89971-4100                                      </t>
  </si>
  <si>
    <t>36.318.193/0001-70</t>
  </si>
  <si>
    <t xml:space="preserve">SUPERMERCADO BIG PR                     </t>
  </si>
  <si>
    <t xml:space="preserve">SUPERMERCADO BIG PREA LTDA              </t>
  </si>
  <si>
    <t xml:space="preserve">AV AV FRANCISCO XAVIER CHAVES 11        </t>
  </si>
  <si>
    <t xml:space="preserve"> 11 19798-3129                                      </t>
  </si>
  <si>
    <t>37.679.754/0001-20</t>
  </si>
  <si>
    <t xml:space="preserve">MERC POPULAR JERI                       </t>
  </si>
  <si>
    <t xml:space="preserve">SUPER POPULAR JERICOACOARA LTDA ME      </t>
  </si>
  <si>
    <t xml:space="preserve">AV AV EDVA ESMERINO DA SILVA 11         </t>
  </si>
  <si>
    <t xml:space="preserve"> PROXIMO AO SANGUE BOM                  </t>
  </si>
  <si>
    <t xml:space="preserve"> 88 88985-7845                                      </t>
  </si>
  <si>
    <t xml:space="preserve">SUPERMERCADO MEDIO  </t>
  </si>
  <si>
    <t xml:space="preserve">    035.098.543-06</t>
  </si>
  <si>
    <t xml:space="preserve">REST SABOR DO MAR                       </t>
  </si>
  <si>
    <t xml:space="preserve">JOSE VALDIANO VASCONCELOS               </t>
  </si>
  <si>
    <t xml:space="preserve">AV AV BEIRA MAR 1                       </t>
  </si>
  <si>
    <t xml:space="preserve"> 11 18467-6552                                      </t>
  </si>
  <si>
    <t xml:space="preserve">    823.193.243-72</t>
  </si>
  <si>
    <t xml:space="preserve">CONVENIENCIA SOL E M                    </t>
  </si>
  <si>
    <t xml:space="preserve">JOSE LUIZ DE VASCONCELOS                </t>
  </si>
  <si>
    <t xml:space="preserve">RUA R DA UPA 10                         </t>
  </si>
  <si>
    <t xml:space="preserve"> 08 87676-7654                                      </t>
  </si>
  <si>
    <t>17.483.948/0002-29</t>
  </si>
  <si>
    <t xml:space="preserve">REST. JERIZANDO                         </t>
  </si>
  <si>
    <t xml:space="preserve">ANDRESON ANDRADE AGUIAR                 </t>
  </si>
  <si>
    <t xml:space="preserve"> em frente ao popular                   </t>
  </si>
  <si>
    <t xml:space="preserve"> 07 65678-7654                                      </t>
  </si>
  <si>
    <t>38.230.834/0001-66</t>
  </si>
  <si>
    <t xml:space="preserve">LA NO RAFA PREA                         </t>
  </si>
  <si>
    <t xml:space="preserve">RAFAEL CRUZ DE ARAUJO VERONA            </t>
  </si>
  <si>
    <t xml:space="preserve">AVE AV BEIRA MAR 11                     </t>
  </si>
  <si>
    <t xml:space="preserve"> 08 88151-7954                                      </t>
  </si>
  <si>
    <t xml:space="preserve">    067.287.253-69</t>
  </si>
  <si>
    <t xml:space="preserve">MERC DN CARRAPATEIR                     </t>
  </si>
  <si>
    <t xml:space="preserve">DANIEL ICARO PESSOA FAUSTINO            </t>
  </si>
  <si>
    <t xml:space="preserve">RUA RUA THOMAS ERESON 11                </t>
  </si>
  <si>
    <t xml:space="preserve"> Centro Carrapateira - prox. Me         </t>
  </si>
  <si>
    <t xml:space="preserve">CARRAPATEIRA                                                </t>
  </si>
  <si>
    <t xml:space="preserve"> 08 89090-9090                                      </t>
  </si>
  <si>
    <t xml:space="preserve">    448.946.943-87</t>
  </si>
  <si>
    <t xml:space="preserve">REST CATAVENTO                          </t>
  </si>
  <si>
    <t xml:space="preserve">MANOEL MESSIAS LIBERATO REBOUCAS        </t>
  </si>
  <si>
    <t xml:space="preserve">R RUA SAO FRANCISCO 11                  </t>
  </si>
  <si>
    <t xml:space="preserve"> 88 89964-4101                                      </t>
  </si>
  <si>
    <t>38.708.692/0001-08</t>
  </si>
  <si>
    <t xml:space="preserve">BURACO AZUL CAICARA                     </t>
  </si>
  <si>
    <t xml:space="preserve">BURACO AZUL RESTAURANTE LTDA            </t>
  </si>
  <si>
    <t xml:space="preserve">CAM CAICARA 11                          </t>
  </si>
  <si>
    <t xml:space="preserve"> 08 89927-5603                                      </t>
  </si>
  <si>
    <t xml:space="preserve">    062.423.423-16</t>
  </si>
  <si>
    <t xml:space="preserve">BAR CLUBE EDMILSON D                    </t>
  </si>
  <si>
    <t xml:space="preserve">EDMILSON DE SOUSA FERREIRA              </t>
  </si>
  <si>
    <t xml:space="preserve">CRG CORREGO DOS ANAS SN                 </t>
  </si>
  <si>
    <t xml:space="preserve">CORREGO DOS ANAS                                            </t>
  </si>
  <si>
    <t xml:space="preserve"> 08 88128-2211                                      </t>
  </si>
  <si>
    <t>28.120.261/0001-64</t>
  </si>
  <si>
    <t xml:space="preserve">LC. CONVENIENCIA DAS                    </t>
  </si>
  <si>
    <t xml:space="preserve">RAFFAELE FRANCESCUCCI 60083112308       </t>
  </si>
  <si>
    <t xml:space="preserve">RUA R MANUEL VICENTE 88                 </t>
  </si>
  <si>
    <t xml:space="preserve"> 88 99967-1674                                      </t>
  </si>
  <si>
    <t>35.285.479/0001-34</t>
  </si>
  <si>
    <t xml:space="preserve">MERCADINHO CARNEIRO                     </t>
  </si>
  <si>
    <t xml:space="preserve">FRANCINEIDE CARVALHO DOS SANTOS ME      </t>
  </si>
  <si>
    <t xml:space="preserve">AVE EDVA ESMERINO 77                    </t>
  </si>
  <si>
    <t xml:space="preserve"> De frente a cyber info                 </t>
  </si>
  <si>
    <t xml:space="preserve"> 08 89771-8919                                      </t>
  </si>
  <si>
    <t xml:space="preserve">    069.877.873-10</t>
  </si>
  <si>
    <t xml:space="preserve">CONVENIENCIA MENEZES                    </t>
  </si>
  <si>
    <t xml:space="preserve">FRANCISCO DE ASSIS MENEZES              </t>
  </si>
  <si>
    <t xml:space="preserve">TRA EDVA ESMERINO 11                    </t>
  </si>
  <si>
    <t xml:space="preserve"> 08 89735-4381                                      </t>
  </si>
  <si>
    <t>07.513.810/0001-90</t>
  </si>
  <si>
    <t xml:space="preserve">RESTAURANTE RUSTICO                     </t>
  </si>
  <si>
    <t xml:space="preserve">LILIAN MARIA THALLER ME                 </t>
  </si>
  <si>
    <t xml:space="preserve">R R PRINCIPAL 109                       </t>
  </si>
  <si>
    <t xml:space="preserve"> 88 99719-0033                                      </t>
  </si>
  <si>
    <t xml:space="preserve">    024.986.023-64</t>
  </si>
  <si>
    <t xml:space="preserve">REST. LOURO DO SALGA                    </t>
  </si>
  <si>
    <t xml:space="preserve">FRANCISCO OLIVAN DA CRUZ NICOLAU        </t>
  </si>
  <si>
    <t xml:space="preserve">R R DA USINA UPA SN                     </t>
  </si>
  <si>
    <t xml:space="preserve"> Ao lado do Mini Hotel Dunas            </t>
  </si>
  <si>
    <t xml:space="preserve"> 08 89992-3773                                      </t>
  </si>
  <si>
    <t xml:space="preserve">    707.435.792-83</t>
  </si>
  <si>
    <t xml:space="preserve">CAFE DEL MAR JERICOA                    </t>
  </si>
  <si>
    <t xml:space="preserve">JORGE ANTONIO REYES                     </t>
  </si>
  <si>
    <t xml:space="preserve">RUA R OLAVO VASCONCELOS 11              </t>
  </si>
  <si>
    <t xml:space="preserve"> Beira Mar                              </t>
  </si>
  <si>
    <t xml:space="preserve"> 08 59795-4082                                      </t>
  </si>
  <si>
    <t>15.069.168/0002-01</t>
  </si>
  <si>
    <t xml:space="preserve">SUPER MERCADINHO ECONOMICO DE ALIMENTOS </t>
  </si>
  <si>
    <t xml:space="preserve">R Av. Central SN                        </t>
  </si>
  <si>
    <t xml:space="preserve"> onde era o comercio da Dona Ne         </t>
  </si>
  <si>
    <t>37.838.449/0001-33</t>
  </si>
  <si>
    <t xml:space="preserve">FEIJAO DE CORDA REST                    </t>
  </si>
  <si>
    <t xml:space="preserve">MARIA ELIZABETE COSTA SANTOS            </t>
  </si>
  <si>
    <t xml:space="preserve">R Sao Francisco SN                      </t>
  </si>
  <si>
    <t xml:space="preserve"> Ao lado do Restaurante Cataven         </t>
  </si>
  <si>
    <t xml:space="preserve"> 88 99910-6288                                      </t>
  </si>
  <si>
    <t>29.025.507/0001-81</t>
  </si>
  <si>
    <t xml:space="preserve">REST. VIVA JERI POUS                    </t>
  </si>
  <si>
    <t xml:space="preserve">FRANCISCA DE JESUS SOUSA                </t>
  </si>
  <si>
    <t xml:space="preserve"> 08 89719-0033                                      </t>
  </si>
  <si>
    <t>26.324.611/0001-89</t>
  </si>
  <si>
    <t xml:space="preserve">S5 - RECANTO DA PIZZ                    </t>
  </si>
  <si>
    <t xml:space="preserve">ANTONIO VALDIR DO NASCIMENTO            </t>
  </si>
  <si>
    <t xml:space="preserve">R JOSE ALENCAR SN                       </t>
  </si>
  <si>
    <t xml:space="preserve"> AO LADO DA QUADRA                      </t>
  </si>
  <si>
    <t xml:space="preserve"> 88 98159-7964                                      </t>
  </si>
  <si>
    <t>40.894.808/0001-84</t>
  </si>
  <si>
    <t xml:space="preserve">LC JERI MAR                             </t>
  </si>
  <si>
    <t xml:space="preserve">T G MELO.                               </t>
  </si>
  <si>
    <t xml:space="preserve">BC beco doce SN                         </t>
  </si>
  <si>
    <t xml:space="preserve"> 88 98825-1700                                      </t>
  </si>
  <si>
    <t>14.985.895/0001-75</t>
  </si>
  <si>
    <t xml:space="preserve">MERC BELA VISTA                         </t>
  </si>
  <si>
    <t xml:space="preserve">Lino E silveira LTDA                    </t>
  </si>
  <si>
    <t xml:space="preserve">RUA Avelino Vasconcelos 11              </t>
  </si>
  <si>
    <t xml:space="preserve"> Antes da igreja biblica                </t>
  </si>
  <si>
    <t xml:space="preserve"> 08 88193-0324                                      </t>
  </si>
  <si>
    <t xml:space="preserve">    015.367.773-23</t>
  </si>
  <si>
    <t xml:space="preserve">MERC EMPORIO DAS FRU                    </t>
  </si>
  <si>
    <t xml:space="preserve">Eliane vasconcelos de Sousa             </t>
  </si>
  <si>
    <t xml:space="preserve">RUA cavalo bravo 11                     </t>
  </si>
  <si>
    <t xml:space="preserve"> Frutaria na esquina                    </t>
  </si>
  <si>
    <t xml:space="preserve"> 08 89887-9903                                      </t>
  </si>
  <si>
    <t>27.059.529/0001-37</t>
  </si>
  <si>
    <t xml:space="preserve">MERC SABOIA                             </t>
  </si>
  <si>
    <t xml:space="preserve">GERLANDIA SABOIA DE MENEZES             </t>
  </si>
  <si>
    <t xml:space="preserve">AV Avenida vila formosa 33              </t>
  </si>
  <si>
    <t xml:space="preserve"> Ao lado do posto                       </t>
  </si>
  <si>
    <t xml:space="preserve"> 88 99814-2428                                      </t>
  </si>
  <si>
    <t xml:space="preserve">    006.144.893-18</t>
  </si>
  <si>
    <t xml:space="preserve">MERC GLEISON VARIEDA                    </t>
  </si>
  <si>
    <t xml:space="preserve">Gleison Martins das Chagas              </t>
  </si>
  <si>
    <t xml:space="preserve">VIL Lopes Pontes 1                      </t>
  </si>
  <si>
    <t xml:space="preserve"> Ao lado do restaurante rolinha         </t>
  </si>
  <si>
    <t xml:space="preserve"> 88 98844-4398                                      </t>
  </si>
  <si>
    <t xml:space="preserve">    038.146.123-88</t>
  </si>
  <si>
    <t xml:space="preserve">BAR BOTECO DO TICO                      </t>
  </si>
  <si>
    <t xml:space="preserve">FRANCISCO ASSIS DOS SANTOS              </t>
  </si>
  <si>
    <t xml:space="preserve">R Rua da Alegria SN                     </t>
  </si>
  <si>
    <t xml:space="preserve"> Mercantil jesus maria e jose           </t>
  </si>
  <si>
    <t xml:space="preserve"> 08 88828-3269                                      </t>
  </si>
  <si>
    <t xml:space="preserve">    056.824.053-74</t>
  </si>
  <si>
    <t xml:space="preserve">MERC COMPRE BEM                         </t>
  </si>
  <si>
    <t xml:space="preserve">JESSICA DO NACIMENTO DE ARAUJO          </t>
  </si>
  <si>
    <t xml:space="preserve">VIL rancho do peixe 11                  </t>
  </si>
  <si>
    <t xml:space="preserve"> Perto do posto                         </t>
  </si>
  <si>
    <t xml:space="preserve"> 88 98146-9712                                      </t>
  </si>
  <si>
    <t>32.954.286/0001-30</t>
  </si>
  <si>
    <t xml:space="preserve">POUSADA CARCARA                         </t>
  </si>
  <si>
    <t xml:space="preserve">EDIANA MARTINS ROCHA                    </t>
  </si>
  <si>
    <t xml:space="preserve">R R ARMANDO VASCONCELOS SN              </t>
  </si>
  <si>
    <t xml:space="preserve"> 88 99850-4651                                      </t>
  </si>
  <si>
    <t xml:space="preserve">    036.169.443-17</t>
  </si>
  <si>
    <t xml:space="preserve">MERC J.A PREA                           </t>
  </si>
  <si>
    <t xml:space="preserve">JOAO ALDISIO ARAUJO                     </t>
  </si>
  <si>
    <t xml:space="preserve">Rua AVENIDA AVELINO VASCONCELOS 13      </t>
  </si>
  <si>
    <t xml:space="preserve"> por de trais do psf                    </t>
  </si>
  <si>
    <t xml:space="preserve"> 88 98852-9706                                      </t>
  </si>
  <si>
    <t xml:space="preserve">    783.616.723-20</t>
  </si>
  <si>
    <t xml:space="preserve">MERC JL FALCAO MORG                     </t>
  </si>
  <si>
    <t xml:space="preserve">GRACILDA MARIA DA SILVEIRA ARAUJO       </t>
  </si>
  <si>
    <t xml:space="preserve">VIL PV FALCAO 11                        </t>
  </si>
  <si>
    <t xml:space="preserve"> DEPOIS DA CARRAPATEIRA                 </t>
  </si>
  <si>
    <t xml:space="preserve"> 88 99675-4350                                      </t>
  </si>
  <si>
    <t>36.698.349/0001-96</t>
  </si>
  <si>
    <t xml:space="preserve">MERC ROCHA MORGADO                      </t>
  </si>
  <si>
    <t xml:space="preserve">VANDERLEY ARAUJO ROCHA                  </t>
  </si>
  <si>
    <t xml:space="preserve">R POVOADO DE MORGADO SN                 </t>
  </si>
  <si>
    <t xml:space="preserve"> DEPOIS DO LEONARDO                     </t>
  </si>
  <si>
    <t xml:space="preserve"> 88 99454-8873                                      </t>
  </si>
  <si>
    <t xml:space="preserve">    263.064.093-00</t>
  </si>
  <si>
    <t xml:space="preserve">MERC DONA MAZER MOR                     </t>
  </si>
  <si>
    <t xml:space="preserve">MARIA JOSE DE FREITAS MORAES            </t>
  </si>
  <si>
    <t xml:space="preserve">R MORGADO SN                            </t>
  </si>
  <si>
    <t xml:space="preserve"> DEPOIS DO COLEGIO                      </t>
  </si>
  <si>
    <t xml:space="preserve"> 88 98101-0181                                      </t>
  </si>
  <si>
    <t>28.036.672/0001-76</t>
  </si>
  <si>
    <t xml:space="preserve">SABOIA SUNSET                           </t>
  </si>
  <si>
    <t xml:space="preserve">E N SABOIA ME                           </t>
  </si>
  <si>
    <t xml:space="preserve">R R ARMANDO VASCONCELOS 11              </t>
  </si>
  <si>
    <t xml:space="preserve"> VILA DE JERICOACOARA                   </t>
  </si>
  <si>
    <t xml:space="preserve"> 88 99854-0064                                      </t>
  </si>
  <si>
    <t xml:space="preserve">    068.032.123-35</t>
  </si>
  <si>
    <t xml:space="preserve">MERC DA CONCEICAO C                     </t>
  </si>
  <si>
    <t xml:space="preserve">AMAURI SILVA LIMA                       </t>
  </si>
  <si>
    <t xml:space="preserve">R POVOADO CASTELHANO SN                 </t>
  </si>
  <si>
    <t xml:space="preserve"> Antes da praca                         </t>
  </si>
  <si>
    <t xml:space="preserve"> 88 99809-8663                                      </t>
  </si>
  <si>
    <t xml:space="preserve">    709.114.283-72</t>
  </si>
  <si>
    <t xml:space="preserve">MERC JESUS MARIA JOS                    </t>
  </si>
  <si>
    <t xml:space="preserve">EDVANDA MARIA DA SILVA                  </t>
  </si>
  <si>
    <t xml:space="preserve">R RUA DA ALEGRIA SN                     </t>
  </si>
  <si>
    <t xml:space="preserve"> VIZINHO A OFICINA                      </t>
  </si>
  <si>
    <t xml:space="preserve"> 08 88141-0262                                      </t>
  </si>
  <si>
    <t xml:space="preserve">    422.182.413-15</t>
  </si>
  <si>
    <t xml:space="preserve">MERC ERICA CARRAPAT                     </t>
  </si>
  <si>
    <t xml:space="preserve">JOSE OSTERNO DE FREITAS                 </t>
  </si>
  <si>
    <t xml:space="preserve">R CARRAPATEIRAS SN                      </t>
  </si>
  <si>
    <t xml:space="preserve"> DEPOIS DO POSTO DE SAUDE               </t>
  </si>
  <si>
    <t xml:space="preserve"> 88 99206-5273                                      </t>
  </si>
  <si>
    <t>14.571.468/0001-40</t>
  </si>
  <si>
    <t xml:space="preserve">MERC MINI BOM PRECO                     </t>
  </si>
  <si>
    <t xml:space="preserve">LUCELITA AMORIN NASCIMENTO              </t>
  </si>
  <si>
    <t xml:space="preserve">R ua Pedro Lourenco da Rocha 957        </t>
  </si>
  <si>
    <t xml:space="preserve"> Prox ao mercadinho ademar              </t>
  </si>
  <si>
    <t xml:space="preserve"> 88 98141-3836                                      </t>
  </si>
  <si>
    <t xml:space="preserve">    861.406.553-15</t>
  </si>
  <si>
    <t xml:space="preserve">MERC N.E.L                              </t>
  </si>
  <si>
    <t xml:space="preserve">MARIA LIONETE FREITAS SILVEIRA          </t>
  </si>
  <si>
    <t xml:space="preserve">Rua 4 BOCAS 1                           </t>
  </si>
  <si>
    <t xml:space="preserve"> VIZINHO O COLEGIO ANSELMO              </t>
  </si>
  <si>
    <t xml:space="preserve">POVOADO DO CARRAPATEIRA                                     </t>
  </si>
  <si>
    <t xml:space="preserve"> 88 98861-4382                                      </t>
  </si>
  <si>
    <t xml:space="preserve">    054.055.463-48</t>
  </si>
  <si>
    <t xml:space="preserve">MERC ROCHA PARAGUAI                     </t>
  </si>
  <si>
    <t xml:space="preserve">MARIA EDILENE DO NASCIMENTO BRANDAO     </t>
  </si>
  <si>
    <t xml:space="preserve">EST SITIO CORREGO DOS PREFEITOS 11      </t>
  </si>
  <si>
    <t xml:space="preserve"> pegando a esquerda,antes do si         </t>
  </si>
  <si>
    <t xml:space="preserve"> 08 88822-4096                                      </t>
  </si>
  <si>
    <t xml:space="preserve">    383.416.138-16</t>
  </si>
  <si>
    <t xml:space="preserve">BAR DO JOCIMAO MORG                     </t>
  </si>
  <si>
    <t xml:space="preserve">EDINAZIO JOSE DO NASCIMENTO             </t>
  </si>
  <si>
    <t xml:space="preserve"> PERTO DA PISTA DEPOIS DA ERICA         </t>
  </si>
  <si>
    <t xml:space="preserve"> 11 97146-6338                                      </t>
  </si>
  <si>
    <t xml:space="preserve">    081.979.263-28</t>
  </si>
  <si>
    <t xml:space="preserve">MERC DO ANTONIO COR                     </t>
  </si>
  <si>
    <t xml:space="preserve">JOSE NATANAEL DA SILVA FERREIRA         </t>
  </si>
  <si>
    <t xml:space="preserve">Rua RUA DA LAGOA AZUL 1                 </t>
  </si>
  <si>
    <t xml:space="preserve"> DEPOIS DO MERCADO JJ,LAGOA AZU         </t>
  </si>
  <si>
    <t xml:space="preserve"> 08 88178-3684                                      </t>
  </si>
  <si>
    <t xml:space="preserve">    058.945.183-93</t>
  </si>
  <si>
    <t xml:space="preserve">BARRACA DO SADRE BA                     </t>
  </si>
  <si>
    <t xml:space="preserve">SANDRE SOUSA DA SOUSA                   </t>
  </si>
  <si>
    <t xml:space="preserve">R RUA DAS LAGOA SN                      </t>
  </si>
  <si>
    <t xml:space="preserve"> ANTES DO LAGAMAR                       </t>
  </si>
  <si>
    <t xml:space="preserve"> 88 98886-2276                                      </t>
  </si>
  <si>
    <t>22.654.744/0001-62</t>
  </si>
  <si>
    <t xml:space="preserve">BISTRO CAICARA                          </t>
  </si>
  <si>
    <t xml:space="preserve">BISTRO CAICARA LTDA                     </t>
  </si>
  <si>
    <t xml:space="preserve">R RUA PRICIPAL 1                        </t>
  </si>
  <si>
    <t xml:space="preserve"> em frente o pastel e cia               </t>
  </si>
  <si>
    <t xml:space="preserve"> 85 99760-1656                                      </t>
  </si>
  <si>
    <t>16.769.179/0001-86</t>
  </si>
  <si>
    <t xml:space="preserve">PLAY KITESCHOOL PRE                     </t>
  </si>
  <si>
    <t xml:space="preserve">RONALDO MENEZES DE SOUSA                </t>
  </si>
  <si>
    <t xml:space="preserve">R RUA DA PRAIA SN                       </t>
  </si>
  <si>
    <t xml:space="preserve"> INDO PARA JERI                         </t>
  </si>
  <si>
    <t xml:space="preserve"> 88 99909-0597                                      </t>
  </si>
  <si>
    <t xml:space="preserve">    500.338.753-91</t>
  </si>
  <si>
    <t xml:space="preserve">LANC IRACI SALGADOS                     </t>
  </si>
  <si>
    <t xml:space="preserve">MARIA IRACI DE FREITAS                  </t>
  </si>
  <si>
    <t xml:space="preserve">R VILLA PREA 1                          </t>
  </si>
  <si>
    <t xml:space="preserve"> PX AO VALMIR DO GAS                    </t>
  </si>
  <si>
    <t xml:space="preserve"> 88 98834-8640                                      </t>
  </si>
  <si>
    <t xml:space="preserve">    164.189.978-67</t>
  </si>
  <si>
    <t xml:space="preserve">ARENAS BAR                              </t>
  </si>
  <si>
    <t xml:space="preserve">FRANCISCO CELIO SILVEIRA                </t>
  </si>
  <si>
    <t xml:space="preserve">Rua ACUDE NOVO 11                       </t>
  </si>
  <si>
    <t xml:space="preserve"> DE TRAS DA IGREJA                      </t>
  </si>
  <si>
    <t xml:space="preserve">VILA CARRAPATEIRAS                                          </t>
  </si>
  <si>
    <t xml:space="preserve"> 88 99944-7969                                      </t>
  </si>
  <si>
    <t xml:space="preserve">    390.107.083-49</t>
  </si>
  <si>
    <t xml:space="preserve">MERC O VALMIR                           </t>
  </si>
  <si>
    <t xml:space="preserve">MARIA DA PAZ BATISTA SOUSA              </t>
  </si>
  <si>
    <t xml:space="preserve">Rua RUA RANCHO DO PEIXE 1               </t>
  </si>
  <si>
    <t xml:space="preserve"> ANTES DO BAR DO AGENOR                 </t>
  </si>
  <si>
    <t xml:space="preserve"> 88 98158-8230                                      </t>
  </si>
  <si>
    <t xml:space="preserve">    028.590.663-14</t>
  </si>
  <si>
    <t xml:space="preserve">PIZZARIA CAICARA                        </t>
  </si>
  <si>
    <t xml:space="preserve">ANDRE ANAEL DA SILVA SOUZA              </t>
  </si>
  <si>
    <t xml:space="preserve">Rua AO LADO DA PRACA 84                 </t>
  </si>
  <si>
    <t xml:space="preserve"> PERTO DA ACADEMIA IDEAL FIT            </t>
  </si>
  <si>
    <t xml:space="preserve"> 88 98182-4428                                      </t>
  </si>
  <si>
    <t xml:space="preserve">    023.435.473-94</t>
  </si>
  <si>
    <t xml:space="preserve">MERC COQUIM                             </t>
  </si>
  <si>
    <t xml:space="preserve">ISAIAS CLAUDIO DE SOUZA                 </t>
  </si>
  <si>
    <t xml:space="preserve">VIL POVOADO CASTELIANO 1                </t>
  </si>
  <si>
    <t xml:space="preserve"> DEPOIS DO TICO                         </t>
  </si>
  <si>
    <t xml:space="preserve">CASTELIANO                                                  </t>
  </si>
  <si>
    <t xml:space="preserve"> 88 99946-4943                                      </t>
  </si>
  <si>
    <t>41.640.083/0001-60</t>
  </si>
  <si>
    <t xml:space="preserve">ALISIOS RESTAURANTE                     </t>
  </si>
  <si>
    <t xml:space="preserve">ALISIOS RESTAURANTE LTDA                </t>
  </si>
  <si>
    <t xml:space="preserve">R RANCHO DO PEIXE 10                    </t>
  </si>
  <si>
    <t xml:space="preserve"> DEPOIS DO CABARE DOS VENT              </t>
  </si>
  <si>
    <t xml:space="preserve"> 88 98877-3294                                      </t>
  </si>
  <si>
    <t xml:space="preserve">    048.126.813-83</t>
  </si>
  <si>
    <t xml:space="preserve">REFUGIO BAR E PETISC                    </t>
  </si>
  <si>
    <t xml:space="preserve">FRANCISCO JUNIO DO NASCIMENTO ROCHA     </t>
  </si>
  <si>
    <t xml:space="preserve">Rua CORREGO DOS ANAS 56                 </t>
  </si>
  <si>
    <t xml:space="preserve"> ESQUINA,Na entrada do buraco v         </t>
  </si>
  <si>
    <t xml:space="preserve">SIT CORREGO DOS ANAS                                        </t>
  </si>
  <si>
    <t xml:space="preserve"> 08 88809-6590                                      </t>
  </si>
  <si>
    <t xml:space="preserve">    063.150.913-50</t>
  </si>
  <si>
    <t xml:space="preserve">BARRACA DO RENAN DRI                    </t>
  </si>
  <si>
    <t xml:space="preserve">RENAN JUNIO DE VASCONCELOS              </t>
  </si>
  <si>
    <t xml:space="preserve">AVE RUA PRICIPAL 10                     </t>
  </si>
  <si>
    <t xml:space="preserve"> PARRACA DOS DRICKS                     </t>
  </si>
  <si>
    <t>62.590-970</t>
  </si>
  <si>
    <t xml:space="preserve"> 88 98140-5341                                      </t>
  </si>
  <si>
    <t>33.686.275/0001-80</t>
  </si>
  <si>
    <t xml:space="preserve">MERCADINHO DALVAN CO                    </t>
  </si>
  <si>
    <t xml:space="preserve">FRUTARIA E CONVENIENCIA SAO JOSE        </t>
  </si>
  <si>
    <t xml:space="preserve">AV AVENIDA CENTRAL SN                   </t>
  </si>
  <si>
    <t xml:space="preserve"> EM FRENTE A ESCOLA                     </t>
  </si>
  <si>
    <t xml:space="preserve"> 88 99768-0834                                      </t>
  </si>
  <si>
    <t>15.069.168/0003-92</t>
  </si>
  <si>
    <t>SUPER MERCADINHO ECONOMICO COMERCIO DE A</t>
  </si>
  <si>
    <t xml:space="preserve">R RUA CENTRAL SN                        </t>
  </si>
  <si>
    <t xml:space="preserve"> 88 99775-9222                                      </t>
  </si>
  <si>
    <t xml:space="preserve">    020.547.823-94</t>
  </si>
  <si>
    <t xml:space="preserve">PADARIA PADOCA JERI                     </t>
  </si>
  <si>
    <t xml:space="preserve">CHIRLENE SOARES BEZERRA SILVA           </t>
  </si>
  <si>
    <t xml:space="preserve">R RUA IMEUDA 21                         </t>
  </si>
  <si>
    <t xml:space="preserve"> PAULISTA LANCHE                        </t>
  </si>
  <si>
    <t xml:space="preserve"> 88 99628-9653                                      </t>
  </si>
  <si>
    <t xml:space="preserve">    015.119.023-29</t>
  </si>
  <si>
    <t xml:space="preserve">MERC JJ CORREGO DOS                     </t>
  </si>
  <si>
    <t xml:space="preserve">JOSE JULIMAR DOS SANTOS                 </t>
  </si>
  <si>
    <t xml:space="preserve"> DEPOIS DA LAGOA AZUL                   </t>
  </si>
  <si>
    <t xml:space="preserve"> 08 88811-2547                                      </t>
  </si>
  <si>
    <t>12.871.288/0001-59</t>
  </si>
  <si>
    <t xml:space="preserve">POUSADA KANALOA                         </t>
  </si>
  <si>
    <t xml:space="preserve">Rua Rua do forro 11                     </t>
  </si>
  <si>
    <t xml:space="preserve"> do lado da frutaria                    </t>
  </si>
  <si>
    <t xml:space="preserve"> 88 98813-0430                                      </t>
  </si>
  <si>
    <t xml:space="preserve">    925.236.923-68</t>
  </si>
  <si>
    <t xml:space="preserve">MERC SAO MIGUEL MOR                     </t>
  </si>
  <si>
    <t xml:space="preserve">MARIA ELIETE DE ARAUJO SILVEIRA         </t>
  </si>
  <si>
    <t xml:space="preserve">Rua RUA DOS CACH 1                      </t>
  </si>
  <si>
    <t xml:space="preserve"> EM FRENTE AO MERCADO VENDE BEM         </t>
  </si>
  <si>
    <t xml:space="preserve"> 08 89723-0206                                      </t>
  </si>
  <si>
    <t>41.599.105/0001-96</t>
  </si>
  <si>
    <t xml:space="preserve">CONVENIENCIA DA VILA                    </t>
  </si>
  <si>
    <t xml:space="preserve">LUCAS VASCONCELOS LEITAO                </t>
  </si>
  <si>
    <t xml:space="preserve">R RUA PRICIPAL SN                       </t>
  </si>
  <si>
    <t xml:space="preserve"> VIZINHO O JONAS                        </t>
  </si>
  <si>
    <t xml:space="preserve"> 08 89747-0108                                      </t>
  </si>
  <si>
    <t xml:space="preserve">    614.948.953-15</t>
  </si>
  <si>
    <t xml:space="preserve">CONVENIENCIA EMPORIO                    </t>
  </si>
  <si>
    <t xml:space="preserve">Leila lins de moura                     </t>
  </si>
  <si>
    <t xml:space="preserve">R rua do forro 111                      </t>
  </si>
  <si>
    <t xml:space="preserve"> 88 88957-2874                                      </t>
  </si>
  <si>
    <t xml:space="preserve">    787.109.953-15</t>
  </si>
  <si>
    <t xml:space="preserve">REST LAGUNA LAGOA D                     </t>
  </si>
  <si>
    <t xml:space="preserve">RAIMUNDA FERREIRA DA FONCECA            </t>
  </si>
  <si>
    <t xml:space="preserve">VIL Carro Quebrado 1                    </t>
  </si>
  <si>
    <t xml:space="preserve"> esquina                                </t>
  </si>
  <si>
    <t xml:space="preserve">JIJOCA DE JERICOACOA                                        </t>
  </si>
  <si>
    <t xml:space="preserve"> 08 88102-1326                                      </t>
  </si>
  <si>
    <t>19.028.719/0001-69</t>
  </si>
  <si>
    <t xml:space="preserve">JERICOR LTDA                            </t>
  </si>
  <si>
    <t xml:space="preserve">Jerico servico de turismo               </t>
  </si>
  <si>
    <t xml:space="preserve">VIL rua do ibama 11                     </t>
  </si>
  <si>
    <t xml:space="preserve"> 08 53771-3454                                      </t>
  </si>
  <si>
    <t>41.848.309/0001-13</t>
  </si>
  <si>
    <t xml:space="preserve">567 BURGUER JERI                        </t>
  </si>
  <si>
    <t xml:space="preserve">SAMIA LOPES GOUVEIA                     </t>
  </si>
  <si>
    <t xml:space="preserve">R sao francisco SN                      </t>
  </si>
  <si>
    <t xml:space="preserve"> 08 89747-0599                                      </t>
  </si>
  <si>
    <t>43.704.387/0001-70</t>
  </si>
  <si>
    <t xml:space="preserve">QUINTAL DO DENIS PR                     </t>
  </si>
  <si>
    <t xml:space="preserve">KARLA MARIA DE VASCONCELOS              </t>
  </si>
  <si>
    <t xml:space="preserve">R rua de traz do delli SN               </t>
  </si>
  <si>
    <t xml:space="preserve"> NA RUA DO MERCADINHO BELA VIST         </t>
  </si>
  <si>
    <t xml:space="preserve"> 08 88181-8523                                      </t>
  </si>
  <si>
    <t>23.446.782/0001-92</t>
  </si>
  <si>
    <t xml:space="preserve">REST PSD CASA BB JI                     </t>
  </si>
  <si>
    <t xml:space="preserve">CASA BB                                 </t>
  </si>
  <si>
    <t xml:space="preserve">R JIJOCA DOS LULAS 1                    </t>
  </si>
  <si>
    <t xml:space="preserve"> DEPOIS DO BRISA DO PARADI              </t>
  </si>
  <si>
    <t xml:space="preserve">LAGOA                                                       </t>
  </si>
  <si>
    <t xml:space="preserve"> 88 89866-6425                                      </t>
  </si>
  <si>
    <t xml:space="preserve">    078.319.223-18</t>
  </si>
  <si>
    <t xml:space="preserve">S5 - MERC NP COMERCI                    </t>
  </si>
  <si>
    <t xml:space="preserve">CHARLES CAITANO DE ARAUJO               </t>
  </si>
  <si>
    <t xml:space="preserve">R RUA FRANCISCO XAVIER SN               </t>
  </si>
  <si>
    <t xml:space="preserve"> EM FRENTE AO ACAI                      </t>
  </si>
  <si>
    <t xml:space="preserve"> 08 88804-8048                                      </t>
  </si>
  <si>
    <t xml:space="preserve">    317.837.358-64</t>
  </si>
  <si>
    <t xml:space="preserve">REST QUIOSQUE DA PIN                    </t>
  </si>
  <si>
    <t xml:space="preserve">FRANCISCO MARQUES FREITAS               </t>
  </si>
  <si>
    <t xml:space="preserve">Rua CARRAPATEIRAS 1                     </t>
  </si>
  <si>
    <t xml:space="preserve"> QUIOSQUE DA PINGUELA                   </t>
  </si>
  <si>
    <t xml:space="preserve">PINGUELA                                                    </t>
  </si>
  <si>
    <t xml:space="preserve"> 08 89848-7734                                      </t>
  </si>
  <si>
    <t>39.438.274/0001-00</t>
  </si>
  <si>
    <t xml:space="preserve">REST DA LU PREA                         </t>
  </si>
  <si>
    <t xml:space="preserve">LUCIVANA LOURENCO CHAVES PONTOS         </t>
  </si>
  <si>
    <t xml:space="preserve"> EM FRENTE AO RANGAI                    </t>
  </si>
  <si>
    <t xml:space="preserve"> 08 88143-8037                                      </t>
  </si>
  <si>
    <t xml:space="preserve">    972.162.833-68</t>
  </si>
  <si>
    <t xml:space="preserve">DEPOSITO SERAFIM MO                     </t>
  </si>
  <si>
    <t xml:space="preserve">FRANCISCA ORLANIA DE FREITAS            </t>
  </si>
  <si>
    <t xml:space="preserve">R MONTEIRO SN                           </t>
  </si>
  <si>
    <t xml:space="preserve"> MONTEIRO VIZINHO A IGREJA              </t>
  </si>
  <si>
    <t xml:space="preserve"> 08 89636-5345                                      </t>
  </si>
  <si>
    <t>42.572.415/0001-80</t>
  </si>
  <si>
    <t xml:space="preserve">HTO VILLA AGUA DE CO                    </t>
  </si>
  <si>
    <t xml:space="preserve">VILLA AGUA DE COCO PREA ME              </t>
  </si>
  <si>
    <t xml:space="preserve">VIL RUA DA PRAIA 11                     </t>
  </si>
  <si>
    <t xml:space="preserve"> ANTES DO CABARE DO VENDE               </t>
  </si>
  <si>
    <t xml:space="preserve"> 08 89996-0018                                      </t>
  </si>
  <si>
    <t>37.512.807/0001-13</t>
  </si>
  <si>
    <t xml:space="preserve">NAQUELA BAR                             </t>
  </si>
  <si>
    <t xml:space="preserve">GGG BARES E RESTAURANTES                </t>
  </si>
  <si>
    <t xml:space="preserve">R rua genesio melo SN                   </t>
  </si>
  <si>
    <t xml:space="preserve"> 08 89237-6930                                      </t>
  </si>
  <si>
    <t xml:space="preserve">    792.077.901-49</t>
  </si>
  <si>
    <t xml:space="preserve">SOL E SABOR JERI                        </t>
  </si>
  <si>
    <t xml:space="preserve">MARIA VALDENICE MORAIS DOS SANTOS       </t>
  </si>
  <si>
    <t xml:space="preserve">R principal SN                          </t>
  </si>
  <si>
    <t xml:space="preserve"> 08  9314-0876                                      </t>
  </si>
  <si>
    <t>12.835.673/0001-40</t>
  </si>
  <si>
    <t xml:space="preserve">S5 - REST AGUA VIVA                     </t>
  </si>
  <si>
    <t xml:space="preserve">RESTAURANTE AGUA VIVA                   </t>
  </si>
  <si>
    <t xml:space="preserve">R RUA DAS LAGOAS SN                     </t>
  </si>
  <si>
    <t xml:space="preserve"> AGUA VIVA                              </t>
  </si>
  <si>
    <t xml:space="preserve"> 08 58522-7813                                      </t>
  </si>
  <si>
    <t xml:space="preserve">    027.867.593-07</t>
  </si>
  <si>
    <t xml:space="preserve">MERC SV CORREGO DAS                     </t>
  </si>
  <si>
    <t xml:space="preserve">SILAS ANDERSON FEITOSA                  </t>
  </si>
  <si>
    <t xml:space="preserve">R RUA SENTIDO A LAGOA AZUL SN           </t>
  </si>
  <si>
    <t xml:space="preserve"> SSILAS                                 </t>
  </si>
  <si>
    <t xml:space="preserve"> 08 89662-7558                                      </t>
  </si>
  <si>
    <t xml:space="preserve">    057.551.753-06</t>
  </si>
  <si>
    <t xml:space="preserve">BAR ANDERSON BEBIDAS                    </t>
  </si>
  <si>
    <t xml:space="preserve">Francisco Anderson alves silva          </t>
  </si>
  <si>
    <t xml:space="preserve">Rua Rua Isabele 2222                    </t>
  </si>
  <si>
    <t xml:space="preserve"> Perto do essenza                       </t>
  </si>
  <si>
    <t xml:space="preserve"> 08 89717-9735                                      </t>
  </si>
  <si>
    <t>33.738.433/0001-06</t>
  </si>
  <si>
    <t xml:space="preserve">MERCADINHO VE SE LA                     </t>
  </si>
  <si>
    <t xml:space="preserve">Marcelo William Vasconcelos             </t>
  </si>
  <si>
    <t xml:space="preserve">VIL Rua principal 11                    </t>
  </si>
  <si>
    <t xml:space="preserve"> Perto ponto do coco                    </t>
  </si>
  <si>
    <t xml:space="preserve"> 08 89993-5809                                      </t>
  </si>
  <si>
    <t xml:space="preserve">    388.927.401-30</t>
  </si>
  <si>
    <t xml:space="preserve">MERC O GERALDO                          </t>
  </si>
  <si>
    <t xml:space="preserve">GERALDO VASCONCELOS                     </t>
  </si>
  <si>
    <t xml:space="preserve">R RUA DAS DUNAS SN                      </t>
  </si>
  <si>
    <t xml:space="preserve"> PROXIMO AO DINGO                       </t>
  </si>
  <si>
    <t xml:space="preserve"> 08 89992-8466                                      </t>
  </si>
  <si>
    <t>38.034.105/0001-34</t>
  </si>
  <si>
    <t xml:space="preserve">POUSADA PEDRA FURADA                    </t>
  </si>
  <si>
    <t xml:space="preserve">R RUA DO FORRO SN                       </t>
  </si>
  <si>
    <t xml:space="preserve"> 08 89967-2177                                      </t>
  </si>
  <si>
    <t xml:space="preserve">    000.814.363-35</t>
  </si>
  <si>
    <t xml:space="preserve">BUTECO DA SABEDORIA                     </t>
  </si>
  <si>
    <t xml:space="preserve">Silva Helena dos Santos                 </t>
  </si>
  <si>
    <t xml:space="preserve">RUA rua atras da praia 1                </t>
  </si>
  <si>
    <t xml:space="preserve"> em frente ao SUNSET                    </t>
  </si>
  <si>
    <t xml:space="preserve"> 08 89709-4978                                      </t>
  </si>
  <si>
    <t xml:space="preserve">    006.485.983-57</t>
  </si>
  <si>
    <t xml:space="preserve">MERC BENEDITO                           </t>
  </si>
  <si>
    <t xml:space="preserve">BENEDITO GALDINO DE SOUSA               </t>
  </si>
  <si>
    <t xml:space="preserve">MOR RANCHO DO PEIXE 1                   </t>
  </si>
  <si>
    <t xml:space="preserve"> churrascaria camarao                   </t>
  </si>
  <si>
    <t xml:space="preserve"> 08 88177-3434                                      </t>
  </si>
  <si>
    <t>45.252.537/0001-87</t>
  </si>
  <si>
    <t xml:space="preserve">LC EMPORIO 33 PREA                      </t>
  </si>
  <si>
    <t xml:space="preserve">EMPORIO 33 LTDA                         </t>
  </si>
  <si>
    <t xml:space="preserve">R FRANCISCO XAVIER SOUZA 11             </t>
  </si>
  <si>
    <t xml:space="preserve"> 11 94963-1575                                      </t>
  </si>
  <si>
    <t xml:space="preserve">    118.552.847-40</t>
  </si>
  <si>
    <t xml:space="preserve">PIZZARIA CARIOCA                        </t>
  </si>
  <si>
    <t xml:space="preserve">MATHEUS MORAIS DE SOUZA                 </t>
  </si>
  <si>
    <t xml:space="preserve">R RUA 4 BOCAS SN                        </t>
  </si>
  <si>
    <t xml:space="preserve"> EM frente ao mercadinho dede           </t>
  </si>
  <si>
    <t xml:space="preserve"> 08 89999-5212                                      </t>
  </si>
  <si>
    <t>10.906.215/0001-20</t>
  </si>
  <si>
    <t xml:space="preserve">MERC DAS AMELIAS JE                     </t>
  </si>
  <si>
    <t xml:space="preserve">ALINE SAMPAIO BICA                      </t>
  </si>
  <si>
    <t xml:space="preserve">VIL RUA DO FORRO 10                     </t>
  </si>
  <si>
    <t xml:space="preserve"> 08 89954-7305                                      </t>
  </si>
  <si>
    <t xml:space="preserve">    979.304.073-49</t>
  </si>
  <si>
    <t xml:space="preserve">MERC CRIZEUDA                           </t>
  </si>
  <si>
    <t xml:space="preserve">ANTONIA CRIZEUDA MUNIZ                  </t>
  </si>
  <si>
    <t xml:space="preserve">VIL Rua padre valderir 11               </t>
  </si>
  <si>
    <t xml:space="preserve"> em frente ao posto de saude            </t>
  </si>
  <si>
    <t xml:space="preserve"> 08 88111-7213                                      </t>
  </si>
  <si>
    <t xml:space="preserve">    037.992.013-19</t>
  </si>
  <si>
    <t xml:space="preserve">PADARIA CAICARA                         </t>
  </si>
  <si>
    <t xml:space="preserve">DELCIMAR MANUEL DA SILVEIRA             </t>
  </si>
  <si>
    <t xml:space="preserve">R Rua Monsenhor Sabino SN               </t>
  </si>
  <si>
    <t xml:space="preserve"> Em frente a galeteria                  </t>
  </si>
  <si>
    <t xml:space="preserve"> 08 88106-3505                                      </t>
  </si>
  <si>
    <t>32.236.116/0001-10</t>
  </si>
  <si>
    <t xml:space="preserve">S5 - LUCAS DO CAMARA                    </t>
  </si>
  <si>
    <t xml:space="preserve">LUCAS GLEISON ARAUJO                    </t>
  </si>
  <si>
    <t xml:space="preserve">R ENTRADA 11                            </t>
  </si>
  <si>
    <t xml:space="preserve"> Proximo a padaria central              </t>
  </si>
  <si>
    <t xml:space="preserve"> 88 89962-7100                                      </t>
  </si>
  <si>
    <t xml:space="preserve">    020.955.663-35</t>
  </si>
  <si>
    <t xml:space="preserve">REST CAFE E CIA PRE                     </t>
  </si>
  <si>
    <t xml:space="preserve">REST CAFE E CIA                         </t>
  </si>
  <si>
    <t xml:space="preserve">VIL RAIMUNDO MIGUEL 11                  </t>
  </si>
  <si>
    <t xml:space="preserve"> ATRAS DA ESCOLA DIUNISIO               </t>
  </si>
  <si>
    <t xml:space="preserve"> 08 89880-3096                                      </t>
  </si>
  <si>
    <t>45.803.223/0001-25</t>
  </si>
  <si>
    <t xml:space="preserve">REST CANOAS                             </t>
  </si>
  <si>
    <t xml:space="preserve">R RUA BEIRA DA PRAIA 11                 </t>
  </si>
  <si>
    <t xml:space="preserve"> BEIRA DA PRAIA                         </t>
  </si>
  <si>
    <t xml:space="preserve"> 88 98167-8691                                      </t>
  </si>
  <si>
    <t xml:space="preserve">    092.191.603-58</t>
  </si>
  <si>
    <t xml:space="preserve">BOTECO DO CHINHA                        </t>
  </si>
  <si>
    <t xml:space="preserve">R CASTELHANO SN                         </t>
  </si>
  <si>
    <t xml:space="preserve"> EM FRENTE A CONCEICAO                  </t>
  </si>
  <si>
    <t xml:space="preserve"> 08 89747-2263                                      </t>
  </si>
  <si>
    <t>43.041.282/0001-88</t>
  </si>
  <si>
    <t xml:space="preserve">REST BALCON PREA                        </t>
  </si>
  <si>
    <t xml:space="preserve">REST BALCON                             </t>
  </si>
  <si>
    <t xml:space="preserve">R RUA BEIRA DA PRAIA 10                 </t>
  </si>
  <si>
    <t xml:space="preserve"> BEIRA DA PRAIA SENTIDO CA              </t>
  </si>
  <si>
    <t xml:space="preserve"> 11 97322-2549                                      </t>
  </si>
  <si>
    <t xml:space="preserve">    608.859.323-74</t>
  </si>
  <si>
    <t xml:space="preserve">REST BORA BORA                          </t>
  </si>
  <si>
    <t xml:space="preserve">Mirliane Lucia de Araujo                </t>
  </si>
  <si>
    <t xml:space="preserve">AVE Av Beira Mar 1                      </t>
  </si>
  <si>
    <t xml:space="preserve"> proximo ao sunset                      </t>
  </si>
  <si>
    <t xml:space="preserve"> 08 89656-2294                                      </t>
  </si>
  <si>
    <t xml:space="preserve">    075.767.283-37</t>
  </si>
  <si>
    <t xml:space="preserve">NENEM DRINKS JERI                       </t>
  </si>
  <si>
    <t xml:space="preserve">Francisco Otaciano Vasconcelos          </t>
  </si>
  <si>
    <t xml:space="preserve">RUA PRAIA 10                            </t>
  </si>
  <si>
    <t xml:space="preserve"> perto da barraca do Renan Drin         </t>
  </si>
  <si>
    <t xml:space="preserve"> 08 89812-1732                                      </t>
  </si>
  <si>
    <t xml:space="preserve">    060.668.123-00</t>
  </si>
  <si>
    <t xml:space="preserve">LUCAS DRINKS JERI                       </t>
  </si>
  <si>
    <t xml:space="preserve">LUCAS DRINKS                            </t>
  </si>
  <si>
    <t xml:space="preserve">RUA RUA PRICIPAL 11                     </t>
  </si>
  <si>
    <t xml:space="preserve"> CAIPIRINHAS                            </t>
  </si>
  <si>
    <t xml:space="preserve"> 08 89963-5299                                      </t>
  </si>
  <si>
    <t>47.429.517/0001-64</t>
  </si>
  <si>
    <t xml:space="preserve">RESTAURANTE TERRACO                     </t>
  </si>
  <si>
    <t xml:space="preserve">RESTAURANTE TERRACO VILLA GALINDO       </t>
  </si>
  <si>
    <t xml:space="preserve">R Rua principal SN                      </t>
  </si>
  <si>
    <t xml:space="preserve"> vizinho ao moabio                      </t>
  </si>
  <si>
    <t xml:space="preserve"> 08 89681-5514                                      </t>
  </si>
  <si>
    <t>34.465.945/0001-09</t>
  </si>
  <si>
    <t xml:space="preserve">COMERCIO MUNDIAL DE                     </t>
  </si>
  <si>
    <t>COMERCIO MUNDIAL DE CEREAIS E ALUM.EIREL</t>
  </si>
  <si>
    <t xml:space="preserve">RUA RUA CAVALO BRAVO 10                 </t>
  </si>
  <si>
    <t xml:space="preserve"> 08 89971-0891                                      </t>
  </si>
  <si>
    <t>10.490.199/0001-37</t>
  </si>
  <si>
    <t xml:space="preserve">DONA AMELIA BISTRO                      </t>
  </si>
  <si>
    <t xml:space="preserve">JAQUEL SAMPAIO BICA ME                  </t>
  </si>
  <si>
    <t xml:space="preserve">R Rua do Forro 10                       </t>
  </si>
  <si>
    <t xml:space="preserve"> jericoacoara                           </t>
  </si>
  <si>
    <t xml:space="preserve"> 88 98152-7898                                      </t>
  </si>
  <si>
    <t>47.637.922/0001-78</t>
  </si>
  <si>
    <t xml:space="preserve">AIOLOS PREA                             </t>
  </si>
  <si>
    <t xml:space="preserve">AIOLOS HOTEL E DISCOVERIES LTDA ME      </t>
  </si>
  <si>
    <t xml:space="preserve">R Rua das dunas SN                      </t>
  </si>
  <si>
    <t xml:space="preserve"> PROXIMO AO QUINTAL DO DENIS            </t>
  </si>
  <si>
    <t xml:space="preserve"> 08 89814-4888                                      </t>
  </si>
  <si>
    <t>30.512.287/0001-08</t>
  </si>
  <si>
    <t xml:space="preserve">RR TURISMO LTDA                         </t>
  </si>
  <si>
    <t xml:space="preserve">RR EMPRESA DE TURISMO LTDA              </t>
  </si>
  <si>
    <t xml:space="preserve">LUG RUA DUNAS 2 11                      </t>
  </si>
  <si>
    <t xml:space="preserve"> GALPAO DO ESSENZA                      </t>
  </si>
  <si>
    <t xml:space="preserve"> 08 88158-5497                                      </t>
  </si>
  <si>
    <t>26.112.399/0001-96</t>
  </si>
  <si>
    <t xml:space="preserve">POUSADA SAHARA                          </t>
  </si>
  <si>
    <t xml:space="preserve">CARYL IVAN SILVA ME                     </t>
  </si>
  <si>
    <t xml:space="preserve">R RUA NOVA JERI SN                      </t>
  </si>
  <si>
    <t xml:space="preserve"> PROX. A POUSAVA VILLA PRA              </t>
  </si>
  <si>
    <t xml:space="preserve"> 88 99935-4934                                      </t>
  </si>
  <si>
    <t xml:space="preserve">    354.671.378-83</t>
  </si>
  <si>
    <t xml:space="preserve">REST JP PIZZARIA                        </t>
  </si>
  <si>
    <t xml:space="preserve">FLAVIO DA SILVA ALBUQUERQUE             </t>
  </si>
  <si>
    <t xml:space="preserve">AV AVENIDA PRINCIPAL SN                 </t>
  </si>
  <si>
    <t xml:space="preserve"> PERTO DO MARESIA                       </t>
  </si>
  <si>
    <t xml:space="preserve"> 01 15136-2735                                      </t>
  </si>
  <si>
    <t xml:space="preserve">    020.746.693-99</t>
  </si>
  <si>
    <t xml:space="preserve">MERCADINHO DUNAS                        </t>
  </si>
  <si>
    <t xml:space="preserve">REGINALDO SILVA DO NASCIMENTO           </t>
  </si>
  <si>
    <t xml:space="preserve">R Rua Isabele SN                        </t>
  </si>
  <si>
    <t xml:space="preserve"> Casa                                   </t>
  </si>
  <si>
    <t xml:space="preserve"> 08 88181-1421                                      </t>
  </si>
  <si>
    <t>45.184.332/0001-01</t>
  </si>
  <si>
    <t xml:space="preserve">BOTECO CAICARA LTDA                     </t>
  </si>
  <si>
    <t xml:space="preserve">BOTECO CAICARA LTDA ME                  </t>
  </si>
  <si>
    <t xml:space="preserve">VL PRACA CAICARA 10                     </t>
  </si>
  <si>
    <t xml:space="preserve"> ESQUINA                                </t>
  </si>
  <si>
    <t xml:space="preserve"> 88 88105-4197                                      </t>
  </si>
  <si>
    <t xml:space="preserve">    059.226.483-14</t>
  </si>
  <si>
    <t xml:space="preserve">DEP DO NONATO                           </t>
  </si>
  <si>
    <t xml:space="preserve">EDUARDO OLIVEIRA DE SOUZA               </t>
  </si>
  <si>
    <t xml:space="preserve">Rua RUA DAS LAGOAS 1                    </t>
  </si>
  <si>
    <t xml:space="preserve"> RUA DAS LAGOAS                         </t>
  </si>
  <si>
    <t xml:space="preserve"> 08 88135-1834                                      </t>
  </si>
  <si>
    <t xml:space="preserve">    046.310.294-04</t>
  </si>
  <si>
    <t xml:space="preserve">REST E LANCH BOM QU                     </t>
  </si>
  <si>
    <t xml:space="preserve">CID CLENILDO                            </t>
  </si>
  <si>
    <t>RUA RODOVIA MANOEL RAIMUNDO DE MEDEIROS1</t>
  </si>
  <si>
    <t xml:space="preserve"> AO LADO DA PADARIA CENTAL              </t>
  </si>
  <si>
    <t xml:space="preserve"> 08 89669-0042                                      </t>
  </si>
  <si>
    <t xml:space="preserve">    008.878.133-05</t>
  </si>
  <si>
    <t xml:space="preserve">MERC DETE PREA                          </t>
  </si>
  <si>
    <t xml:space="preserve">SILVANDETE DE SOUSA SILVEIRA            </t>
  </si>
  <si>
    <t xml:space="preserve">R sem nome SN                           </t>
  </si>
  <si>
    <t xml:space="preserve"> RUA DO QUINTAL DO DENIS                </t>
  </si>
  <si>
    <t xml:space="preserve"> 08 88109-7207                                      </t>
  </si>
  <si>
    <t>48.449.936/0001-20</t>
  </si>
  <si>
    <t xml:space="preserve">NOMAD                                   </t>
  </si>
  <si>
    <t xml:space="preserve">NMD BARES E RESTAURANTES LTDA           </t>
  </si>
  <si>
    <t xml:space="preserve">R ARMANDO VASCONCELOS 11                </t>
  </si>
  <si>
    <t xml:space="preserve"> 88 19544-2026                                      </t>
  </si>
  <si>
    <t>49.314.763/0001-04</t>
  </si>
  <si>
    <t xml:space="preserve">RESTAURANTE E PIZZAR                    </t>
  </si>
  <si>
    <t xml:space="preserve">RESTAURANTE E PIZZARIA SABOR ENCANTUS   </t>
  </si>
  <si>
    <t xml:space="preserve">R SAO FRANCISCO SN                      </t>
  </si>
  <si>
    <t xml:space="preserve"> VIZINHO AO KUARA                       </t>
  </si>
  <si>
    <t xml:space="preserve"> 08 89802-2860                                      </t>
  </si>
  <si>
    <t>40.466.986/0001-04</t>
  </si>
  <si>
    <t xml:space="preserve">EL TRAGO JERI                           </t>
  </si>
  <si>
    <t xml:space="preserve">EL TRAGO                                </t>
  </si>
  <si>
    <t xml:space="preserve">BC BECO DO FORRO SN                     </t>
  </si>
  <si>
    <t xml:space="preserve"> PERTO DO BIGODE                        </t>
  </si>
  <si>
    <t xml:space="preserve"> 08 88120-2278                                      </t>
  </si>
  <si>
    <t>47.753.907/0001-95</t>
  </si>
  <si>
    <t xml:space="preserve">MERCADINHO JF                           </t>
  </si>
  <si>
    <t xml:space="preserve">JOSIAS DE FARIAS ARAUJO                 </t>
  </si>
  <si>
    <t xml:space="preserve">R CAVALO BRAVO SN                       </t>
  </si>
  <si>
    <t xml:space="preserve"> 08 89997-6898                                      </t>
  </si>
  <si>
    <t xml:space="preserve">    063.106.473-77</t>
  </si>
  <si>
    <t xml:space="preserve">MERC JF CAVALO BRAV                     </t>
  </si>
  <si>
    <t xml:space="preserve">MARIA NATALIA DE SOUSA                  </t>
  </si>
  <si>
    <t xml:space="preserve">AVE AV PRINCIPAL 10                     </t>
  </si>
  <si>
    <t xml:space="preserve"> EM FRENTE A QUADRA                     </t>
  </si>
  <si>
    <t xml:space="preserve">CAVALO BRAVO                                                </t>
  </si>
  <si>
    <t xml:space="preserve"> 08 88106-0762                                      </t>
  </si>
  <si>
    <t xml:space="preserve">    065.523.083-10</t>
  </si>
  <si>
    <t xml:space="preserve">ALEX FRUTARIA E MERC                    </t>
  </si>
  <si>
    <t xml:space="preserve">Darlane Nobrega de Sousa                </t>
  </si>
  <si>
    <t xml:space="preserve">LUG RUA PRINCIPAL 11                    </t>
  </si>
  <si>
    <t xml:space="preserve"> EM FRENTE AO NP COMERCIAL              </t>
  </si>
  <si>
    <t xml:space="preserve"> 08 88178-0633                                      </t>
  </si>
  <si>
    <t xml:space="preserve">    088.591.143-14</t>
  </si>
  <si>
    <t xml:space="preserve">MERC IM LAGAMAR BAR                     </t>
  </si>
  <si>
    <t xml:space="preserve">MARIO LUIZ DE SOUSA                     </t>
  </si>
  <si>
    <t xml:space="preserve">R BARRINHA 11                           </t>
  </si>
  <si>
    <t xml:space="preserve"> Comercio da entrada do Mu              </t>
  </si>
  <si>
    <t xml:space="preserve"> 88 98853-7767                                      </t>
  </si>
  <si>
    <t xml:space="preserve">    035.981.993-17</t>
  </si>
  <si>
    <t xml:space="preserve">S5 - BARRACA DA MONI                    </t>
  </si>
  <si>
    <t xml:space="preserve">JOSE DENILSON DE SOUSA                  </t>
  </si>
  <si>
    <t xml:space="preserve">R Beira da praia SN                     </t>
  </si>
  <si>
    <t xml:space="preserve"> Vizinho a sabor do mar                 </t>
  </si>
  <si>
    <t xml:space="preserve"> 08 88112-8998                                      </t>
  </si>
  <si>
    <t>40.738.430/0001-20</t>
  </si>
  <si>
    <t xml:space="preserve">LA TARANTELLA                           </t>
  </si>
  <si>
    <t xml:space="preserve">R Principal 10                          </t>
  </si>
  <si>
    <t xml:space="preserve"> 88 89918-9736                                      </t>
  </si>
  <si>
    <t>42.084.462/0001-84</t>
  </si>
  <si>
    <t xml:space="preserve">CASA SIARA                              </t>
  </si>
  <si>
    <t>VENTO FORTE EMPREENDIMENTO IMOBILIARIO L</t>
  </si>
  <si>
    <t xml:space="preserve">IA BEIRA MAR 11                         </t>
  </si>
  <si>
    <t xml:space="preserve"> ENTRE O VENTANA E O VILLA              </t>
  </si>
  <si>
    <t xml:space="preserve"> 85 98819-7894                                      </t>
  </si>
  <si>
    <t xml:space="preserve">    764.729.143-20</t>
  </si>
  <si>
    <t xml:space="preserve">TRAILER BOCA CHEIA                      </t>
  </si>
  <si>
    <t xml:space="preserve">JOSE VALDENI DE VASCONCELOS             </t>
  </si>
  <si>
    <t xml:space="preserve">RUA FRANCISCO ALEXANDRE 30              </t>
  </si>
  <si>
    <t xml:space="preserve"> CASA DO VALDENI                        </t>
  </si>
  <si>
    <t>62.597-000</t>
  </si>
  <si>
    <t xml:space="preserve"> 03 16823-8163                                      </t>
  </si>
  <si>
    <t>51.828.844/0001-66</t>
  </si>
  <si>
    <t xml:space="preserve">RESTAURANTE COZINHA                     </t>
  </si>
  <si>
    <t xml:space="preserve">COZINHA CEARENSE JERI LTDA              </t>
  </si>
  <si>
    <t xml:space="preserve">LUG RUA PRINCIPAL 78                    </t>
  </si>
  <si>
    <t xml:space="preserve"> PERTO                                  </t>
  </si>
  <si>
    <t xml:space="preserve"> 08 58194-3937                                      </t>
  </si>
  <si>
    <t xml:space="preserve">    669.509.453-53</t>
  </si>
  <si>
    <t xml:space="preserve">POUSADA BANGALO JER                     </t>
  </si>
  <si>
    <t xml:space="preserve">POUSADA BANGALO                         </t>
  </si>
  <si>
    <t xml:space="preserve"> PERTO DO SEU GERALDO                   </t>
  </si>
  <si>
    <t xml:space="preserve"> 08 89617-5454                                      </t>
  </si>
  <si>
    <t>47.396.580/0001-41</t>
  </si>
  <si>
    <t xml:space="preserve">QUINTAL DO SAMBA JE                     </t>
  </si>
  <si>
    <t>QUINTAL DO SAMBA PRODUCAO DE EVENTOS LTD</t>
  </si>
  <si>
    <t xml:space="preserve">R RUA BERTOLDO ALVES DE LIMA 10         </t>
  </si>
  <si>
    <t xml:space="preserve"> perto da igreja                        </t>
  </si>
  <si>
    <t xml:space="preserve"> 88 85982-1019                                      </t>
  </si>
  <si>
    <t>45.436.278/0001-44</t>
  </si>
  <si>
    <t xml:space="preserve">CARAUBA BEACH JIJOC                     </t>
  </si>
  <si>
    <t xml:space="preserve">TCX RESTAURANTE LTDA ME                 </t>
  </si>
  <si>
    <t xml:space="preserve">RUA PEDRO FRANCISCO DUTRA 333           </t>
  </si>
  <si>
    <t xml:space="preserve"> 08 89659-5473                                      </t>
  </si>
  <si>
    <t>52.081.463/0001-29</t>
  </si>
  <si>
    <t xml:space="preserve">VAREJAO DA VILA JER                     </t>
  </si>
  <si>
    <t xml:space="preserve">VAREJAO DA VILA                         </t>
  </si>
  <si>
    <t xml:space="preserve">LUG PRINCIPAL 25                        </t>
  </si>
  <si>
    <t xml:space="preserve"> ANTIGO MERCADINHO POPULAR 2            </t>
  </si>
  <si>
    <t xml:space="preserve"> 08 88178-3128                                      </t>
  </si>
  <si>
    <t xml:space="preserve">    910.418.643-53</t>
  </si>
  <si>
    <t xml:space="preserve">GELADAO DA VILA                         </t>
  </si>
  <si>
    <t xml:space="preserve">ALEXANDRO ARAUJO DA SILVA               </t>
  </si>
  <si>
    <t xml:space="preserve">R IRACEMA SN                            </t>
  </si>
  <si>
    <t xml:space="preserve"> PERTO DO DECK DOS FRIENDS              </t>
  </si>
  <si>
    <t xml:space="preserve"> 08 89653-0040                                      </t>
  </si>
  <si>
    <t>52.507.610/0001-80</t>
  </si>
  <si>
    <t xml:space="preserve">BAR E REST O CAPITAO                    </t>
  </si>
  <si>
    <t xml:space="preserve">Dinalvo Belarmino de Sousa              </t>
  </si>
  <si>
    <t xml:space="preserve">IA av beira mar 11                      </t>
  </si>
  <si>
    <t xml:space="preserve"> beira mar                              </t>
  </si>
  <si>
    <t xml:space="preserve"> 11 19606-4475                                      </t>
  </si>
  <si>
    <t>50.316.582/0001-98</t>
  </si>
  <si>
    <t xml:space="preserve">MERC SKINA BARRINHA                     </t>
  </si>
  <si>
    <t xml:space="preserve">MERC SKINA                              </t>
  </si>
  <si>
    <t xml:space="preserve">R RUA CENTRAL 11                        </t>
  </si>
  <si>
    <t xml:space="preserve"> AO LADP DO MERC DO OSCAR               </t>
  </si>
  <si>
    <t xml:space="preserve"> 88 98852-3111                                      </t>
  </si>
  <si>
    <t xml:space="preserve">    059.579.713-08</t>
  </si>
  <si>
    <t xml:space="preserve">MERCADINHO PALHOCA                      </t>
  </si>
  <si>
    <t xml:space="preserve">Luciano Filipe Araujo                   </t>
  </si>
  <si>
    <t xml:space="preserve">EST ESTRADA DO MORGADO SN               </t>
  </si>
  <si>
    <t xml:space="preserve"> PROX A CASA DO LAURO DA I              </t>
  </si>
  <si>
    <t xml:space="preserve"> 88 98125-4511                                      </t>
  </si>
  <si>
    <t xml:space="preserve">    783.870.943-15</t>
  </si>
  <si>
    <t xml:space="preserve">MERCADINHO O ODECIO                     </t>
  </si>
  <si>
    <t xml:space="preserve">Mercadinho o Odecio                     </t>
  </si>
  <si>
    <t xml:space="preserve">R rua do mato 111                       </t>
  </si>
  <si>
    <t xml:space="preserve"> perto da lavanderia nativ              </t>
  </si>
  <si>
    <t xml:space="preserve"> 88 89964-0312                                      </t>
  </si>
  <si>
    <t>51.801.765/0001-61</t>
  </si>
  <si>
    <t xml:space="preserve">CARANGUEJO DA VILA                      </t>
  </si>
  <si>
    <t xml:space="preserve"> perto menezes                          </t>
  </si>
  <si>
    <t xml:space="preserve"> 08 39888-5678                                      </t>
  </si>
  <si>
    <t>25.958.636/0001-71</t>
  </si>
  <si>
    <t xml:space="preserve">DELLY PREA                              </t>
  </si>
  <si>
    <t xml:space="preserve">DELLY PREA LTDA                         </t>
  </si>
  <si>
    <t xml:space="preserve">AV AV FRANCISCO XAVIER CHAVES SN        </t>
  </si>
  <si>
    <t xml:space="preserve"> perto da cyber info                    </t>
  </si>
  <si>
    <t xml:space="preserve"> 08 88224-4778                                      </t>
  </si>
  <si>
    <t>53.007.317/0001-16</t>
  </si>
  <si>
    <t xml:space="preserve">CHICAO GRILL CAFE E                     </t>
  </si>
  <si>
    <t xml:space="preserve">CHICAO GRILL CAFE E CHURRASCARIA        </t>
  </si>
  <si>
    <t xml:space="preserve">R CAVALO BRAVO 111                      </t>
  </si>
  <si>
    <t xml:space="preserve"> PERTO DO POSTO LUCAS                   </t>
  </si>
  <si>
    <t xml:space="preserve"> 88 99949-4741                                      </t>
  </si>
  <si>
    <t>32.768.826/0005-15</t>
  </si>
  <si>
    <t xml:space="preserve">ATACADAO DO VALE FIL                    </t>
  </si>
  <si>
    <t>ATACADAO DO VALE COMERCIO DE ALIMENTOS L</t>
  </si>
  <si>
    <t xml:space="preserve">R ANTIGO TEM DE TUDO 77                 </t>
  </si>
  <si>
    <t xml:space="preserve"> 88 89977-2875                                      </t>
  </si>
  <si>
    <t>32.768.826/0006-04</t>
  </si>
  <si>
    <t xml:space="preserve">ATACADAO DO VALE COMERCIO DE ALIMENTOS  </t>
  </si>
  <si>
    <t xml:space="preserve">R ENTRADA ESTACIONAMENTO 52             </t>
  </si>
  <si>
    <t xml:space="preserve"> ESTACIONAMENTO                         </t>
  </si>
  <si>
    <t xml:space="preserve"> 88 59977-2875                                      </t>
  </si>
  <si>
    <t>32.768.826/0004-34</t>
  </si>
  <si>
    <t xml:space="preserve">R RUA PRINCIPAL 25                      </t>
  </si>
  <si>
    <t xml:space="preserve"> ANTIGO TEM DE TUDO ATACAR              </t>
  </si>
  <si>
    <t>47.929.133/0001-00</t>
  </si>
  <si>
    <t xml:space="preserve">TN CONVENIENCIA JERI                    </t>
  </si>
  <si>
    <t xml:space="preserve">TH CONVENIENCIA JERICOACOARA            </t>
  </si>
  <si>
    <t xml:space="preserve">LUG PRINCIPAL 68                        </t>
  </si>
  <si>
    <t xml:space="preserve"> DE FRENTE TEM DE TUDO ATACADAO         </t>
  </si>
  <si>
    <t xml:space="preserve"> 08 89816-9268                                      </t>
  </si>
  <si>
    <t>53.505.361/0001-56</t>
  </si>
  <si>
    <t xml:space="preserve">LANCHES DA PRACA                        </t>
  </si>
  <si>
    <t xml:space="preserve">Flavia Maria Martins Ferreira           </t>
  </si>
  <si>
    <t xml:space="preserve">RUA Jose Joao 987                       </t>
  </si>
  <si>
    <t xml:space="preserve"> Ao lado do neto das frutas             </t>
  </si>
  <si>
    <t xml:space="preserve"> 00  0000-0008                                      </t>
  </si>
  <si>
    <t>53.013.023/0001-05</t>
  </si>
  <si>
    <t xml:space="preserve">LANCHONETE XIQUE XIQ                    </t>
  </si>
  <si>
    <t xml:space="preserve">LANCHONETE XIQUE XIQUE LTDA             </t>
  </si>
  <si>
    <t xml:space="preserve"> PERTO DO QUEBRA MOLA                   </t>
  </si>
  <si>
    <t xml:space="preserve"> 08 89712-7405                                      </t>
  </si>
  <si>
    <t>44.208.009/0001-68</t>
  </si>
  <si>
    <t xml:space="preserve">MERC BD JERI                            </t>
  </si>
  <si>
    <t xml:space="preserve">Merc B. D jeri novo                     </t>
  </si>
  <si>
    <t xml:space="preserve">LUG Rua da upa 89                       </t>
  </si>
  <si>
    <t xml:space="preserve"> Frente upa                             </t>
  </si>
  <si>
    <t xml:space="preserve"> 08 89712-3545                                      </t>
  </si>
  <si>
    <t>17.386.854/0003-12</t>
  </si>
  <si>
    <t xml:space="preserve">CARNEIRO CAICARA                        </t>
  </si>
  <si>
    <t xml:space="preserve">COMERCIAL CARNEIRO DE ALIMENTOS LTDA    </t>
  </si>
  <si>
    <t xml:space="preserve">R Monsenhor sabino 300                  </t>
  </si>
  <si>
    <t xml:space="preserve"> Em frente a praca nova                 </t>
  </si>
  <si>
    <t xml:space="preserve"> 88 89996-7480                                      </t>
  </si>
  <si>
    <t>27.356.699/0001-83</t>
  </si>
  <si>
    <t xml:space="preserve">MERC VILA BELA BARR                     </t>
  </si>
  <si>
    <t xml:space="preserve">Beliane Araujo dos Santos               </t>
  </si>
  <si>
    <t xml:space="preserve">R Vila bela 25                          </t>
  </si>
  <si>
    <t xml:space="preserve"> Antes da Igreja                        </t>
  </si>
  <si>
    <t xml:space="preserve"> 88 98214-3573                                      </t>
  </si>
  <si>
    <t xml:space="preserve">    634.455.243-35</t>
  </si>
  <si>
    <t xml:space="preserve">MERCADINHO SAO JOAQU                    </t>
  </si>
  <si>
    <t xml:space="preserve">Rodolfo igor                            </t>
  </si>
  <si>
    <t xml:space="preserve">LUG Forro 99                            </t>
  </si>
  <si>
    <t xml:space="preserve"> Perto pousada                          </t>
  </si>
  <si>
    <t xml:space="preserve"> 08 89867-5456                                      </t>
  </si>
  <si>
    <t>51.465.639/0001-83</t>
  </si>
  <si>
    <t xml:space="preserve">ASA7                                    </t>
  </si>
  <si>
    <t xml:space="preserve">EVRO RESTAURANTE LTDA                   </t>
  </si>
  <si>
    <t xml:space="preserve">R Av. Beira Mar SN                      </t>
  </si>
  <si>
    <t xml:space="preserve"> Sande                                  </t>
  </si>
  <si>
    <t xml:space="preserve"> 08 88107-1679                                      </t>
  </si>
  <si>
    <t xml:space="preserve">    456.998.603-04</t>
  </si>
  <si>
    <t xml:space="preserve">RESTAURANTE 2AMIGOS                     </t>
  </si>
  <si>
    <t xml:space="preserve">Alfredo Ferreira Souza                  </t>
  </si>
  <si>
    <t xml:space="preserve">RUA Av principal 987                    </t>
  </si>
  <si>
    <t xml:space="preserve"> Em frente a Toca do Prea               </t>
  </si>
  <si>
    <t xml:space="preserve"> 08 89965-1746                                      </t>
  </si>
  <si>
    <t xml:space="preserve">    058.293.903-88</t>
  </si>
  <si>
    <t xml:space="preserve">CONVENIENCIA DO MARC                    </t>
  </si>
  <si>
    <t xml:space="preserve">ANTONIO MARCOS DA SILVA VASCONCELOS     </t>
  </si>
  <si>
    <t xml:space="preserve">R SAO FRANCISCO 11                      </t>
  </si>
  <si>
    <t xml:space="preserve"> BECO DO POPULAR                        </t>
  </si>
  <si>
    <t xml:space="preserve"> 88 89910-6026                                      </t>
  </si>
  <si>
    <t xml:space="preserve">    373.328.818-10</t>
  </si>
  <si>
    <t xml:space="preserve">FRIGORIFICO CENTRAL                     </t>
  </si>
  <si>
    <t xml:space="preserve">JARDEL SILVA NERES                      </t>
  </si>
  <si>
    <t xml:space="preserve">AV Av principal SN                      </t>
  </si>
  <si>
    <t xml:space="preserve"> Em frente ao Delly prea                </t>
  </si>
  <si>
    <t xml:space="preserve"> 08 89871-2894                                      </t>
  </si>
  <si>
    <t>53.127.402/0001-18</t>
  </si>
  <si>
    <t xml:space="preserve">S5 - PADARIA MARLUCE                    </t>
  </si>
  <si>
    <t xml:space="preserve">MARLUCE                                 </t>
  </si>
  <si>
    <t xml:space="preserve">R Rua das dunas 115684                  </t>
  </si>
  <si>
    <t xml:space="preserve"> 88 83569-5487                                      </t>
  </si>
  <si>
    <t xml:space="preserve">    012.545.743-01</t>
  </si>
  <si>
    <t xml:space="preserve">UNITUR VIAGENS                          </t>
  </si>
  <si>
    <t xml:space="preserve">JAR SAO FRANCISCO 12                    </t>
  </si>
  <si>
    <t xml:space="preserve"> SAO FRANCISCO                          </t>
  </si>
  <si>
    <t xml:space="preserve"> 08 89746-4536                                      </t>
  </si>
  <si>
    <t>45.938.232/0001-23</t>
  </si>
  <si>
    <t xml:space="preserve">RESTAURANTE CABOCLO                     </t>
  </si>
  <si>
    <t xml:space="preserve">ALDAIR JOSE DE FREITAS                  </t>
  </si>
  <si>
    <t xml:space="preserve">ILH FORMOSA 22                          </t>
  </si>
  <si>
    <t xml:space="preserve"> DEPOIS DO MERC BENEDITO                </t>
  </si>
  <si>
    <t xml:space="preserve"> 08 88134-4579                                      </t>
  </si>
  <si>
    <t xml:space="preserve">    037.788.243-76</t>
  </si>
  <si>
    <t xml:space="preserve">MERC PEDRO VALENTE                      </t>
  </si>
  <si>
    <t xml:space="preserve">Eder Valente da Silva                   </t>
  </si>
  <si>
    <t xml:space="preserve">R Rua da caixa d agua 1222              </t>
  </si>
  <si>
    <t xml:space="preserve"> 88 98849-7396                                      </t>
  </si>
  <si>
    <t xml:space="preserve">    016.101.733-92</t>
  </si>
  <si>
    <t xml:space="preserve">DEPOSITO DE BEBIDAS                     </t>
  </si>
  <si>
    <t xml:space="preserve">Francisca Marcia da Silva               </t>
  </si>
  <si>
    <t xml:space="preserve">RUA Av principal 233                    </t>
  </si>
  <si>
    <t xml:space="preserve"> 08 88179-7769                                      </t>
  </si>
  <si>
    <t xml:space="preserve">    068.714.433-71</t>
  </si>
  <si>
    <t xml:space="preserve">S5 - SANTO ANTONIO T                    </t>
  </si>
  <si>
    <t xml:space="preserve">MARIA IRLANDIA MESQUITA MELO            </t>
  </si>
  <si>
    <t xml:space="preserve">R Mariotilha SN                         </t>
  </si>
  <si>
    <t xml:space="preserve"> 08 89962-3242                                      </t>
  </si>
  <si>
    <t>44.588.715/0001-82</t>
  </si>
  <si>
    <t xml:space="preserve">PADARIA SANTO ANTONI                    </t>
  </si>
  <si>
    <t xml:space="preserve">Padaria Santo Antonio 2                 </t>
  </si>
  <si>
    <t xml:space="preserve">LUG Sao Francisco 99                    </t>
  </si>
  <si>
    <t xml:space="preserve"> Padaria Santo Antonio                  </t>
  </si>
  <si>
    <t xml:space="preserve"> 08 88845-3108                                      </t>
  </si>
  <si>
    <t>54.283.802/0001-85</t>
  </si>
  <si>
    <t xml:space="preserve">SABOR DA PRACA JERI                     </t>
  </si>
  <si>
    <t xml:space="preserve">Sabor da Praca                          </t>
  </si>
  <si>
    <t xml:space="preserve">LUG Principal 99                        </t>
  </si>
  <si>
    <t xml:space="preserve"> Frente a praca                         </t>
  </si>
  <si>
    <t xml:space="preserve"> 08 89821-3594                                      </t>
  </si>
  <si>
    <t xml:space="preserve">    650.679.403-87</t>
  </si>
  <si>
    <t xml:space="preserve">BOTECO DA NEGONA PR                     </t>
  </si>
  <si>
    <t xml:space="preserve">FRANCISCA REGIANE MARQUES NASCIMENTO    </t>
  </si>
  <si>
    <t xml:space="preserve">AV AVENIDA 10 DE AGOSTO SN              </t>
  </si>
  <si>
    <t xml:space="preserve"> PROX A FRUTARIA SERRA GRA              </t>
  </si>
  <si>
    <t xml:space="preserve"> 88 99672-2485                                      </t>
  </si>
  <si>
    <t xml:space="preserve">    424.270.023-72</t>
  </si>
  <si>
    <t xml:space="preserve">MERCADINHO DA DIANA                     </t>
  </si>
  <si>
    <t xml:space="preserve">Francisco Rubens Do Nascimento          </t>
  </si>
  <si>
    <t xml:space="preserve">LUG Rua do colegio 99                   </t>
  </si>
  <si>
    <t xml:space="preserve"> Prox deposito vitoria                  </t>
  </si>
  <si>
    <t xml:space="preserve"> 08 59783-3684                                      </t>
  </si>
  <si>
    <t xml:space="preserve">    249.932.788-02</t>
  </si>
  <si>
    <t xml:space="preserve">CAJUBAR CRUZ                            </t>
  </si>
  <si>
    <t xml:space="preserve">LEANDRO SILVIO ARAUJO                   </t>
  </si>
  <si>
    <t xml:space="preserve">RUA AV 14 DE JANEIRO 1166               </t>
  </si>
  <si>
    <t xml:space="preserve">    603.426.593-24</t>
  </si>
  <si>
    <t xml:space="preserve">EMPORIO DAS BEBIDAS                     </t>
  </si>
  <si>
    <t xml:space="preserve">GABRIEL ARAUJO MORAIS                   </t>
  </si>
  <si>
    <t xml:space="preserve">R NOSSA SENHORA DE FATIMA SN            </t>
  </si>
  <si>
    <t xml:space="preserve"> Proximo ao arco                        </t>
  </si>
  <si>
    <t xml:space="preserve"> 08 89990-8601                                      </t>
  </si>
  <si>
    <t>55.288.704/0001-01</t>
  </si>
  <si>
    <t xml:space="preserve">DK CONVENIENCIA JER                     </t>
  </si>
  <si>
    <t xml:space="preserve">JONAS ALBUQUERQUE                       </t>
  </si>
  <si>
    <t xml:space="preserve">RUA RUA PRINCIPAL 5000                  </t>
  </si>
  <si>
    <t xml:space="preserve"> VIZ A CONV DA VILA                     </t>
  </si>
  <si>
    <t xml:space="preserve"> 08 89765-0455                                      </t>
  </si>
  <si>
    <t xml:space="preserve">    035.864.443-70</t>
  </si>
  <si>
    <t xml:space="preserve">MERCADINHO PONTO X                      </t>
  </si>
  <si>
    <t xml:space="preserve">CARLEADRO DIAS DUTRA                    </t>
  </si>
  <si>
    <t xml:space="preserve">Rua VILA SANTA MARIA 1                  </t>
  </si>
  <si>
    <t xml:space="preserve"> PROXIMO A PARADA DE ONIBUS PER         </t>
  </si>
  <si>
    <t xml:space="preserve"> 08 89923-7573                                      </t>
  </si>
  <si>
    <t xml:space="preserve">    108.924.423-10</t>
  </si>
  <si>
    <t xml:space="preserve">Carlos Rerison De Araujo                </t>
  </si>
  <si>
    <t>Rua RODOVIA ROTA TURISTICA SERRA DA IBIA</t>
  </si>
  <si>
    <t xml:space="preserve"> 08 89806-2440                                      </t>
  </si>
  <si>
    <t xml:space="preserve">    099.018.203-75</t>
  </si>
  <si>
    <t xml:space="preserve">MERC GERALDO NONATO                     </t>
  </si>
  <si>
    <t xml:space="preserve">MARCOS ODEUN ALVES SILVEIRA             </t>
  </si>
  <si>
    <t xml:space="preserve"> 08 89746-8862                                      </t>
  </si>
  <si>
    <t xml:space="preserve">    046.938.533-21</t>
  </si>
  <si>
    <t xml:space="preserve">BETIM PIZZARIA CENT                     </t>
  </si>
  <si>
    <t xml:space="preserve">HUMBERTO RIOS LEORNE FILHO              </t>
  </si>
  <si>
    <t xml:space="preserve">PRA Av Guido osterno sn 10000           </t>
  </si>
  <si>
    <t xml:space="preserve"> PRACA DO MUSEU                         </t>
  </si>
  <si>
    <t xml:space="preserve"> 08 89971-5633                                      </t>
  </si>
  <si>
    <t xml:space="preserve">    836.060.843-15</t>
  </si>
  <si>
    <t xml:space="preserve">DISTRIBUIDORA JM CU                     </t>
  </si>
  <si>
    <t xml:space="preserve">Jose Gonzaga de siusa junior            </t>
  </si>
  <si>
    <t xml:space="preserve">R rodagem 999                           </t>
  </si>
  <si>
    <t xml:space="preserve"> 88 99687-1441                                      </t>
  </si>
  <si>
    <t xml:space="preserve">    003.966.933-50</t>
  </si>
  <si>
    <t xml:space="preserve">CELIA LANCHES BURIT                     </t>
  </si>
  <si>
    <t xml:space="preserve">ANA DOS SANTOS LIMA                     </t>
  </si>
  <si>
    <t xml:space="preserve">R RUA EDGAR SALES MOURA SN              </t>
  </si>
  <si>
    <t xml:space="preserve"> 08 89708-9650                                      </t>
  </si>
  <si>
    <t>05.416.176/0001-42</t>
  </si>
  <si>
    <t xml:space="preserve">POUSADA ANGELICA                        </t>
  </si>
  <si>
    <t xml:space="preserve">R RUA DO COLEGIO 22222                  </t>
  </si>
  <si>
    <t xml:space="preserve"> 85 98721-2106                                      </t>
  </si>
  <si>
    <t xml:space="preserve">    050.800.163-37</t>
  </si>
  <si>
    <t xml:space="preserve">RESTAURANTE O BIGODE                    </t>
  </si>
  <si>
    <t xml:space="preserve">RENAN ALVES DA COSTA                    </t>
  </si>
  <si>
    <t xml:space="preserve">R RUA DO FORRO 222                      </t>
  </si>
  <si>
    <t xml:space="preserve"> AO LADO DO SAL DA PRAIA                </t>
  </si>
  <si>
    <t xml:space="preserve"> 88 99691-3965                                      </t>
  </si>
  <si>
    <t xml:space="preserve">    012.498.253-00</t>
  </si>
  <si>
    <t xml:space="preserve">DEP O CLEBER LAGOA                      </t>
  </si>
  <si>
    <t xml:space="preserve">CLEBER GILSON DA ROCHA                  </t>
  </si>
  <si>
    <t xml:space="preserve">RUA POVOADO LAGOA DA VOLTA 999          </t>
  </si>
  <si>
    <t xml:space="preserve"> 08 88151-8677                                      </t>
  </si>
  <si>
    <t xml:space="preserve">    028.736.973-00</t>
  </si>
  <si>
    <t xml:space="preserve">MERCEARIA CARMEM                        </t>
  </si>
  <si>
    <t xml:space="preserve">CARMEM SILVA CARVALHO DE FREITAS        </t>
  </si>
  <si>
    <t xml:space="preserve">Rua SANTA ROSA 1 579                    </t>
  </si>
  <si>
    <t xml:space="preserve"> EM FRENTE AO DEP FURTUOSO              </t>
  </si>
  <si>
    <t xml:space="preserve"> 09 29755-6379                                      </t>
  </si>
  <si>
    <t xml:space="preserve">    019.566.593-74</t>
  </si>
  <si>
    <t xml:space="preserve">DEPOSITO DO TONHINHO                    </t>
  </si>
  <si>
    <t xml:space="preserve">REGINA MARCIA DA COSTA                  </t>
  </si>
  <si>
    <t xml:space="preserve">R BELEM SN                              </t>
  </si>
  <si>
    <t xml:space="preserve"> 08 89634-7913                                      </t>
  </si>
  <si>
    <t xml:space="preserve">    011.081.883-03</t>
  </si>
  <si>
    <t xml:space="preserve">MERCEARIA DO JOAO BO                    </t>
  </si>
  <si>
    <t xml:space="preserve">FABIANA DE SOUZA VALENTIM               </t>
  </si>
  <si>
    <t xml:space="preserve">Rua CELSOLANDIA BR 403 1000             </t>
  </si>
  <si>
    <t xml:space="preserve"> 08 89995-3894                                      </t>
  </si>
  <si>
    <t xml:space="preserve">    072.594.083-24</t>
  </si>
  <si>
    <t xml:space="preserve">MERC EDMAURO                            </t>
  </si>
  <si>
    <t xml:space="preserve">JOSE EDMAURO DE ARAUJO                  </t>
  </si>
  <si>
    <t xml:space="preserve">VL VILA SANTA MARIA SN                  </t>
  </si>
  <si>
    <t xml:space="preserve"> PROXIMO A ARENINHA                     </t>
  </si>
  <si>
    <t xml:space="preserve"> 08 89707-7611                                      </t>
  </si>
  <si>
    <t xml:space="preserve">    071.705.663-54</t>
  </si>
  <si>
    <t xml:space="preserve">MERCEARIA SAO MANOEL                    </t>
  </si>
  <si>
    <t xml:space="preserve">MANUEL LUCAS MORAIS FONTELES            </t>
  </si>
  <si>
    <t xml:space="preserve">Rua AV DEP NEVES OSTERNO 1              </t>
  </si>
  <si>
    <t xml:space="preserve"> 08 89711-5109                                      </t>
  </si>
  <si>
    <t xml:space="preserve">    804.186.943-20</t>
  </si>
  <si>
    <t xml:space="preserve">BAR ALTAS HORAS MAS                     </t>
  </si>
  <si>
    <t xml:space="preserve">PAULO CESAR DE FREITAS SOUZA            </t>
  </si>
  <si>
    <t xml:space="preserve">RUA MASSARANDUBA 354                    </t>
  </si>
  <si>
    <t xml:space="preserve"> 08 89903-9702                                      </t>
  </si>
  <si>
    <t xml:space="preserve">    048.057.023-03</t>
  </si>
  <si>
    <t xml:space="preserve">RENATO DRINKS                           </t>
  </si>
  <si>
    <t xml:space="preserve">CARLOS RENATO VASCONCELOS               </t>
  </si>
  <si>
    <t xml:space="preserve">R Rua Principal SN                      </t>
  </si>
  <si>
    <t xml:space="preserve">    101.368.323-42</t>
  </si>
  <si>
    <t xml:space="preserve">GL MERCADINHO                           </t>
  </si>
  <si>
    <t xml:space="preserve">GUSTAVO DE MEDEIROS SOUSA               </t>
  </si>
  <si>
    <t xml:space="preserve">R Rua Francisco Jose De Miranda SN      </t>
  </si>
  <si>
    <t xml:space="preserve"> 08 88161-6515                                      </t>
  </si>
  <si>
    <t xml:space="preserve">    027.069.493-50</t>
  </si>
  <si>
    <t xml:space="preserve">MERC SAO FRANCISCO T                    </t>
  </si>
  <si>
    <t xml:space="preserve">FRANCISCO CRISTIANO FONTINELES          </t>
  </si>
  <si>
    <t xml:space="preserve">Rua DEP FCO MONTE 594                   </t>
  </si>
  <si>
    <t xml:space="preserve"> EM FRENTE A PRACA COQUEIRINHO          </t>
  </si>
  <si>
    <t xml:space="preserve"> 08 89637-2944                                      </t>
  </si>
  <si>
    <t xml:space="preserve">    610.264.493-08</t>
  </si>
  <si>
    <t xml:space="preserve">COMERCIAL DO CHICO                      </t>
  </si>
  <si>
    <t xml:space="preserve">MARIA FERNANDA DOS SANTOS ALVES         </t>
  </si>
  <si>
    <t xml:space="preserve">AV AV:JOaO BATISTA RIOS SN              </t>
  </si>
  <si>
    <t xml:space="preserve">RIACHO                                                      </t>
  </si>
  <si>
    <t xml:space="preserve">ITAREMA                       </t>
  </si>
  <si>
    <t xml:space="preserve"> 88 99997-5644                                      </t>
  </si>
  <si>
    <t xml:space="preserve">    057.320.733-02</t>
  </si>
  <si>
    <t xml:space="preserve">MERC. JULIANA                           </t>
  </si>
  <si>
    <t xml:space="preserve">FRANCISCA JULIANA ALVES CARNEIRO        </t>
  </si>
  <si>
    <t xml:space="preserve">AV AV: TOMAS SABINO. DE SOUSA 12        </t>
  </si>
  <si>
    <t xml:space="preserve">ALMOFALA                                                    </t>
  </si>
  <si>
    <t xml:space="preserve"> 88  3667-2051  |   88 98136-6027                   </t>
  </si>
  <si>
    <t xml:space="preserve">    029.162.043-42</t>
  </si>
  <si>
    <t xml:space="preserve">ESPETO DA LIDU                          </t>
  </si>
  <si>
    <t xml:space="preserve">MARIA LIDUINA MARQUES                   </t>
  </si>
  <si>
    <t xml:space="preserve">SIT SITIO SaO VICENTE SN                </t>
  </si>
  <si>
    <t xml:space="preserve">SAO VICENTE                                                 </t>
  </si>
  <si>
    <t xml:space="preserve"> 88 99977-0562                                      </t>
  </si>
  <si>
    <t xml:space="preserve">    024.316.013-58</t>
  </si>
  <si>
    <t xml:space="preserve">ESCENT PUB BAR                          </t>
  </si>
  <si>
    <t xml:space="preserve">JOSE WILLIAMS DOS SANTOS SOUZA          </t>
  </si>
  <si>
    <t xml:space="preserve">R R: FRANKLIN DE FREITAS 166            </t>
  </si>
  <si>
    <t xml:space="preserve"> 88 99933-6553                                      </t>
  </si>
  <si>
    <t xml:space="preserve">    014.408.763-47</t>
  </si>
  <si>
    <t xml:space="preserve">MERC DONA ANTONIA                       </t>
  </si>
  <si>
    <t xml:space="preserve">FRANCISCO WELINGTON DOS SANTOS          </t>
  </si>
  <si>
    <t xml:space="preserve">081 ALMOFALA 07                         </t>
  </si>
  <si>
    <t xml:space="preserve">BARRO VERMELHO                                              </t>
  </si>
  <si>
    <t xml:space="preserve"> 88 99689-9339                                      </t>
  </si>
  <si>
    <t>35.144.226/0001-40</t>
  </si>
  <si>
    <t xml:space="preserve">MERC. RIOMARIO                          </t>
  </si>
  <si>
    <t>FRANCISCO RIOMARIO MARQUES MONTEIRO 2836</t>
  </si>
  <si>
    <t xml:space="preserve">081 EST. SAO VICENTE SN 50              </t>
  </si>
  <si>
    <t xml:space="preserve"> 85 99947-1038                                      </t>
  </si>
  <si>
    <t>35.058.241/0001-76</t>
  </si>
  <si>
    <t xml:space="preserve">DELICIAS DO CAFE                        </t>
  </si>
  <si>
    <t>DELICIAS DO CAFE ALIMENTOS E SERVICOS LT</t>
  </si>
  <si>
    <t xml:space="preserve">R R:JOaO BATISTA RIOS SN                </t>
  </si>
  <si>
    <t xml:space="preserve"> 88 99755-5049                                      </t>
  </si>
  <si>
    <t>31.118.194/0001-58</t>
  </si>
  <si>
    <t xml:space="preserve">COMERCIAL UNIAO                         </t>
  </si>
  <si>
    <t xml:space="preserve">CLEITON SANTOS DE OLIVEIRA 04706363357  </t>
  </si>
  <si>
    <t xml:space="preserve">081 R:LUIZ GONZAGA DE VASCONCELOS 19    </t>
  </si>
  <si>
    <t xml:space="preserve"> 85 99735-4891                                      </t>
  </si>
  <si>
    <t>35.094.745/0001-41</t>
  </si>
  <si>
    <t xml:space="preserve">MERCADINHO O MATEUS                     </t>
  </si>
  <si>
    <t xml:space="preserve">MARIA VILMA DA COSTA 92608957315        </t>
  </si>
  <si>
    <t xml:space="preserve">081 JOAO BATISTA RIOS SN 398            </t>
  </si>
  <si>
    <t xml:space="preserve"> 88 99997-3526                                      </t>
  </si>
  <si>
    <t xml:space="preserve">    613.752.483-32</t>
  </si>
  <si>
    <t xml:space="preserve">MERC. CASA DO RANCHO                    </t>
  </si>
  <si>
    <t xml:space="preserve">ANTONIA KARINE GOMES ALVES              </t>
  </si>
  <si>
    <t xml:space="preserve">R TORROES SN SN                         </t>
  </si>
  <si>
    <t xml:space="preserve">TORROES                                                     </t>
  </si>
  <si>
    <t xml:space="preserve"> 88 99421-9596                                      </t>
  </si>
  <si>
    <t xml:space="preserve">    920.071.473-00</t>
  </si>
  <si>
    <t xml:space="preserve">MERCANTIL J E J                         </t>
  </si>
  <si>
    <t xml:space="preserve">AMERICO MATIAS DA SILVA                 </t>
  </si>
  <si>
    <t xml:space="preserve">R RUA: 01 DE JANEIRO SN                 </t>
  </si>
  <si>
    <t xml:space="preserve"> 88 99693-7113                                      </t>
  </si>
  <si>
    <t xml:space="preserve">    004.190.583-03</t>
  </si>
  <si>
    <t xml:space="preserve">FRANCISCO EDNARDO                       </t>
  </si>
  <si>
    <t xml:space="preserve">FRANCISCO EDNARDO ROCHA                 </t>
  </si>
  <si>
    <t xml:space="preserve">R PV:FORQUILHA SN                       </t>
  </si>
  <si>
    <t xml:space="preserve">CORREGO DA VOLTA                                            </t>
  </si>
  <si>
    <t xml:space="preserve"> 88 99325-4120                                      </t>
  </si>
  <si>
    <t>32.050.991/0001-03</t>
  </si>
  <si>
    <t xml:space="preserve">POUSADA ALMOFALA BEA                    </t>
  </si>
  <si>
    <t xml:space="preserve">STEPHANY ALVES GARCEZ 04916456351       </t>
  </si>
  <si>
    <t xml:space="preserve">R RUA DA PRAIA 750                      </t>
  </si>
  <si>
    <t xml:space="preserve"> 85 98881-2363                                      </t>
  </si>
  <si>
    <t xml:space="preserve">    369.186.283-72</t>
  </si>
  <si>
    <t xml:space="preserve">PADARIA SAO JOAQUIM                     </t>
  </si>
  <si>
    <t xml:space="preserve">BENEDITO DE SOUSA DE CASTRO             </t>
  </si>
  <si>
    <t xml:space="preserve">081 SEN VIRGILIO TAVORA 1121            </t>
  </si>
  <si>
    <t xml:space="preserve"> 88 99747-5246                                      </t>
  </si>
  <si>
    <t xml:space="preserve">    610.266.103-62</t>
  </si>
  <si>
    <t xml:space="preserve">LANCH BOA HORA                          </t>
  </si>
  <si>
    <t xml:space="preserve">MOISES HENRIQUE OLIVEIRA MONTEIRO       </t>
  </si>
  <si>
    <t xml:space="preserve">EST ESTRADA ALMOFALA 1096               </t>
  </si>
  <si>
    <t xml:space="preserve"> Prox Posto                             </t>
  </si>
  <si>
    <t xml:space="preserve"> 88 99462-3407                                      </t>
  </si>
  <si>
    <t xml:space="preserve">    042.738.013-88</t>
  </si>
  <si>
    <t xml:space="preserve">MERC NASCIMENTO                         </t>
  </si>
  <si>
    <t xml:space="preserve">JOSE VILMAR DO NASCIMENTO               </t>
  </si>
  <si>
    <t xml:space="preserve">R RUA 5 DE FEVEREIRO 590                </t>
  </si>
  <si>
    <t xml:space="preserve"> 85 99847-6705                                      </t>
  </si>
  <si>
    <t xml:space="preserve">    826.114.163-20</t>
  </si>
  <si>
    <t xml:space="preserve">LANCH WALMAR                            </t>
  </si>
  <si>
    <t>FRANCISCO WALMAR FRANCALINO DO NASCIMENT</t>
  </si>
  <si>
    <t xml:space="preserve">008 AV JOaO BATISTA RIOS 2792           </t>
  </si>
  <si>
    <t xml:space="preserve"> AO LADO TIBURCIO                       </t>
  </si>
  <si>
    <t xml:space="preserve"> 85 99961-5097                                      </t>
  </si>
  <si>
    <t xml:space="preserve">    020.736.963-17</t>
  </si>
  <si>
    <t xml:space="preserve">DINO                                    </t>
  </si>
  <si>
    <t xml:space="preserve">DINO CESAR DOS SANTOS                   </t>
  </si>
  <si>
    <t xml:space="preserve">R TEOFILO GUIA 00623                    </t>
  </si>
  <si>
    <t xml:space="preserve"> DINO                                   </t>
  </si>
  <si>
    <t xml:space="preserve"> 88 99652-6896                                      </t>
  </si>
  <si>
    <t xml:space="preserve">    047.571.253-64</t>
  </si>
  <si>
    <t xml:space="preserve">MJ DISTRIBUIDORA                        </t>
  </si>
  <si>
    <t xml:space="preserve">BRENA KESIA DOS SANTOS NASCIMENTO       </t>
  </si>
  <si>
    <t xml:space="preserve">R MUNDICO RIBEIRO 344 SN                </t>
  </si>
  <si>
    <t xml:space="preserve"> 88 99834-2834                                      </t>
  </si>
  <si>
    <t xml:space="preserve">    975.610.453-87</t>
  </si>
  <si>
    <t xml:space="preserve">AUREA CALDO DE CANA                     </t>
  </si>
  <si>
    <t xml:space="preserve">AUREA CELIA DE SOUZA                    </t>
  </si>
  <si>
    <t xml:space="preserve">AV AV JOaO BATISTA RIOS SN              </t>
  </si>
  <si>
    <t xml:space="preserve"> 88 99423-2406                                      </t>
  </si>
  <si>
    <t>31.162.447/0001-90</t>
  </si>
  <si>
    <t xml:space="preserve">NOMADE KITE                             </t>
  </si>
  <si>
    <t>POUSADA E RESTAURANTE NOMADE KITE CAMP L</t>
  </si>
  <si>
    <t xml:space="preserve">IA ILHA GUAJIRU 008                     </t>
  </si>
  <si>
    <t xml:space="preserve"> NOMADE KITE                            </t>
  </si>
  <si>
    <t xml:space="preserve">PRAIA DA BARRA                                              </t>
  </si>
  <si>
    <t xml:space="preserve"> 84 99200-0516                                      </t>
  </si>
  <si>
    <t xml:space="preserve">    068.172.483-88</t>
  </si>
  <si>
    <t xml:space="preserve">BUTECO DA PAULA                         </t>
  </si>
  <si>
    <t xml:space="preserve">ANA PAULA DA SILVA FREITAS              </t>
  </si>
  <si>
    <t xml:space="preserve">EST ESTRADA FAROL ITAPAJE 0855          </t>
  </si>
  <si>
    <t xml:space="preserve"> BUTECO DA PAULA                        </t>
  </si>
  <si>
    <t xml:space="preserve">GUAJIRU                                                     </t>
  </si>
  <si>
    <t xml:space="preserve"> 88 99917-7835                                      </t>
  </si>
  <si>
    <t xml:space="preserve">    610.265.563-09</t>
  </si>
  <si>
    <t xml:space="preserve">MERC KELVIN                             </t>
  </si>
  <si>
    <t xml:space="preserve">FRANCISCO KELVI MATIAS ANASTACIO        </t>
  </si>
  <si>
    <t xml:space="preserve">R RUA NOVA RIACHO 0013                  </t>
  </si>
  <si>
    <t xml:space="preserve"> 88 99377-6667                                      </t>
  </si>
  <si>
    <t xml:space="preserve">    071.718.783-76</t>
  </si>
  <si>
    <t xml:space="preserve">MERC ALMOFALA ALICIA                    </t>
  </si>
  <si>
    <t xml:space="preserve">FRANCISCA ALICIA ANINHA DOS SANTOS      </t>
  </si>
  <si>
    <t xml:space="preserve">R RU FRANCISCA CATARINA DOS SANT000     </t>
  </si>
  <si>
    <t xml:space="preserve"> Frente A Pra a ALMOF                   </t>
  </si>
  <si>
    <t xml:space="preserve"> 88 98199-9814                                      </t>
  </si>
  <si>
    <t>42.972.782/0001-70</t>
  </si>
  <si>
    <t xml:space="preserve">UNIAO COMERCIAL                         </t>
  </si>
  <si>
    <t xml:space="preserve">ALFREDINA LEILA SANTOS DE OLIVEIRA      </t>
  </si>
  <si>
    <t xml:space="preserve">081 RU AFONSO FONTES 000                </t>
  </si>
  <si>
    <t>65.590-000</t>
  </si>
  <si>
    <t xml:space="preserve">    603.493.393-50</t>
  </si>
  <si>
    <t xml:space="preserve">MERC MARIA LUIZA                        </t>
  </si>
  <si>
    <t xml:space="preserve">JOAO HENRIQUE DE SOUSA OLIVEIRA         </t>
  </si>
  <si>
    <t xml:space="preserve">081 SEN VIRG LIO T VORA 01023           </t>
  </si>
  <si>
    <t xml:space="preserve"> FRUTARIA MARIA LUIZA                   </t>
  </si>
  <si>
    <t xml:space="preserve"> 88 99996-4887                                      </t>
  </si>
  <si>
    <t xml:space="preserve">    062.954.163-90</t>
  </si>
  <si>
    <t xml:space="preserve">JOSE DO GELADAO                         </t>
  </si>
  <si>
    <t xml:space="preserve">JOSE ODIL DO NASCIMENTO                 </t>
  </si>
  <si>
    <t xml:space="preserve">R MARIA RITA DE MOURA SN                </t>
  </si>
  <si>
    <t xml:space="preserve"> 88 99691-6439                                      </t>
  </si>
  <si>
    <t xml:space="preserve">    019.312.863-29</t>
  </si>
  <si>
    <t xml:space="preserve">MERC VILMAR                             </t>
  </si>
  <si>
    <t xml:space="preserve">EDER CESAR SOUSA SILVEIRA               </t>
  </si>
  <si>
    <t xml:space="preserve">AV AV BATISTA RIOS SN                   </t>
  </si>
  <si>
    <t xml:space="preserve"> ESPA O VERDE                           </t>
  </si>
  <si>
    <t xml:space="preserve"> 88 99625-4853                                      </t>
  </si>
  <si>
    <t>16.733.976/0002-94</t>
  </si>
  <si>
    <t xml:space="preserve">ATACADAO COSTA E MAR                    </t>
  </si>
  <si>
    <t xml:space="preserve">COSTA E MAR SUPERMERCADOS LTDA          </t>
  </si>
  <si>
    <t xml:space="preserve">R LUDIGERIO RODRIGUES LIMA 002          </t>
  </si>
  <si>
    <t xml:space="preserve"> Centro                                 </t>
  </si>
  <si>
    <t xml:space="preserve"> 88 99973-8778                                      </t>
  </si>
  <si>
    <t>15.710.708/0002-94</t>
  </si>
  <si>
    <t xml:space="preserve">MERCANTIL DLS                           </t>
  </si>
  <si>
    <t xml:space="preserve">MERCANTIL DLS DE ALIMENTOS LTDA         </t>
  </si>
  <si>
    <t xml:space="preserve">R RUA TOMAS SABINO SOUSA SN             </t>
  </si>
  <si>
    <t xml:space="preserve"> Mercado Dls                            </t>
  </si>
  <si>
    <t xml:space="preserve"> 88 99650-5985                                      </t>
  </si>
  <si>
    <t xml:space="preserve">    388.927.153-72</t>
  </si>
  <si>
    <t xml:space="preserve">GELADAO DA LILI                         </t>
  </si>
  <si>
    <t xml:space="preserve">MARIA JOSE SANTOS DE ALMEIDA            </t>
  </si>
  <si>
    <t xml:space="preserve">MRO MORRO DO COMUM 085                  </t>
  </si>
  <si>
    <t xml:space="preserve"> GELADAO LILI                           </t>
  </si>
  <si>
    <t xml:space="preserve">MORRO DO COMUM                                              </t>
  </si>
  <si>
    <t xml:space="preserve"> 88 99652-3580                                      </t>
  </si>
  <si>
    <t>09.280.267/0001-54</t>
  </si>
  <si>
    <t xml:space="preserve">ACC PESCA                               </t>
  </si>
  <si>
    <t xml:space="preserve">MARIA AURINEIDE MONTEIRO                </t>
  </si>
  <si>
    <t xml:space="preserve">081 RUA BEIRA RIO 011                   </t>
  </si>
  <si>
    <t xml:space="preserve"> PORTO DOS BARCOS                       </t>
  </si>
  <si>
    <t xml:space="preserve">PORTO DOS BARCOS                                            </t>
  </si>
  <si>
    <t xml:space="preserve"> 88 99692-6994                                      </t>
  </si>
  <si>
    <t>12.289.475/0005-52</t>
  </si>
  <si>
    <t xml:space="preserve">SUPERMERCADO BOM JES                    </t>
  </si>
  <si>
    <t xml:space="preserve">SUPERMERCADO BOM JESUS LTDA             </t>
  </si>
  <si>
    <t xml:space="preserve">R RUA 5 DE FEVEREIRO SN                 </t>
  </si>
  <si>
    <t xml:space="preserve"> BOM JESUS                              </t>
  </si>
  <si>
    <t xml:space="preserve"> 88 99836-0737                                      </t>
  </si>
  <si>
    <t>44.045.906/0001-06</t>
  </si>
  <si>
    <t xml:space="preserve">FORT FRIOS DISTRIBUI                    </t>
  </si>
  <si>
    <t>FORT FRIOS DISTRIBUIDORA DE CONGELADOS L</t>
  </si>
  <si>
    <t xml:space="preserve">R RUA FRANCISCO RIOS SN                 </t>
  </si>
  <si>
    <t xml:space="preserve"> Por Tr s Macavi                        </t>
  </si>
  <si>
    <t xml:space="preserve"> 88 99669-0562                                      </t>
  </si>
  <si>
    <t>33.848.462/0001-12</t>
  </si>
  <si>
    <t xml:space="preserve">PORTO BAR CLUB                          </t>
  </si>
  <si>
    <t xml:space="preserve">JOSE OSTERNO DA SILVA 00258590300       </t>
  </si>
  <si>
    <t xml:space="preserve">R RUA ZE COSMO S/N 001                  </t>
  </si>
  <si>
    <t xml:space="preserve"> Prox Piuca                             </t>
  </si>
  <si>
    <t xml:space="preserve"> 88 99906-8322                                      </t>
  </si>
  <si>
    <t xml:space="preserve">    067.261.473-17</t>
  </si>
  <si>
    <t xml:space="preserve">DEP SAMI                                </t>
  </si>
  <si>
    <t xml:space="preserve">SAMI MAYCON DE OLIVEIRA LIMA            </t>
  </si>
  <si>
    <t xml:space="preserve">CRG CORREGO FORQUILHA SN                </t>
  </si>
  <si>
    <t xml:space="preserve"> PROX BALN VOLTA                        </t>
  </si>
  <si>
    <t xml:space="preserve">BALNEARIO DA VOLTA                                          </t>
  </si>
  <si>
    <t xml:space="preserve"> 88 99623-5815                                      </t>
  </si>
  <si>
    <t>11.401.713/0001-83</t>
  </si>
  <si>
    <t xml:space="preserve">BATE VENTO                              </t>
  </si>
  <si>
    <t xml:space="preserve">VIA COL VENTO POUSADA LTDA              </t>
  </si>
  <si>
    <t xml:space="preserve">R ILHA DO GUAJIRU SN                    </t>
  </si>
  <si>
    <t xml:space="preserve"> PROX A NOMAD                           </t>
  </si>
  <si>
    <t xml:space="preserve"> 88 99483-0928                                      </t>
  </si>
  <si>
    <t>47.233.170/0001-80</t>
  </si>
  <si>
    <t xml:space="preserve">S5 - BEBA MAIS                          </t>
  </si>
  <si>
    <t>FRANCISCO BRUNO LIMA ANGELICA 0563669039</t>
  </si>
  <si>
    <t xml:space="preserve">R NOSSA DA CONCEICAO SN                 </t>
  </si>
  <si>
    <t xml:space="preserve"> 85  8583-1053                                      </t>
  </si>
  <si>
    <t>46.397.672/0001-83</t>
  </si>
  <si>
    <t xml:space="preserve">KILANCHE                                </t>
  </si>
  <si>
    <t xml:space="preserve">CLAUDIO SOUSA DOS SANTOS 04447221306    </t>
  </si>
  <si>
    <t xml:space="preserve"> AVENIDA JOaO BATISTA RIOS 329          </t>
  </si>
  <si>
    <t xml:space="preserve"> PROX A GERUZA                          </t>
  </si>
  <si>
    <t xml:space="preserve"> 88 99690-7020                                      </t>
  </si>
  <si>
    <t xml:space="preserve">    054.195.353-27</t>
  </si>
  <si>
    <t xml:space="preserve">PONTO DA SERESTA 2                      </t>
  </si>
  <si>
    <t xml:space="preserve">ALAN VICTOR MOREIRA DE OLIVEIRA         </t>
  </si>
  <si>
    <t xml:space="preserve">AV AVENIDA JOaO BATISTA RIOS 500 SN     </t>
  </si>
  <si>
    <t xml:space="preserve"> PONTO DA SERESTA                       </t>
  </si>
  <si>
    <t xml:space="preserve"> 88 98599-7652                                      </t>
  </si>
  <si>
    <t xml:space="preserve">    006.082.813-79</t>
  </si>
  <si>
    <t xml:space="preserve">JP DISTRIBUIDORA                        </t>
  </si>
  <si>
    <t xml:space="preserve">SUELI CRISTINA DA SILVA ALVES           </t>
  </si>
  <si>
    <t xml:space="preserve"> AVENIDA JOaO BATISTA RIOS 684          </t>
  </si>
  <si>
    <t xml:space="preserve"> PROX AO PONIT ACAI                     </t>
  </si>
  <si>
    <t xml:space="preserve"> 88 99837-6074                                      </t>
  </si>
  <si>
    <t xml:space="preserve">    088.837.493-32</t>
  </si>
  <si>
    <t xml:space="preserve">MDS MERCADINHO                          </t>
  </si>
  <si>
    <t xml:space="preserve">BRENA MARIA OLIVEIRA                    </t>
  </si>
  <si>
    <t xml:space="preserve">R RUA JOSE FERNANDES DE SOUSA 21SN      </t>
  </si>
  <si>
    <t xml:space="preserve"> 88 99984-8065                                      </t>
  </si>
  <si>
    <t xml:space="preserve">    605.262.483-35</t>
  </si>
  <si>
    <t xml:space="preserve">MERC KR                                 </t>
  </si>
  <si>
    <t xml:space="preserve">ANA KALINE SANTANA                      </t>
  </si>
  <si>
    <t xml:space="preserve"> RUA MORRO 64                           </t>
  </si>
  <si>
    <t xml:space="preserve"> CRECHE FCO BONIFACIO                   </t>
  </si>
  <si>
    <t xml:space="preserve"> 88 98144-2331                                      </t>
  </si>
  <si>
    <t>46.828.995/0001-84</t>
  </si>
  <si>
    <t xml:space="preserve">RECANTO PRIME                           </t>
  </si>
  <si>
    <t xml:space="preserve">JOSEANA OLIVEIRA SILVA                  </t>
  </si>
  <si>
    <t xml:space="preserve">R ANTONIO ZEFERINO DE FREITAS SN        </t>
  </si>
  <si>
    <t xml:space="preserve"> 88  9820-0693                                      </t>
  </si>
  <si>
    <t xml:space="preserve">    045.447.593-40</t>
  </si>
  <si>
    <t xml:space="preserve">BAR DO BIMAR                            </t>
  </si>
  <si>
    <t xml:space="preserve">JOSE BISMARQUE DOS SANTOS               </t>
  </si>
  <si>
    <t xml:space="preserve">R MORRO DO COMUM 44                     </t>
  </si>
  <si>
    <t xml:space="preserve"> ALMOFALA                               </t>
  </si>
  <si>
    <t>62.592-000</t>
  </si>
  <si>
    <t xml:space="preserve"> 88 99288-9060                                      </t>
  </si>
  <si>
    <t xml:space="preserve">    025.905.133-05</t>
  </si>
  <si>
    <t xml:space="preserve">BAR DA NOVA                             </t>
  </si>
  <si>
    <t xml:space="preserve">MARIA VILANI DO NASCIMENTO              </t>
  </si>
  <si>
    <t xml:space="preserve">R CE-434 SN                             </t>
  </si>
  <si>
    <t xml:space="preserve"> 88 99959-1536                                      </t>
  </si>
  <si>
    <t xml:space="preserve">    464.165.013-68</t>
  </si>
  <si>
    <t xml:space="preserve">PC SUPERMERCADO                         </t>
  </si>
  <si>
    <t xml:space="preserve">PAULO CESAR DO NASCIMENTO               </t>
  </si>
  <si>
    <t xml:space="preserve"> AVENIDA TOMAZ SABINO DE SOUSA 393      </t>
  </si>
  <si>
    <t xml:space="preserve"> PROXIMO AO DLS                         </t>
  </si>
  <si>
    <t xml:space="preserve"> 88 99782-1566                                      </t>
  </si>
  <si>
    <t xml:space="preserve">    004.172.993-54</t>
  </si>
  <si>
    <t xml:space="preserve">RECANTO CAIPIRA                         </t>
  </si>
  <si>
    <t xml:space="preserve">JOSE MARCIO DE SOUSA                    </t>
  </si>
  <si>
    <t xml:space="preserve">CRG CORREGO DAS MOCAS SN SN             </t>
  </si>
  <si>
    <t xml:space="preserve"> EM FRENTE AO POSTO DE SAUDE            </t>
  </si>
  <si>
    <t xml:space="preserve"> 85 99254-7270                                      </t>
  </si>
  <si>
    <t xml:space="preserve">EVENTOS         </t>
  </si>
  <si>
    <t xml:space="preserve">    036.739.513-43</t>
  </si>
  <si>
    <t xml:space="preserve">LUCIANO G3L                             </t>
  </si>
  <si>
    <t xml:space="preserve">FRANCISCA ROBERTA ROCHA PRA FREITAS     </t>
  </si>
  <si>
    <t xml:space="preserve"> CE-085 168                             </t>
  </si>
  <si>
    <t xml:space="preserve"> AO LADO DO TEXANO                      </t>
  </si>
  <si>
    <t xml:space="preserve"> 88 99714-5421                                      </t>
  </si>
  <si>
    <t>47.249.684/0001-23</t>
  </si>
  <si>
    <t xml:space="preserve">PADARIA ARCO IRIS                       </t>
  </si>
  <si>
    <t xml:space="preserve">PANIFICADORA SANTOS FERREIRA LTDA       </t>
  </si>
  <si>
    <t xml:space="preserve"> AVENIDA MANOEL SALES 195               </t>
  </si>
  <si>
    <t xml:space="preserve"> ARCO IRIS                              </t>
  </si>
  <si>
    <t xml:space="preserve"> 88 99868-1454                                      </t>
  </si>
  <si>
    <t xml:space="preserve">    072.019.103-37</t>
  </si>
  <si>
    <t xml:space="preserve">MERCADINHO DA ILHA                      </t>
  </si>
  <si>
    <t xml:space="preserve">BRUNA KELLY                             </t>
  </si>
  <si>
    <t xml:space="preserve">AV AVENIDA DO LAGAMAR SN SN             </t>
  </si>
  <si>
    <t xml:space="preserve"> PERTO DA ESCOLA DA ILHA,               </t>
  </si>
  <si>
    <t xml:space="preserve"> 88 99966-0960                                      </t>
  </si>
  <si>
    <t>38.041.511/0001-24</t>
  </si>
  <si>
    <t xml:space="preserve">CASA DAS FRUTAS E DA                    </t>
  </si>
  <si>
    <t>FRANCISCO LUIZ MONTEIRO DOS SANTOS 90670</t>
  </si>
  <si>
    <t xml:space="preserve">AV AVENIDA JOaO BATISTA RIOS 2732SN     </t>
  </si>
  <si>
    <t xml:space="preserve"> PROXIMO AO POSTO DE SAUDE              </t>
  </si>
  <si>
    <t xml:space="preserve"> 88 99726-4949                                      </t>
  </si>
  <si>
    <t xml:space="preserve">    078.966.823-89</t>
  </si>
  <si>
    <t xml:space="preserve">MERC DA DONA JANETE                     </t>
  </si>
  <si>
    <t xml:space="preserve">JOaO VITOR COSTA SOUSA                  </t>
  </si>
  <si>
    <t xml:space="preserve"> RUA RAIMUNDO SILVESTRE 132             </t>
  </si>
  <si>
    <t xml:space="preserve"> PROXIMO AO ITABATATAS                  </t>
  </si>
  <si>
    <t xml:space="preserve"> 88 99750-2844                                      </t>
  </si>
  <si>
    <t xml:space="preserve">    051.201.733-65</t>
  </si>
  <si>
    <t xml:space="preserve">REST PAI E FILHO                        </t>
  </si>
  <si>
    <t xml:space="preserve">VALDIVAN MIRANDA                        </t>
  </si>
  <si>
    <t xml:space="preserve">R RUA GERALDA NAIR SOUZA ALVES SN       </t>
  </si>
  <si>
    <t xml:space="preserve"> PROXIMO A IGREJA MONTESE               </t>
  </si>
  <si>
    <t xml:space="preserve"> 88 98226-6472                                      </t>
  </si>
  <si>
    <t xml:space="preserve">    906.259.863-34</t>
  </si>
  <si>
    <t xml:space="preserve">IORRANA LANCHES                         </t>
  </si>
  <si>
    <t xml:space="preserve">ANA CLELMA DE OLIVEIRA                  </t>
  </si>
  <si>
    <t xml:space="preserve">R CE-434 SN SN                          </t>
  </si>
  <si>
    <t xml:space="preserve"> PROXIMO MERCEARIA ZE SOARES            </t>
  </si>
  <si>
    <t xml:space="preserve">CORREGO DO ARROZ                                            </t>
  </si>
  <si>
    <t xml:space="preserve"> 88 99775-5027                                      </t>
  </si>
  <si>
    <t>53.162.709/0001-50</t>
  </si>
  <si>
    <t xml:space="preserve">CHURRASCARIA CAMPO V                    </t>
  </si>
  <si>
    <t xml:space="preserve">FRANCISCO DE ASSIS FREITAS ALIMENTOS    </t>
  </si>
  <si>
    <t xml:space="preserve">R CE-085 SN                             </t>
  </si>
  <si>
    <t xml:space="preserve"> CHURRASCARIA CAMPO VERDE               </t>
  </si>
  <si>
    <t xml:space="preserve">ZONA RURAL                                                  </t>
  </si>
  <si>
    <t xml:space="preserve"> 88 99990-2914                                      </t>
  </si>
  <si>
    <t>14.786.872/0001-31</t>
  </si>
  <si>
    <t xml:space="preserve">ENCANTO VERDE                           </t>
  </si>
  <si>
    <t xml:space="preserve">F H DE SOUSA COMERCIO LTDA ROD 85       </t>
  </si>
  <si>
    <t xml:space="preserve"> 85 99186-5885                                      </t>
  </si>
  <si>
    <t>13.054.384/0001-77</t>
  </si>
  <si>
    <t xml:space="preserve">SANDRA GOMES MEDEIRO                    </t>
  </si>
  <si>
    <t xml:space="preserve">13.054.384 SANDRA GOMES MEDEIROS        </t>
  </si>
  <si>
    <t xml:space="preserve">AV AVENIDA JOaO BATISTA RIOS 975 SN     </t>
  </si>
  <si>
    <t xml:space="preserve"> PROXIMO A POUSADA ESPACO V             </t>
  </si>
  <si>
    <t xml:space="preserve"> 88 99659-7238                                      </t>
  </si>
  <si>
    <t>46.434.077/0001-70</t>
  </si>
  <si>
    <t xml:space="preserve">46.434.077 IGOR GOME                    </t>
  </si>
  <si>
    <t xml:space="preserve">46.434.077 IGOR GOMES DE OLIVEIRA       </t>
  </si>
  <si>
    <t xml:space="preserve">AC Jose Fernandes de Sousa 176          </t>
  </si>
  <si>
    <t xml:space="preserve"> 88 98110-1567                                      </t>
  </si>
  <si>
    <t xml:space="preserve">    675.115.203-59</t>
  </si>
  <si>
    <t xml:space="preserve">RECANTO DAS FLORES                      </t>
  </si>
  <si>
    <t xml:space="preserve">ANGELICA NASCIMENTO                     </t>
  </si>
  <si>
    <t xml:space="preserve">AV Avenida do Lagamar SN SN             </t>
  </si>
  <si>
    <t xml:space="preserve"> Em frente ao merc nova opcao           </t>
  </si>
  <si>
    <t xml:space="preserve">GUAGIRU                                                     </t>
  </si>
  <si>
    <t xml:space="preserve"> 88 99257-0356                                      </t>
  </si>
  <si>
    <t xml:space="preserve">SERV FESTA          </t>
  </si>
  <si>
    <t xml:space="preserve">    932.285.463-49</t>
  </si>
  <si>
    <t xml:space="preserve">MERC O CHICO                            </t>
  </si>
  <si>
    <t xml:space="preserve">FCO. EVALDO OLIVEIRA                    </t>
  </si>
  <si>
    <t xml:space="preserve">VL GARGUE SN                            </t>
  </si>
  <si>
    <t>60.000-000</t>
  </si>
  <si>
    <t xml:space="preserve"> 88 99798-4450  |   88 99624-5426                   </t>
  </si>
  <si>
    <t xml:space="preserve">    440.361.913-49</t>
  </si>
  <si>
    <t xml:space="preserve">MERC RDO MATOS                          </t>
  </si>
  <si>
    <t xml:space="preserve">RDO NEVES DOS SANTOS                    </t>
  </si>
  <si>
    <t xml:space="preserve">EST DA ALMOFALA SN                      </t>
  </si>
  <si>
    <t xml:space="preserve"> ANTES DA IGREJA                        </t>
  </si>
  <si>
    <t xml:space="preserve"> 88  3667-0009  |   88 99273-6453                   </t>
  </si>
  <si>
    <t xml:space="preserve">    773.661.663-91</t>
  </si>
  <si>
    <t xml:space="preserve">MERC ZE DEDE                            </t>
  </si>
  <si>
    <t xml:space="preserve">FRANCISCO JOSE DE ARAUJO                </t>
  </si>
  <si>
    <t xml:space="preserve">R FAROL DO ITAPAJE SN                   </t>
  </si>
  <si>
    <t xml:space="preserve">FAROL DO ITAPAGE                                            </t>
  </si>
  <si>
    <t xml:space="preserve"> 88 30000-0000                                      </t>
  </si>
  <si>
    <t xml:space="preserve">    110.022.553-68</t>
  </si>
  <si>
    <t xml:space="preserve">MERC LAGO VERDE                         </t>
  </si>
  <si>
    <t xml:space="preserve">VICENTE PAULA VASCONCELOS               </t>
  </si>
  <si>
    <t xml:space="preserve">R MANOEL TEOFILO DA GUIA SN             </t>
  </si>
  <si>
    <t xml:space="preserve"> 88  3667-1472                                      </t>
  </si>
  <si>
    <t>03.289.948/0001-05</t>
  </si>
  <si>
    <t xml:space="preserve">MERC MULATO                             </t>
  </si>
  <si>
    <t xml:space="preserve">R TADEU MULATO ME                       </t>
  </si>
  <si>
    <t xml:space="preserve">AV JOAO BATISTA RIOS SN                 </t>
  </si>
  <si>
    <t xml:space="preserve"> 88  3667-1512  |   88  3667-1164                   </t>
  </si>
  <si>
    <t>35.073.832/0001-12</t>
  </si>
  <si>
    <t xml:space="preserve">MERC O BINGA                            </t>
  </si>
  <si>
    <t xml:space="preserve">JOSE IRES DOS SANTOS                    </t>
  </si>
  <si>
    <t xml:space="preserve">R AFONSO FONTES 70                      </t>
  </si>
  <si>
    <t xml:space="preserve"> 88  3667-1215                                      </t>
  </si>
  <si>
    <t xml:space="preserve">    430.967.603-06</t>
  </si>
  <si>
    <t xml:space="preserve">GINGA LANCHE                            </t>
  </si>
  <si>
    <t xml:space="preserve">ADRIANA SILVA RIBEIRO ALVES             </t>
  </si>
  <si>
    <t xml:space="preserve">R DA CASTANHOLEIRA SN SN                </t>
  </si>
  <si>
    <t xml:space="preserve"> PERTO DO F                             </t>
  </si>
  <si>
    <t xml:space="preserve"> 88  9976-7757                                      </t>
  </si>
  <si>
    <t xml:space="preserve">    691.460.803-25</t>
  </si>
  <si>
    <t xml:space="preserve">MERC DONA LUIZA                         </t>
  </si>
  <si>
    <t xml:space="preserve">MARIA IRANEIDE JUNIOR                   </t>
  </si>
  <si>
    <t xml:space="preserve">R DA ALMOFALA SN                        </t>
  </si>
  <si>
    <t xml:space="preserve"> 85  9952-7649                                      </t>
  </si>
  <si>
    <t xml:space="preserve">    741.429.503-63</t>
  </si>
  <si>
    <t xml:space="preserve">MERC DO LUZITO                          </t>
  </si>
  <si>
    <t xml:space="preserve">LUZITO DE BARROS SOUSA                  </t>
  </si>
  <si>
    <t xml:space="preserve"> 88  3667-1849                                      </t>
  </si>
  <si>
    <t>86.783.875/0001-22</t>
  </si>
  <si>
    <t xml:space="preserve">MERC QUEIROZ                            </t>
  </si>
  <si>
    <t xml:space="preserve">JOSE JOSIBERTO VASC F QUIEOZ            </t>
  </si>
  <si>
    <t xml:space="preserve">R MANOEL SALES 363 SN                   </t>
  </si>
  <si>
    <t xml:space="preserve"> Comercial                              </t>
  </si>
  <si>
    <t xml:space="preserve">GARGUE                                                      </t>
  </si>
  <si>
    <t xml:space="preserve"> 88 99664-3607                                      </t>
  </si>
  <si>
    <t xml:space="preserve">    116.779.218-11</t>
  </si>
  <si>
    <t xml:space="preserve">CAQUIM                                  </t>
  </si>
  <si>
    <t xml:space="preserve">FRANCISCO DOS SANTOS LINHARES           </t>
  </si>
  <si>
    <t xml:space="preserve">R AFONSO FONTES SN                      </t>
  </si>
  <si>
    <t xml:space="preserve"> SALA 1                                 </t>
  </si>
  <si>
    <t xml:space="preserve"> 88  3667-1215  |   88 99754-1967                   </t>
  </si>
  <si>
    <t xml:space="preserve">    297.899.747-87</t>
  </si>
  <si>
    <t xml:space="preserve">CHUR NOSSO RANCHO                       </t>
  </si>
  <si>
    <t xml:space="preserve">JOSE MARQUES MONTEIRO                   </t>
  </si>
  <si>
    <t xml:space="preserve">R JOAO BATISTA RIOS SN 2737 2737        </t>
  </si>
  <si>
    <t xml:space="preserve"> Prox Tia R                             </t>
  </si>
  <si>
    <t xml:space="preserve"> 88  3667-1455  |   88  3667-1455                   </t>
  </si>
  <si>
    <t xml:space="preserve">    457.012.023-72</t>
  </si>
  <si>
    <t xml:space="preserve">MERC O ZUQUINHA                         </t>
  </si>
  <si>
    <t xml:space="preserve">FRANCISCO ZUQUINHA COSTA                </t>
  </si>
  <si>
    <t xml:space="preserve">R DE ALMOFALA SN sn                     </t>
  </si>
  <si>
    <t xml:space="preserve">SITIO ALEGRE ALMOFA                                         </t>
  </si>
  <si>
    <t xml:space="preserve"> 88 99353-2714                                      </t>
  </si>
  <si>
    <t xml:space="preserve">    694.635.813-91</t>
  </si>
  <si>
    <t xml:space="preserve">BAR DO EDVALCI                          </t>
  </si>
  <si>
    <t xml:space="preserve">MARLENE ARAUJO MONTEIRO                 </t>
  </si>
  <si>
    <t xml:space="preserve">VL PV PAU DARCO 1                       </t>
  </si>
  <si>
    <t xml:space="preserve">V PAU DARCO                                                 </t>
  </si>
  <si>
    <t xml:space="preserve"> 85 99732-1865                                      </t>
  </si>
  <si>
    <t xml:space="preserve">    802.858.993-68</t>
  </si>
  <si>
    <t xml:space="preserve">MERC DA D ELZA                          </t>
  </si>
  <si>
    <t xml:space="preserve">ANTONIA ELZANI BRAGA DA COSTA           </t>
  </si>
  <si>
    <t xml:space="preserve">AV RIOS 171                             </t>
  </si>
  <si>
    <t xml:space="preserve"> 85 98888-8888                                      </t>
  </si>
  <si>
    <t xml:space="preserve">    377.880.863-04</t>
  </si>
  <si>
    <t xml:space="preserve">POUSADA ESPACO VERDE                    </t>
  </si>
  <si>
    <t xml:space="preserve">MARIA DE FATIMA DA SILVA SILVEIRA       </t>
  </si>
  <si>
    <t xml:space="preserve">R JOAO BATISTA RIOS SN                  </t>
  </si>
  <si>
    <t xml:space="preserve"> 85  3667-1803  |   88 99920-1318                   </t>
  </si>
  <si>
    <t>34.959.825/0001-50</t>
  </si>
  <si>
    <t xml:space="preserve">C0MERCIAL ALBANIZA                      </t>
  </si>
  <si>
    <t xml:space="preserve">ALBANIZA MARIA LOPES MARQUES ME         </t>
  </si>
  <si>
    <t xml:space="preserve">R JOAO BATISTA RIOS 284                 </t>
  </si>
  <si>
    <t xml:space="preserve"> PROX O SERGINHO                        </t>
  </si>
  <si>
    <t xml:space="preserve">    320.655.823-91</t>
  </si>
  <si>
    <t xml:space="preserve">PONTO DA SERESTA                        </t>
  </si>
  <si>
    <t xml:space="preserve">RAIMUNDO VALDECI DE OLIVEIRA            </t>
  </si>
  <si>
    <t xml:space="preserve">R BATISTA RIOS 500 500 500              </t>
  </si>
  <si>
    <t xml:space="preserve"> 88 99607-2877                                      </t>
  </si>
  <si>
    <t xml:space="preserve">    021.563.233-80</t>
  </si>
  <si>
    <t xml:space="preserve">MERC DA GERUZA                          </t>
  </si>
  <si>
    <t xml:space="preserve">MARIA GERUZA DOS SANTOS                 </t>
  </si>
  <si>
    <t xml:space="preserve"> 88  9963-3523  |   88  9604-8679                   </t>
  </si>
  <si>
    <t xml:space="preserve">    045.065.063-40</t>
  </si>
  <si>
    <t xml:space="preserve">BAR DO JUNIOR                           </t>
  </si>
  <si>
    <t xml:space="preserve">FRANCISCO DE ASSIS DE AGUIAR JUNIOR     </t>
  </si>
  <si>
    <t xml:space="preserve"> 88  3667-3443  |   88 99466-7270                   </t>
  </si>
  <si>
    <t>11.669.306/0001-51</t>
  </si>
  <si>
    <t xml:space="preserve">ROGERIO CESAR DA SILVEIRA               </t>
  </si>
  <si>
    <t xml:space="preserve">R MANOEL RIOS 124                       </t>
  </si>
  <si>
    <t xml:space="preserve"> 88 99866-5434  |   88 99962-4834                   </t>
  </si>
  <si>
    <t>07.136.089/0001-67</t>
  </si>
  <si>
    <t xml:space="preserve">S5 - POUSADA OASIS                      </t>
  </si>
  <si>
    <t xml:space="preserve">FRANCISCO AIRTON ALBUQUERQUE ME         </t>
  </si>
  <si>
    <t xml:space="preserve">AV AV JOAO BATISTA RIOS 3184 31 843184  </t>
  </si>
  <si>
    <t xml:space="preserve"> Viz CORINT                             </t>
  </si>
  <si>
    <t xml:space="preserve"> 88 99642-5653                                      </t>
  </si>
  <si>
    <t xml:space="preserve">    613.675.593-91</t>
  </si>
  <si>
    <t xml:space="preserve">MERC DA GIRLENE                         </t>
  </si>
  <si>
    <t xml:space="preserve">GIRLENE TORRES PRACIANO                 </t>
  </si>
  <si>
    <t xml:space="preserve">AV VILA NOVA S/N                        </t>
  </si>
  <si>
    <t xml:space="preserve"> 88  3667-5115                                      </t>
  </si>
  <si>
    <t xml:space="preserve">    014.754.043-79</t>
  </si>
  <si>
    <t xml:space="preserve">MERC DA VOLTA                           </t>
  </si>
  <si>
    <t xml:space="preserve">FRANCINEUDA VASCONCELOS DE QUEIROZ      </t>
  </si>
  <si>
    <t xml:space="preserve">CRG CORREGO DA VOLTA SN                 </t>
  </si>
  <si>
    <t xml:space="preserve"> 88 99746-6509                                      </t>
  </si>
  <si>
    <t xml:space="preserve">    030.872.973-05</t>
  </si>
  <si>
    <t xml:space="preserve">S5 - MER ROGERIO                        </t>
  </si>
  <si>
    <t xml:space="preserve">ANTONIO ROGERIO BRAGA AZEVEDO GOMES     </t>
  </si>
  <si>
    <t xml:space="preserve">R TORROES SN                            </t>
  </si>
  <si>
    <t xml:space="preserve"> ITAREMA                                </t>
  </si>
  <si>
    <t xml:space="preserve"> 85  3533-9391  |   88  9474-1141                   </t>
  </si>
  <si>
    <t xml:space="preserve">    020.019.563-80</t>
  </si>
  <si>
    <t xml:space="preserve">S5 - BAR DO GILVANIL                    </t>
  </si>
  <si>
    <t xml:space="preserve">FRANCISCO GILVANILDO SALES              </t>
  </si>
  <si>
    <t xml:space="preserve">R FRANCISCA IEDA RIOS 225 225           </t>
  </si>
  <si>
    <t xml:space="preserve"> Mercado                                </t>
  </si>
  <si>
    <t xml:space="preserve"> 88 99970-7789  |   88 99707-7890                   </t>
  </si>
  <si>
    <t>10.867.407/0001-74</t>
  </si>
  <si>
    <t xml:space="preserve">AURELIO 2                               </t>
  </si>
  <si>
    <t xml:space="preserve">FRANCISCA PEREIRA ALVES ME              </t>
  </si>
  <si>
    <t xml:space="preserve">AV JOAO BATISTA RIOS 1881               </t>
  </si>
  <si>
    <t xml:space="preserve"> 88 99642-9159  |   88 99843-1109                   </t>
  </si>
  <si>
    <t>01.743.529/0001-68</t>
  </si>
  <si>
    <t xml:space="preserve">MERC CASA BRANCA                        </t>
  </si>
  <si>
    <t xml:space="preserve">FRANCISCO FRANCINE DE SANT ANA ME       </t>
  </si>
  <si>
    <t xml:space="preserve">R ANTONIO INACIO 49 SN                  </t>
  </si>
  <si>
    <t xml:space="preserve"> CENTRO                                 </t>
  </si>
  <si>
    <t xml:space="preserve"> 88 99743-6561                                      </t>
  </si>
  <si>
    <t>16.733.976/0001-03</t>
  </si>
  <si>
    <t xml:space="preserve">COSTA E MAR SUPERM                      </t>
  </si>
  <si>
    <t xml:space="preserve">COSTA E MAR SUPERMERCADOS EIRE          </t>
  </si>
  <si>
    <t xml:space="preserve">R JOAO BATISTA RIOS 2639 2639           </t>
  </si>
  <si>
    <t xml:space="preserve"> 85  9998-8668  |   88  3667-1894                   </t>
  </si>
  <si>
    <t>12.289.475/0001-29</t>
  </si>
  <si>
    <t xml:space="preserve">MARIA ALINE DA SILVA CARNEIRO ME        </t>
  </si>
  <si>
    <t xml:space="preserve">R AFONSO FONTES 158 158 SN              </t>
  </si>
  <si>
    <t xml:space="preserve"> 88 99781-2898  |   88  3667-1956                   </t>
  </si>
  <si>
    <t xml:space="preserve">    955.879.183-00</t>
  </si>
  <si>
    <t xml:space="preserve">MERC GLAUCIA                            </t>
  </si>
  <si>
    <t xml:space="preserve">GLAUCIA RODRIGUES DE ALMEIDA C          </t>
  </si>
  <si>
    <t xml:space="preserve">R AUTO ALEGRE 11                        </t>
  </si>
  <si>
    <t xml:space="preserve"> Pro Igreja                             </t>
  </si>
  <si>
    <t xml:space="preserve"> 88 99305-9413                                      </t>
  </si>
  <si>
    <t xml:space="preserve">    032.976.473-02</t>
  </si>
  <si>
    <t xml:space="preserve">MERC CLEILSON                           </t>
  </si>
  <si>
    <t xml:space="preserve">CLEILSON SANTOS DE OLIVEIRA             </t>
  </si>
  <si>
    <t xml:space="preserve"> 88 99920-7949                                      </t>
  </si>
  <si>
    <t>23.824.736/0001-80</t>
  </si>
  <si>
    <t xml:space="preserve">MERC FACANHA                            </t>
  </si>
  <si>
    <t xml:space="preserve">MANOEL FACANHA BARBOSA BARROSO ME       </t>
  </si>
  <si>
    <t xml:space="preserve">AV AVENIDA ADONIAS ALVES S/N            </t>
  </si>
  <si>
    <t xml:space="preserve"> 88  3667-2032  |   84 98156-6203                   </t>
  </si>
  <si>
    <t xml:space="preserve">    054.325.243-41</t>
  </si>
  <si>
    <t xml:space="preserve">BAR DA MOCA                             </t>
  </si>
  <si>
    <t xml:space="preserve">MARIA MARCILENE DOS SANTOS              </t>
  </si>
  <si>
    <t xml:space="preserve">R SDO 02 RIACHO 12                      </t>
  </si>
  <si>
    <t xml:space="preserve"> 88  9963-2566                                      </t>
  </si>
  <si>
    <t xml:space="preserve">    907.379.623-72</t>
  </si>
  <si>
    <t xml:space="preserve">BEACH BAR                               </t>
  </si>
  <si>
    <t xml:space="preserve">MARIA VALRELIA DA SILVA                 </t>
  </si>
  <si>
    <t xml:space="preserve">R RIACHO ITAREMA SN                     </t>
  </si>
  <si>
    <t xml:space="preserve"> 88  9962-3580                                      </t>
  </si>
  <si>
    <t>27.591.797/0001-03</t>
  </si>
  <si>
    <t xml:space="preserve">ARMAZEM EXPRESS                         </t>
  </si>
  <si>
    <t xml:space="preserve">ITAREMA CONVENIENCIA COMERCIO           </t>
  </si>
  <si>
    <t xml:space="preserve">R JOSE ODILON RIOS 46 46 46 46          </t>
  </si>
  <si>
    <t xml:space="preserve"> 88  3667-1252                                      </t>
  </si>
  <si>
    <t xml:space="preserve">    035.451.163-79</t>
  </si>
  <si>
    <t xml:space="preserve">MERC APOLIANO                           </t>
  </si>
  <si>
    <t xml:space="preserve">FRANCISCO APOLIANO BARBOSA              </t>
  </si>
  <si>
    <t xml:space="preserve">R NOVA 346                              </t>
  </si>
  <si>
    <t xml:space="preserve"> COMERCIAL                              </t>
  </si>
  <si>
    <t xml:space="preserve"> 88 99853-2095                                      </t>
  </si>
  <si>
    <t>15.710.708/0001-03</t>
  </si>
  <si>
    <t xml:space="preserve">MERC DLS                                </t>
  </si>
  <si>
    <t xml:space="preserve">DIOMEDIO LUIS DA SILVEIRA NETO          </t>
  </si>
  <si>
    <t xml:space="preserve">R RUAL MANOEL RIOS SN                   </t>
  </si>
  <si>
    <t xml:space="preserve">    644.023.983-04</t>
  </si>
  <si>
    <t xml:space="preserve">BAR DO MAURO                            </t>
  </si>
  <si>
    <t xml:space="preserve">JOSE MAURO DOS SANTOS                   </t>
  </si>
  <si>
    <t xml:space="preserve">R ANTONIO INaCIO SN                     </t>
  </si>
  <si>
    <t xml:space="preserve"> 88 99949-2415                                      </t>
  </si>
  <si>
    <t xml:space="preserve">    806.710.473-53</t>
  </si>
  <si>
    <t xml:space="preserve">MERC TEM DE TUDO                        </t>
  </si>
  <si>
    <t xml:space="preserve">JOAO CARNEIRO DE ARAUJO                 </t>
  </si>
  <si>
    <t xml:space="preserve">R SENADOR VIRLIGIO TAVORA SN            </t>
  </si>
  <si>
    <t xml:space="preserve"> Pro MAURO                              </t>
  </si>
  <si>
    <t xml:space="preserve"> 88 99784-1852                                      </t>
  </si>
  <si>
    <t xml:space="preserve">    002.450.233-21</t>
  </si>
  <si>
    <t xml:space="preserve">MERC RODRIGUES FILHO                    </t>
  </si>
  <si>
    <t xml:space="preserve">GIOVANA BATISTA LIMA                    </t>
  </si>
  <si>
    <t xml:space="preserve"> FRETE VILA                             </t>
  </si>
  <si>
    <t xml:space="preserve"> 88 99712-7041                                      </t>
  </si>
  <si>
    <t xml:space="preserve">    719.007.303-59</t>
  </si>
  <si>
    <t xml:space="preserve">LANCH SaO FRANCISCO                     </t>
  </si>
  <si>
    <t xml:space="preserve">MARIA LILIAL COSTA                      </t>
  </si>
  <si>
    <t xml:space="preserve">R CORREGO DA VOLTA 00 0                 </t>
  </si>
  <si>
    <t xml:space="preserve"> Pro Coleg                              </t>
  </si>
  <si>
    <t xml:space="preserve"> 88 99781-2898                                      </t>
  </si>
  <si>
    <t>07.336.030/0001-12</t>
  </si>
  <si>
    <t xml:space="preserve">MERCANTIL SAO MATEUS                    </t>
  </si>
  <si>
    <t xml:space="preserve">CARLA GLEICIANE DA SILVA COUTO          </t>
  </si>
  <si>
    <t xml:space="preserve">R DOS BARCOS SN                         </t>
  </si>
  <si>
    <t xml:space="preserve"> PRo BARBARA                            </t>
  </si>
  <si>
    <t xml:space="preserve"> 88 99465-7370                                      </t>
  </si>
  <si>
    <t xml:space="preserve">    807.940.923-49</t>
  </si>
  <si>
    <t xml:space="preserve">ESPETINHO DO ROXO                       </t>
  </si>
  <si>
    <t xml:space="preserve">ELOIZO TAVARES DE COUTO                 </t>
  </si>
  <si>
    <t xml:space="preserve">R RUA SEN VIRGILIO TAVORA SN            </t>
  </si>
  <si>
    <t xml:space="preserve"> CHICO COCO                             </t>
  </si>
  <si>
    <t xml:space="preserve"> 88 99910-4038                                      </t>
  </si>
  <si>
    <t xml:space="preserve">    605.259.863-83</t>
  </si>
  <si>
    <t xml:space="preserve">S5 - MERC.POPULAR                       </t>
  </si>
  <si>
    <t xml:space="preserve">ERIC JANSEN MATOS GONCALVES             </t>
  </si>
  <si>
    <t xml:space="preserve">AV AV FRANCISCO BONIFACIO SN            </t>
  </si>
  <si>
    <t xml:space="preserve"> Pro Deposito                           </t>
  </si>
  <si>
    <t xml:space="preserve"> 88 99655-9638                                      </t>
  </si>
  <si>
    <t>28.573.790/0001-13</t>
  </si>
  <si>
    <t xml:space="preserve">SUPERMERCADO O BINGA                    </t>
  </si>
  <si>
    <t xml:space="preserve">FLA EAMP                                </t>
  </si>
  <si>
    <t xml:space="preserve">AV AV MANOEL SALES 118                  </t>
  </si>
  <si>
    <t xml:space="preserve"> 88 99671-4514  |   88  3667-1254                   </t>
  </si>
  <si>
    <t xml:space="preserve">    603.221.043-00</t>
  </si>
  <si>
    <t xml:space="preserve">POUSADA 7 BEAUFORT                      </t>
  </si>
  <si>
    <t xml:space="preserve">JORG FRIEDBERT MULLER                   </t>
  </si>
  <si>
    <t xml:space="preserve">PR PRAIA DA BARRA 3                     </t>
  </si>
  <si>
    <t xml:space="preserve"> Vizinho Toca                           </t>
  </si>
  <si>
    <t xml:space="preserve"> 88 99327-7877                                      </t>
  </si>
  <si>
    <t xml:space="preserve">    050.931.533-03</t>
  </si>
  <si>
    <t xml:space="preserve">MERC AGUIAR FILHO                       </t>
  </si>
  <si>
    <t xml:space="preserve">MARIA VERIANE DA SILVA                  </t>
  </si>
  <si>
    <t xml:space="preserve">R RUA NOVA SN                           </t>
  </si>
  <si>
    <t xml:space="preserve"> 88 99902-7708                                      </t>
  </si>
  <si>
    <t xml:space="preserve">    013.538.673-07</t>
  </si>
  <si>
    <t xml:space="preserve">BAR DO BELO                             </t>
  </si>
  <si>
    <t xml:space="preserve">MARIA CLEIDE DA SILVA                   </t>
  </si>
  <si>
    <t xml:space="preserve">R RUA MANOEL TEOFILO DA GUIA SN         </t>
  </si>
  <si>
    <t xml:space="preserve"> Vizinho Padaria                        </t>
  </si>
  <si>
    <t xml:space="preserve"> 88 99914-0809                                      </t>
  </si>
  <si>
    <t>22.661.645/0001-08</t>
  </si>
  <si>
    <t xml:space="preserve">FRANCISCO FLAVIO DA                     </t>
  </si>
  <si>
    <t xml:space="preserve">FRANCISCO FLAVIO DA GUIA                </t>
  </si>
  <si>
    <t xml:space="preserve">R RUA OTACILIO RODREGUES DA GUIA01      </t>
  </si>
  <si>
    <t xml:space="preserve"> VAZEA ALAGAMAR                         </t>
  </si>
  <si>
    <t xml:space="preserve">VAZEA                                                       </t>
  </si>
  <si>
    <t xml:space="preserve"> 88 99728-0159                                      </t>
  </si>
  <si>
    <t>30.620.136/0001-65</t>
  </si>
  <si>
    <t xml:space="preserve">COMERCIAL PAIS E FIL                    </t>
  </si>
  <si>
    <t xml:space="preserve">MARCOS LUA CORDEIRO VASCONCELO          </t>
  </si>
  <si>
    <t xml:space="preserve">R JOAO BATISTA RIOS 2140 2140           </t>
  </si>
  <si>
    <t xml:space="preserve"> Ponto                                  </t>
  </si>
  <si>
    <t xml:space="preserve"> 88 99800-9547  |   88 99800-9547                   </t>
  </si>
  <si>
    <t xml:space="preserve">    321.756.633-53</t>
  </si>
  <si>
    <t xml:space="preserve">BAR DO FOGOIOR                          </t>
  </si>
  <si>
    <t xml:space="preserve">MANOEL ALDEMIR DE OLIVEIRA              </t>
  </si>
  <si>
    <t xml:space="preserve">R RUA SEN VIRGILIO 1195                 </t>
  </si>
  <si>
    <t xml:space="preserve"> Vizinho COELHO                         </t>
  </si>
  <si>
    <t xml:space="preserve"> 88 99819-6959                                      </t>
  </si>
  <si>
    <t>22.148.708/0001-27</t>
  </si>
  <si>
    <t xml:space="preserve">POSTO J SALES                           </t>
  </si>
  <si>
    <t xml:space="preserve">2 J COMERCIO DE COMBUSTIVEIS L          </t>
  </si>
  <si>
    <t xml:space="preserve">R RUA JOAO BATISTA RIOS 46 46           </t>
  </si>
  <si>
    <t xml:space="preserve"> Viz Estadi                             </t>
  </si>
  <si>
    <t xml:space="preserve"> 88 99416-0760                                      </t>
  </si>
  <si>
    <t xml:space="preserve">    362.383.683-49</t>
  </si>
  <si>
    <t xml:space="preserve">COMERCIAL MARIANA                       </t>
  </si>
  <si>
    <t xml:space="preserve">JOSE EDILBERTO DOS SANTOS               </t>
  </si>
  <si>
    <t xml:space="preserve">R JOAO BATISTA RIOS 545 SN              </t>
  </si>
  <si>
    <t xml:space="preserve"> 88 99696-9820                                      </t>
  </si>
  <si>
    <t xml:space="preserve">    008.548.813-52</t>
  </si>
  <si>
    <t xml:space="preserve">BAR DO EDMILSON                         </t>
  </si>
  <si>
    <t xml:space="preserve">EDMILSON RODRIGUES DE LIMA              </t>
  </si>
  <si>
    <t xml:space="preserve">R RUA SANTA LUZIA 266 SN                </t>
  </si>
  <si>
    <t xml:space="preserve"> 88 99685-2741                                      </t>
  </si>
  <si>
    <t>33.216.025/0001-86</t>
  </si>
  <si>
    <t xml:space="preserve">ESPETO GRILL                            </t>
  </si>
  <si>
    <t xml:space="preserve">FRANCISCO JUSSIE DE SOUSA 04541563320   </t>
  </si>
  <si>
    <t xml:space="preserve">R RUA RAIMUNDO ALEXANDRE 2226           </t>
  </si>
  <si>
    <t xml:space="preserve"> PROX. A OTICA JERI                     </t>
  </si>
  <si>
    <t xml:space="preserve"> 88 99950-8820                                      </t>
  </si>
  <si>
    <t xml:space="preserve">    261.223.718-66</t>
  </si>
  <si>
    <t xml:space="preserve">MERC CEARA                              </t>
  </si>
  <si>
    <t xml:space="preserve">GERALDO SATURNO FILHO                   </t>
  </si>
  <si>
    <t xml:space="preserve">R RUA CEARA 2275                        </t>
  </si>
  <si>
    <t xml:space="preserve"> Beco Do Agapito                        </t>
  </si>
  <si>
    <t xml:space="preserve"> 88 99705-3568  |   85  9636-5054                   </t>
  </si>
  <si>
    <t xml:space="preserve">    049.350.083-93</t>
  </si>
  <si>
    <t xml:space="preserve">MERC DO NETO                            </t>
  </si>
  <si>
    <t xml:space="preserve">FRANCISCO JAIRO NASCIMENTO DE OLIVEIRA  </t>
  </si>
  <si>
    <t xml:space="preserve">081 RUA CAMPO GRANDE 2464               </t>
  </si>
  <si>
    <t xml:space="preserve"> PROX A DELEGACIA                       </t>
  </si>
  <si>
    <t xml:space="preserve"> 88  9985-6866  |   88 99668-3322                   </t>
  </si>
  <si>
    <t xml:space="preserve">    862.655.203-34</t>
  </si>
  <si>
    <t xml:space="preserve">BAR DO ATEVALDO                         </t>
  </si>
  <si>
    <t xml:space="preserve">ATEVALDO GOMES DE SOUSA                 </t>
  </si>
  <si>
    <t xml:space="preserve">CRG CORREGO DA FORQUILHA 1 SN           </t>
  </si>
  <si>
    <t xml:space="preserve"> ATEVALDO                               </t>
  </si>
  <si>
    <t xml:space="preserve">CORREGO DA FORQUILA                                         </t>
  </si>
  <si>
    <t xml:space="preserve"> 88 99635-8046  |   85 99906-8828                   </t>
  </si>
  <si>
    <t xml:space="preserve">    044.676.673-93</t>
  </si>
  <si>
    <t xml:space="preserve">DEP SABOIA                              </t>
  </si>
  <si>
    <t xml:space="preserve">JAIR TEIXEIRA DO NASCIMENTO             </t>
  </si>
  <si>
    <t xml:space="preserve">AV AV MANOEL TEIXEIRA 93 96             </t>
  </si>
  <si>
    <t xml:space="preserve"> SABOIA                                 </t>
  </si>
  <si>
    <t xml:space="preserve"> 88 99440-1834  |   88 99440-1834                   </t>
  </si>
  <si>
    <t xml:space="preserve">    011.523.133-12</t>
  </si>
  <si>
    <t xml:space="preserve">MERC RAIMUNDO ALONSO                    </t>
  </si>
  <si>
    <t xml:space="preserve">ALONSO GUILHERME DE SOUZA NETO          </t>
  </si>
  <si>
    <t xml:space="preserve">AV AV 07 DE SETEMBRO 915                </t>
  </si>
  <si>
    <t xml:space="preserve"> RAIMUNDO ALONSO                        </t>
  </si>
  <si>
    <t xml:space="preserve"> 88 99620-5522                                      </t>
  </si>
  <si>
    <t xml:space="preserve">    049.937.528-90</t>
  </si>
  <si>
    <t xml:space="preserve">MERC EDVAR                              </t>
  </si>
  <si>
    <t xml:space="preserve">EDVAR NEVES RIOS                        </t>
  </si>
  <si>
    <t xml:space="preserve">024 CORREGO DO URUBU 085                </t>
  </si>
  <si>
    <t xml:space="preserve"> MERC EDVAR                             </t>
  </si>
  <si>
    <t xml:space="preserve">CORREGO DO URUBU                                            </t>
  </si>
  <si>
    <t xml:space="preserve"> 88 99620-8523                                      </t>
  </si>
  <si>
    <t xml:space="preserve">    067.756.543-75</t>
  </si>
  <si>
    <t xml:space="preserve">DEP. MAEL                               </t>
  </si>
  <si>
    <t xml:space="preserve">LUIZ CARLOS DA SILVA                    </t>
  </si>
  <si>
    <t xml:space="preserve">VL VILA BAIXIOS 009                     </t>
  </si>
  <si>
    <t xml:space="preserve"> DEP. MAEL                              </t>
  </si>
  <si>
    <t xml:space="preserve">BAIXIOS                                                     </t>
  </si>
  <si>
    <t xml:space="preserve"> 88 99745-5781                                      </t>
  </si>
  <si>
    <t xml:space="preserve">    076.903.873-57</t>
  </si>
  <si>
    <t xml:space="preserve">MERC CARNEIRO                           </t>
  </si>
  <si>
    <t xml:space="preserve">PATRICIO DIAS DE CARVALHO               </t>
  </si>
  <si>
    <t xml:space="preserve">R RUA 17 DE OUTUBRO SN                  </t>
  </si>
  <si>
    <t xml:space="preserve"> MERC CARNEIRO                          </t>
  </si>
  <si>
    <t xml:space="preserve"> 88 99771-8919  |   88 99771-8909                   </t>
  </si>
  <si>
    <t xml:space="preserve">    605.413.393-46</t>
  </si>
  <si>
    <t xml:space="preserve">MERC PEDRO PIO                          </t>
  </si>
  <si>
    <t xml:space="preserve">LUIS MATHEUS SAMPAIO FERREIRA           </t>
  </si>
  <si>
    <t xml:space="preserve">081 RUA MINAS GERAIS 425                </t>
  </si>
  <si>
    <t xml:space="preserve"> MERC. PRA CASA                         </t>
  </si>
  <si>
    <t xml:space="preserve"> 88  9964-5899                                      </t>
  </si>
  <si>
    <t xml:space="preserve">    063.006.203-01</t>
  </si>
  <si>
    <t xml:space="preserve">BAR DO GEOVANIO                         </t>
  </si>
  <si>
    <t xml:space="preserve">GEOVANIO JOSE DE SOUSA FILHO            </t>
  </si>
  <si>
    <t xml:space="preserve">R RUA AFONSO FONTES SN                  </t>
  </si>
  <si>
    <t xml:space="preserve"> BAR GEOVANIO                           </t>
  </si>
  <si>
    <t xml:space="preserve"> 88  9963-7700                                      </t>
  </si>
  <si>
    <t xml:space="preserve">    026.667.223-09</t>
  </si>
  <si>
    <t xml:space="preserve">EMPORIO DRINKS                          </t>
  </si>
  <si>
    <t xml:space="preserve">GILBERTO SOUSA DOS SANTOS               </t>
  </si>
  <si>
    <t xml:space="preserve">AV AV MANOEL MARQUES SN                 </t>
  </si>
  <si>
    <t xml:space="preserve"> EMPORIO DRINKS                         </t>
  </si>
  <si>
    <t xml:space="preserve"> 88  9962-5085  |   88 99602-0743                   </t>
  </si>
  <si>
    <t xml:space="preserve">    757.271.533-87</t>
  </si>
  <si>
    <t xml:space="preserve">MERCADINHO PARAISO                      </t>
  </si>
  <si>
    <t xml:space="preserve">EDILSON ARAUJO DE SOUSA                 </t>
  </si>
  <si>
    <t xml:space="preserve">CPO CAMPO GRANDE SN                     </t>
  </si>
  <si>
    <t xml:space="preserve"> ESPETARIA                              </t>
  </si>
  <si>
    <t xml:space="preserve"> 88 99964-3462                                      </t>
  </si>
  <si>
    <t xml:space="preserve">    764.948.883-72</t>
  </si>
  <si>
    <t xml:space="preserve">MANOEL MAURICIO DA SILVEIRA             </t>
  </si>
  <si>
    <t xml:space="preserve">R MANOEL TEIXEIRA 94                    </t>
  </si>
  <si>
    <t xml:space="preserve"> 88 99674-5230                                      </t>
  </si>
  <si>
    <t xml:space="preserve">    070.360.343-43</t>
  </si>
  <si>
    <t xml:space="preserve">MERC EDUARDO                            </t>
  </si>
  <si>
    <t xml:space="preserve">EDUARDO SETUBAL TELESFORO               </t>
  </si>
  <si>
    <t xml:space="preserve">R RUA MINAS GERAIS 463                  </t>
  </si>
  <si>
    <t xml:space="preserve"> 88 98119-4237  |   88 98112-3156                   </t>
  </si>
  <si>
    <t xml:space="preserve">    170.102.388-12</t>
  </si>
  <si>
    <t xml:space="preserve">S5 - MERC QUINTINO                      </t>
  </si>
  <si>
    <t xml:space="preserve">QUINTINO RAMIRES DE SOUZA E FREITAS     </t>
  </si>
  <si>
    <t xml:space="preserve">R RUA MINAS GERAIS SN                   </t>
  </si>
  <si>
    <t xml:space="preserve"> 88 99713-5564  |   88 99713-5764                   </t>
  </si>
  <si>
    <t xml:space="preserve">    000.127.093-10</t>
  </si>
  <si>
    <t xml:space="preserve">ESPETO DRINKS                           </t>
  </si>
  <si>
    <t xml:space="preserve">JOSE EGINALDO DE ALBUQUERQUE            </t>
  </si>
  <si>
    <t xml:space="preserve">R RUA NAZARe VASCONCELOS SN             </t>
  </si>
  <si>
    <t xml:space="preserve"> Perto Do VILME                         </t>
  </si>
  <si>
    <t xml:space="preserve"> 88 99685-4078                                      </t>
  </si>
  <si>
    <t xml:space="preserve">    421.543.548-07</t>
  </si>
  <si>
    <t xml:space="preserve">BAR DO RICARDO                          </t>
  </si>
  <si>
    <t xml:space="preserve">RICARDO BRANDAO RIOS                    </t>
  </si>
  <si>
    <t xml:space="preserve">R RUA CARRO QUEBRADO SN                 </t>
  </si>
  <si>
    <t xml:space="preserve"> PARADA OBRIGAToRIA                     </t>
  </si>
  <si>
    <t xml:space="preserve">CARRO QUEBRADO                                              </t>
  </si>
  <si>
    <t xml:space="preserve"> 88 99631-7490                                      </t>
  </si>
  <si>
    <t xml:space="preserve">    402.374.848-03</t>
  </si>
  <si>
    <t xml:space="preserve">BAR DO PASTEL                           </t>
  </si>
  <si>
    <t xml:space="preserve">JOSE NACILIO SANTOS DE VASCONCELOS      </t>
  </si>
  <si>
    <t xml:space="preserve">AV AV AFONSO FONTES 2                   </t>
  </si>
  <si>
    <t xml:space="preserve"> BAR PASTEL                             </t>
  </si>
  <si>
    <t xml:space="preserve"> 88 98163-5487  |   88 99623-5808                   </t>
  </si>
  <si>
    <t>37.539.941/0001-08</t>
  </si>
  <si>
    <t xml:space="preserve">BUTECO SAO JORGE                        </t>
  </si>
  <si>
    <t xml:space="preserve">F DE A SILVA                            </t>
  </si>
  <si>
    <t xml:space="preserve">AV AV MANOEL TEIXEIRA 83                </t>
  </si>
  <si>
    <t xml:space="preserve"> 88 99983-2332                                      </t>
  </si>
  <si>
    <t xml:space="preserve">    640.937.432-15</t>
  </si>
  <si>
    <t xml:space="preserve">BAR DO THOR                             </t>
  </si>
  <si>
    <t xml:space="preserve">ADALGISIO CARVALHO VIEIRA               </t>
  </si>
  <si>
    <t xml:space="preserve">081 RUA 06 DE MARCO 211                 </t>
  </si>
  <si>
    <t xml:space="preserve"> 88 99640-5230                                      </t>
  </si>
  <si>
    <t>37.435.711/0001-07</t>
  </si>
  <si>
    <t xml:space="preserve">MERCADINHO MINI PREC                    </t>
  </si>
  <si>
    <t xml:space="preserve">IZAU NASCIMENTO DA SILVA 02714954308    </t>
  </si>
  <si>
    <t xml:space="preserve">R CoRREGO DA FORQUILHA 2 000            </t>
  </si>
  <si>
    <t xml:space="preserve"> Vizinho Ao Posto De                    </t>
  </si>
  <si>
    <t xml:space="preserve"> 88 99705-5171                                      </t>
  </si>
  <si>
    <t xml:space="preserve">    012.878.643-41</t>
  </si>
  <si>
    <t xml:space="preserve">POINT THE PIZZA                         </t>
  </si>
  <si>
    <t xml:space="preserve">MARIA HOSLI DE SOUSA                    </t>
  </si>
  <si>
    <t xml:space="preserve">R CORREGO DA FORQUILHA 2 1              </t>
  </si>
  <si>
    <t xml:space="preserve">CORREGO 2                                                   </t>
  </si>
  <si>
    <t xml:space="preserve"> 88 98885-8769                                      </t>
  </si>
  <si>
    <t>25.243.892/0001-82</t>
  </si>
  <si>
    <t xml:space="preserve">LANCHES E BAR OSMARZ                    </t>
  </si>
  <si>
    <t xml:space="preserve">OSMAR JUVENAL DE SOUSA 02347554824      </t>
  </si>
  <si>
    <t xml:space="preserve">081 RUA JOaO PESSOA 2748                </t>
  </si>
  <si>
    <t xml:space="preserve"> 88  9952-6580                                      </t>
  </si>
  <si>
    <t xml:space="preserve">    340.645.698-73</t>
  </si>
  <si>
    <t xml:space="preserve">BUTECO DO ORLANDO                       </t>
  </si>
  <si>
    <t xml:space="preserve">FRANCISCO ORLANDO ALBUQUERQUE           </t>
  </si>
  <si>
    <t xml:space="preserve">081 CoRREGO 1 0845                      </t>
  </si>
  <si>
    <t xml:space="preserve">CORREGO 1                                                   </t>
  </si>
  <si>
    <t xml:space="preserve"> 11 98253-5871                                      </t>
  </si>
  <si>
    <t xml:space="preserve">    056.616.753-05</t>
  </si>
  <si>
    <t xml:space="preserve">MERC BM                                 </t>
  </si>
  <si>
    <t xml:space="preserve">DHEMYSON BRUNO DE SOUZA                 </t>
  </si>
  <si>
    <t xml:space="preserve">R RUA MINAS GERAIS 415                  </t>
  </si>
  <si>
    <t xml:space="preserve"> 88 99642-7502                                      </t>
  </si>
  <si>
    <t xml:space="preserve">    000.481.343-09</t>
  </si>
  <si>
    <t xml:space="preserve">CLEITON                                 </t>
  </si>
  <si>
    <t xml:space="preserve">CLEITON AUGUSTO SALES                   </t>
  </si>
  <si>
    <t xml:space="preserve">R RUA NAZARE VASCONCELOS 295            </t>
  </si>
  <si>
    <t>62.558-000</t>
  </si>
  <si>
    <t xml:space="preserve"> 88 99683-8071                                      </t>
  </si>
  <si>
    <t>17.386.854/0001-50</t>
  </si>
  <si>
    <t xml:space="preserve">COMERCIAL CARNEIRO                      </t>
  </si>
  <si>
    <t xml:space="preserve">ISMAEL CARLOS CARNEIRO                  </t>
  </si>
  <si>
    <t xml:space="preserve">R RUA NAZARE VASCONCELOS SN             </t>
  </si>
  <si>
    <t xml:space="preserve"> 88 99771-8919  |   88 99936-8642                   </t>
  </si>
  <si>
    <t xml:space="preserve">    063.722.023-44</t>
  </si>
  <si>
    <t xml:space="preserve">MERCADINHO O MURILLO                    </t>
  </si>
  <si>
    <t xml:space="preserve">JOSE EVANILSON RIBEIRO                  </t>
  </si>
  <si>
    <t xml:space="preserve">CRG CORREGO PERDIDO SN                  </t>
  </si>
  <si>
    <t>55.800-000</t>
  </si>
  <si>
    <t xml:space="preserve"> 88 99747-8120                                      </t>
  </si>
  <si>
    <t xml:space="preserve">    780.307.653-04</t>
  </si>
  <si>
    <t xml:space="preserve">JOSE IVAMAR VASCONCELOS                 </t>
  </si>
  <si>
    <t xml:space="preserve">AV AV JERICOACOARA SN                   </t>
  </si>
  <si>
    <t>62.958-000</t>
  </si>
  <si>
    <t xml:space="preserve"> 88  9908-6803                                      </t>
  </si>
  <si>
    <t>17.386.854/0002-31</t>
  </si>
  <si>
    <t xml:space="preserve">ATACAREJO CARNEIRO                      </t>
  </si>
  <si>
    <t xml:space="preserve">AV AV MANOEL TEIXEIRA SN                </t>
  </si>
  <si>
    <t xml:space="preserve"> 88  9936-8642                                      </t>
  </si>
  <si>
    <t xml:space="preserve">    218.278.888-30</t>
  </si>
  <si>
    <t xml:space="preserve">MERCADINHO JEN                          </t>
  </si>
  <si>
    <t xml:space="preserve">ANTONIO TEIXEIRA SAMPAIO                </t>
  </si>
  <si>
    <t xml:space="preserve"> 88 98112-3156                                      </t>
  </si>
  <si>
    <t xml:space="preserve">AS  5           </t>
  </si>
  <si>
    <t xml:space="preserve">    062.014.063-10</t>
  </si>
  <si>
    <t xml:space="preserve">FT BEBIDAS                              </t>
  </si>
  <si>
    <t xml:space="preserve">FRANCISCO TEIXEIRA PIRES                </t>
  </si>
  <si>
    <t xml:space="preserve">SIT SITIO BAIXIO 02 SN                  </t>
  </si>
  <si>
    <t>62.698-000</t>
  </si>
  <si>
    <t xml:space="preserve"> 88  9745-5781                                      </t>
  </si>
  <si>
    <t xml:space="preserve">    040.334.513-82</t>
  </si>
  <si>
    <t xml:space="preserve">PETISCARIA O RANCHO                     </t>
  </si>
  <si>
    <t xml:space="preserve">IVO CARLOS FONTELES                     </t>
  </si>
  <si>
    <t xml:space="preserve">AV AV JERICOACOARA 00212                </t>
  </si>
  <si>
    <t xml:space="preserve"> M                                      </t>
  </si>
  <si>
    <t xml:space="preserve"> 88 99722-9690                                      </t>
  </si>
  <si>
    <t xml:space="preserve">    042.136.733-40</t>
  </si>
  <si>
    <t xml:space="preserve">JUSCELENE BAR                           </t>
  </si>
  <si>
    <t xml:space="preserve">MARIA JUSCELENE DE SOUZA                </t>
  </si>
  <si>
    <t xml:space="preserve">R RUA RAIMUNDO ALEXANDRE SN             </t>
  </si>
  <si>
    <t xml:space="preserve"> B                                      </t>
  </si>
  <si>
    <t xml:space="preserve"> 88 99655-3442                                      </t>
  </si>
  <si>
    <t xml:space="preserve">    098.875.213-10</t>
  </si>
  <si>
    <t xml:space="preserve">HIPER PARAISO                           </t>
  </si>
  <si>
    <t xml:space="preserve">JULIANA MARQUES CARNEIRO                </t>
  </si>
  <si>
    <t xml:space="preserve">081 RUA JOSE DOMINGOS 362               </t>
  </si>
  <si>
    <t xml:space="preserve"> A                                      </t>
  </si>
  <si>
    <t>69.800-000</t>
  </si>
  <si>
    <t xml:space="preserve"> 88 99619-6169                                      </t>
  </si>
  <si>
    <t xml:space="preserve">    037.950.033-77</t>
  </si>
  <si>
    <t xml:space="preserve">MULT STORE                              </t>
  </si>
  <si>
    <t xml:space="preserve">MARIA SILVANA DE ARAUJO                 </t>
  </si>
  <si>
    <t xml:space="preserve">R TRASVESSA MASSAU DE SOUSA 1007        </t>
  </si>
  <si>
    <t xml:space="preserve"> 88  9910-3081                                      </t>
  </si>
  <si>
    <t xml:space="preserve">    819.385.603-10</t>
  </si>
  <si>
    <t xml:space="preserve">FERAS CLUBE                             </t>
  </si>
  <si>
    <t xml:space="preserve">VALDEMAR CLEIRTON SILVINO               </t>
  </si>
  <si>
    <t xml:space="preserve">AV AV FONSO FONTES SN                   </t>
  </si>
  <si>
    <t>62.980-000</t>
  </si>
  <si>
    <t xml:space="preserve"> 88 99949-9767                                      </t>
  </si>
  <si>
    <t xml:space="preserve">    006.320.143-77</t>
  </si>
  <si>
    <t xml:space="preserve">ADEGA STOP BEER                         </t>
  </si>
  <si>
    <t xml:space="preserve">FRANCISCO EDICARLOS SILVA               </t>
  </si>
  <si>
    <t xml:space="preserve">R RUA ALAGOAS SN                        </t>
  </si>
  <si>
    <t xml:space="preserve"> 11 94818-8061                                      </t>
  </si>
  <si>
    <t>44.226.685/0001-64</t>
  </si>
  <si>
    <t xml:space="preserve">DECK RESTAURANTE E P                    </t>
  </si>
  <si>
    <t xml:space="preserve">DECK RESTAURANTE E PIZZARIA LTDA        </t>
  </si>
  <si>
    <t xml:space="preserve">R RUA JOSE ELIAS 365                    </t>
  </si>
  <si>
    <t xml:space="preserve"> AB                                     </t>
  </si>
  <si>
    <t xml:space="preserve"> 88  9694-6752                                      </t>
  </si>
  <si>
    <t xml:space="preserve">    492.633.743-68</t>
  </si>
  <si>
    <t xml:space="preserve">MERCADORIA 24 HORAS                     </t>
  </si>
  <si>
    <t xml:space="preserve">JEOVA CELESTINO DE SOUZA                </t>
  </si>
  <si>
    <t xml:space="preserve">R RUA CAMPO GRANDE SN                   </t>
  </si>
  <si>
    <t xml:space="preserve"> C                                      </t>
  </si>
  <si>
    <t xml:space="preserve"> 66 99989-9513                                      </t>
  </si>
  <si>
    <t xml:space="preserve">    068.335.853-77</t>
  </si>
  <si>
    <t xml:space="preserve">MERCADINHO MIRELLA                      </t>
  </si>
  <si>
    <t xml:space="preserve">JACO ALVES DE SOUSA                     </t>
  </si>
  <si>
    <t xml:space="preserve"> 88 99753-2344                                      </t>
  </si>
  <si>
    <t>45.121.624/0001-03</t>
  </si>
  <si>
    <t xml:space="preserve">HLI. BEBIDAS ESPETIN                    </t>
  </si>
  <si>
    <t xml:space="preserve">MARIA LUZIENE FONTELES DE ARAUJO        </t>
  </si>
  <si>
    <t xml:space="preserve">SIT SITIO BORGES SN                     </t>
  </si>
  <si>
    <t xml:space="preserve">PV BAIXIO 1                                                 </t>
  </si>
  <si>
    <t xml:space="preserve"> 88 98868-8035                                      </t>
  </si>
  <si>
    <t xml:space="preserve">    104.426.136-60</t>
  </si>
  <si>
    <t xml:space="preserve">MERC DA VANESSA                         </t>
  </si>
  <si>
    <t xml:space="preserve">VANESSA MARCIA DIAS                     </t>
  </si>
  <si>
    <t xml:space="preserve">R RUA CORREGO PERDIDO 78                </t>
  </si>
  <si>
    <t xml:space="preserve">CORREGO PERDIDO                                             </t>
  </si>
  <si>
    <t xml:space="preserve"> 88 98112-9845                                      </t>
  </si>
  <si>
    <t xml:space="preserve">    059.117.163-56</t>
  </si>
  <si>
    <t xml:space="preserve">MERC DO VERAS                           </t>
  </si>
  <si>
    <t xml:space="preserve">FRANCISCA MEIRILENE DA SILVA            </t>
  </si>
  <si>
    <t xml:space="preserve">CRG CORREGO DO URUBU 14                 </t>
  </si>
  <si>
    <t xml:space="preserve"> 88 99615-4290                                      </t>
  </si>
  <si>
    <t xml:space="preserve">    021.047.703-27</t>
  </si>
  <si>
    <t xml:space="preserve">MERCADINHO S O JORGE                    </t>
  </si>
  <si>
    <t xml:space="preserve">MANOEL EDSON ALVES CARNEIRO             </t>
  </si>
  <si>
    <t xml:space="preserve">008 AV AFONSO FONTES 298                </t>
  </si>
  <si>
    <t xml:space="preserve"> 11 95956-1521                                      </t>
  </si>
  <si>
    <t xml:space="preserve">    824.482.723-87</t>
  </si>
  <si>
    <t xml:space="preserve">CEN BALAS                               </t>
  </si>
  <si>
    <t xml:space="preserve">ELLEN KARLA SOUSA MESQUITA              </t>
  </si>
  <si>
    <t xml:space="preserve">R RUA BAHIA 1537                        </t>
  </si>
  <si>
    <t xml:space="preserve"> 85 99828-5881                                      </t>
  </si>
  <si>
    <t xml:space="preserve">    841.932.043-91</t>
  </si>
  <si>
    <t xml:space="preserve">PESTINHO DO NINI                        </t>
  </si>
  <si>
    <t xml:space="preserve">JOSE JUVENIR DO NASCIMENTO              </t>
  </si>
  <si>
    <t xml:space="preserve">024 CORREGO DO URUBU 1 96               </t>
  </si>
  <si>
    <t xml:space="preserve"> 88 99935-9506                                      </t>
  </si>
  <si>
    <t xml:space="preserve">    271.118.158-82</t>
  </si>
  <si>
    <t xml:space="preserve">BOTECO DO BOCHECHA                      </t>
  </si>
  <si>
    <t xml:space="preserve">CARLOS SILVA DE SOUSA                   </t>
  </si>
  <si>
    <t xml:space="preserve">AV AVENIDA MANOEL MARQUES ALBUQUESN     </t>
  </si>
  <si>
    <t xml:space="preserve"> PROXIMO DO OSMAR LANCHES               </t>
  </si>
  <si>
    <t xml:space="preserve"> 88 98195-2774                                      </t>
  </si>
  <si>
    <t xml:space="preserve">    754.384.613-68</t>
  </si>
  <si>
    <t xml:space="preserve">MERCADINHO E ADEGA                      </t>
  </si>
  <si>
    <t xml:space="preserve">EVA VILMA DOS SANTOS                    </t>
  </si>
  <si>
    <t xml:space="preserve">R ALAGOAS 1294                          </t>
  </si>
  <si>
    <t>32.768.826/0002-72</t>
  </si>
  <si>
    <t xml:space="preserve">ATACADO DO VALE                         </t>
  </si>
  <si>
    <t xml:space="preserve">ATACADO DO VALE COM DE ALIM LTDA        </t>
  </si>
  <si>
    <t xml:space="preserve"> AVENIDA JERICOACOARA 450               </t>
  </si>
  <si>
    <t xml:space="preserve"> 88 99963-5806                                      </t>
  </si>
  <si>
    <t xml:space="preserve">    046.035.943-64</t>
  </si>
  <si>
    <t xml:space="preserve">MERCANTIL FERNANDO                      </t>
  </si>
  <si>
    <t xml:space="preserve">FRANCISCO FERNANDO                      </t>
  </si>
  <si>
    <t xml:space="preserve">AV AVENIDA AFONSO FONTES 666 SN         </t>
  </si>
  <si>
    <t xml:space="preserve"> PROX IRMaO DA CABREJADA                </t>
  </si>
  <si>
    <t xml:space="preserve">CORREGO DO MOURAO                                           </t>
  </si>
  <si>
    <t xml:space="preserve"> 88 99748-9492                                      </t>
  </si>
  <si>
    <t xml:space="preserve">    004.048.923-02</t>
  </si>
  <si>
    <t xml:space="preserve">WHITE BAR                               </t>
  </si>
  <si>
    <t xml:space="preserve">CLEUNICE FERREIRA                       </t>
  </si>
  <si>
    <t xml:space="preserve">R RUA BAIXIO 1 SN                       </t>
  </si>
  <si>
    <t xml:space="preserve"> BAR DA BRANCA                          </t>
  </si>
  <si>
    <t xml:space="preserve">BAIXIO                                                      </t>
  </si>
  <si>
    <t xml:space="preserve"> 88 98177-7518                                      </t>
  </si>
  <si>
    <t>13.733.455/0001-68</t>
  </si>
  <si>
    <t xml:space="preserve">PIZZA PAZZA                             </t>
  </si>
  <si>
    <t xml:space="preserve">VANUSIA DUTRA DE LIMA                   </t>
  </si>
  <si>
    <t xml:space="preserve">R RUA NAZARE VASCONCELOS 1718 SN        </t>
  </si>
  <si>
    <t xml:space="preserve"> 88 99910-4472                                      </t>
  </si>
  <si>
    <t xml:space="preserve">    129.445.358-03</t>
  </si>
  <si>
    <t xml:space="preserve">BOTECO ARQUELAU                         </t>
  </si>
  <si>
    <t xml:space="preserve">MARCIO FELIX                            </t>
  </si>
  <si>
    <t xml:space="preserve"> RU RAIMUNDO ALEXANDRE 0034             </t>
  </si>
  <si>
    <t xml:space="preserve"> PROX SOL NASCENTE                      </t>
  </si>
  <si>
    <t xml:space="preserve"> 88 99671-7915                                      </t>
  </si>
  <si>
    <t xml:space="preserve">    632.448.713-05</t>
  </si>
  <si>
    <t xml:space="preserve">MESTRE DO ESPETIN                       </t>
  </si>
  <si>
    <t xml:space="preserve">PEDRO HENRRIQUE                         </t>
  </si>
  <si>
    <t xml:space="preserve">R RUA MINAS GERAIS 442                  </t>
  </si>
  <si>
    <t xml:space="preserve"> 88 99300-9936                                      </t>
  </si>
  <si>
    <t>07.814.964/0001-12</t>
  </si>
  <si>
    <t xml:space="preserve">MERCADINHO SANTA LUZ                    </t>
  </si>
  <si>
    <t xml:space="preserve">ROBEVALDO MARQUES DA SILVA              </t>
  </si>
  <si>
    <t xml:space="preserve"> RUA RAIMUNDO ALEXANDRE 2121            </t>
  </si>
  <si>
    <t xml:space="preserve"> 85 98840-0653                                      </t>
  </si>
  <si>
    <t xml:space="preserve">    073.943.333-45</t>
  </si>
  <si>
    <t xml:space="preserve">BUTECO DA ESQUINA                       </t>
  </si>
  <si>
    <t xml:space="preserve">ANDRESSA ROCHA                          </t>
  </si>
  <si>
    <t xml:space="preserve">R RUA 17 DE OUTUBRO 247 SN              </t>
  </si>
  <si>
    <t xml:space="preserve"> 88 99651-2133                                      </t>
  </si>
  <si>
    <t>50.105.299/0001-17</t>
  </si>
  <si>
    <t xml:space="preserve">PARADA OBRIGATORIA                      </t>
  </si>
  <si>
    <t xml:space="preserve">50.105.299 RICARDO BRANDAO RIOS         </t>
  </si>
  <si>
    <t xml:space="preserve">AV AVENIDA LEONCIO LIBERATO 310 SN      </t>
  </si>
  <si>
    <t xml:space="preserve"> BAR DO RICARDO                         </t>
  </si>
  <si>
    <t xml:space="preserve"> 88 99683-9303                                      </t>
  </si>
  <si>
    <t xml:space="preserve">    046.333.353-59</t>
  </si>
  <si>
    <t xml:space="preserve">BUTECO DO ORLANDO 2                     </t>
  </si>
  <si>
    <t xml:space="preserve">ANAIZA CARVALHO                         </t>
  </si>
  <si>
    <t xml:space="preserve">R RUA CORREGO DA FORQUILHA 1            </t>
  </si>
  <si>
    <t xml:space="preserve"> EM FRENTE AO CAMPO                     </t>
  </si>
  <si>
    <t xml:space="preserve">CORREGO DA FORQUILHA                                        </t>
  </si>
  <si>
    <t xml:space="preserve">    395.187.928-95</t>
  </si>
  <si>
    <t xml:space="preserve">CICERA NOGUEIRA                         </t>
  </si>
  <si>
    <t xml:space="preserve"> AVENIDA MANOEL TEIXEIRA 93             </t>
  </si>
  <si>
    <t xml:space="preserve"> 88 99940-1934                                      </t>
  </si>
  <si>
    <t>49.558.715/0001-53</t>
  </si>
  <si>
    <t xml:space="preserve">BUTECO SAO JORGE LTDA                   </t>
  </si>
  <si>
    <t xml:space="preserve">AV AVENIDA MANOEL TEIXEIRA 83 SN        </t>
  </si>
  <si>
    <t xml:space="preserve"> 88 99873-2470                                      </t>
  </si>
  <si>
    <t xml:space="preserve">    067.239.163-52</t>
  </si>
  <si>
    <t xml:space="preserve">MERC BOM PREC                           </t>
  </si>
  <si>
    <t xml:space="preserve">RONALDO BP                              </t>
  </si>
  <si>
    <t xml:space="preserve"> RUA CORREGO DA FORQUILHA II SN         </t>
  </si>
  <si>
    <t xml:space="preserve">MANGUE SECO                                                 </t>
  </si>
  <si>
    <t xml:space="preserve"> 88 98863-2079                                      </t>
  </si>
  <si>
    <t>52.254.423/0001-31</t>
  </si>
  <si>
    <t xml:space="preserve">FABRICA DA PIZZA LAN                    </t>
  </si>
  <si>
    <t>FABRICA DA PIZZA LANCHONETE E PIZZARIA L</t>
  </si>
  <si>
    <t xml:space="preserve">R RUA RAIMUNDO ALEXANDRE 2220           </t>
  </si>
  <si>
    <t xml:space="preserve"> AO LADO DO FORUM                       </t>
  </si>
  <si>
    <t xml:space="preserve"> 88 99913-8127                                      </t>
  </si>
  <si>
    <t>34.746.162/0001-95</t>
  </si>
  <si>
    <t xml:space="preserve"> FRIOS                                  </t>
  </si>
  <si>
    <t xml:space="preserve">F. H. COMERCIO DE FRIOS LTDA            </t>
  </si>
  <si>
    <t xml:space="preserve"> AVENIDA MANOEL TEIXEIRA 80             </t>
  </si>
  <si>
    <t xml:space="preserve"> EM FRENTE A IGREJA                     </t>
  </si>
  <si>
    <t xml:space="preserve"> 88 99220-2043                                      </t>
  </si>
  <si>
    <t>23.823.512/0001-53</t>
  </si>
  <si>
    <t xml:space="preserve">M.AXE S COVENIENCIA                     </t>
  </si>
  <si>
    <t xml:space="preserve">M.AXE S COVENIENCIA LTDA                </t>
  </si>
  <si>
    <t xml:space="preserve">AV AVENIDA MANOEL MARQUES ALBUQUE1345   </t>
  </si>
  <si>
    <t xml:space="preserve"> CONVENIENCIA POSTO BR                  </t>
  </si>
  <si>
    <t xml:space="preserve"> 88 98190-8831                                      </t>
  </si>
  <si>
    <t xml:space="preserve">    006.528.323-69</t>
  </si>
  <si>
    <t xml:space="preserve">MAJORS ESPETOS                          </t>
  </si>
  <si>
    <t xml:space="preserve">FRANCISCO EDSON VASCONCELOS RIBEIRO     </t>
  </si>
  <si>
    <t xml:space="preserve">R RUA 17 DE OUTUBRO 126                 </t>
  </si>
  <si>
    <t xml:space="preserve"> ESQUINA COM BARaO                      </t>
  </si>
  <si>
    <t xml:space="preserve"> 85 98807-2604                                      </t>
  </si>
  <si>
    <t xml:space="preserve">    090.896.038-75</t>
  </si>
  <si>
    <t xml:space="preserve">MERC GILMAR                             </t>
  </si>
  <si>
    <t xml:space="preserve">GILMAR ARAUJO SOUZA                     </t>
  </si>
  <si>
    <t xml:space="preserve"> RUA 17 DE OUTUBRO 1318                 </t>
  </si>
  <si>
    <t xml:space="preserve"> EM FRENTE AO VAZ                       </t>
  </si>
  <si>
    <t xml:space="preserve"> 88 99710-9374                                      </t>
  </si>
  <si>
    <t>53.356.460/0001-13</t>
  </si>
  <si>
    <t xml:space="preserve">BRAZEIRO                                </t>
  </si>
  <si>
    <t xml:space="preserve">CELMA MARIA DE VASCONCELOS LTDA         </t>
  </si>
  <si>
    <t xml:space="preserve">AV AVENIDA MANOEL TEIXEIRA 103          </t>
  </si>
  <si>
    <t xml:space="preserve"> 11 98342-8458                                      </t>
  </si>
  <si>
    <t xml:space="preserve">    045.415.663-46</t>
  </si>
  <si>
    <t xml:space="preserve">ESPETINHO DEDE                          </t>
  </si>
  <si>
    <t xml:space="preserve">DEDE DA SILVA                           </t>
  </si>
  <si>
    <t xml:space="preserve">AV AVENIDA AFONSO FONTES 1840 SN        </t>
  </si>
  <si>
    <t xml:space="preserve"> ANTIGO VILMO                           </t>
  </si>
  <si>
    <t xml:space="preserve"> 88 99605-6518                                      </t>
  </si>
  <si>
    <t xml:space="preserve">    973.037.393-00</t>
  </si>
  <si>
    <t xml:space="preserve">MERC SILVESTRE                          </t>
  </si>
  <si>
    <t xml:space="preserve">BENEDITA BARROS NICOLAU                 </t>
  </si>
  <si>
    <t xml:space="preserve">R RUA CORREGO DA FORQUILHA 3            </t>
  </si>
  <si>
    <t xml:space="preserve"> DEPOIS DO BOM PRECO                    </t>
  </si>
  <si>
    <t xml:space="preserve"> 88 99782-4642                                      </t>
  </si>
  <si>
    <t xml:space="preserve">    088.250.323-58</t>
  </si>
  <si>
    <t xml:space="preserve">CONV BAHIA                              </t>
  </si>
  <si>
    <t xml:space="preserve">SAMUEL CORDEIRO                         </t>
  </si>
  <si>
    <t xml:space="preserve">R Rua Jose Elias 319 SN                 </t>
  </si>
  <si>
    <t xml:space="preserve"> 88 99697-0969                                      </t>
  </si>
  <si>
    <t xml:space="preserve">    020.600.563-65</t>
  </si>
  <si>
    <t xml:space="preserve">FAVORITO                                </t>
  </si>
  <si>
    <t xml:space="preserve">ANTONIO CARLOS PEREIRA                  </t>
  </si>
  <si>
    <t xml:space="preserve">AV Avenida Manoel Teixeira 146 SN       </t>
  </si>
  <si>
    <t xml:space="preserve"> Antiga Torquato                        </t>
  </si>
  <si>
    <t xml:space="preserve"> 11 95444-6438                                      </t>
  </si>
  <si>
    <t xml:space="preserve">    831.774.693-34</t>
  </si>
  <si>
    <t xml:space="preserve">MERC VALTER                             </t>
  </si>
  <si>
    <t xml:space="preserve">VALTER FONTELES                         </t>
  </si>
  <si>
    <t xml:space="preserve">AV Avenida Manoel Marques Albuque1171   </t>
  </si>
  <si>
    <t xml:space="preserve"> Em frente ao campo de fut              </t>
  </si>
  <si>
    <t xml:space="preserve"> 88 99926-2671                                      </t>
  </si>
  <si>
    <t xml:space="preserve">    026.820.093-95</t>
  </si>
  <si>
    <t xml:space="preserve">MERC ANTONIA                            </t>
  </si>
  <si>
    <t xml:space="preserve">ANTONIA SIQUEIRA                        </t>
  </si>
  <si>
    <t xml:space="preserve">R Rua Ceara 2270 SN                     </t>
  </si>
  <si>
    <t xml:space="preserve"> msm dono bom preco                     </t>
  </si>
  <si>
    <t xml:space="preserve"> 88 99652-4603                                      </t>
  </si>
  <si>
    <t xml:space="preserve">    825.635.433-04</t>
  </si>
  <si>
    <t xml:space="preserve">LANC DO ARQUILAU                        </t>
  </si>
  <si>
    <t xml:space="preserve">ARQUELAU PEREIRA VASCONCELOS            </t>
  </si>
  <si>
    <t xml:space="preserve">R ALEXANDRE LOURENCO SN                 </t>
  </si>
  <si>
    <t xml:space="preserve"> 88 99688-0586                                      </t>
  </si>
  <si>
    <t xml:space="preserve">    284.434.738-00</t>
  </si>
  <si>
    <t xml:space="preserve">MERC EDSON                              </t>
  </si>
  <si>
    <t xml:space="preserve">JOSE EDSON DA SILVA                     </t>
  </si>
  <si>
    <t xml:space="preserve">R URUBU SN                              </t>
  </si>
  <si>
    <t xml:space="preserve">CORREGO DO URUBU 02                                         </t>
  </si>
  <si>
    <t xml:space="preserve"> 88 99630-6271  |   88 99794-1838                   </t>
  </si>
  <si>
    <t xml:space="preserve">    502.058.703-68</t>
  </si>
  <si>
    <t xml:space="preserve">NIGHT BAR                               </t>
  </si>
  <si>
    <t xml:space="preserve">JOSE EMICLESIO DE SOUSA                 </t>
  </si>
  <si>
    <t xml:space="preserve">R URUBU 01 SN                           </t>
  </si>
  <si>
    <t xml:space="preserve">CORREGO DO URUBU 01                                         </t>
  </si>
  <si>
    <t xml:space="preserve"> 88 99800-6366  |   88 99669-0875                   </t>
  </si>
  <si>
    <t xml:space="preserve">    862.607.663-00</t>
  </si>
  <si>
    <t xml:space="preserve">S5 - DAVI DA JERI                       </t>
  </si>
  <si>
    <t xml:space="preserve">ANTONIA OSVALDINA DA SILVA              </t>
  </si>
  <si>
    <t xml:space="preserve">R DA FORQUILHA SN                       </t>
  </si>
  <si>
    <t xml:space="preserve"> MANGUE SECO                            </t>
  </si>
  <si>
    <t xml:space="preserve"> 64 40000-0000                                      </t>
  </si>
  <si>
    <t>10.722.824/0001-29</t>
  </si>
  <si>
    <t xml:space="preserve">JIJOCA BEBIDAS                          </t>
  </si>
  <si>
    <t xml:space="preserve">JOSE OSMAR FREIRE ME                    </t>
  </si>
  <si>
    <t xml:space="preserve">R MANOEL TEIXEIRA SN                    </t>
  </si>
  <si>
    <t>11.266.149/0001-33</t>
  </si>
  <si>
    <t xml:space="preserve">BEBIDAS MORAIS                          </t>
  </si>
  <si>
    <t xml:space="preserve">F DAS CHAGAS MORAIS BEBIDAS ME          </t>
  </si>
  <si>
    <t xml:space="preserve">R MINAS GERAIS 417 417                  </t>
  </si>
  <si>
    <t xml:space="preserve"> 88 99968-2142  |   88 99713-5764                   </t>
  </si>
  <si>
    <t>05.881.989/0001-03</t>
  </si>
  <si>
    <t xml:space="preserve">MERC OSMARINO                           </t>
  </si>
  <si>
    <t xml:space="preserve">OSMARINO ARAUJO VASCONCELOS ME          </t>
  </si>
  <si>
    <t xml:space="preserve">R IZAUTA VASCONCELOS SN                 </t>
  </si>
  <si>
    <t xml:space="preserve"> 88 99631-0116  |   88 99631-0116                   </t>
  </si>
  <si>
    <t xml:space="preserve">    175.926.248-00</t>
  </si>
  <si>
    <t xml:space="preserve">CASA DO ESPETO                          </t>
  </si>
  <si>
    <t xml:space="preserve">ORLANDO FERREIRA SOBRINHO               </t>
  </si>
  <si>
    <t xml:space="preserve"> 88 99970-2795                                      </t>
  </si>
  <si>
    <t>14.449.038/0001-50</t>
  </si>
  <si>
    <t xml:space="preserve">MARCELO MARQUES                         </t>
  </si>
  <si>
    <t xml:space="preserve">MARCELO MARQUES ROCHA 97676918          </t>
  </si>
  <si>
    <t xml:space="preserve">R MINAS GERAIS 410 410 410              </t>
  </si>
  <si>
    <t xml:space="preserve"> 88 36631-5203  |   88 36631-5266                   </t>
  </si>
  <si>
    <t>13.778.894/0001-97</t>
  </si>
  <si>
    <t xml:space="preserve">BRASIL FRIOS                            </t>
  </si>
  <si>
    <t xml:space="preserve">NEUMA MARIA DA SILVA                    </t>
  </si>
  <si>
    <t xml:space="preserve">R R MANOEL TEIXEIRA 114                 </t>
  </si>
  <si>
    <t xml:space="preserve"> 88 99870-2818  |   88 99954-7080                   </t>
  </si>
  <si>
    <t>14.113.814/0001-47</t>
  </si>
  <si>
    <t xml:space="preserve">BARRACA PONTO CERTO                     </t>
  </si>
  <si>
    <t xml:space="preserve">EXPEDITO JUNIOR MACARIO DA SILVA        </t>
  </si>
  <si>
    <t xml:space="preserve">AV MANOEL TEIXEIRA sn                   </t>
  </si>
  <si>
    <t xml:space="preserve"> 88 99645-6064                                      </t>
  </si>
  <si>
    <t>TRAILLER/BARRACA/QUI</t>
  </si>
  <si>
    <t>07.526.557/0008-86</t>
  </si>
  <si>
    <t xml:space="preserve">F. AQUIRAZ                              </t>
  </si>
  <si>
    <t xml:space="preserve">AMBEV S.A. - F. AQUIRAZ                 </t>
  </si>
  <si>
    <t xml:space="preserve">ROD ROD BR 116 - KM 32 SN               </t>
  </si>
  <si>
    <t xml:space="preserve">CROATA                                                      </t>
  </si>
  <si>
    <t xml:space="preserve">AQUIRAZ                       </t>
  </si>
  <si>
    <t>61.700-000</t>
  </si>
  <si>
    <t xml:space="preserve">436- -P      </t>
  </si>
  <si>
    <t>07.526.557/0021-53</t>
  </si>
  <si>
    <t xml:space="preserve">F. PERNAMBUCO                           </t>
  </si>
  <si>
    <t xml:space="preserve">AMBEV S. A. FILIAL ITAPISSUMA           </t>
  </si>
  <si>
    <t xml:space="preserve">ROD ROD BR 101 - NORTE SN               </t>
  </si>
  <si>
    <t xml:space="preserve">BOTAFOGO                                                    </t>
  </si>
  <si>
    <t xml:space="preserve">ITAPISSUMA                    </t>
  </si>
  <si>
    <t>PE</t>
  </si>
  <si>
    <t>53.700-000</t>
  </si>
  <si>
    <t xml:space="preserve">950- -P      </t>
  </si>
  <si>
    <t xml:space="preserve">    296.273.378-62</t>
  </si>
  <si>
    <t xml:space="preserve">MERCEARIA SILVEIRA                      </t>
  </si>
  <si>
    <t xml:space="preserve">RAIMUNDO NONATO DA SILVEIRA             </t>
  </si>
  <si>
    <t xml:space="preserve">R R:SANTA LUZIA 45                      </t>
  </si>
  <si>
    <t xml:space="preserve"> 88 99839-9592  |   88 99994-3188                   </t>
  </si>
  <si>
    <t>07.526.557/0013-43</t>
  </si>
  <si>
    <t xml:space="preserve">CDR PARAIBA                             </t>
  </si>
  <si>
    <t xml:space="preserve">AMBEV S.A. - F. FONTE DA MATA           </t>
  </si>
  <si>
    <t xml:space="preserve">R DOUTOR WALTER BELLIAN 2230            </t>
  </si>
  <si>
    <t xml:space="preserve">DISTRITO INDUSTRIAL                                         </t>
  </si>
  <si>
    <t xml:space="preserve">JOAO PESSOA                   </t>
  </si>
  <si>
    <t>PB</t>
  </si>
  <si>
    <t>58.082-005</t>
  </si>
  <si>
    <t xml:space="preserve"> 19  3313-6039                                      </t>
  </si>
  <si>
    <t xml:space="preserve">426- -P      </t>
  </si>
  <si>
    <t>31.295.217/0001-08</t>
  </si>
  <si>
    <t xml:space="preserve">SABOR CASEIRO                           </t>
  </si>
  <si>
    <t xml:space="preserve">FRANCISCA P LIMA MERCEARIA              </t>
  </si>
  <si>
    <t xml:space="preserve">R RUA NAZARE VASCONCELOS 1744 SN        </t>
  </si>
  <si>
    <t xml:space="preserve"> 88 99671-6560                                      </t>
  </si>
  <si>
    <t>07.526.557/0012-62</t>
  </si>
  <si>
    <t xml:space="preserve">F. A. CLARAS                            </t>
  </si>
  <si>
    <t xml:space="preserve">AMBEV S.A. - F. SERGIPE                 </t>
  </si>
  <si>
    <t xml:space="preserve">ROD BR 101 SN                           </t>
  </si>
  <si>
    <t xml:space="preserve">INDUSTRIAL                                                  </t>
  </si>
  <si>
    <t xml:space="preserve">ESTANCIA                      </t>
  </si>
  <si>
    <t>SE</t>
  </si>
  <si>
    <t>49.200-000</t>
  </si>
  <si>
    <t xml:space="preserve">205- -P      </t>
  </si>
  <si>
    <t>07.526.557/0018-58</t>
  </si>
  <si>
    <t xml:space="preserve">F. TERESINA                             </t>
  </si>
  <si>
    <t xml:space="preserve">AMBEV S.A. - F. TERESINA                </t>
  </si>
  <si>
    <t xml:space="preserve">AV HENRY WALL DE CARVALHO 1 7220        </t>
  </si>
  <si>
    <t xml:space="preserve">TRIUNFO                                                     </t>
  </si>
  <si>
    <t xml:space="preserve">TERESINA                      </t>
  </si>
  <si>
    <t>PI</t>
  </si>
  <si>
    <t>64.022-050</t>
  </si>
  <si>
    <t xml:space="preserve">428- -P      </t>
  </si>
  <si>
    <t xml:space="preserve">CDD             </t>
  </si>
  <si>
    <t xml:space="preserve">    046.807.283-70</t>
  </si>
  <si>
    <t xml:space="preserve">REGULAR                            </t>
  </si>
  <si>
    <t xml:space="preserve">PALATARE BURGER                         </t>
  </si>
  <si>
    <t xml:space="preserve">RENATO NASCIMENTO                       </t>
  </si>
  <si>
    <t xml:space="preserve">TV Travessa tenente Muniz SN            </t>
  </si>
  <si>
    <t xml:space="preserve"> Em frente a praca Afonso               </t>
  </si>
  <si>
    <t xml:space="preserve"> 88 99739-1453                                      </t>
  </si>
  <si>
    <t xml:space="preserve">OUTROS          </t>
  </si>
  <si>
    <t>04.302.507/0002-31</t>
  </si>
  <si>
    <t xml:space="preserve">DK CONVENIENCIA LTDA                    </t>
  </si>
  <si>
    <t xml:space="preserve">DK CONVENIENCIA E DISTRIBUICAO          </t>
  </si>
  <si>
    <t xml:space="preserve">AC AV FRANCISCO XAVIER CHAVES SN        </t>
  </si>
  <si>
    <t xml:space="preserve"> 88 99989-2896                                      </t>
  </si>
  <si>
    <t>56.604.032/0001-50</t>
  </si>
  <si>
    <t xml:space="preserve">COMERCIAL DAS BEBID                     </t>
  </si>
  <si>
    <t xml:space="preserve">TALITA SAMIA CARDOSO                    </t>
  </si>
  <si>
    <t xml:space="preserve">AC RUA SETE DE SETEMBRO 104             </t>
  </si>
  <si>
    <t xml:space="preserve"> 88 99659-3954                                      </t>
  </si>
  <si>
    <t>32.768.826/0001-91</t>
  </si>
  <si>
    <t xml:space="preserve">ATACADAO DO VALE                        </t>
  </si>
  <si>
    <t xml:space="preserve">R RUA HUGO MARTIN 331                   </t>
  </si>
  <si>
    <t>00.062-580</t>
  </si>
  <si>
    <t xml:space="preserve"> 88 99814-5297                                      </t>
  </si>
  <si>
    <t xml:space="preserve">    059.196.893-23</t>
  </si>
  <si>
    <t xml:space="preserve">GELADaO E DISTRIBUID                    </t>
  </si>
  <si>
    <t xml:space="preserve">RAMILSON ITA                            </t>
  </si>
  <si>
    <t xml:space="preserve">R guabirabas SN                         </t>
  </si>
  <si>
    <t xml:space="preserve"> proximo a quadra de esporte            </t>
  </si>
  <si>
    <t xml:space="preserve"> 85 99852-0637                                      </t>
  </si>
  <si>
    <t>04.302.507/0001-50</t>
  </si>
  <si>
    <t xml:space="preserve">DK CONVENIENCIA JERI                    </t>
  </si>
  <si>
    <t xml:space="preserve">AC RUA ALAGOAS 1271                     </t>
  </si>
  <si>
    <t xml:space="preserve"> 88  9989-2896                                      </t>
  </si>
  <si>
    <t>04.619.811/0001-26</t>
  </si>
  <si>
    <t xml:space="preserve">MERCANTIL ZM SILVA                      </t>
  </si>
  <si>
    <t xml:space="preserve">MARIA SILVA DE ALBUQUERQUE ME           </t>
  </si>
  <si>
    <t xml:space="preserve">R ALMOFALA 458                          </t>
  </si>
  <si>
    <t xml:space="preserve"> 88 98232-3483                                      </t>
  </si>
  <si>
    <t xml:space="preserve">    050.238.883-80</t>
  </si>
  <si>
    <t xml:space="preserve">BAR O FININN                            </t>
  </si>
  <si>
    <t xml:space="preserve">ICARO DINIZ CRUZ                        </t>
  </si>
  <si>
    <t xml:space="preserve">R VILLA PREA 1111                       </t>
  </si>
  <si>
    <t xml:space="preserve"> PRACA                                  </t>
  </si>
  <si>
    <t xml:space="preserve"> 88  9841-8949                                      </t>
  </si>
  <si>
    <t xml:space="preserve">    182.953.548-09</t>
  </si>
  <si>
    <t xml:space="preserve">pit stop                                </t>
  </si>
  <si>
    <t xml:space="preserve">luciano nunes da silveira               </t>
  </si>
  <si>
    <t xml:space="preserve">R av manoel teixeira 158                </t>
  </si>
  <si>
    <t xml:space="preserve"> 88 97400-6663                                      </t>
  </si>
  <si>
    <t xml:space="preserve">ATACADISTA          </t>
  </si>
  <si>
    <t>55.262.039/0001-79</t>
  </si>
  <si>
    <t xml:space="preserve">CAPITALI ITAPIPOCA                      </t>
  </si>
  <si>
    <t xml:space="preserve">CAPITALI DIST. DE BEBIDAS DE ITAPIPOCA  </t>
  </si>
  <si>
    <t xml:space="preserve">AC BR 402 KM268                         </t>
  </si>
  <si>
    <t xml:space="preserve">GUARANY                                                     </t>
  </si>
  <si>
    <t xml:space="preserve">ITAPIPOCA                     </t>
  </si>
  <si>
    <t>62.501-000</t>
  </si>
  <si>
    <t xml:space="preserve"> 88 98722-0027                                      </t>
  </si>
  <si>
    <t>55.652.220/0001-91</t>
  </si>
  <si>
    <t xml:space="preserve">JERI HORTIMERCADO                       </t>
  </si>
  <si>
    <t xml:space="preserve">JERI HORTIMERCADO LTDA                  </t>
  </si>
  <si>
    <t xml:space="preserve">AC R VITAL VERISSIMO 0001               </t>
  </si>
  <si>
    <t>00.000-000</t>
  </si>
  <si>
    <t xml:space="preserve"> 88 98128-5787                                      </t>
  </si>
  <si>
    <t>20.278.105/0020-87</t>
  </si>
  <si>
    <t xml:space="preserve">DOLCISSIMO                              </t>
  </si>
  <si>
    <t xml:space="preserve">DOLCISSIMO LANCHONETE E CAFE LTDA       </t>
  </si>
  <si>
    <t xml:space="preserve">AC ROD CE 085 0001                      </t>
  </si>
  <si>
    <t xml:space="preserve"> AEROPORTO                              </t>
  </si>
  <si>
    <t xml:space="preserve">CAJUERINHO                                                  </t>
  </si>
  <si>
    <t xml:space="preserve"> 11  3849-6454                                      </t>
  </si>
  <si>
    <t>53.028.490/0001-09</t>
  </si>
  <si>
    <t xml:space="preserve">CARNAUBA WIND HOUSE                     </t>
  </si>
  <si>
    <t xml:space="preserve">R BEIRA MAR 1781                        </t>
  </si>
  <si>
    <t xml:space="preserve"> 11  4572-9119                                      </t>
  </si>
  <si>
    <t>19.671.349/0001-83</t>
  </si>
  <si>
    <t xml:space="preserve">HOTEL CASANA                            </t>
  </si>
  <si>
    <t xml:space="preserve">PREA EMPREENDIMENTOS IMOBILIARIOS LTDA  </t>
  </si>
  <si>
    <t xml:space="preserve">AC AV BEIRA MAR 222                     </t>
  </si>
  <si>
    <t xml:space="preserve"> 88 98111-1531                                      </t>
  </si>
  <si>
    <t xml:space="preserve">    718.577.391-16</t>
  </si>
  <si>
    <t xml:space="preserve">LE ROOFTOP PREA                         </t>
  </si>
  <si>
    <t xml:space="preserve">LEMIERRE                                </t>
  </si>
  <si>
    <t xml:space="preserve">R RUA SAO JOSE 111                      </t>
  </si>
  <si>
    <t xml:space="preserve"> AO LADO DO MESQUITA TEND               </t>
  </si>
  <si>
    <t xml:space="preserve"> 85 99668-3188                                      </t>
  </si>
  <si>
    <t xml:space="preserve">    095.874.243-01</t>
  </si>
  <si>
    <t xml:space="preserve">CANTINHO DA RITA                        </t>
  </si>
  <si>
    <t xml:space="preserve">DIEGO SILVA RUFINO                      </t>
  </si>
  <si>
    <t xml:space="preserve">R CORREGUINHO ITAPUA 00001              </t>
  </si>
  <si>
    <t xml:space="preserve"> JURITIANHA                             </t>
  </si>
  <si>
    <t xml:space="preserve">JURITIANIA                                                  </t>
  </si>
  <si>
    <t xml:space="preserve"> 88 99822-7018                                      </t>
  </si>
  <si>
    <t xml:space="preserve">    875.501.803-34</t>
  </si>
  <si>
    <t xml:space="preserve">NOVO MERCADINHO                         </t>
  </si>
  <si>
    <t xml:space="preserve">JOSE CLISMAR MARQUES DA SILVA           </t>
  </si>
  <si>
    <t xml:space="preserve">AC VILLA MOURA 0001                     </t>
  </si>
  <si>
    <t xml:space="preserve"> VIRA MOURA                             </t>
  </si>
  <si>
    <t xml:space="preserve">V PROGRESSO                                                 </t>
  </si>
  <si>
    <t xml:space="preserve"> 88 99906-1926                                      </t>
  </si>
  <si>
    <t>54.922.350/0001-34</t>
  </si>
  <si>
    <t xml:space="preserve">CASA MAR PREA                           </t>
  </si>
  <si>
    <t>CASA MAR EMPREENDIMENTOS TURISTICOS LTDA</t>
  </si>
  <si>
    <t xml:space="preserve">R BEIRA MAR 100                         </t>
  </si>
  <si>
    <t xml:space="preserve"> 88  9505-6098                                      </t>
  </si>
  <si>
    <t xml:space="preserve">    410.273.453-87</t>
  </si>
  <si>
    <t xml:space="preserve">DEPOSITO LUANSIN BEB                    </t>
  </si>
  <si>
    <t xml:space="preserve">ISLANE MARIA CORDEIRO ROCHA             </t>
  </si>
  <si>
    <t xml:space="preserve">AC JOAO BATISTA RIOS 2142               </t>
  </si>
  <si>
    <t xml:space="preserve"> 88 99655-8798                                      </t>
  </si>
  <si>
    <t xml:space="preserve">    152.498.048-02</t>
  </si>
  <si>
    <t xml:space="preserve">CHURRASCARIA TOCA DA                    </t>
  </si>
  <si>
    <t xml:space="preserve">Edmar Rocha                             </t>
  </si>
  <si>
    <t xml:space="preserve">AC CORREGO DA ROLA 00001                </t>
  </si>
  <si>
    <t xml:space="preserve"> CORREGO DA ROLA                        </t>
  </si>
  <si>
    <t xml:space="preserve"> 88 99920-8764                                      </t>
  </si>
  <si>
    <t xml:space="preserve">    888.232.883-04</t>
  </si>
  <si>
    <t xml:space="preserve">MERCADINHO ZE ROBERT                    </t>
  </si>
  <si>
    <t xml:space="preserve">JOSE ROBERTO                            </t>
  </si>
  <si>
    <t xml:space="preserve">R guarda 9999                           </t>
  </si>
  <si>
    <t xml:space="preserve"> prroximo ao campo Silveir              </t>
  </si>
  <si>
    <t xml:space="preserve"> 88 99755-0910                                      </t>
  </si>
  <si>
    <t xml:space="preserve">    009.980.733-50</t>
  </si>
  <si>
    <t xml:space="preserve">MERCEARIA MOURA                         </t>
  </si>
  <si>
    <t xml:space="preserve">FRANCISCO BATISTA                       </t>
  </si>
  <si>
    <t xml:space="preserve"> Rua Jose Maria Silveira 820            </t>
  </si>
  <si>
    <t xml:space="preserve"> sobrado esquina azul                   </t>
  </si>
  <si>
    <t xml:space="preserve"> 11 97963-6499                                      </t>
  </si>
  <si>
    <t>15.069.168/0004-73</t>
  </si>
  <si>
    <t xml:space="preserve">SUPER MERCADINHO ECO                    </t>
  </si>
  <si>
    <t xml:space="preserve">SUPER MERC ECONOMICO COM DE ALIM EIRELI </t>
  </si>
  <si>
    <t xml:space="preserve">AC AC AV MANOEL TEIXEIRA 135            </t>
  </si>
  <si>
    <t xml:space="preserve"> 88 98745-8697                                      </t>
  </si>
  <si>
    <t>57.494.524/0001-01</t>
  </si>
  <si>
    <t xml:space="preserve">RESTAURANTE SAPAO                       </t>
  </si>
  <si>
    <t xml:space="preserve">Hudson Aparecido Caravieri              </t>
  </si>
  <si>
    <t xml:space="preserve">AC RUA SAO FRANCISCO 0001               </t>
  </si>
  <si>
    <t xml:space="preserve"> JERICOACOARA                           </t>
  </si>
  <si>
    <t xml:space="preserve"> 88 98845-2227                                      </t>
  </si>
  <si>
    <t xml:space="preserve">    079.045.653-23</t>
  </si>
  <si>
    <t xml:space="preserve">ESQUINA DO SPA PET                      </t>
  </si>
  <si>
    <t xml:space="preserve">Matheus fonteles                        </t>
  </si>
  <si>
    <t xml:space="preserve">AC Benedito Menezes de Carvalho 0001    </t>
  </si>
  <si>
    <t xml:space="preserve"> 88 99785-4578                                      </t>
  </si>
  <si>
    <t xml:space="preserve">    019.699.803-46</t>
  </si>
  <si>
    <t xml:space="preserve">FRIGORIFICO                             </t>
  </si>
  <si>
    <t xml:space="preserve">CRISTIANE MARIA CARVALHO                </t>
  </si>
  <si>
    <t xml:space="preserve">AC AC CORREGO DO URUBU 2 0001           </t>
  </si>
  <si>
    <t xml:space="preserve"> JIJOCA                                 </t>
  </si>
  <si>
    <t xml:space="preserve"> 88 98801-0853                                      </t>
  </si>
  <si>
    <t xml:space="preserve">    606.237.313-20</t>
  </si>
  <si>
    <t xml:space="preserve">TIAGO DEP DE BEBIDAS                    </t>
  </si>
  <si>
    <t xml:space="preserve">TIAGO MENESES DA COSTA                  </t>
  </si>
  <si>
    <t xml:space="preserve">AC AC BOM JESUS 0001                    </t>
  </si>
  <si>
    <t xml:space="preserve"> ACARAU                                 </t>
  </si>
  <si>
    <t xml:space="preserve"> 88 99907-8230                                      </t>
  </si>
  <si>
    <t xml:space="preserve">    065.894.313-88</t>
  </si>
  <si>
    <t xml:space="preserve">PONTO BEER                              </t>
  </si>
  <si>
    <t xml:space="preserve">JESSICA ROCHA DO CARMO                  </t>
  </si>
  <si>
    <t xml:space="preserve">R Rua Jose xerez de Sousa 869           </t>
  </si>
  <si>
    <t xml:space="preserve"> prox ao Luiz Bento                     </t>
  </si>
  <si>
    <t xml:space="preserve"> 88 98178-5689                                      </t>
  </si>
  <si>
    <t>55.229.675/0001-07</t>
  </si>
  <si>
    <t xml:space="preserve">QUINTALZIN PREA                         </t>
  </si>
  <si>
    <t xml:space="preserve">PJ COSTA FERREIRA                       </t>
  </si>
  <si>
    <t xml:space="preserve">AC R SAUDE 044                          </t>
  </si>
  <si>
    <t xml:space="preserve"> PREA                                   </t>
  </si>
  <si>
    <t xml:space="preserve"> 88 98888-0188                                      </t>
  </si>
  <si>
    <t>23.802.061/0001-78</t>
  </si>
  <si>
    <t xml:space="preserve">COMERCIAL JD                            </t>
  </si>
  <si>
    <t xml:space="preserve">JEFFERSON HENRIQUE B DA SILVA           </t>
  </si>
  <si>
    <t xml:space="preserve">AC AC AV. MANOEL TEIXEIRA 0140          </t>
  </si>
  <si>
    <t xml:space="preserve"> 88 98152-7985                                      </t>
  </si>
  <si>
    <t xml:space="preserve">    033.006.183-63</t>
  </si>
  <si>
    <t xml:space="preserve">BAR DO MARCELO                          </t>
  </si>
  <si>
    <t xml:space="preserve">FRANCISCO MARCELO ANDRADES              </t>
  </si>
  <si>
    <t xml:space="preserve">AC AC TRIANGULO DE MARCO 0001           </t>
  </si>
  <si>
    <t xml:space="preserve"> TRIANGULO DE MARCO                     </t>
  </si>
  <si>
    <t xml:space="preserve">TRIANGULO                                                   </t>
  </si>
  <si>
    <t xml:space="preserve"> 88 99648-4198                                      </t>
  </si>
  <si>
    <t xml:space="preserve">    101.079.043-90</t>
  </si>
  <si>
    <t xml:space="preserve">LC BEBIDAS                              </t>
  </si>
  <si>
    <t xml:space="preserve">LUCAS DE SOUSA SILVA                    </t>
  </si>
  <si>
    <t xml:space="preserve">AC RUA 22 DE NOVEMBRO 1192              </t>
  </si>
  <si>
    <t xml:space="preserve"> COQUEIRINHO                            </t>
  </si>
  <si>
    <t xml:space="preserve"> 88 99917-2276                                      </t>
  </si>
  <si>
    <t xml:space="preserve">    934.195.462-20</t>
  </si>
  <si>
    <t xml:space="preserve">MERCANTIL FAGNER                        </t>
  </si>
  <si>
    <t xml:space="preserve">FAGNER SILVA DOS SANTOS                 </t>
  </si>
  <si>
    <t xml:space="preserve">AC CJ DOM ALDO PAGOTTO 0001             </t>
  </si>
  <si>
    <t xml:space="preserve"> CONJUNTOS                              </t>
  </si>
  <si>
    <t xml:space="preserve">VILA AEROPORTO                                              </t>
  </si>
  <si>
    <t xml:space="preserve"> 88 98125-7895                                      </t>
  </si>
  <si>
    <t xml:space="preserve">    946.385.513-00</t>
  </si>
  <si>
    <t xml:space="preserve">JP CONVENIENCIA                         </t>
  </si>
  <si>
    <t xml:space="preserve">Francisco Jose da Silva Castro          </t>
  </si>
  <si>
    <t xml:space="preserve">AC RUA IOLANDA 10100                    </t>
  </si>
  <si>
    <t xml:space="preserve"> 88 99668-9437                                      </t>
  </si>
  <si>
    <t xml:space="preserve">    036.060.303-39</t>
  </si>
  <si>
    <t xml:space="preserve">RESTAURANTE CASTANHO                    </t>
  </si>
  <si>
    <t xml:space="preserve">wirving Rodrigues Soares                </t>
  </si>
  <si>
    <t xml:space="preserve">AC RUA ISABELA 0006                     </t>
  </si>
  <si>
    <t xml:space="preserve"> 88 99793-5792                                      </t>
  </si>
  <si>
    <t xml:space="preserve">    194.924.758-98</t>
  </si>
  <si>
    <t xml:space="preserve">TIMBAU BAR                              </t>
  </si>
  <si>
    <t xml:space="preserve">Manoel denes pessoa                     </t>
  </si>
  <si>
    <t xml:space="preserve">AC RUA JOAO TOME 001                    </t>
  </si>
  <si>
    <t xml:space="preserve"> 88 98157-8956                                      </t>
  </si>
  <si>
    <t xml:space="preserve">    043.460.703-70</t>
  </si>
  <si>
    <t xml:space="preserve">CHICO DELIVERY                          </t>
  </si>
  <si>
    <t xml:space="preserve">Antonio Romario Carvalho Dos Santos     </t>
  </si>
  <si>
    <t xml:space="preserve">AC Edgar Sales Moura 1010               </t>
  </si>
  <si>
    <t xml:space="preserve"> 88 99965-8745                                      </t>
  </si>
  <si>
    <t xml:space="preserve">    975.556.303-20</t>
  </si>
  <si>
    <t xml:space="preserve">BAR DA SELMA                            </t>
  </si>
  <si>
    <t xml:space="preserve">Francisca selma Vasconcelos nascimento  </t>
  </si>
  <si>
    <t xml:space="preserve">AC VILLA PROGRESSO 0001                 </t>
  </si>
  <si>
    <t xml:space="preserve"> BECO DO TABULEIRINHO                   </t>
  </si>
  <si>
    <t xml:space="preserve"> 88 99835-1767                                      </t>
  </si>
  <si>
    <t xml:space="preserve">    011.463.183-24</t>
  </si>
  <si>
    <t xml:space="preserve">BAR BRILHO DA LUA                       </t>
  </si>
  <si>
    <t xml:space="preserve">ERISMAR RAIMUNDO DA SILVEIRA            </t>
  </si>
  <si>
    <t xml:space="preserve">AC POCO DOCE 1 0001                     </t>
  </si>
  <si>
    <t xml:space="preserve"> PX AO COLEGIO                          </t>
  </si>
  <si>
    <t xml:space="preserve"> 88 99958-5864                                      </t>
  </si>
  <si>
    <t>41.222.557/0001-54</t>
  </si>
  <si>
    <t xml:space="preserve">HOTEL YEMANJA                           </t>
  </si>
  <si>
    <t xml:space="preserve">RONAN EMPREENDIMENTOS TURISTICOS LTDA   </t>
  </si>
  <si>
    <t xml:space="preserve">AC AV BEIRA MAR 0001                    </t>
  </si>
  <si>
    <t xml:space="preserve"> 88 99654-1010                                      </t>
  </si>
  <si>
    <t>52.392.910/0001-60</t>
  </si>
  <si>
    <t xml:space="preserve">CHICAO MARC E PADARI                    </t>
  </si>
  <si>
    <t xml:space="preserve">CHICAO MERCADINHO E PADARIA LTDA        </t>
  </si>
  <si>
    <t xml:space="preserve">AC PREA 0001                            </t>
  </si>
  <si>
    <t xml:space="preserve"> VZ EMPORIO 33                          </t>
  </si>
  <si>
    <t xml:space="preserve"> 88 99847-5878                                      </t>
  </si>
  <si>
    <t>22.014.273/0002-09</t>
  </si>
  <si>
    <t xml:space="preserve">AH EVENTOS                              </t>
  </si>
  <si>
    <t xml:space="preserve">AH EVENTOS E PRODUCOES LTDA             </t>
  </si>
  <si>
    <t xml:space="preserve">AV AV FRANCISCO XAVIER CHAVES 00001     </t>
  </si>
  <si>
    <t xml:space="preserve"> 11  2122-2487                                      </t>
  </si>
  <si>
    <t xml:space="preserve">    633.492.713-24</t>
  </si>
  <si>
    <t xml:space="preserve">CHINA ESPETO                            </t>
  </si>
  <si>
    <t xml:space="preserve">JOAO VICTOR DO NASCIMENTO BRANDAO       </t>
  </si>
  <si>
    <t xml:space="preserve">AC RUA TEN JOSE MUNIZ 734               </t>
  </si>
  <si>
    <t xml:space="preserve"> 85 99656-9973                                      </t>
  </si>
  <si>
    <t>42.714.002/0001-92</t>
  </si>
  <si>
    <t xml:space="preserve">KOMAKI                                  </t>
  </si>
  <si>
    <t xml:space="preserve">BK PRAIA BAR E RESTAURANTE LTDA         </t>
  </si>
  <si>
    <t xml:space="preserve">AC BARRINHA DE BAIXO 112                </t>
  </si>
  <si>
    <t xml:space="preserve"> 88 98142-1999                                      </t>
  </si>
  <si>
    <t>28.114.513/0001-42</t>
  </si>
  <si>
    <t xml:space="preserve">VILLA YBITU                             </t>
  </si>
  <si>
    <t xml:space="preserve">L SCAVAZIN SIQUEIRA LTDA                </t>
  </si>
  <si>
    <t xml:space="preserve">PR PRAIA DA BARRA SN                    </t>
  </si>
  <si>
    <t xml:space="preserve"> ULTIMA POUSADA                         </t>
  </si>
  <si>
    <t xml:space="preserve">ILHA DO GUAJIRU                                             </t>
  </si>
  <si>
    <t xml:space="preserve"> 85 99686-0022                                      </t>
  </si>
  <si>
    <t>47.335.244/0001-99</t>
  </si>
  <si>
    <t xml:space="preserve">RESTAURANTE BAMBU BL                    </t>
  </si>
  <si>
    <t xml:space="preserve">BB RESTAURANTE LTDA                     </t>
  </si>
  <si>
    <t xml:space="preserve">AC RUA DA PRAIA 0001                    </t>
  </si>
  <si>
    <t xml:space="preserve"> PRAIA DA BARRA                         </t>
  </si>
  <si>
    <t xml:space="preserve"> 88 99749-5364                                      </t>
  </si>
  <si>
    <t>33.341.911/0001-31</t>
  </si>
  <si>
    <t xml:space="preserve">DOMAR BRASIL                            </t>
  </si>
  <si>
    <t xml:space="preserve">ILHA DO GUAJIRU                         </t>
  </si>
  <si>
    <t xml:space="preserve">AC AC ILHA DO GUAJIRU 0001              </t>
  </si>
  <si>
    <t xml:space="preserve"> 85 99114-6459                                      </t>
  </si>
  <si>
    <t xml:space="preserve">    048.898.713-06</t>
  </si>
  <si>
    <t xml:space="preserve">ESPETINHO LEANDRO                       </t>
  </si>
  <si>
    <t xml:space="preserve">FRANCISCO AURICELIO LIMA LIMA           </t>
  </si>
  <si>
    <t xml:space="preserve">AC AC CAJUEIRINHO 1 0001                </t>
  </si>
  <si>
    <t xml:space="preserve"> 88 99924-1117                                      </t>
  </si>
  <si>
    <t xml:space="preserve">    961.046.433-53</t>
  </si>
  <si>
    <t xml:space="preserve">BAR DA ELISANGELA                       </t>
  </si>
  <si>
    <t xml:space="preserve">ELISANGELA SOUSA                        </t>
  </si>
  <si>
    <t xml:space="preserve">R Acarau aranau SN                      </t>
  </si>
  <si>
    <t xml:space="preserve"> 88 99988-6168                                      </t>
  </si>
  <si>
    <t>57.512.474/0001-30</t>
  </si>
  <si>
    <t xml:space="preserve">PONTO DAS FRUTAS                        </t>
  </si>
  <si>
    <t xml:space="preserve">PONTO DAS FRUTAS DISTRIBUIDOR DE        </t>
  </si>
  <si>
    <t xml:space="preserve">AC JOAO JAIME FERREIRA GOMES 0605       </t>
  </si>
  <si>
    <t xml:space="preserve"> 88 99799-0368                                      </t>
  </si>
  <si>
    <t xml:space="preserve">    004.284.373-11</t>
  </si>
  <si>
    <t xml:space="preserve">DJ JACKSOM                              </t>
  </si>
  <si>
    <t xml:space="preserve">Jackson Cesar do Nascimento             </t>
  </si>
  <si>
    <t xml:space="preserve">AC Travessa Vicente de Paulo 1431       </t>
  </si>
  <si>
    <t xml:space="preserve"> 88 99681-8248                                      </t>
  </si>
  <si>
    <t>43.022.530/0001-43</t>
  </si>
  <si>
    <t xml:space="preserve">TOPS PUB                                </t>
  </si>
  <si>
    <t xml:space="preserve">T M Ramos Galdino                       </t>
  </si>
  <si>
    <t xml:space="preserve">AC CPO em frente ao parque Nacion0001   </t>
  </si>
  <si>
    <t xml:space="preserve"> 88 99956-2214                                      </t>
  </si>
  <si>
    <t xml:space="preserve">    751.080.463-91</t>
  </si>
  <si>
    <t xml:space="preserve">REAL E MAIS ACAI                        </t>
  </si>
  <si>
    <t xml:space="preserve">JOSE CLAUDEMIR ARAUJO                   </t>
  </si>
  <si>
    <t xml:space="preserve">AC LAGOA DO CANEMA, BR 403 ,CE-170001   </t>
  </si>
  <si>
    <t xml:space="preserve">L DO CANEMA                                                 </t>
  </si>
  <si>
    <t xml:space="preserve"> 88 99695-8319                                      </t>
  </si>
  <si>
    <t xml:space="preserve">    077.576.273-38</t>
  </si>
  <si>
    <t xml:space="preserve">PONTO DAS BEBIDAS                       </t>
  </si>
  <si>
    <t xml:space="preserve">BRUNO COELHO                            </t>
  </si>
  <si>
    <t xml:space="preserve">R Rua Cesario Pereira 2082              </t>
  </si>
  <si>
    <t xml:space="preserve"> Proximo Igreja Agape                   </t>
  </si>
  <si>
    <t xml:space="preserve"> 88 99791-0724                                      </t>
  </si>
  <si>
    <t>45.456.179/0001-24</t>
  </si>
  <si>
    <t xml:space="preserve">SABOR eSALSA                            </t>
  </si>
  <si>
    <t xml:space="preserve">JOSE MAIRTON MOURA JUNIOR OLIVEIRA      </t>
  </si>
  <si>
    <t xml:space="preserve">R R CEL TEIXEIRA PINTO 1000             </t>
  </si>
  <si>
    <t xml:space="preserve"> PRACA DA IGREJA MATRIZ                 </t>
  </si>
  <si>
    <t xml:space="preserve"> 88 99708-4241                                      </t>
  </si>
  <si>
    <t xml:space="preserve">    068.224.833-90</t>
  </si>
  <si>
    <t xml:space="preserve">WALLISON SANTOS                         </t>
  </si>
  <si>
    <t xml:space="preserve">AV Avenida Joao Batista Rios 684        </t>
  </si>
  <si>
    <t xml:space="preserve"> ponto comercial                        </t>
  </si>
  <si>
    <t xml:space="preserve"> 88 99480-2334                                      </t>
  </si>
  <si>
    <t>43.116.779/0002-07</t>
  </si>
  <si>
    <t xml:space="preserve">RAINHA SUPERMERCADO                     </t>
  </si>
  <si>
    <t>J. V. M. COMERCIO DE ALIMENTOS E BEBIDAS</t>
  </si>
  <si>
    <t xml:space="preserve">AC AV MANOEL TEIXEIRA 0141              </t>
  </si>
  <si>
    <t xml:space="preserve"> 88 99437-2176                                      </t>
  </si>
  <si>
    <t>58.235.776/0001-70</t>
  </si>
  <si>
    <t xml:space="preserve">DISTRIBUIDORA AGUA A                    </t>
  </si>
  <si>
    <t xml:space="preserve">ADEGA MIL GRAU LTDA                     </t>
  </si>
  <si>
    <t xml:space="preserve">AV AV FRANCISCO XAVIER CHAVES 1388      </t>
  </si>
  <si>
    <t xml:space="preserve"> EM FRENTE A LANCHONETE XI              </t>
  </si>
  <si>
    <t xml:space="preserve"> 88 99684-2689                                      </t>
  </si>
  <si>
    <t>28.867.300/0001-91</t>
  </si>
  <si>
    <t xml:space="preserve">RARO LIFE                               </t>
  </si>
  <si>
    <t xml:space="preserve">NA BEIRA DO MAR POUSADA LTDA ME         </t>
  </si>
  <si>
    <t xml:space="preserve">AC AC AVENIDA BEIRA MAR 0001            </t>
  </si>
  <si>
    <t xml:space="preserve">PRAIA DO PREA                                               </t>
  </si>
  <si>
    <t xml:space="preserve"> 31 98911-5414                                      </t>
  </si>
  <si>
    <t>51.934.240/0001-02</t>
  </si>
  <si>
    <t xml:space="preserve">ISRAEL DRINKS                           </t>
  </si>
  <si>
    <t xml:space="preserve">ISRAEL MOTA ROCHA                       </t>
  </si>
  <si>
    <t xml:space="preserve">R RUA PRINCIPAL SN                      </t>
  </si>
  <si>
    <t xml:space="preserve"> PROx AO REST BOM DE BOCA               </t>
  </si>
  <si>
    <t xml:space="preserve"> 88 99780-3831                                      </t>
  </si>
  <si>
    <t xml:space="preserve">BARRACA/CARRINHO    </t>
  </si>
  <si>
    <t>52.974.627/0001-47</t>
  </si>
  <si>
    <t xml:space="preserve">S5 - PADARIA DA VILA                    </t>
  </si>
  <si>
    <t xml:space="preserve">VAGNER DE SOUSA CRUZ                    </t>
  </si>
  <si>
    <t xml:space="preserve">R RUA MANUEL MARQUES SN                 </t>
  </si>
  <si>
    <t xml:space="preserve"> PROXIM AO PAULISTA LANCHE              </t>
  </si>
  <si>
    <t xml:space="preserve"> 88 98845-3108                                      </t>
  </si>
  <si>
    <t xml:space="preserve">    737.377.203-04</t>
  </si>
  <si>
    <t xml:space="preserve">CANABRAVADRINKS                         </t>
  </si>
  <si>
    <t xml:space="preserve">MARIA LOURDES PESSOA ARAUJO             </t>
  </si>
  <si>
    <t xml:space="preserve">LGA LAGOA DE FORA 19                    </t>
  </si>
  <si>
    <t xml:space="preserve"> PROX A CASA DO SALVADOR                </t>
  </si>
  <si>
    <t xml:space="preserve"> 88 99701-5323                                      </t>
  </si>
  <si>
    <t>51.166.829/0001-08</t>
  </si>
  <si>
    <t xml:space="preserve">ATIVA                              </t>
  </si>
  <si>
    <t xml:space="preserve">Hostel Mandala                          </t>
  </si>
  <si>
    <t>51.166.829 JESUS MAXIMILIANO ROCHE SANCH</t>
  </si>
  <si>
    <t xml:space="preserve"> Hostel Mandala, Jericoaco              </t>
  </si>
  <si>
    <t xml:space="preserve"> 43 90000-0000                                      </t>
  </si>
  <si>
    <t xml:space="preserve">    564.321.949-20</t>
  </si>
  <si>
    <t xml:space="preserve">CHALE CONVENIENCIA                      </t>
  </si>
  <si>
    <t xml:space="preserve">JOSE ALTIVIR MARQUES NATEL              </t>
  </si>
  <si>
    <t xml:space="preserve"> AO LADO SANDE OPEN HALL                </t>
  </si>
  <si>
    <t xml:space="preserve"> 47 99752-0273                                      </t>
  </si>
  <si>
    <t xml:space="preserve">    066.519.063-80</t>
  </si>
  <si>
    <t xml:space="preserve">DEPOSITO SALES                          </t>
  </si>
  <si>
    <t xml:space="preserve">FRANCISCO JORDENIO SALES                </t>
  </si>
  <si>
    <t xml:space="preserve">R RUA CECI NEVES 827                    </t>
  </si>
  <si>
    <t xml:space="preserve"> PROX IGREJA SAGRADO CORAC              </t>
  </si>
  <si>
    <t xml:space="preserve"> 88 99631-1494                                      </t>
  </si>
  <si>
    <t xml:space="preserve">    099.295.833-43</t>
  </si>
  <si>
    <t xml:space="preserve">CONVENIENCIA NATIVOS                    </t>
  </si>
  <si>
    <t xml:space="preserve">CARLOS AUGUSTO VASCONCELOS DA SILVA     </t>
  </si>
  <si>
    <t xml:space="preserve">R RUA SaO FRANCISCO SN                  </t>
  </si>
  <si>
    <t xml:space="preserve"> PROX AO FEIJaO DE CORDA                </t>
  </si>
  <si>
    <t xml:space="preserve"> 88 99946-6547                                      </t>
  </si>
  <si>
    <t>31.410.803/0001-48</t>
  </si>
  <si>
    <t xml:space="preserve">TAVERNA DO PAULO                        </t>
  </si>
  <si>
    <t xml:space="preserve">MARIA DA CONCEICAO MORAIS ME            </t>
  </si>
  <si>
    <t xml:space="preserve">AV AV PADRE ANTONIO TOMAZ, MORADA1000   </t>
  </si>
  <si>
    <t xml:space="preserve"> PROX AO POSTO DE GASOLINA              </t>
  </si>
  <si>
    <t xml:space="preserve"> 88 99901-2920                                      </t>
  </si>
  <si>
    <t xml:space="preserve">    280.160.218-32</t>
  </si>
  <si>
    <t xml:space="preserve">CONVENIENCIA LUA DE                     </t>
  </si>
  <si>
    <t xml:space="preserve">MICHELLE MIRANDA                        </t>
  </si>
  <si>
    <t xml:space="preserve">R Rua Sao Francisco SN                  </t>
  </si>
  <si>
    <t xml:space="preserve"> Pousada lua de jeri                    </t>
  </si>
  <si>
    <t xml:space="preserve"> 88 98177-6133                                      </t>
  </si>
  <si>
    <t xml:space="preserve">    083.346.473-60</t>
  </si>
  <si>
    <t xml:space="preserve">RESTAURA BAR                            </t>
  </si>
  <si>
    <t xml:space="preserve">WASHINGTON CARVALHO                     </t>
  </si>
  <si>
    <t xml:space="preserve">AV AVENIDA JERICOACOARA 88              </t>
  </si>
  <si>
    <t xml:space="preserve"> EM FRENTE AO GELADaO DO C              </t>
  </si>
  <si>
    <t xml:space="preserve"> 88 99952-6159                                      </t>
  </si>
  <si>
    <t>50.724.662/0001-82</t>
  </si>
  <si>
    <t xml:space="preserve">ALOHA PALACE                            </t>
  </si>
  <si>
    <t xml:space="preserve">ALOHA PALACE HOTEL LTDA                 </t>
  </si>
  <si>
    <t xml:space="preserve">AV AVENIDA JERICOACOARA 486             </t>
  </si>
  <si>
    <t xml:space="preserve"> DEPOIS DO ATACADaO                     </t>
  </si>
  <si>
    <t xml:space="preserve"> 88 98859-7848                                      </t>
  </si>
  <si>
    <t xml:space="preserve">    619.228.963-81</t>
  </si>
  <si>
    <t xml:space="preserve">PRIME BAR                               </t>
  </si>
  <si>
    <t xml:space="preserve">DT MACAJUBA 601                         </t>
  </si>
  <si>
    <t xml:space="preserve"> AO LADO DA IGREJA CATOLIC              </t>
  </si>
  <si>
    <t xml:space="preserve"> 88 99650-2421                                      </t>
  </si>
  <si>
    <t xml:space="preserve">    004.962.723-65</t>
  </si>
  <si>
    <t xml:space="preserve">BAR DA KATIA                            </t>
  </si>
  <si>
    <t xml:space="preserve">MARIA CATARINA DE SOUSA                 </t>
  </si>
  <si>
    <t xml:space="preserve">R BARRINHA DE CIMA SN                   </t>
  </si>
  <si>
    <t xml:space="preserve"> VARANDA BAR E PETISCARIA               </t>
  </si>
  <si>
    <t xml:space="preserve"> 88 98149-8205                                      </t>
  </si>
  <si>
    <t xml:space="preserve">    008.062.843-58</t>
  </si>
  <si>
    <t xml:space="preserve">LANCHONETE VIA PREA                     </t>
  </si>
  <si>
    <t xml:space="preserve">SERGIO FERREIRA BRANDAO                 </t>
  </si>
  <si>
    <t xml:space="preserve">R RUA FRANCISCO XAVIER CHAVES SN        </t>
  </si>
  <si>
    <t xml:space="preserve"> PROXIMO A FRUTARIA JMG                 </t>
  </si>
  <si>
    <t xml:space="preserve"> 88 99443-7582                                      </t>
  </si>
  <si>
    <t xml:space="preserve">    794.268.403-20</t>
  </si>
  <si>
    <t xml:space="preserve">GELADAO403                              </t>
  </si>
  <si>
    <t xml:space="preserve">CHAGASMARQUES                           </t>
  </si>
  <si>
    <t xml:space="preserve">AC BR 403 BOM JESUS 127                 </t>
  </si>
  <si>
    <t xml:space="preserve"> ANTIGO CLUBE DA PIZZA                  </t>
  </si>
  <si>
    <t xml:space="preserve"> 88 99994-0205                                      </t>
  </si>
  <si>
    <t>54.242.282/0001-62</t>
  </si>
  <si>
    <t xml:space="preserve">TRE CRAZY                               </t>
  </si>
  <si>
    <t xml:space="preserve">FS PIZZARIAL TDA                        </t>
  </si>
  <si>
    <t xml:space="preserve"> PROX AO TERRACO VILA GALI              </t>
  </si>
  <si>
    <t xml:space="preserve"> 85 99600-5523                                      </t>
  </si>
  <si>
    <t>55.584.021/0001-93</t>
  </si>
  <si>
    <t xml:space="preserve">MERCADINHO SAO VICEN                    </t>
  </si>
  <si>
    <t xml:space="preserve">ANA RITA DE FREITAS MUNIZ               </t>
  </si>
  <si>
    <t xml:space="preserve">R JOSE GIFFONI DA SILVEIRA 1800         </t>
  </si>
  <si>
    <t xml:space="preserve"> 88 99739-9418                                      </t>
  </si>
  <si>
    <t>52.853.305/0001-40</t>
  </si>
  <si>
    <t xml:space="preserve">RESTAURANTE IN-ON                       </t>
  </si>
  <si>
    <t xml:space="preserve">IN-ON RESTAURANTE LTDA                  </t>
  </si>
  <si>
    <t xml:space="preserve"> PROXIMO AO SABOR DA PRACA              </t>
  </si>
  <si>
    <t xml:space="preserve"> 11 95618-0809                                      </t>
  </si>
  <si>
    <t xml:space="preserve">    101.172.683-13</t>
  </si>
  <si>
    <t xml:space="preserve">BAR DAS APAIXONADAS                     </t>
  </si>
  <si>
    <t xml:space="preserve">MARIA SAMANTA MENESES CARNEIRO          </t>
  </si>
  <si>
    <t xml:space="preserve">LOT LOTEAMENTO MORADA DOS VENTOS 43     </t>
  </si>
  <si>
    <t xml:space="preserve"> ENTRADA A DIREITA DO PORT              </t>
  </si>
  <si>
    <t xml:space="preserve"> 88 99835-5289                                      </t>
  </si>
  <si>
    <t xml:space="preserve">    028.831.993-10</t>
  </si>
  <si>
    <t xml:space="preserve">DEPOSITO BOIM                           </t>
  </si>
  <si>
    <t xml:space="preserve">FRANCISCO VALDILENO VASCONCELOS         </t>
  </si>
  <si>
    <t xml:space="preserve">R RUA JOSE LEORNE RIOS 1048             </t>
  </si>
  <si>
    <t xml:space="preserve"> LAVA JATO DO BOIM                      </t>
  </si>
  <si>
    <t xml:space="preserve"> 88 99991-4922                                      </t>
  </si>
  <si>
    <t xml:space="preserve">    501.204.923-34</t>
  </si>
  <si>
    <t xml:space="preserve">GELADAO E DISTRIBUID                    </t>
  </si>
  <si>
    <t xml:space="preserve">JOSE JOVELIANO                          </t>
  </si>
  <si>
    <t xml:space="preserve"> geladao                                </t>
  </si>
  <si>
    <t>13.595.198/0001-45</t>
  </si>
  <si>
    <t xml:space="preserve">S5 - LAG AZUL 2                         </t>
  </si>
  <si>
    <t>POUSADA E RESTAURANTE LAGOA AZUL LTDA ME</t>
  </si>
  <si>
    <t xml:space="preserve">AC AC SITIO CORREGO DOS TEIXEIRAS0001   </t>
  </si>
  <si>
    <t xml:space="preserve"> 88 98129-8758                                      </t>
  </si>
  <si>
    <t>40.148.729/0001-24</t>
  </si>
  <si>
    <t xml:space="preserve">BOTECO SUL JERI                         </t>
  </si>
  <si>
    <t xml:space="preserve">3P EMPREENDIMENTOS ALIMENTICIOS LTDA    </t>
  </si>
  <si>
    <t xml:space="preserve"> PROXIMO AO SAL DA PRAIA                </t>
  </si>
  <si>
    <t xml:space="preserve"> 85 99127-2789                                      </t>
  </si>
  <si>
    <t xml:space="preserve">    068.366.093-40</t>
  </si>
  <si>
    <t xml:space="preserve">DECK BAR DO HERNANDE                    </t>
  </si>
  <si>
    <t xml:space="preserve">HERNANDES JUNIOR VASCONCELOS            </t>
  </si>
  <si>
    <t xml:space="preserve">DT CORREGO DAS VARAS 1000               </t>
  </si>
  <si>
    <t xml:space="preserve"> PROX RECANTO DAS PALMEIRA              </t>
  </si>
  <si>
    <t xml:space="preserve"> 88 99977-5183                                      </t>
  </si>
  <si>
    <t xml:space="preserve">    462.851.538-76</t>
  </si>
  <si>
    <t xml:space="preserve">PIZZARIA FAMILIA                        </t>
  </si>
  <si>
    <t xml:space="preserve">ADRIANO SILVA DOS SANTOS                </t>
  </si>
  <si>
    <t xml:space="preserve">R RUA MARIA DAS GRACAS DE CARVALSN      </t>
  </si>
  <si>
    <t xml:space="preserve"> ATRAS DO BIG PREA                      </t>
  </si>
  <si>
    <t xml:space="preserve"> 88 98112-2718                                      </t>
  </si>
  <si>
    <t>33.323.328/0001-06</t>
  </si>
  <si>
    <t xml:space="preserve">SILENE VARIEDADES                       </t>
  </si>
  <si>
    <t xml:space="preserve">MARIA ROCILENE ARAUJO FONTELES          </t>
  </si>
  <si>
    <t xml:space="preserve">VL VILA CORREGO DAS VARAS SN            </t>
  </si>
  <si>
    <t xml:space="preserve"> PROX MERC RAIMUNDO FONTEL              </t>
  </si>
  <si>
    <t xml:space="preserve"> 88 99949-4325                                      </t>
  </si>
  <si>
    <t xml:space="preserve">LJ. DEPARTAMENTO    </t>
  </si>
  <si>
    <t>53.197.438/0001-78</t>
  </si>
  <si>
    <t xml:space="preserve">PAN LANC ESTACAO CAF                    </t>
  </si>
  <si>
    <t>PANIFICADORA E LANCHONETE ESTACAO CAFE L</t>
  </si>
  <si>
    <t xml:space="preserve">R R DEPUTADO AMADEU GOMES 140           </t>
  </si>
  <si>
    <t xml:space="preserve"> PROXIMO DA RODOVIARIA                  </t>
  </si>
  <si>
    <t xml:space="preserve"> 88 99824-6393                                      </t>
  </si>
  <si>
    <t>36.857.280/0001-04</t>
  </si>
  <si>
    <t xml:space="preserve">SELECaO DAS FRUTAS 2                    </t>
  </si>
  <si>
    <t xml:space="preserve">MERCANTIL SELECAO DAS FRUTAS            </t>
  </si>
  <si>
    <t xml:space="preserve">R RUA CAPITAO ANTONIO RAIMUNDO 504      </t>
  </si>
  <si>
    <t xml:space="preserve"> ANTIGO PORTO SEGURO                    </t>
  </si>
  <si>
    <t xml:space="preserve"> 88 99865-0895                                      </t>
  </si>
  <si>
    <t xml:space="preserve">    013.055.343-36</t>
  </si>
  <si>
    <t xml:space="preserve">DEP SEU ORLANDO                         </t>
  </si>
  <si>
    <t xml:space="preserve">JOSE ORLANDO MARTINS                    </t>
  </si>
  <si>
    <t xml:space="preserve">R RUA 22 DE MAIO 413                    </t>
  </si>
  <si>
    <t xml:space="preserve"> PROX A ASSOCIACaO                      </t>
  </si>
  <si>
    <t xml:space="preserve"> 88 99957-4694                                      </t>
  </si>
  <si>
    <t>58.474.653/0001-92</t>
  </si>
  <si>
    <t xml:space="preserve">RECANTO DAS PALMEIRA                    </t>
  </si>
  <si>
    <t xml:space="preserve">RECANTO DAS PALMEIRAS LTDA              </t>
  </si>
  <si>
    <t xml:space="preserve">CRG CORREGO DAS VARAS 1000              </t>
  </si>
  <si>
    <t xml:space="preserve"> NA ENTRADA DOS TUCUNZEIRO              </t>
  </si>
  <si>
    <t xml:space="preserve">CORRE. DAS VARAS                                            </t>
  </si>
  <si>
    <t xml:space="preserve"> 88 99985-3547                                      </t>
  </si>
  <si>
    <t xml:space="preserve">    052.567.923-50</t>
  </si>
  <si>
    <t xml:space="preserve">MERCADINHO LETICIA                      </t>
  </si>
  <si>
    <t xml:space="preserve">TIAGO MONTEIRO                          </t>
  </si>
  <si>
    <t xml:space="preserve">R Sao Vicente itarema SN                </t>
  </si>
  <si>
    <t xml:space="preserve"> Borracharia Vianei                     </t>
  </si>
  <si>
    <t xml:space="preserve"> 88 99306-4084                                      </t>
  </si>
  <si>
    <t>58.477.139/0001-00</t>
  </si>
  <si>
    <t xml:space="preserve">REST. NATIVAS JERI                      </t>
  </si>
  <si>
    <t xml:space="preserve">ANDERSON FERREIRA DE SOUSA              </t>
  </si>
  <si>
    <t xml:space="preserve"> PROXIMO AO CAP. TOMAZ                  </t>
  </si>
  <si>
    <t xml:space="preserve"> 88 99764-1397                                      </t>
  </si>
  <si>
    <t xml:space="preserve">    057.548.813-12</t>
  </si>
  <si>
    <t xml:space="preserve">VIP CONVENIENCIA                        </t>
  </si>
  <si>
    <t xml:space="preserve">CHAGAS VASCONCELOS                      </t>
  </si>
  <si>
    <t xml:space="preserve"> Rua Padre Odecio SN                    </t>
  </si>
  <si>
    <t xml:space="preserve"> posto jn                               </t>
  </si>
  <si>
    <t xml:space="preserve"> 88 92154-9294                                      </t>
  </si>
  <si>
    <t xml:space="preserve">    610.244.743-30</t>
  </si>
  <si>
    <t xml:space="preserve">COMERCIAL KMM                           </t>
  </si>
  <si>
    <t xml:space="preserve">JOSE KEVE SOUSA                         </t>
  </si>
  <si>
    <t xml:space="preserve">R Riacho 624                            </t>
  </si>
  <si>
    <t xml:space="preserve"> 88 99729-5236                                      </t>
  </si>
  <si>
    <t xml:space="preserve">    068.267.883-06</t>
  </si>
  <si>
    <t xml:space="preserve">TT DISTRIBUIDORA                        </t>
  </si>
  <si>
    <t xml:space="preserve">EVERTON TAVARES                         </t>
  </si>
  <si>
    <t xml:space="preserve">R Rua 6 de Abril 399                    </t>
  </si>
  <si>
    <t>53.278.432/0001-25</t>
  </si>
  <si>
    <t>53.278.432 FRANCISCO NATANAEL DOS SANTOS</t>
  </si>
  <si>
    <t xml:space="preserve">R Guabiraba SN                          </t>
  </si>
  <si>
    <t xml:space="preserve"> Guabiraba club                         </t>
  </si>
  <si>
    <t xml:space="preserve">    114.000.893-52</t>
  </si>
  <si>
    <t xml:space="preserve">MORADAS ATACADAO                        </t>
  </si>
  <si>
    <t xml:space="preserve">R Rua das Camelia , 215 215             </t>
  </si>
  <si>
    <t xml:space="preserve"> Loteamento morada dos ventos           </t>
  </si>
  <si>
    <t xml:space="preserve">    067.276.993-05</t>
  </si>
  <si>
    <t xml:space="preserve">JN DISTRIBUIDORA                        </t>
  </si>
  <si>
    <t xml:space="preserve">R Rua Tancredo Neves SN                 </t>
  </si>
  <si>
    <t xml:space="preserve"> Deposito                               </t>
  </si>
  <si>
    <t xml:space="preserve">    080.356.293-44</t>
  </si>
  <si>
    <t xml:space="preserve">BEBIDAS JA                              </t>
  </si>
  <si>
    <t xml:space="preserve">LUIS FILHO                              </t>
  </si>
  <si>
    <t xml:space="preserve">R Rua Jose Capistrano SN                </t>
  </si>
  <si>
    <t xml:space="preserve"> 88 98165-5145                                      </t>
  </si>
  <si>
    <t xml:space="preserve">SEM PONTO COMERCIAL </t>
  </si>
  <si>
    <t>27.713.178/0005-60</t>
  </si>
  <si>
    <t xml:space="preserve">HURRICANE JERI                          </t>
  </si>
  <si>
    <t xml:space="preserve">MANDI COLLECTION LTDA                   </t>
  </si>
  <si>
    <t xml:space="preserve">R R BERTOLDO ALVES DE LIMA 222          </t>
  </si>
  <si>
    <t xml:space="preserve"> 88 99764-5681                                      </t>
  </si>
  <si>
    <t xml:space="preserve">    607.756.903-84</t>
  </si>
  <si>
    <t xml:space="preserve">BAR E MERCEARIA CEG                     </t>
  </si>
  <si>
    <t xml:space="preserve">R BAR DO PEDaO SN                       </t>
  </si>
  <si>
    <t xml:space="preserve"> DEPOIS DA OFICINA DO ADRI              </t>
  </si>
  <si>
    <t xml:space="preserve"> 11 95209-2018                                      </t>
  </si>
  <si>
    <t xml:space="preserve">    934.972.882-68</t>
  </si>
  <si>
    <t xml:space="preserve">EBT DISTRIBUIDORA                       </t>
  </si>
  <si>
    <t xml:space="preserve">EBTDISTRIBUIDORA                        </t>
  </si>
  <si>
    <t xml:space="preserve">R RUA DA CAMELIAS 115                   </t>
  </si>
  <si>
    <t xml:space="preserve"> IGREJA AGAPE                           </t>
  </si>
  <si>
    <t xml:space="preserve">    663.471.143-72</t>
  </si>
  <si>
    <t xml:space="preserve">PIZZARIA BAMBU                          </t>
  </si>
  <si>
    <t xml:space="preserve">JOEL CARLOS SILVEIRA                    </t>
  </si>
  <si>
    <t xml:space="preserve">AV AV CENTRAL SN                        </t>
  </si>
  <si>
    <t xml:space="preserve"> AO LADO DO DALVAN CONVENI              </t>
  </si>
  <si>
    <t xml:space="preserve"> 11 98255-1576                                      </t>
  </si>
  <si>
    <t xml:space="preserve">    036.124.443-60</t>
  </si>
  <si>
    <t xml:space="preserve">MERCADINHO CEARA                        </t>
  </si>
  <si>
    <t xml:space="preserve">CLAUDIA VANILENE DE SOUSA               </t>
  </si>
  <si>
    <t xml:space="preserve">R RUA PROF NANINHA 326                  </t>
  </si>
  <si>
    <t xml:space="preserve"> HOSPITAL                               </t>
  </si>
  <si>
    <t xml:space="preserve"> 88 99747-9265                                      </t>
  </si>
  <si>
    <t>49.367.411/0001-09</t>
  </si>
  <si>
    <t>49.367.411 LUIS CARLOS DE OLIVEIRA FILHO</t>
  </si>
  <si>
    <t xml:space="preserve">R BR-403 SN                             </t>
  </si>
  <si>
    <t xml:space="preserve"> Loteamento vila verde                  </t>
  </si>
  <si>
    <t>55.927.036/0001-07</t>
  </si>
  <si>
    <t xml:space="preserve">REST CORAL NEGRO                        </t>
  </si>
  <si>
    <t xml:space="preserve">RESTAURANTE CORAL NEGRO LTDA            </t>
  </si>
  <si>
    <t xml:space="preserve"> PROXIMO AO REST TAMARINDO              </t>
  </si>
  <si>
    <t xml:space="preserve"> 21 98373-0047                                      </t>
  </si>
  <si>
    <t>RESTAURANTE INDUSTRI</t>
  </si>
  <si>
    <t xml:space="preserve">    116.555.883-11</t>
  </si>
  <si>
    <t xml:space="preserve">BAR DA NOVINHA                          </t>
  </si>
  <si>
    <t xml:space="preserve">JOSE LUCAS DA SILVA SANTOS              </t>
  </si>
  <si>
    <t xml:space="preserve">CRG CORREGO DOS NUNES 3                 </t>
  </si>
  <si>
    <t xml:space="preserve"> PROXIMO AO CAJU COCO                   </t>
  </si>
  <si>
    <t xml:space="preserve"> 88 98188-9416                                      </t>
  </si>
  <si>
    <t>57.281.674/0001-29</t>
  </si>
  <si>
    <t xml:space="preserve">MERCANTIL FERREIRA                      </t>
  </si>
  <si>
    <t xml:space="preserve">MARCIA GLEY SILVA FERREIRA              </t>
  </si>
  <si>
    <t xml:space="preserve">ROD BR 403 14                           </t>
  </si>
  <si>
    <t xml:space="preserve"> EM FRENTE POSTO SaO JOSE               </t>
  </si>
  <si>
    <t xml:space="preserve"> 88 99837-5492                                      </t>
  </si>
  <si>
    <t xml:space="preserve">    041.325.203-58</t>
  </si>
  <si>
    <t xml:space="preserve">COMERCIO DO GARCES                      </t>
  </si>
  <si>
    <t xml:space="preserve">BRUNA MARIA ROCHA MOTA                  </t>
  </si>
  <si>
    <t xml:space="preserve">R SAO GERALDO 46                        </t>
  </si>
  <si>
    <t xml:space="preserve"> 88 99901-1970                                      </t>
  </si>
  <si>
    <t xml:space="preserve">    064.619.903-05</t>
  </si>
  <si>
    <t xml:space="preserve">MEU BAR                                 </t>
  </si>
  <si>
    <t xml:space="preserve">MARIA EDIMARA FONTELES                  </t>
  </si>
  <si>
    <t xml:space="preserve">R RUA NICOLAU PEIXOTO 1407              </t>
  </si>
  <si>
    <t xml:space="preserve"> BAR DA EDIMARA                         </t>
  </si>
  <si>
    <t xml:space="preserve"> 88 99933-6578                                      </t>
  </si>
  <si>
    <t>57.623.303/0001-88</t>
  </si>
  <si>
    <t xml:space="preserve">ATACADAO DO NORDESTE                    </t>
  </si>
  <si>
    <t xml:space="preserve">BR COMERCIAL DE ALIMENTOS LTDA          </t>
  </si>
  <si>
    <t xml:space="preserve">R RUA HUMAITA 1000                      </t>
  </si>
  <si>
    <t xml:space="preserve"> PROXIMO A IGREJA MATRIX                </t>
  </si>
  <si>
    <t xml:space="preserve"> 88 99693-1600                                      </t>
  </si>
  <si>
    <t xml:space="preserve">    025.943.193-17</t>
  </si>
  <si>
    <t xml:space="preserve">CENTRAL BAR                             </t>
  </si>
  <si>
    <t xml:space="preserve">MARIA EULA DOS SANTOS RAMOS             </t>
  </si>
  <si>
    <t xml:space="preserve">R RUA DOR NEWTON TEOFILO GONCALV518     </t>
  </si>
  <si>
    <t xml:space="preserve"> PRX DEPOSITO DO FERNANDO               </t>
  </si>
  <si>
    <t xml:space="preserve"> 88 99303-1935                                      </t>
  </si>
  <si>
    <t xml:space="preserve">    070.811.399-06</t>
  </si>
  <si>
    <t xml:space="preserve">Buteco dos amigos                       </t>
  </si>
  <si>
    <t xml:space="preserve">FABRICIO MARCA                          </t>
  </si>
  <si>
    <t xml:space="preserve"> 11 97776-1842                                      </t>
  </si>
  <si>
    <t>58.738.797/0001-09</t>
  </si>
  <si>
    <t xml:space="preserve">DANILO SILVA                            </t>
  </si>
  <si>
    <t xml:space="preserve">58.738.797 DANILO DA SILVA MOURA        </t>
  </si>
  <si>
    <t xml:space="preserve">R Rua Sao Francisco 10                  </t>
  </si>
  <si>
    <t xml:space="preserve"> 88 99316-9685                                      </t>
  </si>
  <si>
    <t xml:space="preserve">    655.133.473-34</t>
  </si>
  <si>
    <t xml:space="preserve">MERCADINHO KELSO                        </t>
  </si>
  <si>
    <t xml:space="preserve">KELSO SANTOS CHAVES                     </t>
  </si>
  <si>
    <t xml:space="preserve">R RUA DOS POETAS 160                    </t>
  </si>
  <si>
    <t xml:space="preserve"> PROX A IGREJA MATRIZ                   </t>
  </si>
  <si>
    <t xml:space="preserve"> 88 99647-3659                                      </t>
  </si>
  <si>
    <t xml:space="preserve">    319.293.463-87</t>
  </si>
  <si>
    <t xml:space="preserve">MERCADINHO SAO JORGE                    </t>
  </si>
  <si>
    <t xml:space="preserve">MARIA SOCORRO BRANDAO NASCIMENTO        </t>
  </si>
  <si>
    <t xml:space="preserve">LGA LAGOA VELHA CRUZ SN                 </t>
  </si>
  <si>
    <t xml:space="preserve"> PROX AO ARAPUCAS BAR                   </t>
  </si>
  <si>
    <t xml:space="preserve">CEDRO                                                       </t>
  </si>
  <si>
    <t xml:space="preserve"> 11 95148-6101                                      </t>
  </si>
  <si>
    <t xml:space="preserve">    741.207.783-04</t>
  </si>
  <si>
    <t xml:space="preserve">NOVA OPCaO                              </t>
  </si>
  <si>
    <t xml:space="preserve">jose Nilson pinto                       </t>
  </si>
  <si>
    <t xml:space="preserve">AV AV. Valdi rios SN                    </t>
  </si>
  <si>
    <t xml:space="preserve"> prox ao loteamento novo i              </t>
  </si>
  <si>
    <t xml:space="preserve"> 88 99234-1902                                      </t>
  </si>
  <si>
    <t>28.569.882/0001-20</t>
  </si>
  <si>
    <t xml:space="preserve">Sophia Fest                             </t>
  </si>
  <si>
    <t xml:space="preserve">DIEGO JOSE MUNIZ                        </t>
  </si>
  <si>
    <t xml:space="preserve"> Rua coronel Teixeira pinto 324         </t>
  </si>
  <si>
    <t xml:space="preserve"> comercial                              </t>
  </si>
  <si>
    <t xml:space="preserve"> 88 99668-7978                                      </t>
  </si>
  <si>
    <t xml:space="preserve">    391.718.478-80</t>
  </si>
  <si>
    <t xml:space="preserve">COMPRE BEM ARANAU                       </t>
  </si>
  <si>
    <t xml:space="preserve">JANAVILA SUZANE ARAUJO VASCONCELOS      </t>
  </si>
  <si>
    <t xml:space="preserve">R RUA MIGUEL ARCANJO DE MENEZES SN      </t>
  </si>
  <si>
    <t xml:space="preserve"> PROX AO MERCADINHO FREITA              </t>
  </si>
  <si>
    <t xml:space="preserve"> 88 98213-1616                                      </t>
  </si>
  <si>
    <t xml:space="preserve">    022.306.353-36</t>
  </si>
  <si>
    <t xml:space="preserve">BAR DO COMPO CRUZEIR                    </t>
  </si>
  <si>
    <t xml:space="preserve">EVAIR DE SOUZA ARAUJO                   </t>
  </si>
  <si>
    <t xml:space="preserve">CRG COREEGO DOS ANAS SN                 </t>
  </si>
  <si>
    <t xml:space="preserve"> PROX AO SV MERCANTIL                   </t>
  </si>
  <si>
    <t xml:space="preserve"> 88 99982-4515                                      </t>
  </si>
  <si>
    <t>59.056.746/0001-60</t>
  </si>
  <si>
    <t xml:space="preserve">REST RENGAI                             </t>
  </si>
  <si>
    <t xml:space="preserve">RENGAI RESTAURANTE LTDA                 </t>
  </si>
  <si>
    <t xml:space="preserve"> EM SNSFRENTE REST DA LU                </t>
  </si>
  <si>
    <t xml:space="preserve"> 88 98214-5827                                      </t>
  </si>
  <si>
    <t>58.304.006/0001-32</t>
  </si>
  <si>
    <t xml:space="preserve">ROSA HONORIO DO CARM                    </t>
  </si>
  <si>
    <t xml:space="preserve">58.304.006 ROSA HONORIO DO CARMO        </t>
  </si>
  <si>
    <t xml:space="preserve">R rua Jose Aniceto sales 300            </t>
  </si>
  <si>
    <t xml:space="preserve"> 88 99955-6388                                      </t>
  </si>
  <si>
    <t xml:space="preserve">    074.588.333-86</t>
  </si>
  <si>
    <t xml:space="preserve">DEP LUCAS BEBIDAS                       </t>
  </si>
  <si>
    <t xml:space="preserve">JOSE GUTEMBERG DIAS                     </t>
  </si>
  <si>
    <t xml:space="preserve">R Antonio Minervino Vasconcelos 565     </t>
  </si>
  <si>
    <t xml:space="preserve"> Dep do Lucas                           </t>
  </si>
  <si>
    <t xml:space="preserve"> 88 99842-2392                                      </t>
  </si>
  <si>
    <t>40.389.898/0001-56</t>
  </si>
  <si>
    <t xml:space="preserve">TERRAL GASTRONOMIA                      </t>
  </si>
  <si>
    <t xml:space="preserve">TERRAL GASTRONOMIA LTDA                 </t>
  </si>
  <si>
    <t xml:space="preserve">AV Avenida Beira Mar SN                 </t>
  </si>
  <si>
    <t xml:space="preserve"> PROXIMO AO REST.KOMAKI                 </t>
  </si>
  <si>
    <t xml:space="preserve"> 11 95779-8367                                      </t>
  </si>
  <si>
    <t xml:space="preserve">    560.349.588-06</t>
  </si>
  <si>
    <t xml:space="preserve">ADEGA JUAN                              </t>
  </si>
  <si>
    <t xml:space="preserve">R RUA ALAGOAS 1294                      </t>
  </si>
  <si>
    <t xml:space="preserve"> PRIMEIRA A DIREITA DEPOIS              </t>
  </si>
  <si>
    <t xml:space="preserve"> 88 99767-1962                                      </t>
  </si>
  <si>
    <t xml:space="preserve">    071.481.253-67</t>
  </si>
  <si>
    <t xml:space="preserve">MERCADINHO ADEMAR CA                    </t>
  </si>
  <si>
    <t xml:space="preserve">ANTONIO LINDEMBERG SILVA ROCHA          </t>
  </si>
  <si>
    <t xml:space="preserve">R RUA PEDRO LOURENCO ROCHA SN           </t>
  </si>
  <si>
    <t xml:space="preserve"> DEPOIS DO MINI BOM PRECO               </t>
  </si>
  <si>
    <t xml:space="preserve"> 88 99768-6064                                      </t>
  </si>
  <si>
    <t xml:space="preserve">    950.943.853-72</t>
  </si>
  <si>
    <t xml:space="preserve">LANCHE AQUI ARANAU                      </t>
  </si>
  <si>
    <t xml:space="preserve">MARIA ROSARIA DA COSTA VASCONCELOS      </t>
  </si>
  <si>
    <t xml:space="preserve">SIT LAGOA DO MATO SN                    </t>
  </si>
  <si>
    <t>52.580-000</t>
  </si>
  <si>
    <t xml:space="preserve"> 88 98132-4158                                      </t>
  </si>
  <si>
    <t xml:space="preserve">    982.185.303-04</t>
  </si>
  <si>
    <t xml:space="preserve">PIZZARIA FRENDS CARR                    </t>
  </si>
  <si>
    <t xml:space="preserve">ELIVELTO JOSE DA SILVEIRA               </t>
  </si>
  <si>
    <t xml:space="preserve">DT CARAPATEIRAS , DEPOIS DA PRACA87     </t>
  </si>
  <si>
    <t xml:space="preserve"> DO LADO MERC ERICA                     </t>
  </si>
  <si>
    <t xml:space="preserve"> 11 98583-9014                                      </t>
  </si>
  <si>
    <t>55.943.040/0001-69</t>
  </si>
  <si>
    <t xml:space="preserve">MERCADINHO ROCHA ARA                    </t>
  </si>
  <si>
    <t xml:space="preserve">AURENILA VASCONCELOS ROCHA              </t>
  </si>
  <si>
    <t xml:space="preserve"> FRENTE O MERC DO SASICO                </t>
  </si>
  <si>
    <t xml:space="preserve">    070.796.963-80</t>
  </si>
  <si>
    <t xml:space="preserve">DEPOSITO DO LEANDRO                     </t>
  </si>
  <si>
    <t xml:space="preserve">LEANDRO LAZARO DE VASCONCELLOS          </t>
  </si>
  <si>
    <t xml:space="preserve"> DO LADO DA MEECEARIA JR                </t>
  </si>
  <si>
    <t xml:space="preserve"> 88 99993-2818                                      </t>
  </si>
  <si>
    <t>54.184.855/0001-49</t>
  </si>
  <si>
    <t xml:space="preserve">BENCA VO JERICOACOAR                    </t>
  </si>
  <si>
    <t xml:space="preserve">WAGNER DA SILVA LEMOS                   </t>
  </si>
  <si>
    <t xml:space="preserve">AC RUA DO FORRO 333                     </t>
  </si>
  <si>
    <t xml:space="preserve"> DE FRENTE AO REST NATIVAS              </t>
  </si>
  <si>
    <t xml:space="preserve"> 91 98292-6341                                      </t>
  </si>
  <si>
    <t xml:space="preserve">    054.403.013-30</t>
  </si>
  <si>
    <t xml:space="preserve">CASA DO SALGADO                         </t>
  </si>
  <si>
    <t xml:space="preserve">GILDENE BRANDAO DE SOUSA                </t>
  </si>
  <si>
    <t xml:space="preserve">AC ZONA RURAL 22                        </t>
  </si>
  <si>
    <t xml:space="preserve"> VIZINHO A ESCOLA                       </t>
  </si>
  <si>
    <t xml:space="preserve"> 88 99747-1428                                      </t>
  </si>
  <si>
    <t xml:space="preserve">    065.947.543-00</t>
  </si>
  <si>
    <t xml:space="preserve">BARRACA POR DO SOL                      </t>
  </si>
  <si>
    <t xml:space="preserve">MANOEL RODRIGO SILVA ROCHA              </t>
  </si>
  <si>
    <t xml:space="preserve">PR PRAIA DE ARPOEIRAS SN                </t>
  </si>
  <si>
    <t xml:space="preserve">ARPOEIRA                                                    </t>
  </si>
  <si>
    <t xml:space="preserve"> 88 99946-1805                                      </t>
  </si>
  <si>
    <t>34.897.301/0001-81</t>
  </si>
  <si>
    <t xml:space="preserve">HELANO BEBIDAS                          </t>
  </si>
  <si>
    <t xml:space="preserve">ANA BEATRIZ DE OLIVEIRA                 </t>
  </si>
  <si>
    <t xml:space="preserve">R RUA 1 DE JANEIRO SN                   </t>
  </si>
  <si>
    <t xml:space="preserve"> PROXIMO AO EMPORIO DA PIC              </t>
  </si>
  <si>
    <t xml:space="preserve"> 88 99784-6220                                      </t>
  </si>
  <si>
    <t xml:space="preserve">    089.427.213-62</t>
  </si>
  <si>
    <t xml:space="preserve">SUPERMERCADO GARGOE                     </t>
  </si>
  <si>
    <t xml:space="preserve">FRANCISCA EDVALDA DA SILVA OLIVEIRA     </t>
  </si>
  <si>
    <t xml:space="preserve">AV AVENINDA MANOEL SALES 1240           </t>
  </si>
  <si>
    <t xml:space="preserve"> AO LADO DA MERC QUEIROZ                </t>
  </si>
  <si>
    <t xml:space="preserve"> 88 99798-4450                                      </t>
  </si>
  <si>
    <t>40.986.514/0001-82</t>
  </si>
  <si>
    <t xml:space="preserve">JS MERCADINHO                           </t>
  </si>
  <si>
    <t xml:space="preserve">JACINTO DR ALMEIDA DO NASCIMENTO        </t>
  </si>
  <si>
    <t xml:space="preserve">R RUA ANTONIO INACIO 416                </t>
  </si>
  <si>
    <t xml:space="preserve"> AO LADO DA SOL CONFECCaO               </t>
  </si>
  <si>
    <t xml:space="preserve"> 88 98827-6996                                      </t>
  </si>
  <si>
    <t>15.088.374/0001-88</t>
  </si>
  <si>
    <t xml:space="preserve">PONTO DA TAPIOCA                        </t>
  </si>
  <si>
    <t xml:space="preserve">ANA CRISTINA OLIVEIRA                   </t>
  </si>
  <si>
    <t xml:space="preserve">AV AV JOAO BATISTA 2404                 </t>
  </si>
  <si>
    <t xml:space="preserve"> PERTO DO ANTIGO CORREIOS               </t>
  </si>
  <si>
    <t xml:space="preserve"> 85 98781-7636                                      </t>
  </si>
  <si>
    <t>59.202.688/0001-35</t>
  </si>
  <si>
    <t xml:space="preserve">CERVEJA E CIA MARCO                     </t>
  </si>
  <si>
    <t xml:space="preserve">WAGNER TEOFILO SILVEIRA                 </t>
  </si>
  <si>
    <t xml:space="preserve">R RUA MONSENHOR WALDIR 335              </t>
  </si>
  <si>
    <t xml:space="preserve"> PROXIMO A BASE DA VOO TEL              </t>
  </si>
  <si>
    <t xml:space="preserve"> 88 99918-0877                                      </t>
  </si>
  <si>
    <t xml:space="preserve">    362.641.318-73</t>
  </si>
  <si>
    <t xml:space="preserve">PRACINHA BAR E LANCH                    </t>
  </si>
  <si>
    <t xml:space="preserve">LEANDRO RODRIGUES MARTINS               </t>
  </si>
  <si>
    <t xml:space="preserve">AV AV QUATORZE DE JANEIRO 20            </t>
  </si>
  <si>
    <t xml:space="preserve"> VIZINHO AO HOTEL CEARENSE              </t>
  </si>
  <si>
    <t xml:space="preserve"> 11 96665-0691                                      </t>
  </si>
  <si>
    <t>58.774.054/0001-94</t>
  </si>
  <si>
    <t xml:space="preserve">JL PIZZAS E LANCHES                     </t>
  </si>
  <si>
    <t xml:space="preserve">JOSE OSMANIR DE SOUSA                   </t>
  </si>
  <si>
    <t xml:space="preserve">LGA LAGOA GRANDE BR 403 KM 15 1000      </t>
  </si>
  <si>
    <t xml:space="preserve"> VIZINHO AO MERCADINHO SAL              </t>
  </si>
  <si>
    <t xml:space="preserve"> 88 99669-7732                                      </t>
  </si>
  <si>
    <t>59.141.752/0001-15</t>
  </si>
  <si>
    <t xml:space="preserve">GARNELE                                 </t>
  </si>
  <si>
    <t xml:space="preserve">ADR RESTAURANTE LTDA                    </t>
  </si>
  <si>
    <t xml:space="preserve">AV AV AFONSO FONTES 525                 </t>
  </si>
  <si>
    <t xml:space="preserve"> POR TRAS DO POSTO BR                   </t>
  </si>
  <si>
    <t xml:space="preserve"> 88 99957-7314                                      </t>
  </si>
  <si>
    <t>48.146.200/0001-83</t>
  </si>
  <si>
    <t xml:space="preserve">SALUSTIANA BEACH                        </t>
  </si>
  <si>
    <t xml:space="preserve">SALUSTIANA BEACH LTDA                   </t>
  </si>
  <si>
    <t xml:space="preserve">R BAIXIO II SN                          </t>
  </si>
  <si>
    <t xml:space="preserve"> IGREJA DE SANTO EXPEDITO               </t>
  </si>
  <si>
    <t xml:space="preserve"> 11 98373-6064                                      </t>
  </si>
  <si>
    <t xml:space="preserve">    608.984.863-86</t>
  </si>
  <si>
    <t xml:space="preserve">ESQUINA DA FRUTA                        </t>
  </si>
  <si>
    <t xml:space="preserve">FRANCISCO NUNES PINHEIRO                </t>
  </si>
  <si>
    <t xml:space="preserve">AV AV MANOEL TEIXEIRA 139               </t>
  </si>
  <si>
    <t xml:space="preserve"> PROXIMO AO SUPER ECONOMIC              </t>
  </si>
  <si>
    <t xml:space="preserve"> 88 98119-1184                                      </t>
  </si>
  <si>
    <t xml:space="preserve">    744.825.133-34</t>
  </si>
  <si>
    <t xml:space="preserve">PARAISO VERaO                           </t>
  </si>
  <si>
    <t xml:space="preserve">JOSE ADAHILTON FONTELES                 </t>
  </si>
  <si>
    <t xml:space="preserve">AV AV LAGOA DO PARAISO SN               </t>
  </si>
  <si>
    <t xml:space="preserve"> AO LADO DA FLANBAIAO                   </t>
  </si>
  <si>
    <t xml:space="preserve"> 85 99851-5888                                      </t>
  </si>
  <si>
    <t>46.893.530/0001-07</t>
  </si>
  <si>
    <t xml:space="preserve">SOUSA REPRESENTACOES                    </t>
  </si>
  <si>
    <t xml:space="preserve">JOAO FIRME DE SOUSA NETO                </t>
  </si>
  <si>
    <t xml:space="preserve"> Travessa Mongubas 113                  </t>
  </si>
  <si>
    <t xml:space="preserve"> 88 99705-4825                                      </t>
  </si>
  <si>
    <t>35.277.586/0001-10</t>
  </si>
  <si>
    <t xml:space="preserve">MERC 2 IRMAOS                           </t>
  </si>
  <si>
    <t>MERCANTIL 2 IRMAOS COMERCIO DE ALIMENTOS</t>
  </si>
  <si>
    <t xml:space="preserve">AC AV TOMAS SABINO DE SOUSA 0001        </t>
  </si>
  <si>
    <t xml:space="preserve"> AVENIDA PRINCIPAL                      </t>
  </si>
  <si>
    <t xml:space="preserve"> 88 98152-4107                                      </t>
  </si>
  <si>
    <t xml:space="preserve">    071.334.443-13</t>
  </si>
  <si>
    <t xml:space="preserve">S5 - PLAZAR                             </t>
  </si>
  <si>
    <t xml:space="preserve">ANA PAULA SANTOS                        </t>
  </si>
  <si>
    <t xml:space="preserve">R Rua Francisco Ewerton da SilvaSN      </t>
  </si>
  <si>
    <t xml:space="preserve"> antigo bar do sobral                   </t>
  </si>
  <si>
    <t xml:space="preserve"> 88 99609-7969                                      </t>
  </si>
  <si>
    <t xml:space="preserve">    007.283.253-30</t>
  </si>
  <si>
    <t xml:space="preserve">DEP ANTONIO RAIMUNDO                    </t>
  </si>
  <si>
    <t xml:space="preserve">ANTONIO RAIMUNDO DOS SANTOS             </t>
  </si>
  <si>
    <t xml:space="preserve"> CURRAL VELHO                           </t>
  </si>
  <si>
    <t xml:space="preserve"> 88 99726-2006                                      </t>
  </si>
  <si>
    <t xml:space="preserve">    806.128.813-34</t>
  </si>
  <si>
    <t xml:space="preserve">MERC SAO LUIS                           </t>
  </si>
  <si>
    <t xml:space="preserve">FRANCISCO DAS CHAGAS ARAUJO DA SILVEIRA </t>
  </si>
  <si>
    <t xml:space="preserve">R AROEIRA CRUZ , ZONA RURAL SN          </t>
  </si>
  <si>
    <t xml:space="preserve"> PROX AO MERC ADAO                      </t>
  </si>
  <si>
    <t xml:space="preserve"> 88 98193-7912                                      </t>
  </si>
  <si>
    <t>34.407.111/0001-39</t>
  </si>
  <si>
    <t xml:space="preserve">CONV PARADA OBRIGATO                    </t>
  </si>
  <si>
    <t xml:space="preserve">FRANCISCO VITOR DE SOUSA TEIXEIRA       </t>
  </si>
  <si>
    <t xml:space="preserve">BC BECO DO GUAXELO SN                   </t>
  </si>
  <si>
    <t xml:space="preserve"> AO LADO DA CHILLI BEANS                </t>
  </si>
  <si>
    <t xml:space="preserve"> 88 99802-5644                                      </t>
  </si>
  <si>
    <t xml:space="preserve">    741.195.243-53</t>
  </si>
  <si>
    <t xml:space="preserve">MERCADINHO JN                           </t>
  </si>
  <si>
    <t xml:space="preserve">JOSE MARIA DA ROCHA FILHO               </t>
  </si>
  <si>
    <t xml:space="preserve">R RUA JOSE MONTEIRO DE MELO 236         </t>
  </si>
  <si>
    <t xml:space="preserve"> PROXIMO A PANIFICADORA FE              </t>
  </si>
  <si>
    <t xml:space="preserve"> 88 99993-4346                                      </t>
  </si>
  <si>
    <t>44.855.371/0001-20</t>
  </si>
  <si>
    <t xml:space="preserve">RANCHO CAICARA                          </t>
  </si>
  <si>
    <t xml:space="preserve">RANCHO NORDESTINO                       </t>
  </si>
  <si>
    <t xml:space="preserve">AV AV CAVALO BRAVO SN                   </t>
  </si>
  <si>
    <t xml:space="preserve"> PROXIMO ENTRADA DO LAGUN               </t>
  </si>
  <si>
    <t xml:space="preserve"> 88 98170-1172                                      </t>
  </si>
  <si>
    <t xml:space="preserve">    502.058.033-34</t>
  </si>
  <si>
    <t xml:space="preserve">REST TAPILANCHES                        </t>
  </si>
  <si>
    <t xml:space="preserve">JOSE VALDER DE ARAUJO                   </t>
  </si>
  <si>
    <t xml:space="preserve">R RUA LAGOA DO PARAISO sn               </t>
  </si>
  <si>
    <t xml:space="preserve"> EM FRENTE O CHEZ LORAN                 </t>
  </si>
  <si>
    <t xml:space="preserve">LAGOA DO PARAISO                                            </t>
  </si>
  <si>
    <t xml:space="preserve"> 88 99607-2023                                      </t>
  </si>
  <si>
    <t>14.539.253/0001-42</t>
  </si>
  <si>
    <t xml:space="preserve">CHURRASC NOVA JIJOCA                    </t>
  </si>
  <si>
    <t xml:space="preserve">L V SAMPAIO                             </t>
  </si>
  <si>
    <t xml:space="preserve">ROD CE 085 164                          </t>
  </si>
  <si>
    <t xml:space="preserve"> AO LADO DO POSTO FREITAS               </t>
  </si>
  <si>
    <t xml:space="preserve"> 88 99707-4030                                      </t>
  </si>
  <si>
    <t xml:space="preserve">    336.562.742-15</t>
  </si>
  <si>
    <t xml:space="preserve">ISABEL FILOMENA                         </t>
  </si>
  <si>
    <t xml:space="preserve">IZABEL FILOMENA DE VASCONCELOS MORAES   </t>
  </si>
  <si>
    <t xml:space="preserve">R CE O85 SN                             </t>
  </si>
  <si>
    <t xml:space="preserve"> TREVO DE JIJOCA                        </t>
  </si>
  <si>
    <t xml:space="preserve"> 92 98196-7217                                      </t>
  </si>
  <si>
    <t xml:space="preserve">    067.858.303-03</t>
  </si>
  <si>
    <t xml:space="preserve">MERCADINHO BOM PRECO                    </t>
  </si>
  <si>
    <t xml:space="preserve">RITA ROGELMA PEREIRA                    </t>
  </si>
  <si>
    <t xml:space="preserve">AV AV HERRERA GIMENEZ SN                </t>
  </si>
  <si>
    <t xml:space="preserve"> PROXIMO AO ZE DO JONAS E               </t>
  </si>
  <si>
    <t xml:space="preserve">VILA DO AEROPORTO                                           </t>
  </si>
  <si>
    <t xml:space="preserve"> 88 98862-2624                                      </t>
  </si>
  <si>
    <t>59.443.196/0001-31</t>
  </si>
  <si>
    <t xml:space="preserve">CHE BRAZIL                              </t>
  </si>
  <si>
    <t xml:space="preserve">CHE BRAZIL LTDA                         </t>
  </si>
  <si>
    <t xml:space="preserve">AV AV BEIRA MAR PREA sn                 </t>
  </si>
  <si>
    <t xml:space="preserve"> AO LADO DO CABARE DU VENT              </t>
  </si>
  <si>
    <t xml:space="preserve"> 88 98122-6187                                      </t>
  </si>
  <si>
    <t>48.449.936/0002-01</t>
  </si>
  <si>
    <t xml:space="preserve">NOMAD LAGOA                             </t>
  </si>
  <si>
    <t xml:space="preserve">R RUA LAGOA DO PARAISO SN               </t>
  </si>
  <si>
    <t xml:space="preserve"> ESTRADA DA LAGOA                       </t>
  </si>
  <si>
    <t xml:space="preserve">    021.219.503-46</t>
  </si>
  <si>
    <t xml:space="preserve">MAJU REFEICOES                          </t>
  </si>
  <si>
    <t xml:space="preserve">VILMAR PEREIRA DE SOUSA                 </t>
  </si>
  <si>
    <t xml:space="preserve">AC AV VOLUNTARIOS DA PATRIA 2520        </t>
  </si>
  <si>
    <t xml:space="preserve"> PROXIMO A CS DISTRIBUIDOR              </t>
  </si>
  <si>
    <t xml:space="preserve"> 88 98896-2247                                      </t>
  </si>
  <si>
    <t>53.959.178/0001-20</t>
  </si>
  <si>
    <t xml:space="preserve">MERC NENEM O MESTRE                     </t>
  </si>
  <si>
    <t>RESTAURANTE POPULAR O MESTRE DO ESPETINH</t>
  </si>
  <si>
    <t xml:space="preserve">CJ Conjunto lamparina SN                </t>
  </si>
  <si>
    <t xml:space="preserve"> posto Freitas da entrada               </t>
  </si>
  <si>
    <t xml:space="preserve"> 88 99966-0575                                      </t>
  </si>
  <si>
    <t>58.731.314/0001-44</t>
  </si>
  <si>
    <t xml:space="preserve">MERCADINHO TODO DIA                     </t>
  </si>
  <si>
    <t xml:space="preserve">LUCAS SEGIO ALVES                       </t>
  </si>
  <si>
    <t xml:space="preserve">DT AROEIRA SN                           </t>
  </si>
  <si>
    <t xml:space="preserve"> ANTIGO MERCADO DO TANTICO              </t>
  </si>
  <si>
    <t xml:space="preserve"> 88 99681-7784                                      </t>
  </si>
  <si>
    <t xml:space="preserve">    060.478.023-03</t>
  </si>
  <si>
    <t xml:space="preserve">DEPOSITO O CARLINHOS                    </t>
  </si>
  <si>
    <t xml:space="preserve">ANTONIO CARLOS DA CUNHA                 </t>
  </si>
  <si>
    <t xml:space="preserve">CRG CORREGO DA FORQUILHA 2 SN           </t>
  </si>
  <si>
    <t xml:space="preserve"> EM FRENTE AO BAR DO PRIMO              </t>
  </si>
  <si>
    <t xml:space="preserve"> 88 99326-4520                                      </t>
  </si>
  <si>
    <t xml:space="preserve">    044.926.053-47</t>
  </si>
  <si>
    <t xml:space="preserve">MERCEARIA BARREIRAS                     </t>
  </si>
  <si>
    <t xml:space="preserve">GEISA MARIA DO NASCIMENTO               </t>
  </si>
  <si>
    <t xml:space="preserve">R BARREIRAS SN                          </t>
  </si>
  <si>
    <t xml:space="preserve"> ENTRADA DO SaO JOSE                    </t>
  </si>
  <si>
    <t xml:space="preserve"> 88 99703-5558                                      </t>
  </si>
  <si>
    <t xml:space="preserve">    069.460.243-46</t>
  </si>
  <si>
    <t xml:space="preserve">MERCADINHO NENEM                        </t>
  </si>
  <si>
    <t xml:space="preserve">GELICIVANDO SAMPAIO DE LIMA             </t>
  </si>
  <si>
    <t xml:space="preserve">VL CORREGO PERDIDO SN                   </t>
  </si>
  <si>
    <t xml:space="preserve"> PROXIMO AO MERCADINHO MUR              </t>
  </si>
  <si>
    <t xml:space="preserve">    143.974.768-70</t>
  </si>
  <si>
    <t xml:space="preserve">RESTAURANTE OTITO                       </t>
  </si>
  <si>
    <t xml:space="preserve">FRANCISCO JOSE DA ROCHA                 </t>
  </si>
  <si>
    <t xml:space="preserve">DT POVOADO CASTELHANO SN                </t>
  </si>
  <si>
    <t xml:space="preserve"> PRX A CASTELHANO FERRAGEM              </t>
  </si>
  <si>
    <t xml:space="preserve"> 15 99871-1075                                      </t>
  </si>
  <si>
    <t>45.846.236/0001-81</t>
  </si>
  <si>
    <t xml:space="preserve">FRIGORIFICO PREA                        </t>
  </si>
  <si>
    <t xml:space="preserve">ISRAEL FRANCISCO DA SILVA               </t>
  </si>
  <si>
    <t xml:space="preserve">AV AV PREA SN                           </t>
  </si>
  <si>
    <t xml:space="preserve"> VIZINHO AMA COSMETICOS                 </t>
  </si>
  <si>
    <t xml:space="preserve"> 88 99977-6892                                      </t>
  </si>
  <si>
    <t xml:space="preserve">    022.036.763-96</t>
  </si>
  <si>
    <t xml:space="preserve">ESPETINHO DOS MARKES                    </t>
  </si>
  <si>
    <t xml:space="preserve">ESDRAS MARQUES                          </t>
  </si>
  <si>
    <t xml:space="preserve"> avenida senador Virgilio Tavor1057     </t>
  </si>
  <si>
    <t xml:space="preserve"> vizinho o bolao do salgado             </t>
  </si>
  <si>
    <t xml:space="preserve"> 88 99617-0757                                      </t>
  </si>
  <si>
    <t xml:space="preserve">    020.167.343-61</t>
  </si>
  <si>
    <t xml:space="preserve">BARRACA DO LIAR                         </t>
  </si>
  <si>
    <t xml:space="preserve">FRANCISCO ERISVALDO DOS SANTOS          </t>
  </si>
  <si>
    <t xml:space="preserve"> PROXIMO A ESCOLA FRANCISC              </t>
  </si>
  <si>
    <t xml:space="preserve"> 88 99618-9875                                      </t>
  </si>
  <si>
    <t>47.637.338/0001-12</t>
  </si>
  <si>
    <t xml:space="preserve">PEDRO MERCADINHO                        </t>
  </si>
  <si>
    <t xml:space="preserve">MARIANA DOS SANTOS ALBUQUERQUE          </t>
  </si>
  <si>
    <t xml:space="preserve"> PROXIMO AO JP CONVENIENCI              </t>
  </si>
  <si>
    <t xml:space="preserve"> 88 99710-8237                                      </t>
  </si>
  <si>
    <t>59.273.760/0001-15</t>
  </si>
  <si>
    <t xml:space="preserve">TM BRISA BAR                            </t>
  </si>
  <si>
    <t xml:space="preserve">THIAGO ARAUJO DE SOUSA                  </t>
  </si>
  <si>
    <t xml:space="preserve">R RUA BEIRA MAR SN                      </t>
  </si>
  <si>
    <t xml:space="preserve"> DE FRENTE AO MERC VICTOR               </t>
  </si>
  <si>
    <t xml:space="preserve"> 88 98140-8579                                      </t>
  </si>
  <si>
    <t>31.364.585/0001-52</t>
  </si>
  <si>
    <t xml:space="preserve">SABOR DA GALINHA CAI                    </t>
  </si>
  <si>
    <t xml:space="preserve">MARCOS ANTONIO DE SOUZA                 </t>
  </si>
  <si>
    <t xml:space="preserve">R BARRINHA DE BAIXO SN                  </t>
  </si>
  <si>
    <t xml:space="preserve"> PROX A BARRACA DO SANDRE               </t>
  </si>
  <si>
    <t xml:space="preserve"> 88 99781-7862                                      </t>
  </si>
  <si>
    <t>10.837.683/0001-90</t>
  </si>
  <si>
    <t xml:space="preserve">BEIRA DAGUA                             </t>
  </si>
  <si>
    <t xml:space="preserve">AC BARRINHA DE BAIXO SN                 </t>
  </si>
  <si>
    <t xml:space="preserve"> DEPOIS DA PLACA DA BARRIN              </t>
  </si>
  <si>
    <t>06.258-000</t>
  </si>
  <si>
    <t xml:space="preserve"> 88 99986-1910                                      </t>
  </si>
  <si>
    <t xml:space="preserve">    601.287.053-10</t>
  </si>
  <si>
    <t xml:space="preserve">BARDEGA e RESTAURANT                    </t>
  </si>
  <si>
    <t xml:space="preserve">Rene Medeiros de Freitas                </t>
  </si>
  <si>
    <t xml:space="preserve">AC CORREGUINHO DOS SILVA 0001           </t>
  </si>
  <si>
    <t xml:space="preserve"> PROXIMO AO MOTEL LOVE IST              </t>
  </si>
  <si>
    <t xml:space="preserve"> 11 99380-3281                                      </t>
  </si>
  <si>
    <t xml:space="preserve">    171.007.888-03</t>
  </si>
  <si>
    <t xml:space="preserve">FRUTARIA JMG                            </t>
  </si>
  <si>
    <t xml:space="preserve">MARCOS VASCONCELOS                      </t>
  </si>
  <si>
    <t xml:space="preserve">AV Avenida Francisco Xavier ChaveSN     </t>
  </si>
  <si>
    <t xml:space="preserve"> 88 99936-5899                                      </t>
  </si>
  <si>
    <t xml:space="preserve">    042.386.843-89</t>
  </si>
  <si>
    <t xml:space="preserve">FRANCISCO VALDEMIR ARAUJO VASCONCELOS   </t>
  </si>
  <si>
    <t xml:space="preserve">R RUA NICOLAU PEIXOTO SN                </t>
  </si>
  <si>
    <t xml:space="preserve"> PROXIMO AO VALTER CESAR                </t>
  </si>
  <si>
    <t xml:space="preserve"> 88 99747-8166                                      </t>
  </si>
  <si>
    <t xml:space="preserve">    082.581.183-07</t>
  </si>
  <si>
    <t xml:space="preserve">ERM DISTRIBUICaO                        </t>
  </si>
  <si>
    <t xml:space="preserve">TALITA CARDOSO                          </t>
  </si>
  <si>
    <t xml:space="preserve">R Antonio malaquias, cruz SN            </t>
  </si>
  <si>
    <t>41.030.084/0001-93</t>
  </si>
  <si>
    <t xml:space="preserve">MERCADINHO DA LUCELI                    </t>
  </si>
  <si>
    <t xml:space="preserve">JOELIO CARLOS DA CUNHA 07166659300      </t>
  </si>
  <si>
    <t xml:space="preserve">R SOLIDAO SN                            </t>
  </si>
  <si>
    <t xml:space="preserve"> 88 99663-4779                                      </t>
  </si>
  <si>
    <t>03.741.545/0001-47</t>
  </si>
  <si>
    <t xml:space="preserve">PONTO DO LANCHE                         </t>
  </si>
  <si>
    <t xml:space="preserve">PAULO SERGIO DA COSTA 80274170310       </t>
  </si>
  <si>
    <t xml:space="preserve">R RUA JOSE ANTONIO DA SILVEIRA SN       </t>
  </si>
  <si>
    <t xml:space="preserve"> 88 98800-5680                                      </t>
  </si>
  <si>
    <t xml:space="preserve">    094.120.153-80</t>
  </si>
  <si>
    <t xml:space="preserve">VAL DISTRIBUIDORA                       </t>
  </si>
  <si>
    <t xml:space="preserve">VALNICE SILVA                           </t>
  </si>
  <si>
    <t xml:space="preserve">R Pv Curral Velho De Cima SN            </t>
  </si>
  <si>
    <t xml:space="preserve"> 88 99792-2825                                      </t>
  </si>
  <si>
    <t xml:space="preserve">    055.314.573-83</t>
  </si>
  <si>
    <t xml:space="preserve">ESPETINHO BAR                           </t>
  </si>
  <si>
    <t xml:space="preserve">GEISON RODRIGUES DOS SANTOS             </t>
  </si>
  <si>
    <t xml:space="preserve">R JOSE MARIA SALES 850                  </t>
  </si>
  <si>
    <t xml:space="preserve"> EM FRENTE A RE9CAR                     </t>
  </si>
  <si>
    <t xml:space="preserve"> 88 99917-5453                                      </t>
  </si>
  <si>
    <t xml:space="preserve">    693.273.193-20</t>
  </si>
  <si>
    <t xml:space="preserve">DEPOSITO JM                             </t>
  </si>
  <si>
    <t xml:space="preserve">JOaO BATISTA MEDEIROS                   </t>
  </si>
  <si>
    <t xml:space="preserve">R RUA HUMUAITA SN                       </t>
  </si>
  <si>
    <t xml:space="preserve"> PROXIMO A OFICINA DO CORE              </t>
  </si>
  <si>
    <t xml:space="preserve"> 88 99681-6034                                      </t>
  </si>
  <si>
    <t xml:space="preserve">    062.488.003-67</t>
  </si>
  <si>
    <t xml:space="preserve">MERCADINHO OCIANO                       </t>
  </si>
  <si>
    <t xml:space="preserve">MARIA LUCILAURA DE LIMA                 </t>
  </si>
  <si>
    <t xml:space="preserve">TV TRAVESSA 7 DE SETEMBRO 2457          </t>
  </si>
  <si>
    <t xml:space="preserve"> O GEAN                                 </t>
  </si>
  <si>
    <t xml:space="preserve"> 88 99813-2657                                      </t>
  </si>
  <si>
    <t xml:space="preserve">    084.738.993-69</t>
  </si>
  <si>
    <t xml:space="preserve">PRIMOS GRILL                            </t>
  </si>
  <si>
    <t xml:space="preserve">ENZO ARAUJO VASCONCELOS                 </t>
  </si>
  <si>
    <t xml:space="preserve">R RUA 8 DE JANEIRO 476                  </t>
  </si>
  <si>
    <t xml:space="preserve"> 88 99951-2242                                      </t>
  </si>
  <si>
    <t xml:space="preserve">    082.156.943-06</t>
  </si>
  <si>
    <t xml:space="preserve">PONTO DO SALGADO CAJ                    </t>
  </si>
  <si>
    <t xml:space="preserve">JOAO VITOR DE LIMA                      </t>
  </si>
  <si>
    <t xml:space="preserve">R CAJUEIRINHO 1 SN                      </t>
  </si>
  <si>
    <t xml:space="preserve"> PROX AO POSTO MORAES                   </t>
  </si>
  <si>
    <t xml:space="preserve"> 88 98862-0103                                      </t>
  </si>
  <si>
    <t xml:space="preserve">    067.555.311-38</t>
  </si>
  <si>
    <t xml:space="preserve">NOSSA SRA APARECIDA                     </t>
  </si>
  <si>
    <t xml:space="preserve">LUCAS MATEUS DE SOUZA                   </t>
  </si>
  <si>
    <t xml:space="preserve">R RUA MATO GROSSO 2004                  </t>
  </si>
  <si>
    <t xml:space="preserve"> ESTACIONAMENTO MIGUEL                  </t>
  </si>
  <si>
    <t xml:space="preserve"> 61  9511-7575                                      </t>
  </si>
  <si>
    <t xml:space="preserve">    135.535.738-13</t>
  </si>
  <si>
    <t xml:space="preserve">MERCADINHO ECONOMICA                    </t>
  </si>
  <si>
    <t xml:space="preserve">CUSTODIO MARQUES DE SOUZA               </t>
  </si>
  <si>
    <t xml:space="preserve">R BELEM- CRUZ SN                        </t>
  </si>
  <si>
    <t xml:space="preserve"> PROXIMO A IGREJA DO BELEM              </t>
  </si>
  <si>
    <t xml:space="preserve"> 88 99815-1829                                      </t>
  </si>
  <si>
    <t xml:space="preserve">    087.262.623-71</t>
  </si>
  <si>
    <t xml:space="preserve">MERC FLAVIA                             </t>
  </si>
  <si>
    <t xml:space="preserve">FLAVIA COSTA DE SOLZA                   </t>
  </si>
  <si>
    <t xml:space="preserve">DT CAUASSU SN                           </t>
  </si>
  <si>
    <t xml:space="preserve"> AO LADO DA MERC DOIS IRMa              </t>
  </si>
  <si>
    <t xml:space="preserve"> 84 98171-4820                                      </t>
  </si>
  <si>
    <t xml:space="preserve">    906.883.923-34</t>
  </si>
  <si>
    <t xml:space="preserve">COMERCIAL SANTO AGOS                    </t>
  </si>
  <si>
    <t xml:space="preserve">COMERCIAL SANTO AGOSTINHO               </t>
  </si>
  <si>
    <t xml:space="preserve">AV AVENIDA JOAO BATISTA 303             </t>
  </si>
  <si>
    <t xml:space="preserve"> EM FRENTE A CHURRASCARIA               </t>
  </si>
  <si>
    <t xml:space="preserve"> 88 98864-1559                                      </t>
  </si>
  <si>
    <t>45.653.061/0001-96</t>
  </si>
  <si>
    <t xml:space="preserve">CENTRAL PALADAR                         </t>
  </si>
  <si>
    <t xml:space="preserve">R RUA ARIMAR SILVEIRA 765               </t>
  </si>
  <si>
    <t xml:space="preserve"> VIZINHO A RODOVIARIA                   </t>
  </si>
  <si>
    <t xml:space="preserve"> 88 99708-9210                                      </t>
  </si>
  <si>
    <t xml:space="preserve">    024.170.203-86</t>
  </si>
  <si>
    <t xml:space="preserve">PAULO DAS FRUTAS                        </t>
  </si>
  <si>
    <t xml:space="preserve">WALTER PAULO MARQUES FERREIRA           </t>
  </si>
  <si>
    <t xml:space="preserve">R RUA GOVERNADOR RAUL BARBOSA 1102      </t>
  </si>
  <si>
    <t xml:space="preserve"> PROX AO COMERCIO DO MAGNO              </t>
  </si>
  <si>
    <t xml:space="preserve"> 88 99994-9216                                      </t>
  </si>
  <si>
    <t>60.190.705/0001-40</t>
  </si>
  <si>
    <t xml:space="preserve">MERC E FRUTARIA JA                      </t>
  </si>
  <si>
    <t xml:space="preserve">58.764.079 ANTONIO PEREIRA DA SILVA     </t>
  </si>
  <si>
    <t xml:space="preserve">R Rua Izauta Vasconcelos 1517           </t>
  </si>
  <si>
    <t xml:space="preserve"> Proximo ao Bradesco                    </t>
  </si>
  <si>
    <t xml:space="preserve"> 88 98140-6168                                      </t>
  </si>
  <si>
    <t xml:space="preserve">    798.275.603-44</t>
  </si>
  <si>
    <t xml:space="preserve">NETO LANCHES                            </t>
  </si>
  <si>
    <t xml:space="preserve">FRANCISCO DAS CHAGAS NETO               </t>
  </si>
  <si>
    <t xml:space="preserve">R RUA MIGUEL ALBANO 36                  </t>
  </si>
  <si>
    <t xml:space="preserve"> ESQUINA DO MERCADO ,PROXI              </t>
  </si>
  <si>
    <t xml:space="preserve"> 88 99922-6323                                      </t>
  </si>
  <si>
    <t>57.325.399/0001-06</t>
  </si>
  <si>
    <t xml:space="preserve">FILETTO                                 </t>
  </si>
  <si>
    <t xml:space="preserve">FILETTO ESPETARIA E HAMBURGUERIA LTDA   </t>
  </si>
  <si>
    <t xml:space="preserve">R RUA PIAUI SN                          </t>
  </si>
  <si>
    <t xml:space="preserve"> CRECHE SERGIO HEREIRO                  </t>
  </si>
  <si>
    <t xml:space="preserve"> 11 98182-8975                                      </t>
  </si>
  <si>
    <t xml:space="preserve">    100.749.583-99</t>
  </si>
  <si>
    <t xml:space="preserve">DELICIAS CASEIRAS                       </t>
  </si>
  <si>
    <t xml:space="preserve">GERLIANE MOURA DOS SANTOS               </t>
  </si>
  <si>
    <t xml:space="preserve">R RUA BENTO FREIRE SN                   </t>
  </si>
  <si>
    <t xml:space="preserve"> PROXIMO AO POSTO APARECID              </t>
  </si>
  <si>
    <t xml:space="preserve"> 88 99447-4925                                      </t>
  </si>
  <si>
    <t xml:space="preserve">    120.081.223-95</t>
  </si>
  <si>
    <t xml:space="preserve">MERCADINHO DA JUH                       </t>
  </si>
  <si>
    <t xml:space="preserve">ANA JULIANA DOS SANTOS ANDRE            </t>
  </si>
  <si>
    <t xml:space="preserve">R BENTO FREIRE SN                       </t>
  </si>
  <si>
    <t xml:space="preserve"> 88 98879-0153                                      </t>
  </si>
  <si>
    <t xml:space="preserve">    667.791.623-53</t>
  </si>
  <si>
    <t xml:space="preserve">MERC FRANCISCA                          </t>
  </si>
  <si>
    <t xml:space="preserve">FRANCISCA                               </t>
  </si>
  <si>
    <t xml:space="preserve">IA ILHA DOS COQUEIROS sn                </t>
  </si>
  <si>
    <t xml:space="preserve"> ILHA DOS COQUEIROS                     </t>
  </si>
  <si>
    <t xml:space="preserve"> 88 99803-4523                                      </t>
  </si>
  <si>
    <t xml:space="preserve">    057.671.293-04</t>
  </si>
  <si>
    <t xml:space="preserve">CENTER CANES ACARAU                     </t>
  </si>
  <si>
    <t xml:space="preserve">EMANUEL GERSON ANDRADE BATISTA          </t>
  </si>
  <si>
    <t xml:space="preserve">AV AVENIDA JOaO JAIME FERREIRA GO523    </t>
  </si>
  <si>
    <t xml:space="preserve"> EM FRENTE AS AMERICANAS                </t>
  </si>
  <si>
    <t xml:space="preserve"> 88 99751-9719                                      </t>
  </si>
  <si>
    <t xml:space="preserve">    266.492.058-85</t>
  </si>
  <si>
    <t xml:space="preserve">BARRACA DO CHEF                         </t>
  </si>
  <si>
    <t xml:space="preserve">EDUARDO MAX DE SOUZA FILHO              </t>
  </si>
  <si>
    <t xml:space="preserve">R RUA 6 DE MARCO 230                    </t>
  </si>
  <si>
    <t xml:space="preserve"> AO LADO DA PREFEITURA DE               </t>
  </si>
  <si>
    <t xml:space="preserve"> 88 99695-7454                                      </t>
  </si>
  <si>
    <t xml:space="preserve">    724.745.133-53</t>
  </si>
  <si>
    <t xml:space="preserve">CASA DA PIZZA                           </t>
  </si>
  <si>
    <t xml:space="preserve">JOSE CLEILTON MONTEIRO AGUIAR           </t>
  </si>
  <si>
    <t xml:space="preserve">ROD RODOVIA 085 SN                      </t>
  </si>
  <si>
    <t xml:space="preserve"> PROXIMO AO POSTO DE GASOL              </t>
  </si>
  <si>
    <t xml:space="preserve"> 88 99768-4989                                      </t>
  </si>
  <si>
    <t xml:space="preserve">    121.145.283-24</t>
  </si>
  <si>
    <t xml:space="preserve">MESTRE ESPETINHO                        </t>
  </si>
  <si>
    <t xml:space="preserve">JOEL CIRILO DOURADO DOS SANTOS          </t>
  </si>
  <si>
    <t xml:space="preserve">AV AV FORMOSA CAICARA SN                </t>
  </si>
  <si>
    <t xml:space="preserve"> PROXIMO AO POSTO LUCAS CA              </t>
  </si>
  <si>
    <t>40.070.160/0001-21</t>
  </si>
  <si>
    <t xml:space="preserve">CHURRASCARIA POPULAR                    </t>
  </si>
  <si>
    <t xml:space="preserve">MARIA DOS NAVEGANTES DOURADO            </t>
  </si>
  <si>
    <t xml:space="preserve">R RUA RAIMUNDO BASTOS 102               </t>
  </si>
  <si>
    <t xml:space="preserve"> DEPOIS DO DF DISTRIBUIDOR              </t>
  </si>
  <si>
    <t xml:space="preserve"> 88 99973-8980                                      </t>
  </si>
  <si>
    <t>14.710.314/0001-92</t>
  </si>
  <si>
    <t xml:space="preserve">HOTEL ACARAU RIVIER                     </t>
  </si>
  <si>
    <t xml:space="preserve">HOTEL ACARAU RIVIERA                    </t>
  </si>
  <si>
    <t xml:space="preserve">R RUA PREFEITO RAIMUNDO ROCHA 477       </t>
  </si>
  <si>
    <t xml:space="preserve"> PROXIMO AO BAR DA EUNICE               </t>
  </si>
  <si>
    <t xml:space="preserve"> 88 99667-0419                                      </t>
  </si>
  <si>
    <t xml:space="preserve">    036.354.433-01</t>
  </si>
  <si>
    <t xml:space="preserve">MERCADINHO JL                           </t>
  </si>
  <si>
    <t xml:space="preserve">CARLOS MARCILIO DO NASCIMENTO           </t>
  </si>
  <si>
    <t xml:space="preserve"> LAVA JATO DOGLAS                       </t>
  </si>
  <si>
    <t xml:space="preserve"> 88 98849-2693                                      </t>
  </si>
  <si>
    <t xml:space="preserve">    012.151.273-83</t>
  </si>
  <si>
    <t xml:space="preserve">CR COMERCIAL RIOS                       </t>
  </si>
  <si>
    <t xml:space="preserve">JOSE CARLOS RIOS SANTOS                 </t>
  </si>
  <si>
    <t xml:space="preserve">R RUA RAIMUNDO FUFINO 52                </t>
  </si>
  <si>
    <t xml:space="preserve"> PROXIMO A MERC NOVA OPCaO              </t>
  </si>
  <si>
    <t xml:space="preserve"> 88 99473-0139                                      </t>
  </si>
  <si>
    <t xml:space="preserve">    028.555.737-85</t>
  </si>
  <si>
    <t xml:space="preserve">FRABAR                                  </t>
  </si>
  <si>
    <t xml:space="preserve">JOSE FLAVIO MARCILIO ANDRADE            </t>
  </si>
  <si>
    <t xml:space="preserve">VL CELSOLANDIA SN                       </t>
  </si>
  <si>
    <t xml:space="preserve"> PERTO DA IGREJA DE CELSOL              </t>
  </si>
  <si>
    <t xml:space="preserve"> 21 96969-9873                                      </t>
  </si>
  <si>
    <t xml:space="preserve">    042.844.893-30</t>
  </si>
  <si>
    <t xml:space="preserve">ESQUINA DO FRANGO                       </t>
  </si>
  <si>
    <t xml:space="preserve">LEANDRO                                 </t>
  </si>
  <si>
    <t xml:space="preserve">VL CURRAL VELHO SN                      </t>
  </si>
  <si>
    <t xml:space="preserve"> AO LADO DO MERCANTIL JC                </t>
  </si>
  <si>
    <t xml:space="preserve"> 88 99634-0479                                      </t>
  </si>
  <si>
    <t>59.812.935/0001-15</t>
  </si>
  <si>
    <t xml:space="preserve">SABOR DAS AMELIAS RE                    </t>
  </si>
  <si>
    <t xml:space="preserve">JAINAH SAMPAIO CAMPELO LTDA             </t>
  </si>
  <si>
    <t xml:space="preserve">R Rua do Forro 9                        </t>
  </si>
  <si>
    <t xml:space="preserve"> Sabor das Amelias restaur              </t>
  </si>
  <si>
    <t xml:space="preserve"> 88 99622-7283                                      </t>
  </si>
  <si>
    <t xml:space="preserve">    059.921.513-54</t>
  </si>
  <si>
    <t xml:space="preserve">CASA DO FAZENDEIRO                      </t>
  </si>
  <si>
    <t xml:space="preserve">CARLOS VINICIUS SOUSA MUNIZ             </t>
  </si>
  <si>
    <t xml:space="preserve">R RUA 7 DE SETEMBRO 286                 </t>
  </si>
  <si>
    <t xml:space="preserve"> PROXIMO A FARMACIA 7 DE S              </t>
  </si>
  <si>
    <t xml:space="preserve"> 88 99926-6606                                      </t>
  </si>
  <si>
    <t>35.842.081/0001-51</t>
  </si>
  <si>
    <t xml:space="preserve">MERCEARIA DO FABIO                      </t>
  </si>
  <si>
    <t xml:space="preserve">JOAO FABIO SILVEIRA                     </t>
  </si>
  <si>
    <t xml:space="preserve"> VIZINHO O POSTO DE SAUDE               </t>
  </si>
  <si>
    <t xml:space="preserve"> 88 99780-0758                                      </t>
  </si>
  <si>
    <t xml:space="preserve">    217.465.808-95</t>
  </si>
  <si>
    <t xml:space="preserve">ADEGA AROEIRA                           </t>
  </si>
  <si>
    <t xml:space="preserve">ANTONINO ELIAS MATIAS                   </t>
  </si>
  <si>
    <t xml:space="preserve">VL VILA AROEIRA SN                      </t>
  </si>
  <si>
    <t xml:space="preserve"> DEPOIS DO MERC DO ADAO                 </t>
  </si>
  <si>
    <t xml:space="preserve"> 11 98112-7252                                      </t>
  </si>
  <si>
    <t>58.634.613/0001-60</t>
  </si>
  <si>
    <t xml:space="preserve">RESENHA BISTRO                          </t>
  </si>
  <si>
    <t xml:space="preserve">58.634.613 GLAUCIANE MARIANO DOS SANTOS </t>
  </si>
  <si>
    <t xml:space="preserve">R Rua Manoel Teofilo da Guia 1714       </t>
  </si>
  <si>
    <t xml:space="preserve"> proximo a delegacia                    </t>
  </si>
  <si>
    <t xml:space="preserve"> 88 98886-6668                                      </t>
  </si>
  <si>
    <t xml:space="preserve">    055.259.613-26</t>
  </si>
  <si>
    <t xml:space="preserve">SITIO NASCIMENTO                        </t>
  </si>
  <si>
    <t xml:space="preserve">FRANCISCO DAS CHAGA SILVA               </t>
  </si>
  <si>
    <t xml:space="preserve"> PROX AO COMERCIO DO REGIN              </t>
  </si>
  <si>
    <t xml:space="preserve"> 88 98851-9326                                      </t>
  </si>
  <si>
    <t xml:space="preserve">    346.386.918-70</t>
  </si>
  <si>
    <t xml:space="preserve">FRANGO ASSADO E CIA                     </t>
  </si>
  <si>
    <t xml:space="preserve">IRISMAR ALVES DE SOUSA                  </t>
  </si>
  <si>
    <t xml:space="preserve">AV AVENIDA MANOEL MARQUES 626           </t>
  </si>
  <si>
    <t xml:space="preserve"> POSTO DO MARCLEITO                     </t>
  </si>
  <si>
    <t xml:space="preserve"> 88 99606-6888                                      </t>
  </si>
  <si>
    <t xml:space="preserve">    609.939.233-56</t>
  </si>
  <si>
    <t xml:space="preserve">BAR DO CHEIROSAO                        </t>
  </si>
  <si>
    <t xml:space="preserve"> EM FRENTE O LANCHE AQUI                </t>
  </si>
  <si>
    <t xml:space="preserve"> 88 98891-7992                                      </t>
  </si>
  <si>
    <t xml:space="preserve">    176.039.088-76</t>
  </si>
  <si>
    <t xml:space="preserve">VICENTE LANCHES                         </t>
  </si>
  <si>
    <t xml:space="preserve">MARIA IVONEIDE ARAUJO PESSOA            </t>
  </si>
  <si>
    <t xml:space="preserve">R RUA HUMAITA SN                        </t>
  </si>
  <si>
    <t xml:space="preserve"> PROXIMO A FARMACIA BELA C              </t>
  </si>
  <si>
    <t xml:space="preserve"> 88 99948-6024                                      </t>
  </si>
  <si>
    <t xml:space="preserve">    018.537.923-06</t>
  </si>
  <si>
    <t xml:space="preserve">BAR DO WELLINGTON                       </t>
  </si>
  <si>
    <t xml:space="preserve">FRANCISCO WELINGTON ARAUJO              </t>
  </si>
  <si>
    <t xml:space="preserve">R RIACHO DA PRATA SN                    </t>
  </si>
  <si>
    <t xml:space="preserve"> DO LADO DO COLEGIO                     </t>
  </si>
  <si>
    <t xml:space="preserve"> 88 99615-7809                                      </t>
  </si>
  <si>
    <t xml:space="preserve">    021.042.673-07</t>
  </si>
  <si>
    <t xml:space="preserve">MERC DO LEO                             </t>
  </si>
  <si>
    <t xml:space="preserve">LEONARDO CESAR DA SILVEIRA FONTELES     </t>
  </si>
  <si>
    <t xml:space="preserve"> IGREJA SaO FRANCISCO                   </t>
  </si>
  <si>
    <t>62.568-000</t>
  </si>
  <si>
    <t xml:space="preserve"> 88 99646-5258                                      </t>
  </si>
  <si>
    <t xml:space="preserve">    025.661.293-55</t>
  </si>
  <si>
    <t xml:space="preserve">PIZZARIA O ZEZINHO                      </t>
  </si>
  <si>
    <t xml:space="preserve">JOSE SECUNDO DE SOUSA FILHO             </t>
  </si>
  <si>
    <t xml:space="preserve">R RUA JOSE MARIA GONCALVES 75           </t>
  </si>
  <si>
    <t xml:space="preserve"> PROX. A IGREJA                         </t>
  </si>
  <si>
    <t xml:space="preserve"> 88 99918-8331                                      </t>
  </si>
  <si>
    <t xml:space="preserve">    066.078.343-61</t>
  </si>
  <si>
    <t xml:space="preserve">COMERCIO RR                             </t>
  </si>
  <si>
    <t xml:space="preserve">RAIANE HERLEM NASCIMENTOS MENESES       </t>
  </si>
  <si>
    <t xml:space="preserve">AC FRANCISCO EWERTON DA SILVA LOP180    </t>
  </si>
  <si>
    <t xml:space="preserve"> PROX. AO GASPAR                        </t>
  </si>
  <si>
    <t xml:space="preserve"> 88 99613-1390                                      </t>
  </si>
  <si>
    <t xml:space="preserve">    064.101.413-94</t>
  </si>
  <si>
    <t xml:space="preserve">LORIN DO FRANGO                         </t>
  </si>
  <si>
    <t xml:space="preserve">FRANCISCO IVANDI ROCHA VASCONCELOS      </t>
  </si>
  <si>
    <t xml:space="preserve">R RUA 06 DE ABRIL 276                   </t>
  </si>
  <si>
    <t xml:space="preserve"> PROX. A NOVA METALURGICA               </t>
  </si>
  <si>
    <t xml:space="preserve"> 88 99666-7608                                      </t>
  </si>
  <si>
    <t xml:space="preserve">    278.048.098-08</t>
  </si>
  <si>
    <t xml:space="preserve">CARNAUBA PIZZARIA                       </t>
  </si>
  <si>
    <t xml:space="preserve">LUIZ FABIO DE VASCONCELOS               </t>
  </si>
  <si>
    <t xml:space="preserve">SIT SITIO PORTEIRAS 41                  </t>
  </si>
  <si>
    <t xml:space="preserve"> 88 99960-5970                                      </t>
  </si>
  <si>
    <t>60.019.515/0001-65</t>
  </si>
  <si>
    <t xml:space="preserve">BAR E PETIS. DA LU                      </t>
  </si>
  <si>
    <t xml:space="preserve">BAR E PETISCARIA DA LU LTDA             </t>
  </si>
  <si>
    <t xml:space="preserve">PR PREA SN                              </t>
  </si>
  <si>
    <t xml:space="preserve"> DO LADO DO RESTAURANTE CA              </t>
  </si>
  <si>
    <t xml:space="preserve"> 88 98143-8037                                      </t>
  </si>
  <si>
    <t xml:space="preserve">    050.164.313-37</t>
  </si>
  <si>
    <t xml:space="preserve">BAR DO DENIR                            </t>
  </si>
  <si>
    <t xml:space="preserve">DAIANE SILVEIRA VASCONCELOS             </t>
  </si>
  <si>
    <t xml:space="preserve"> FRENTE AO JOaO GERONIMO                </t>
  </si>
  <si>
    <t xml:space="preserve"> 88 99630-0720                                      </t>
  </si>
  <si>
    <t xml:space="preserve">    938.870.003-15</t>
  </si>
  <si>
    <t xml:space="preserve">BAR E DEPOSITO SKINA                    </t>
  </si>
  <si>
    <t xml:space="preserve">JOSE MENDES DA SILVA                    </t>
  </si>
  <si>
    <t xml:space="preserve">R BR 403 SaO JOSE 907                   </t>
  </si>
  <si>
    <t xml:space="preserve"> PROX. A ENTRADA DA LAGOA               </t>
  </si>
  <si>
    <t xml:space="preserve"> 88 99951-7566                                      </t>
  </si>
  <si>
    <t>09.361.579/0001-92</t>
  </si>
  <si>
    <t xml:space="preserve">MERCADINHO CEARENSE                     </t>
  </si>
  <si>
    <t xml:space="preserve">MARIA GIRLANDIA ARAUJO COSTA ME         </t>
  </si>
  <si>
    <t xml:space="preserve">R RUA TANCREDO NEVES 567                </t>
  </si>
  <si>
    <t xml:space="preserve"> EM FRENTE AO GILVAN MOTOS              </t>
  </si>
  <si>
    <t xml:space="preserve"> 88 99640-3169                                      </t>
  </si>
  <si>
    <t xml:space="preserve">    907.087.333-87</t>
  </si>
  <si>
    <t xml:space="preserve">BAR DA NETE                             </t>
  </si>
  <si>
    <t xml:space="preserve">MARIA AURINETE DOS SANOS                </t>
  </si>
  <si>
    <t xml:space="preserve">R PV PEREIRAS 53                        </t>
  </si>
  <si>
    <t xml:space="preserve"> PROX. AO COLEGIO                       </t>
  </si>
  <si>
    <t xml:space="preserve"> 88 99630-8897                                      </t>
  </si>
  <si>
    <t xml:space="preserve">    263.853.378-55</t>
  </si>
  <si>
    <t xml:space="preserve">FRANCISCO ERION DE C                    </t>
  </si>
  <si>
    <t xml:space="preserve">FRANCISCO ERION DE CARVALHO             </t>
  </si>
  <si>
    <t xml:space="preserve">R RUA VEREADOR MUNDICO MARTINS 1589     </t>
  </si>
  <si>
    <t xml:space="preserve"> PROX. A CAIXA DAGUA                    </t>
  </si>
  <si>
    <t xml:space="preserve"> 11 97180-1407                                      </t>
  </si>
  <si>
    <t xml:space="preserve">    030.071.733-45</t>
  </si>
  <si>
    <t xml:space="preserve">KIOSK DO MANGUEIRaO                     </t>
  </si>
  <si>
    <t xml:space="preserve">RAIMUNDO NONATO RIBEIRO LOPES           </t>
  </si>
  <si>
    <t xml:space="preserve">VL PV ARATICUNS SN                      </t>
  </si>
  <si>
    <t xml:space="preserve"> PROX. AO BAR DO CLEITON                </t>
  </si>
  <si>
    <t xml:space="preserve"> 88 99947-7715                                      </t>
  </si>
  <si>
    <t xml:space="preserve">    603.039.783-41</t>
  </si>
  <si>
    <t xml:space="preserve">NOSSO BAR                               </t>
  </si>
  <si>
    <t xml:space="preserve">EDSON DIMAS FREITAS                     </t>
  </si>
  <si>
    <t xml:space="preserve">VL PV LAGOA DO MATO SN                  </t>
  </si>
  <si>
    <t xml:space="preserve"> PROX. AO COMERCIO DO TETE              </t>
  </si>
  <si>
    <t xml:space="preserve"> 88 99636-7628                                      </t>
  </si>
  <si>
    <t xml:space="preserve">    059.662.073-05</t>
  </si>
  <si>
    <t xml:space="preserve">BAR ENCONTRO DO AMIG                    </t>
  </si>
  <si>
    <t xml:space="preserve">MARIA JAQUELINE DE SOUSA                </t>
  </si>
  <si>
    <t xml:space="preserve">SIT SITIO GUARDA 326                    </t>
  </si>
  <si>
    <t xml:space="preserve"> BAR DO DECA                            </t>
  </si>
  <si>
    <t>62.670-000</t>
  </si>
  <si>
    <t xml:space="preserve"> 88 99823-4489                                      </t>
  </si>
  <si>
    <t xml:space="preserve">    607.655.623-40</t>
  </si>
  <si>
    <t xml:space="preserve">WL CONSTRUCOES                          </t>
  </si>
  <si>
    <t xml:space="preserve">LORENA MORAIS DE SOUZA SILVEIRA         </t>
  </si>
  <si>
    <t xml:space="preserve"> PROXIMO AO RESTAURANTE DO              </t>
  </si>
  <si>
    <t xml:space="preserve"> 88 99919-3900                                      </t>
  </si>
  <si>
    <t xml:space="preserve">    289.254.778-40</t>
  </si>
  <si>
    <t xml:space="preserve">MARCELO ROCHA GRIGOR                    </t>
  </si>
  <si>
    <t xml:space="preserve">MARCELO ROCHA GRIGORIO                  </t>
  </si>
  <si>
    <t xml:space="preserve">EST ESTRADA LAGOA DAS PEDRAS 278        </t>
  </si>
  <si>
    <t xml:space="preserve"> FAMILIA MARQUES                        </t>
  </si>
  <si>
    <t xml:space="preserve"> 88 98849-4699                                      </t>
  </si>
  <si>
    <t>60.162.530/0001-68</t>
  </si>
  <si>
    <t xml:space="preserve">S5 - BOTECO MARESIA                     </t>
  </si>
  <si>
    <t xml:space="preserve">IRLAN SILVA DOS SANTOS                  </t>
  </si>
  <si>
    <t xml:space="preserve">R 10A AVENIDA FRANCISCO XAVIER CSN      </t>
  </si>
  <si>
    <t xml:space="preserve"> PROXIMO AO LANC. XIQUE XI              </t>
  </si>
  <si>
    <t xml:space="preserve"> 88 99651-7287                                      </t>
  </si>
  <si>
    <t>53.330.599/0001-98</t>
  </si>
  <si>
    <t xml:space="preserve">FRUTARIA JP                             </t>
  </si>
  <si>
    <t xml:space="preserve">JONATHAEL SILVA PARNAIBA                </t>
  </si>
  <si>
    <t xml:space="preserve">R RUA CAPITAO DIOGO LOPES 1996          </t>
  </si>
  <si>
    <t xml:space="preserve"> EEIEF DEPUTADO JOSE FILOM              </t>
  </si>
  <si>
    <t xml:space="preserve"> 88 99992-3993                                      </t>
  </si>
  <si>
    <t xml:space="preserve">    639.307.733-68</t>
  </si>
  <si>
    <t xml:space="preserve">PADARIA 3 MARIAS                        </t>
  </si>
  <si>
    <t xml:space="preserve">AILTOMAR DE OLIVEIRA SILVA              </t>
  </si>
  <si>
    <t xml:space="preserve">R RUA SaO JOSE SN                       </t>
  </si>
  <si>
    <t xml:space="preserve"> ARENA MARIANO                          </t>
  </si>
  <si>
    <t xml:space="preserve">VILA BRANDAO                                                </t>
  </si>
  <si>
    <t xml:space="preserve"> 89 98130-6784                                      </t>
  </si>
  <si>
    <t xml:space="preserve">    020.391.353-16</t>
  </si>
  <si>
    <t xml:space="preserve">BAR DO VALMIR                           </t>
  </si>
  <si>
    <t xml:space="preserve">JOSE VALMIR LOPES                       </t>
  </si>
  <si>
    <t xml:space="preserve"> PROX. A CAGECE                         </t>
  </si>
  <si>
    <t xml:space="preserve"> 88 99916-1491                                      </t>
  </si>
  <si>
    <t xml:space="preserve">    902.650.923-53</t>
  </si>
  <si>
    <t xml:space="preserve">ESQUINA VARIEDADES                      </t>
  </si>
  <si>
    <t xml:space="preserve">PEDRO OSAIR SILVA JUNIOR                </t>
  </si>
  <si>
    <t xml:space="preserve">R RUA 07 DE SETEMBRO 115                </t>
  </si>
  <si>
    <t xml:space="preserve"> PROX. A LOTERICA                       </t>
  </si>
  <si>
    <t xml:space="preserve"> 88 99331-6442                                      </t>
  </si>
  <si>
    <t xml:space="preserve">    864.809.443-72</t>
  </si>
  <si>
    <t xml:space="preserve">MERCEARIA MW                            </t>
  </si>
  <si>
    <t xml:space="preserve">JOSE IBERON DO NASCIMENTO               </t>
  </si>
  <si>
    <t xml:space="preserve">R RUA JOaO OSMAR ARAUJO 67              </t>
  </si>
  <si>
    <t xml:space="preserve"> PROX AO BAR DO MAURILIO                </t>
  </si>
  <si>
    <t xml:space="preserve">AMAZONAS                                                    </t>
  </si>
  <si>
    <t xml:space="preserve"> 88 99870-2403                                      </t>
  </si>
  <si>
    <t xml:space="preserve">    086.784.093-55</t>
  </si>
  <si>
    <t xml:space="preserve">CENTRAL LANCHES                         </t>
  </si>
  <si>
    <t xml:space="preserve">FRANCISCO FABIO DA SILVA SOUZA JUNIOR   </t>
  </si>
  <si>
    <t xml:space="preserve">R RUA HUMAITA 438                       </t>
  </si>
  <si>
    <t xml:space="preserve"> EM FRENTE A ORTOBOM                    </t>
  </si>
  <si>
    <t xml:space="preserve"> 88 99765-1472                                      </t>
  </si>
  <si>
    <t xml:space="preserve">    569.399.813-49</t>
  </si>
  <si>
    <t xml:space="preserve">BUTECO DOS AMIGOS                       </t>
  </si>
  <si>
    <t xml:space="preserve">JOSE VALDERI SANTOS                     </t>
  </si>
  <si>
    <t xml:space="preserve">VL PV BOM JESUS SN                      </t>
  </si>
  <si>
    <t xml:space="preserve"> PROX. AO TERCEIRO CANAL                </t>
  </si>
  <si>
    <t xml:space="preserve"> 88 99761-1945                                      </t>
  </si>
  <si>
    <t xml:space="preserve">    022.250.963-50</t>
  </si>
  <si>
    <t xml:space="preserve">BAR RECANTO DO CAJUE                    </t>
  </si>
  <si>
    <t xml:space="preserve">MANOEL MICHAEL ANDRADE SANTOS           </t>
  </si>
  <si>
    <t xml:space="preserve">VL PV LAGOA DO CARNEIRO SN              </t>
  </si>
  <si>
    <t xml:space="preserve"> ENTRADA DA LAGOA DO CARNE              </t>
  </si>
  <si>
    <t xml:space="preserve"> 88 98888-8256                                      </t>
  </si>
  <si>
    <t xml:space="preserve">    070.649.405-90</t>
  </si>
  <si>
    <t xml:space="preserve">MERC PAULO ROGER                        </t>
  </si>
  <si>
    <t xml:space="preserve">NAILDA DA SILVA BORGES                  </t>
  </si>
  <si>
    <t xml:space="preserve">R RUA HORACIO DE OLIVEIRA 57            </t>
  </si>
  <si>
    <t xml:space="preserve"> PROX. AO CAMPO                         </t>
  </si>
  <si>
    <t xml:space="preserve"> 11 98788-0210                                      </t>
  </si>
  <si>
    <t xml:space="preserve">    569.445.863-04</t>
  </si>
  <si>
    <t xml:space="preserve">MERC MARIO JUNIOR                       </t>
  </si>
  <si>
    <t xml:space="preserve">JOSE MARIO SILVEIRA                     </t>
  </si>
  <si>
    <t xml:space="preserve">R RUA TEOFILO LOPES SN                  </t>
  </si>
  <si>
    <t xml:space="preserve"> EM FRENTE A PRACA DA IGRE              </t>
  </si>
  <si>
    <t>62.680-000</t>
  </si>
  <si>
    <t xml:space="preserve"> 88 98120-7942                                      </t>
  </si>
  <si>
    <t xml:space="preserve">    448.926.403-87</t>
  </si>
  <si>
    <t xml:space="preserve">HB LANCHES                              </t>
  </si>
  <si>
    <t xml:space="preserve">MARIA REGINA DA SILVEIRA ARAUJO         </t>
  </si>
  <si>
    <t>62.583-000</t>
  </si>
  <si>
    <t xml:space="preserve"> 88 98232-3692                                      </t>
  </si>
  <si>
    <t xml:space="preserve">    078.934.253-77</t>
  </si>
  <si>
    <t xml:space="preserve">BEER POINT                              </t>
  </si>
  <si>
    <t xml:space="preserve">JAIANE VASCONCELOS                      </t>
  </si>
  <si>
    <t xml:space="preserve">R Rua Abel Vasconcelos SN               </t>
  </si>
  <si>
    <t xml:space="preserve"> TRABALHO                               </t>
  </si>
  <si>
    <t xml:space="preserve"> 88 99678-2779                                      </t>
  </si>
  <si>
    <t xml:space="preserve">    048.172.718-33</t>
  </si>
  <si>
    <t xml:space="preserve">MERCADINHO NN                           </t>
  </si>
  <si>
    <t xml:space="preserve">JOSE MILTON DE VASCONCELOS              </t>
  </si>
  <si>
    <t xml:space="preserve">AV AVENIDA AFONSO FONTES 666            </t>
  </si>
  <si>
    <t xml:space="preserve"> OFICINA DO ROSSINE                     </t>
  </si>
  <si>
    <t xml:space="preserve"> 88 99616-2259                                      </t>
  </si>
  <si>
    <t xml:space="preserve">    225.373.308-38</t>
  </si>
  <si>
    <t xml:space="preserve">MERCANTIL ALEMaO                        </t>
  </si>
  <si>
    <t xml:space="preserve">ADaO DA SILVA LIMA                      </t>
  </si>
  <si>
    <t xml:space="preserve">AV AVENIDA AFONSIO FONTES 2022          </t>
  </si>
  <si>
    <t xml:space="preserve"> PROX. A ANTIGA AGAPITO                 </t>
  </si>
  <si>
    <t xml:space="preserve"> 88 98183-8576                                      </t>
  </si>
  <si>
    <t xml:space="preserve">    058.753.443-50</t>
  </si>
  <si>
    <t xml:space="preserve">ESPETINHO O BROTHER                     </t>
  </si>
  <si>
    <t xml:space="preserve">FRANCISCO BARBOSA VERAS                 </t>
  </si>
  <si>
    <t xml:space="preserve">R RUA JOaO PESSOA SN                    </t>
  </si>
  <si>
    <t xml:space="preserve"> OSMAZaO                                </t>
  </si>
  <si>
    <t xml:space="preserve"> 88 99642-7373                                      </t>
  </si>
  <si>
    <t>59.993.077/0001-52</t>
  </si>
  <si>
    <t xml:space="preserve">MERC DO EDSON                           </t>
  </si>
  <si>
    <t xml:space="preserve">JOSE EDSON DA SILVA SANTOS              </t>
  </si>
  <si>
    <t xml:space="preserve">R RUA VITORIA SN                        </t>
  </si>
  <si>
    <t xml:space="preserve"> PROX A MARIA ANDRADE                   </t>
  </si>
  <si>
    <t xml:space="preserve"> 88 98183-6939                                      </t>
  </si>
  <si>
    <t xml:space="preserve">    758.527.563-34</t>
  </si>
  <si>
    <t xml:space="preserve">MERC DO ARIMAR                          </t>
  </si>
  <si>
    <t xml:space="preserve">ARIMAR LEITE DE ALBUQUERQUE             </t>
  </si>
  <si>
    <t xml:space="preserve">R CARRO QUEBRADO 177                    </t>
  </si>
  <si>
    <t xml:space="preserve"> AO LADO DO COLEGIO                     </t>
  </si>
  <si>
    <t xml:space="preserve"> 88 98191-8521                                      </t>
  </si>
  <si>
    <t xml:space="preserve">    762.079.783-15</t>
  </si>
  <si>
    <t xml:space="preserve">MERC DO AIRTON                          </t>
  </si>
  <si>
    <t xml:space="preserve">JOSE AIRTON FERREIRA                    </t>
  </si>
  <si>
    <t xml:space="preserve">CRG CORREGO DO URUBU 1 36               </t>
  </si>
  <si>
    <t xml:space="preserve"> 88 99613-2241                                      </t>
  </si>
  <si>
    <t>07.458.488/0001-44</t>
  </si>
  <si>
    <t xml:space="preserve">DIST.BEBIDAS O DUVAL                    </t>
  </si>
  <si>
    <t xml:space="preserve">ANTONIA ELZINETE VASCONCELOS            </t>
  </si>
  <si>
    <t xml:space="preserve">AV AVENIDA MANOEL TEIXEIRA 159          </t>
  </si>
  <si>
    <t xml:space="preserve"> PROX A POUSADA SOL NASCEN              </t>
  </si>
  <si>
    <t xml:space="preserve"> 88 99612-6791                                      </t>
  </si>
  <si>
    <t xml:space="preserve">    620.492.672-15</t>
  </si>
  <si>
    <t xml:space="preserve">MERCADINHO CRUZEIRO                     </t>
  </si>
  <si>
    <t xml:space="preserve">JOaO ANTONIO DA CRUZ                    </t>
  </si>
  <si>
    <t xml:space="preserve">R JOaO PESSOA 2649                      </t>
  </si>
  <si>
    <t xml:space="preserve"> PROX. AOS GUIAS DO FALSO               </t>
  </si>
  <si>
    <t xml:space="preserve"> 88 99800-2134                                      </t>
  </si>
  <si>
    <t xml:space="preserve">    000.661.893-65</t>
  </si>
  <si>
    <t xml:space="preserve">STILO BAR                               </t>
  </si>
  <si>
    <t xml:space="preserve">GILVAN ODECIO DA SILVA                  </t>
  </si>
  <si>
    <t xml:space="preserve">SIT SITIO LAGOA VELHA CE, 085 SN        </t>
  </si>
  <si>
    <t xml:space="preserve"> PROXIMO AO ANTIGO BAR DA               </t>
  </si>
  <si>
    <t xml:space="preserve"> 88 99728-1378                                      </t>
  </si>
  <si>
    <t xml:space="preserve">    036.866.213-63</t>
  </si>
  <si>
    <t xml:space="preserve">DEPOSITO EMANUEL                        </t>
  </si>
  <si>
    <t xml:space="preserve">EMANUEL SILVIO SILVA SOUSA              </t>
  </si>
  <si>
    <t xml:space="preserve">VL VILA SaO GERALDO SN                  </t>
  </si>
  <si>
    <t xml:space="preserve"> PROX AO COMERCIO DO BARRE              </t>
  </si>
  <si>
    <t xml:space="preserve"> 85 99629-0631                                      </t>
  </si>
  <si>
    <t>56.021.076/0001-58</t>
  </si>
  <si>
    <t xml:space="preserve">WB DELICIOS                             </t>
  </si>
  <si>
    <t xml:space="preserve">EDINIR AUGUSTA DA SILVA                 </t>
  </si>
  <si>
    <t xml:space="preserve"> PROXIMO A CONVENIENCIA NA              </t>
  </si>
  <si>
    <t xml:space="preserve"> 88 99647-0611                                      </t>
  </si>
  <si>
    <t xml:space="preserve">    271.573.518-97</t>
  </si>
  <si>
    <t xml:space="preserve">REI DO FRANGO                           </t>
  </si>
  <si>
    <t xml:space="preserve">FRANCISCO GILSON BARROS                 </t>
  </si>
  <si>
    <t xml:space="preserve">AV AV PADRE ANTONIO TOMAS 2478          </t>
  </si>
  <si>
    <t xml:space="preserve"> EM FRENTE O POSTO BAILARI              </t>
  </si>
  <si>
    <t xml:space="preserve"> 88 99708-8030                                      </t>
  </si>
  <si>
    <t xml:space="preserve">    027.544.713-83</t>
  </si>
  <si>
    <t xml:space="preserve">BAR DO PAPITO                           </t>
  </si>
  <si>
    <t xml:space="preserve">MARIA YZAILA RODRIGUES                  </t>
  </si>
  <si>
    <t xml:space="preserve">TR TR ATONSO FONTES SN                  </t>
  </si>
  <si>
    <t xml:space="preserve"> EM FRETE AO POSTO FREITAS              </t>
  </si>
  <si>
    <t xml:space="preserve"> 88 99996-5608                                      </t>
  </si>
  <si>
    <t>57.638.000/0001-39</t>
  </si>
  <si>
    <t xml:space="preserve">PEIXARIA DO VALE                        </t>
  </si>
  <si>
    <t xml:space="preserve">MANOEL AMADEU DE SOUSA FILHO            </t>
  </si>
  <si>
    <t xml:space="preserve">SIT SITIO GUARDA SN                     </t>
  </si>
  <si>
    <t xml:space="preserve"> PROX AO BAR DO DECA                    </t>
  </si>
  <si>
    <t xml:space="preserve">SITIO GUARDA                                                </t>
  </si>
  <si>
    <t xml:space="preserve"> 88 99953-9596                                      </t>
  </si>
  <si>
    <t>46.196.513/0001-10</t>
  </si>
  <si>
    <t xml:space="preserve">JR MERCANTIL                            </t>
  </si>
  <si>
    <t xml:space="preserve">REGINA LUCIA DE VASCONCELOS PINTO       </t>
  </si>
  <si>
    <t xml:space="preserve">SIT SITIO BARRINHA DE CIMA SN           </t>
  </si>
  <si>
    <t xml:space="preserve"> PROX A IGREJA                          </t>
  </si>
  <si>
    <t xml:space="preserve"> 88 98156-5037                                      </t>
  </si>
  <si>
    <t xml:space="preserve">    082.527.878-35</t>
  </si>
  <si>
    <t xml:space="preserve">BAT DO NENZIM                           </t>
  </si>
  <si>
    <t xml:space="preserve">MANOEL ERNESTO DO NASCIMENTO            </t>
  </si>
  <si>
    <t xml:space="preserve">R RUA SaO JOaO SN                       </t>
  </si>
  <si>
    <t xml:space="preserve"> PROX A FARMACIA                        </t>
  </si>
  <si>
    <t xml:space="preserve"> 88 98132-9095                                      </t>
  </si>
  <si>
    <t xml:space="preserve">    359.002.368-62</t>
  </si>
  <si>
    <t xml:space="preserve">LANCHONETE BEATRIZ                      </t>
  </si>
  <si>
    <t xml:space="preserve">JOSE MARCELO DE SOUSA                   </t>
  </si>
  <si>
    <t xml:space="preserve"> PROXIMO AO BAR DO DEDE                 </t>
  </si>
  <si>
    <t xml:space="preserve"> 88 98852-7441                                      </t>
  </si>
  <si>
    <t>59.404.758/0001-38</t>
  </si>
  <si>
    <t xml:space="preserve">PADARIA CENTRAL                         </t>
  </si>
  <si>
    <t xml:space="preserve">CENTRAL PADARIA,MERCEARIA E LANCHONETE  </t>
  </si>
  <si>
    <t xml:space="preserve"> PROXIMO AO RESTAURANTE BO              </t>
  </si>
  <si>
    <t xml:space="preserve"> 88 99483-6080                                      </t>
  </si>
  <si>
    <t xml:space="preserve">    283.609.488-52</t>
  </si>
  <si>
    <t xml:space="preserve">ARENA LANCHES                           </t>
  </si>
  <si>
    <t xml:space="preserve">MARIA SANDRA DA COSTA                   </t>
  </si>
  <si>
    <t xml:space="preserve">AV AVENIDA PRINCIPAL BORGES 174         </t>
  </si>
  <si>
    <t xml:space="preserve"> AO LADO DA ARENINHA                    </t>
  </si>
  <si>
    <t xml:space="preserve">POVOADO BORGES                                              </t>
  </si>
  <si>
    <t xml:space="preserve"> 88 99633-1204                                      </t>
  </si>
  <si>
    <t xml:space="preserve">    069.690.563-92</t>
  </si>
  <si>
    <t xml:space="preserve">SENA LANCHES                            </t>
  </si>
  <si>
    <t xml:space="preserve">RONALDO FELIPE DE OLIVEIRA              </t>
  </si>
  <si>
    <t xml:space="preserve"> DEPOIS DA PRACA PROXIMO A              </t>
  </si>
  <si>
    <t xml:space="preserve"> 88 99300-6946                                      </t>
  </si>
  <si>
    <t xml:space="preserve">    043.333.151-82</t>
  </si>
  <si>
    <t xml:space="preserve">DEGUSTAR RESTAURANTE                    </t>
  </si>
  <si>
    <t xml:space="preserve">VICTOR LUAN BATISTA DA SILVA            </t>
  </si>
  <si>
    <t xml:space="preserve">CRG CORREGO DO URUBO SN                 </t>
  </si>
  <si>
    <t xml:space="preserve"> EM FRENTE RESTAURANTE LUA              </t>
  </si>
  <si>
    <t xml:space="preserve"> 88 99984-0425                                      </t>
  </si>
  <si>
    <t>54.924.280/0001-53</t>
  </si>
  <si>
    <t xml:space="preserve">ESPETINHO DO FELIPE                     </t>
  </si>
  <si>
    <t xml:space="preserve">ESPETINHO DO FELIPE LTDA                </t>
  </si>
  <si>
    <t xml:space="preserve">R RUA 1 CONJUT MONSSENHOR WALDIR69      </t>
  </si>
  <si>
    <t xml:space="preserve">AV                                                          </t>
  </si>
  <si>
    <t xml:space="preserve"> 88 99976-8015                                      </t>
  </si>
  <si>
    <t xml:space="preserve">    044.919.173-70</t>
  </si>
  <si>
    <t xml:space="preserve">EM CASA PESTICARIA                      </t>
  </si>
  <si>
    <t xml:space="preserve">ADRIANO VASCONCELOS BRANDaO             </t>
  </si>
  <si>
    <t xml:space="preserve">R RUA VEREADOR MUNDICO MARTINS 3681     </t>
  </si>
  <si>
    <t xml:space="preserve"> PROX AO MERC SaO FRANCISC              </t>
  </si>
  <si>
    <t xml:space="preserve"> 88 99981-0042                                      </t>
  </si>
  <si>
    <t xml:space="preserve">    052.046.593-82</t>
  </si>
  <si>
    <t xml:space="preserve">LUMAR LANCHES E DRIN                    </t>
  </si>
  <si>
    <t xml:space="preserve">MARIA MARTA DE ARAUJO                   </t>
  </si>
  <si>
    <t xml:space="preserve">SIT ST COASSU SN                        </t>
  </si>
  <si>
    <t xml:space="preserve"> EM FRENTE AO MEC TROPICAL              </t>
  </si>
  <si>
    <t xml:space="preserve"> 88 99909-4543                                      </t>
  </si>
  <si>
    <t xml:space="preserve">    317.299.243-87</t>
  </si>
  <si>
    <t xml:space="preserve">MERCADINHO VINICIOS                     </t>
  </si>
  <si>
    <t xml:space="preserve">JOSE JUVENIL RODRIGUES                  </t>
  </si>
  <si>
    <t xml:space="preserve">IA ILHA DO RATO SN                      </t>
  </si>
  <si>
    <t xml:space="preserve"> PROX A IGREJA EVANGELICA               </t>
  </si>
  <si>
    <t xml:space="preserve"> 88 98233-9323                                      </t>
  </si>
  <si>
    <t>25.264.218/0001-84</t>
  </si>
  <si>
    <t xml:space="preserve">MERCADINHO DA DAIZA                     </t>
  </si>
  <si>
    <t xml:space="preserve">THAIS NASCIMENTO SILVEIRA               </t>
  </si>
  <si>
    <t xml:space="preserve">R RUA MANOEL ODELIO DA SILVEIRA SN      </t>
  </si>
  <si>
    <t xml:space="preserve"> PROX AO COMERCIAL MULTIGI              </t>
  </si>
  <si>
    <t xml:space="preserve"> 88 99677-0020                                      </t>
  </si>
  <si>
    <t xml:space="preserve">    090.722.113-08</t>
  </si>
  <si>
    <t xml:space="preserve">GELADaO                                 </t>
  </si>
  <si>
    <t xml:space="preserve">ISAAC MENEZES                           </t>
  </si>
  <si>
    <t xml:space="preserve">AV Avenida Manoel Teixeira 151          </t>
  </si>
  <si>
    <t xml:space="preserve"> De frente ao mercado econ              </t>
  </si>
  <si>
    <t xml:space="preserve"> 88 98109-6134                                      </t>
  </si>
  <si>
    <t>12.002.383/0001-16</t>
  </si>
  <si>
    <t xml:space="preserve">SPECIAL GRILL                           </t>
  </si>
  <si>
    <t xml:space="preserve">PAULO S TEIXEIRA ME                     </t>
  </si>
  <si>
    <t xml:space="preserve">AV AV EDVAR ESMERIANO DA SILVA S SN     </t>
  </si>
  <si>
    <t xml:space="preserve"> PROXIMO A PADARIA SANGUE               </t>
  </si>
  <si>
    <t xml:space="preserve"> 88 99924-5687                                      </t>
  </si>
  <si>
    <t xml:space="preserve">    874.223.013-68</t>
  </si>
  <si>
    <t xml:space="preserve">IDEA LANCHE                             </t>
  </si>
  <si>
    <t xml:space="preserve">MARIA IEDA NASCIMENTO                   </t>
  </si>
  <si>
    <t xml:space="preserve">AV AV MANOEL DANIEL DA SILVA SN         </t>
  </si>
  <si>
    <t xml:space="preserve"> PROXIMO A MERC CRISTIANO               </t>
  </si>
  <si>
    <t xml:space="preserve"> 88 98102-9810                                      </t>
  </si>
  <si>
    <t xml:space="preserve">    014.450.663-78</t>
  </si>
  <si>
    <t xml:space="preserve">BAR CANTINHO FELIZ                      </t>
  </si>
  <si>
    <t xml:space="preserve">SILVANI FONTELES ARAUJO                 </t>
  </si>
  <si>
    <t xml:space="preserve">AC BAIXIO 1 SN                          </t>
  </si>
  <si>
    <t xml:space="preserve"> PERTO DA BRANCA                        </t>
  </si>
  <si>
    <t xml:space="preserve"> 88 99980-7903                                      </t>
  </si>
  <si>
    <t xml:space="preserve">    054.381.786-58</t>
  </si>
  <si>
    <t xml:space="preserve">POUSADA VILLA CHIC                      </t>
  </si>
  <si>
    <t xml:space="preserve">FABIANO EUSTAQUIO DE OLIVEIRA           </t>
  </si>
  <si>
    <t xml:space="preserve"> PROXIMO AO PONTO DO COCO               </t>
  </si>
  <si>
    <t>62.589-000</t>
  </si>
  <si>
    <t xml:space="preserve"> 88 99986-4700                                      </t>
  </si>
  <si>
    <t xml:space="preserve">    054.786.723-94</t>
  </si>
  <si>
    <t xml:space="preserve">MERCADINHO SAO JOSE                     </t>
  </si>
  <si>
    <t xml:space="preserve">GEORGE YURI VASCONCELOS                 </t>
  </si>
  <si>
    <t xml:space="preserve">R RUA NICOLAU PEIXOTO 75                </t>
  </si>
  <si>
    <t xml:space="preserve"> PROX. AO BAR DA EDIMARA                </t>
  </si>
  <si>
    <t xml:space="preserve"> 88 99628-1968                                      </t>
  </si>
  <si>
    <t>58.312.003/0001-40</t>
  </si>
  <si>
    <t xml:space="preserve">MERCEARIA O CHIQUINH                    </t>
  </si>
  <si>
    <t xml:space="preserve">LARISSE COSTA DE PAULA                  </t>
  </si>
  <si>
    <t xml:space="preserve">R RUA ANTONIO INACIO 338                </t>
  </si>
  <si>
    <t xml:space="preserve"> AO LADO DO FORRO DO CHIQU              </t>
  </si>
  <si>
    <t xml:space="preserve"> 88 99653-5272                                      </t>
  </si>
  <si>
    <t xml:space="preserve">    060.193.873-99</t>
  </si>
  <si>
    <t xml:space="preserve">VIBE DO PALADAR                         </t>
  </si>
  <si>
    <t xml:space="preserve">JOSE LUCAS DE SOUSA BARBOSA             </t>
  </si>
  <si>
    <t xml:space="preserve">AV AVENIDA JOaO BATISTA RIOS 618        </t>
  </si>
  <si>
    <t xml:space="preserve"> PROX AO MERC UNIaO                     </t>
  </si>
  <si>
    <t xml:space="preserve"> 88 99604-8850                                      </t>
  </si>
  <si>
    <t>28.789.080/0001-25</t>
  </si>
  <si>
    <t xml:space="preserve">PONTO DO HORTIFRUTI                     </t>
  </si>
  <si>
    <t xml:space="preserve">VALDIWEYNE CHARLES FERNANDES SILVEIRA   </t>
  </si>
  <si>
    <t xml:space="preserve">R RUA VALDIMIRO ANTONIO DA SILVE180     </t>
  </si>
  <si>
    <t xml:space="preserve"> PROX AO POSTO DE SAUDE                 </t>
  </si>
  <si>
    <t xml:space="preserve"> 88 98858-2801                                      </t>
  </si>
  <si>
    <t xml:space="preserve">    029.871.723-97</t>
  </si>
  <si>
    <t xml:space="preserve">MERCADINHO DO DAVID                     </t>
  </si>
  <si>
    <t xml:space="preserve">DAVID DE PAULO DA COSTA                 </t>
  </si>
  <si>
    <t xml:space="preserve">AV AV MANOEL DANIEL DA SILVEIRA 1125    </t>
  </si>
  <si>
    <t xml:space="preserve"> PROX AO FELIPE CELULAR                 </t>
  </si>
  <si>
    <t xml:space="preserve"> 88 98830-1113                                      </t>
  </si>
  <si>
    <t xml:space="preserve">    913.838.463-91</t>
  </si>
  <si>
    <t xml:space="preserve">CLUBE DOS COQUEIROS                     </t>
  </si>
  <si>
    <t xml:space="preserve">MARIA LUCIENE SOUSA                     </t>
  </si>
  <si>
    <t xml:space="preserve">CRG CORREGO DO TOP SN                   </t>
  </si>
  <si>
    <t>62.585-000</t>
  </si>
  <si>
    <t xml:space="preserve"> 88 99774-4212                                      </t>
  </si>
  <si>
    <t>54.863.348/0001-31</t>
  </si>
  <si>
    <t xml:space="preserve">RESTAURANTE FAVORITO                    </t>
  </si>
  <si>
    <t>54.863.348 ANTONIO CARLOS PEREIRA SAMPAI</t>
  </si>
  <si>
    <t xml:space="preserve">AV Avenida Manoel Teixeira 147          </t>
  </si>
  <si>
    <t xml:space="preserve"> fica em frente o posto fr              </t>
  </si>
  <si>
    <t xml:space="preserve"> 88 98819-4097                                      </t>
  </si>
  <si>
    <t>33.190.183/0001-04</t>
  </si>
  <si>
    <t xml:space="preserve">MERCADINHO COMPRE FA                    </t>
  </si>
  <si>
    <t xml:space="preserve">RM CARNEIRO ME                          </t>
  </si>
  <si>
    <t xml:space="preserve">AV AVENIDA MANOEL TEIXEIRA 155          </t>
  </si>
  <si>
    <t xml:space="preserve"> DE FRENTE AO POSTO FREITA              </t>
  </si>
  <si>
    <t xml:space="preserve"> 88 99725-5943                                      </t>
  </si>
  <si>
    <t xml:space="preserve">    477.881.378-20</t>
  </si>
  <si>
    <t xml:space="preserve">BAR GELA GOELA                          </t>
  </si>
  <si>
    <t xml:space="preserve">RICARDO VASCONCELOS BATISTA             </t>
  </si>
  <si>
    <t xml:space="preserve">R RUA MIGUEL ARCANJO DE MENEZES 25      </t>
  </si>
  <si>
    <t xml:space="preserve"> PROXIMO AO BAR DA ELISANG              </t>
  </si>
  <si>
    <t xml:space="preserve"> 88 98143-0779                                      </t>
  </si>
  <si>
    <t xml:space="preserve">    095.828.253-67</t>
  </si>
  <si>
    <t xml:space="preserve">LACASA DO SABORES II                    </t>
  </si>
  <si>
    <t xml:space="preserve">BRUNO DE SENA COSTA                     </t>
  </si>
  <si>
    <t xml:space="preserve">AV AVENIDA TOMAS SABINO DE SOUSA SN     </t>
  </si>
  <si>
    <t xml:space="preserve"> PROX AO MERC. CARNEIRO                 </t>
  </si>
  <si>
    <t xml:space="preserve"> 88 99402-2921                                      </t>
  </si>
  <si>
    <t xml:space="preserve">    448.944.653-53</t>
  </si>
  <si>
    <t xml:space="preserve">RESTAURANTE TIA ROSA                    </t>
  </si>
  <si>
    <t xml:space="preserve">MARIA ROSIMAR DE LIMA                   </t>
  </si>
  <si>
    <t xml:space="preserve">AV AVENIDA JOAO BATISTA RIOS 2838       </t>
  </si>
  <si>
    <t xml:space="preserve"> EM FRENTE A SERRARIA BOA               </t>
  </si>
  <si>
    <t xml:space="preserve"> 88 99971-0969                                      </t>
  </si>
  <si>
    <t>42.860.027/0001-02</t>
  </si>
  <si>
    <t xml:space="preserve">MERCADINHO NOVO PREC                    </t>
  </si>
  <si>
    <t xml:space="preserve">MATEUS SILVEIRA SOUZA                   </t>
  </si>
  <si>
    <t xml:space="preserve">R RUA CAVALO BRAVO SN                   </t>
  </si>
  <si>
    <t xml:space="preserve"> 88 99804-0170                                      </t>
  </si>
  <si>
    <t xml:space="preserve">    864.095.143-87</t>
  </si>
  <si>
    <t xml:space="preserve">MERCADINHO JR                           </t>
  </si>
  <si>
    <t xml:space="preserve">FRANCISCO DAS CHAGAS FERREIRA DE AMORIM </t>
  </si>
  <si>
    <t xml:space="preserve"> TM BRISA MAR BAR E CONVEN              </t>
  </si>
  <si>
    <t xml:space="preserve"> 88 98848-1853                                      </t>
  </si>
  <si>
    <t xml:space="preserve">    032.717.893-04</t>
  </si>
  <si>
    <t xml:space="preserve">NOSSO BOTECO                            </t>
  </si>
  <si>
    <t xml:space="preserve">ADRIANA NAGILA DE SENA                  </t>
  </si>
  <si>
    <t xml:space="preserve">R RUA EZEQUIEL VASCONCELOS 440          </t>
  </si>
  <si>
    <t xml:space="preserve"> PIZZARIA ESTRELA DE ROMA               </t>
  </si>
  <si>
    <t xml:space="preserve"> 88 99723-9101                                      </t>
  </si>
  <si>
    <t xml:space="preserve">    038.937.673-63</t>
  </si>
  <si>
    <t xml:space="preserve">MERCEARIA ANTONIO CA                    </t>
  </si>
  <si>
    <t xml:space="preserve">DELMIRO MARGUES FERREIRA NETO           </t>
  </si>
  <si>
    <t xml:space="preserve">R RUA PRINCIPAL 39                      </t>
  </si>
  <si>
    <t xml:space="preserve"> EM FRENTE AO LOS LOCOS                 </t>
  </si>
  <si>
    <t xml:space="preserve"> 88 99986-0048                                      </t>
  </si>
  <si>
    <t>05.026.774/0001-05</t>
  </si>
  <si>
    <t xml:space="preserve">CLUBVENTOS                              </t>
  </si>
  <si>
    <t xml:space="preserve">JERI EMPREENDIMENTOS TURISTICOS LTDA    </t>
  </si>
  <si>
    <t xml:space="preserve"> BEIRA MAR                              </t>
  </si>
  <si>
    <t xml:space="preserve"> 88 99864-7600                                      </t>
  </si>
  <si>
    <t xml:space="preserve">    959.040.002-78</t>
  </si>
  <si>
    <t xml:space="preserve">PADARIA JERI                            </t>
  </si>
  <si>
    <t xml:space="preserve">ROMISON LUIS CARDOSO BARBOSA            </t>
  </si>
  <si>
    <t xml:space="preserve">R RUA VICENTE RUFINO SN                 </t>
  </si>
  <si>
    <t xml:space="preserve"> BECO DA PRACA                          </t>
  </si>
  <si>
    <t xml:space="preserve"> 91 98769-1046                                      </t>
  </si>
  <si>
    <t xml:space="preserve">    021.834.223-35</t>
  </si>
  <si>
    <t xml:space="preserve">BAR PETISCARIA ACUDE                    </t>
  </si>
  <si>
    <t xml:space="preserve">ANTONIO RAIMUNDO NASCIMENTO             </t>
  </si>
  <si>
    <t xml:space="preserve">R POCO DOCE 2 SN                        </t>
  </si>
  <si>
    <t xml:space="preserve"> 88 99995-3992                                      </t>
  </si>
  <si>
    <t>21.137.171/0001-37</t>
  </si>
  <si>
    <t xml:space="preserve">MERC CARNEIRO CORGO                     </t>
  </si>
  <si>
    <t>MERCANTIL CARNEIRO E SERVICOS PARA SUPER</t>
  </si>
  <si>
    <t xml:space="preserve">SIT SITIO CORREGO DA FORQUILHA 2 SN     </t>
  </si>
  <si>
    <t xml:space="preserve"> ACADEMICA                              </t>
  </si>
  <si>
    <t xml:space="preserve"> 88 99771-8919                                      </t>
  </si>
  <si>
    <t xml:space="preserve">    076.332.523-67</t>
  </si>
  <si>
    <t xml:space="preserve">MERCANTIL GUABIRABA                     </t>
  </si>
  <si>
    <t xml:space="preserve">NATALIA ALVES ROSA                      </t>
  </si>
  <si>
    <t xml:space="preserve">R RUA GUABIRABA SN                      </t>
  </si>
  <si>
    <t xml:space="preserve"> PERTO DO JP DISTRIBUIDORA              </t>
  </si>
  <si>
    <t>06.590-000</t>
  </si>
  <si>
    <t xml:space="preserve"> 88 99612-4878                                      </t>
  </si>
  <si>
    <t>40.154.034/0001-55</t>
  </si>
  <si>
    <t xml:space="preserve">LA GRANELA                              </t>
  </si>
  <si>
    <t xml:space="preserve">GUSTAVO VALE NASCIMENTO                 </t>
  </si>
  <si>
    <t xml:space="preserve">R RUA IRACEMA SN                        </t>
  </si>
  <si>
    <t xml:space="preserve"> EM FRENTE A PRACA NA ENTR              </t>
  </si>
  <si>
    <t xml:space="preserve"> 88 99654-0624                                      </t>
  </si>
  <si>
    <t>60.328.384/0001-06</t>
  </si>
  <si>
    <t xml:space="preserve">567 PRAIA                               </t>
  </si>
  <si>
    <t xml:space="preserve">COZINHA PRAIANA JERI LTDA               </t>
  </si>
  <si>
    <t xml:space="preserve">AC JERICOACOARA SN                      </t>
  </si>
  <si>
    <t xml:space="preserve"> DO LADO DO BAR DO ALEXAND              </t>
  </si>
  <si>
    <t xml:space="preserve"> 85 99747-0599                                      </t>
  </si>
  <si>
    <t>51.245.987/0001-45</t>
  </si>
  <si>
    <t xml:space="preserve">DANJELLE VASCONCELOS                    </t>
  </si>
  <si>
    <t>51.245.987 MARIA DANJELLE FERREIRA VASCO</t>
  </si>
  <si>
    <t xml:space="preserve"> Rua Brasilia 538                       </t>
  </si>
  <si>
    <t xml:space="preserve"> 88 99754-3423                                      </t>
  </si>
  <si>
    <t xml:space="preserve">    149.211.068-00</t>
  </si>
  <si>
    <t xml:space="preserve">BARRACA MALA E CUIA                     </t>
  </si>
  <si>
    <t xml:space="preserve">FRANCISCO ANTONIO DE SOUZA              </t>
  </si>
  <si>
    <t xml:space="preserve">TV TV VICENTE DE PAULA 1398             </t>
  </si>
  <si>
    <t xml:space="preserve"> BARRACA DO MARROCO                     </t>
  </si>
  <si>
    <t xml:space="preserve"> 88 99804-8625                                      </t>
  </si>
  <si>
    <t xml:space="preserve">    828.240.021-15</t>
  </si>
  <si>
    <t xml:space="preserve">POINT DO SALGADO                        </t>
  </si>
  <si>
    <t xml:space="preserve">GERALDO MAGELA DA SILVA                 </t>
  </si>
  <si>
    <t xml:space="preserve">TV TV VICENTE DE PAULA 1467             </t>
  </si>
  <si>
    <t xml:space="preserve"> TORRE DA TIM                           </t>
  </si>
  <si>
    <t xml:space="preserve"> 88 99215-7188                                      </t>
  </si>
  <si>
    <t xml:space="preserve">    338.784.328-36</t>
  </si>
  <si>
    <t xml:space="preserve">AMARZEM BEACH GASTRO                    </t>
  </si>
  <si>
    <t xml:space="preserve">RONALDO JEFFERSON DE LIMA SILVA         </t>
  </si>
  <si>
    <t xml:space="preserve">AV AVENIDA BEIRA MAR PREA SN            </t>
  </si>
  <si>
    <t xml:space="preserve"> AO LADO DO SHOPPING SANDE              </t>
  </si>
  <si>
    <t xml:space="preserve"> 11 95134-9038                                      </t>
  </si>
  <si>
    <t>50.000.951/0001-39</t>
  </si>
  <si>
    <t xml:space="preserve">ESPETINHO DO PAULIST                    </t>
  </si>
  <si>
    <t xml:space="preserve">ESPETINHO DO PAULISTA                   </t>
  </si>
  <si>
    <t xml:space="preserve">R 5 DE FEVEREIRO 402                    </t>
  </si>
  <si>
    <t xml:space="preserve"> 11 91715-9468                                      </t>
  </si>
  <si>
    <t>60.476.308/0001-30</t>
  </si>
  <si>
    <t xml:space="preserve">GASTROBAR                               </t>
  </si>
  <si>
    <t xml:space="preserve">GASTROBAR E PIZZARIA JIJOCA LTDA - ME   </t>
  </si>
  <si>
    <t xml:space="preserve">TV TV VICENTE DE PAULA 1463             </t>
  </si>
  <si>
    <t xml:space="preserve"> 11 98716-2621                                      </t>
  </si>
  <si>
    <t xml:space="preserve">    370.504.818-07</t>
  </si>
  <si>
    <t xml:space="preserve">BOM GOSTO PIZZARIA                      </t>
  </si>
  <si>
    <t xml:space="preserve">JELCIONE DE SOUZA FERREIRA              </t>
  </si>
  <si>
    <t xml:space="preserve">AV AVENIDA JERICOACOARA 448             </t>
  </si>
  <si>
    <t xml:space="preserve"> PROX. AO ATACADaO DO VALE              </t>
  </si>
  <si>
    <t xml:space="preserve"> 88 99864-0084                                      </t>
  </si>
  <si>
    <t xml:space="preserve">    086.586.528-07</t>
  </si>
  <si>
    <t xml:space="preserve">FRANCISCO JOSE DO NASCIMENTO            </t>
  </si>
  <si>
    <t xml:space="preserve"> AO LADO DA FRUTARIA JMG                </t>
  </si>
  <si>
    <t xml:space="preserve"> 11 94938-9603                                      </t>
  </si>
  <si>
    <t xml:space="preserve">    538.798.148-30</t>
  </si>
  <si>
    <t xml:space="preserve">CHUR POPULAR PREA                       </t>
  </si>
  <si>
    <t xml:space="preserve">LARA FONTES DE SOUSA                    </t>
  </si>
  <si>
    <t xml:space="preserve"> ABASTECIMENTO DE AGUA PRE              </t>
  </si>
  <si>
    <t xml:space="preserve"> 11 95961-1310                                      </t>
  </si>
  <si>
    <t xml:space="preserve">    056.555.633-98</t>
  </si>
  <si>
    <t xml:space="preserve">LANDAS BAR                              </t>
  </si>
  <si>
    <t xml:space="preserve">DANIEL PEREIRA DE ARAUJO                </t>
  </si>
  <si>
    <t xml:space="preserve"> PROX AO COLEGIO                        </t>
  </si>
  <si>
    <t xml:space="preserve"> 88 98186-5268                                      </t>
  </si>
  <si>
    <t xml:space="preserve">    087.285.753-00</t>
  </si>
  <si>
    <t xml:space="preserve">LOUNGER BAR                             </t>
  </si>
  <si>
    <t xml:space="preserve">IRIS ELBA DOS SANTOS ANDRADE            </t>
  </si>
  <si>
    <t xml:space="preserve">CRG CORREGO DO URUBU 1 SN               </t>
  </si>
  <si>
    <t xml:space="preserve"> PROXIMO AO ANTIGO BLACK H              </t>
  </si>
  <si>
    <t xml:space="preserve"> 88 99978-4971                                      </t>
  </si>
  <si>
    <t xml:space="preserve">    024.869.123-63</t>
  </si>
  <si>
    <t xml:space="preserve">MAYCON OLIVEIRA                         </t>
  </si>
  <si>
    <t xml:space="preserve">R RUA JOSE COSMO SN                     </t>
  </si>
  <si>
    <t xml:space="preserve"> AO LADO DO MERCADINHO BOM              </t>
  </si>
  <si>
    <t xml:space="preserve"> 88 99242-4105                                      </t>
  </si>
  <si>
    <t xml:space="preserve">    308.142.808-46</t>
  </si>
  <si>
    <t xml:space="preserve">ESPETINHO PONTO X                       </t>
  </si>
  <si>
    <t xml:space="preserve">PEDRO EDIMILSON ARAUJO                  </t>
  </si>
  <si>
    <t xml:space="preserve"> PROXIMO AO MERCADINHO SAO              </t>
  </si>
  <si>
    <t xml:space="preserve"> 88 99925-1548                                      </t>
  </si>
  <si>
    <t>49.444.173/0001-98</t>
  </si>
  <si>
    <t xml:space="preserve">CANTINA JERI                            </t>
  </si>
  <si>
    <t xml:space="preserve">CANTINA JERI LTDA - ME                  </t>
  </si>
  <si>
    <t xml:space="preserve">R RUA ARMANDO VASCONCELOS SN            </t>
  </si>
  <si>
    <t xml:space="preserve"> PROX. AO CAFE JERI                     </t>
  </si>
  <si>
    <t xml:space="preserve"> 88 99608-4313                                      </t>
  </si>
  <si>
    <t>48.165.932/0001-10</t>
  </si>
  <si>
    <t xml:space="preserve">CHURRAS DOS BROTHERS                    </t>
  </si>
  <si>
    <t xml:space="preserve">CHURRAS DOS BROTHERS LTDA               </t>
  </si>
  <si>
    <t xml:space="preserve"> LOJA AMERICANAS                        </t>
  </si>
  <si>
    <t xml:space="preserve"> 49 99104-2831                                      </t>
  </si>
  <si>
    <t>34.857.399/0001-43</t>
  </si>
  <si>
    <t xml:space="preserve">MERCEARIA ZE DO EDGA                    </t>
  </si>
  <si>
    <t xml:space="preserve">BARBARA BRANDAO RUSSO                   </t>
  </si>
  <si>
    <t xml:space="preserve">R RUA 07 DE SETEMBRO 312                </t>
  </si>
  <si>
    <t xml:space="preserve"> BRANDaO NET                            </t>
  </si>
  <si>
    <t xml:space="preserve"> 88 99954-3422                                      </t>
  </si>
  <si>
    <t xml:space="preserve">    023.824.063-05</t>
  </si>
  <si>
    <t xml:space="preserve">BAR DAS PODEROSAS                       </t>
  </si>
  <si>
    <t xml:space="preserve">FRANCISCO JOSE ROCHA RODRIGUES          </t>
  </si>
  <si>
    <t xml:space="preserve">ROD RODOVIA 085 LAGOA VELHA SN          </t>
  </si>
  <si>
    <t xml:space="preserve"> PROXIMO A IGREJA DE SaO C              </t>
  </si>
  <si>
    <t xml:space="preserve"> 88 99355-2127                                      </t>
  </si>
  <si>
    <t>59.347.655/0001-83</t>
  </si>
  <si>
    <t xml:space="preserve">CHICAO HORTIFRUTI                       </t>
  </si>
  <si>
    <t xml:space="preserve">CHICAO HORTIFRUTI LTDA - ME             </t>
  </si>
  <si>
    <t xml:space="preserve">R RUA RAIMUNDO SOBRINHO SN              </t>
  </si>
  <si>
    <t xml:space="preserve"> CHICaO PADARIA E CAFETERI              </t>
  </si>
  <si>
    <t xml:space="preserve"> 88 99976-1358                                      </t>
  </si>
  <si>
    <t>34.221.151/0001-91</t>
  </si>
  <si>
    <t xml:space="preserve">WELLINGTON VARIEDADE                    </t>
  </si>
  <si>
    <t xml:space="preserve">FRANCISCO WELLINGTON VASCONCELOS        </t>
  </si>
  <si>
    <t xml:space="preserve">SIT SITIO ARATICUNS SN                  </t>
  </si>
  <si>
    <t xml:space="preserve"> BAR DO CLEITON                         </t>
  </si>
  <si>
    <t xml:space="preserve"> 88 99641-7694                                      </t>
  </si>
  <si>
    <t xml:space="preserve">    467.732.358-55</t>
  </si>
  <si>
    <t xml:space="preserve">LA FAMILIA                              </t>
  </si>
  <si>
    <t xml:space="preserve">FRANCISCO DOUGLAS DE VASCONCELOS        </t>
  </si>
  <si>
    <t xml:space="preserve">VL POCO DOCE SN                         </t>
  </si>
  <si>
    <t xml:space="preserve"> POSTO EL SHADAY                        </t>
  </si>
  <si>
    <t xml:space="preserve"> 11 94827-5896                                      </t>
  </si>
  <si>
    <t xml:space="preserve">    068.067.113-75</t>
  </si>
  <si>
    <t xml:space="preserve">CANTINHO DA CIDA                        </t>
  </si>
  <si>
    <t xml:space="preserve">ANTONIA RAFAEL GOMES LINO               </t>
  </si>
  <si>
    <t xml:space="preserve">AV AVENIDA MARIA JOSE SALES 690         </t>
  </si>
  <si>
    <t xml:space="preserve"> CASA DO CONSTRUTOR                     </t>
  </si>
  <si>
    <t xml:space="preserve"> 88 99792-9611                                      </t>
  </si>
  <si>
    <t xml:space="preserve">    974.100.203-34</t>
  </si>
  <si>
    <t xml:space="preserve">BAR DO COSME                            </t>
  </si>
  <si>
    <t xml:space="preserve">COSME GERALDO NETO                      </t>
  </si>
  <si>
    <t xml:space="preserve">R PV CARRAPATEIRO SN                    </t>
  </si>
  <si>
    <t xml:space="preserve"> BUDEGS                                 </t>
  </si>
  <si>
    <t xml:space="preserve"> 88 99906-1186                                      </t>
  </si>
  <si>
    <t xml:space="preserve">    432.183.498-85</t>
  </si>
  <si>
    <t xml:space="preserve">COMERCIO DO TOINHO                      </t>
  </si>
  <si>
    <t xml:space="preserve">ARON LEITE CARNEIRO                     </t>
  </si>
  <si>
    <t xml:space="preserve"> RESTAURANTE MARESIA                    </t>
  </si>
  <si>
    <t xml:space="preserve"> 98 99126-1178                                      </t>
  </si>
  <si>
    <t xml:space="preserve">    944.856.583-68</t>
  </si>
  <si>
    <t xml:space="preserve">TOP BAR                                 </t>
  </si>
  <si>
    <t xml:space="preserve">CRISTIANE FLAVIA ARAUJO                 </t>
  </si>
  <si>
    <t xml:space="preserve">VL PV COREEGO DO TOPE SN                </t>
  </si>
  <si>
    <t xml:space="preserve"> BLUBE DOS COQUEIROS                    </t>
  </si>
  <si>
    <t xml:space="preserve"> 88 98233-8090                                      </t>
  </si>
  <si>
    <t xml:space="preserve">    263.727.988-59</t>
  </si>
  <si>
    <t xml:space="preserve">JAIR ARAUJO SOUZA                       </t>
  </si>
  <si>
    <t xml:space="preserve">R PV GUARDA SN                          </t>
  </si>
  <si>
    <t xml:space="preserve"> FACEBAR                                </t>
  </si>
  <si>
    <t xml:space="preserve"> 88 99635-8958                                      </t>
  </si>
  <si>
    <t xml:space="preserve">    627.037.303-49</t>
  </si>
  <si>
    <t xml:space="preserve">ESPETINHO DO NETO                       </t>
  </si>
  <si>
    <t xml:space="preserve">JOAQUIM CONRADO DA SILVA NETO           </t>
  </si>
  <si>
    <t xml:space="preserve">R RUA PREFEITO RAIMUNDO ROCHA 578       </t>
  </si>
  <si>
    <t xml:space="preserve"> IMPERIO DO PaO                         </t>
  </si>
  <si>
    <t xml:space="preserve"> 88 99633-7733                                      </t>
  </si>
  <si>
    <t xml:space="preserve">    259.099.338-25</t>
  </si>
  <si>
    <t xml:space="preserve">LANCHONETE EXPRESSO                     </t>
  </si>
  <si>
    <t xml:space="preserve">AV AVENIDA NICODEMOS DE ARAUJO 2082     </t>
  </si>
  <si>
    <t xml:space="preserve"> HOSPITAL DE TRAUMATOLOGIA              </t>
  </si>
  <si>
    <t xml:space="preserve"> 88 99642-7103                                      </t>
  </si>
  <si>
    <t xml:space="preserve">    454.615.463-15</t>
  </si>
  <si>
    <t xml:space="preserve">PEIXE ROSA                              </t>
  </si>
  <si>
    <t xml:space="preserve">JOSE FLAVIO ALVES DOS REIS              </t>
  </si>
  <si>
    <t xml:space="preserve">R RUA CESARIO PEREIRA 1953              </t>
  </si>
  <si>
    <t xml:space="preserve"> PROX. AO DEP. DA DONA LUC              </t>
  </si>
  <si>
    <t xml:space="preserve"> 88 99655-2155                                      </t>
  </si>
  <si>
    <t xml:space="preserve">    101.960.553-77</t>
  </si>
  <si>
    <t xml:space="preserve">RECANTO CEARENSE                        </t>
  </si>
  <si>
    <t xml:space="preserve">JOSE GILSON                             </t>
  </si>
  <si>
    <t xml:space="preserve">R Poco doce ll - Gamileirinha, CSN      </t>
  </si>
  <si>
    <t xml:space="preserve"> 11 91725-9423                                      </t>
  </si>
  <si>
    <t xml:space="preserve">    045.839.473-48</t>
  </si>
  <si>
    <t xml:space="preserve">MERCADINHO IMPERIO                      </t>
  </si>
  <si>
    <t xml:space="preserve">IVAMAR DO NASCIMENTO SAMPAIO            </t>
  </si>
  <si>
    <t xml:space="preserve">R RUA BAIXIO SN                         </t>
  </si>
  <si>
    <t xml:space="preserve"> EM FRENTE A PADARIA                    </t>
  </si>
  <si>
    <t xml:space="preserve"> 88 99915-7082                                      </t>
  </si>
  <si>
    <t xml:space="preserve">    041.168.773-52</t>
  </si>
  <si>
    <t xml:space="preserve">COMERCIO DO FERNANDO                    </t>
  </si>
  <si>
    <t xml:space="preserve">FERNANDO GUSTAVO DE SOUZA               </t>
  </si>
  <si>
    <t xml:space="preserve"> VOO TELECOM                            </t>
  </si>
  <si>
    <t xml:space="preserve"> 88 99954-5843                                      </t>
  </si>
  <si>
    <t>47.145.338/0001-03</t>
  </si>
  <si>
    <t xml:space="preserve">MERCADINHO SaO GERAL                    </t>
  </si>
  <si>
    <t xml:space="preserve">JOSE NEUTON PEREIRA                     </t>
  </si>
  <si>
    <t xml:space="preserve">R RUA BAIXIO 2103                       </t>
  </si>
  <si>
    <t xml:space="preserve"> PROX. A IGREJA MATRIZ                  </t>
  </si>
  <si>
    <t xml:space="preserve"> 88 98883-1192                                      </t>
  </si>
  <si>
    <t xml:space="preserve">    459.550.002-59</t>
  </si>
  <si>
    <t xml:space="preserve">MERCADINHO NAEL                         </t>
  </si>
  <si>
    <t xml:space="preserve">JOaO EVANGELICO CARDOSO                 </t>
  </si>
  <si>
    <t xml:space="preserve"> POR TRAS DA IGREJA                     </t>
  </si>
  <si>
    <t xml:space="preserve"> 88 98882-3598                                      </t>
  </si>
  <si>
    <t xml:space="preserve">    288.239.328-82</t>
  </si>
  <si>
    <t xml:space="preserve">LANCHONETE TA NA CHA                    </t>
  </si>
  <si>
    <t xml:space="preserve">AGOBAR MARGUES DE SOUSA                 </t>
  </si>
  <si>
    <t xml:space="preserve">R RUA CESARIO PEREIRA 1941              </t>
  </si>
  <si>
    <t xml:space="preserve"> COLEGIO CARLOS JEREISSATI              </t>
  </si>
  <si>
    <t xml:space="preserve"> 88 98101-7140                                      </t>
  </si>
  <si>
    <t>45.896.009/0001-60</t>
  </si>
  <si>
    <t xml:space="preserve">REST SUSHI OSAKA                        </t>
  </si>
  <si>
    <t xml:space="preserve">JOSE IDAILTON FERREIRA DE SOUZA         </t>
  </si>
  <si>
    <t xml:space="preserve">R RUA MANOEL MARQUES 1132               </t>
  </si>
  <si>
    <t xml:space="preserve"> DALLAS BURGUER                         </t>
  </si>
  <si>
    <t xml:space="preserve"> 88 99778-2490                                      </t>
  </si>
  <si>
    <t xml:space="preserve">    934.005.603-59</t>
  </si>
  <si>
    <t xml:space="preserve">ESPETINHO DA FAMILIA                    </t>
  </si>
  <si>
    <t xml:space="preserve">CLAUDINER VASCONCELOS ROCHA             </t>
  </si>
  <si>
    <t xml:space="preserve">R RUA MINAS GERAIS 289                  </t>
  </si>
  <si>
    <t xml:space="preserve"> DALLAS                                 </t>
  </si>
  <si>
    <t xml:space="preserve"> 88 99981-5950                                      </t>
  </si>
  <si>
    <t xml:space="preserve">    288.743.428-45</t>
  </si>
  <si>
    <t xml:space="preserve">MERCADINHO DO JUARES                    </t>
  </si>
  <si>
    <t xml:space="preserve">JUARES BRITO DE ANDRADE                 </t>
  </si>
  <si>
    <t xml:space="preserve">R PV RIACHO DA PRATA SN                 </t>
  </si>
  <si>
    <t xml:space="preserve"> 88 99995-8724                                      </t>
  </si>
  <si>
    <t xml:space="preserve">    820.065.553-91</t>
  </si>
  <si>
    <t xml:space="preserve">BAR WS                                  </t>
  </si>
  <si>
    <t xml:space="preserve">FRANCISCO WENDA DA SILVA                </t>
  </si>
  <si>
    <t xml:space="preserve">VL PV RIACHO DA PRATA SN                </t>
  </si>
  <si>
    <t xml:space="preserve"> PROX A IGRRJA                          </t>
  </si>
  <si>
    <t xml:space="preserve"> 88 99649-9213                                      </t>
  </si>
  <si>
    <t>58.981.612/0001-92</t>
  </si>
  <si>
    <t xml:space="preserve">MERCANTIL DO EMANOEL                    </t>
  </si>
  <si>
    <t xml:space="preserve">FRANCISCO EMANOEL DE VASCONCELOS        </t>
  </si>
  <si>
    <t xml:space="preserve"> BAR DO CARLOS                          </t>
  </si>
  <si>
    <t xml:space="preserve"> 85 99941-9310                                      </t>
  </si>
  <si>
    <t xml:space="preserve">    902.859.133-87</t>
  </si>
  <si>
    <t xml:space="preserve">BAR DO VALDINAR                         </t>
  </si>
  <si>
    <t xml:space="preserve">VALDINAR DE FREITAS DIAS                </t>
  </si>
  <si>
    <t xml:space="preserve"> PROX AO BAR CARLOS                     </t>
  </si>
  <si>
    <t xml:space="preserve"> 88 98118-8346                                      </t>
  </si>
  <si>
    <t xml:space="preserve">    027.060.033-75</t>
  </si>
  <si>
    <t xml:space="preserve">MERCANTIL APRIJO                        </t>
  </si>
  <si>
    <t xml:space="preserve">AURICELIA GONCALVES DE SOUZA            </t>
  </si>
  <si>
    <t xml:space="preserve">AV AVENIDA AFONSO FONTE 724             </t>
  </si>
  <si>
    <t xml:space="preserve"> COMERCIAL MIX                          </t>
  </si>
  <si>
    <t xml:space="preserve"> 88 99645-7939                                      </t>
  </si>
  <si>
    <t>46.793.168/0001-00</t>
  </si>
  <si>
    <t xml:space="preserve">COMERCIAL MIX                           </t>
  </si>
  <si>
    <t xml:space="preserve">PAMELA JAMILLE FERNANDES DE VASCONCELOS </t>
  </si>
  <si>
    <t xml:space="preserve">R RUA AFONSO FONTE 791                  </t>
  </si>
  <si>
    <t xml:space="preserve"> ATACADaO SaO FRANCISCO                 </t>
  </si>
  <si>
    <t xml:space="preserve"> 88 99673-4122                                      </t>
  </si>
  <si>
    <t xml:space="preserve">    767.236.663-72</t>
  </si>
  <si>
    <t xml:space="preserve">RITA DO CHAGA                           </t>
  </si>
  <si>
    <t xml:space="preserve">RITA MARGUES SAMPAIO                    </t>
  </si>
  <si>
    <t xml:space="preserve">R RUA CAMPO GRANDE 618                  </t>
  </si>
  <si>
    <t xml:space="preserve"> CAMPO DA ARENINHA                      </t>
  </si>
  <si>
    <t xml:space="preserve"> 88 99660-7839                                      </t>
  </si>
  <si>
    <t>05.673.503/0001-41</t>
  </si>
  <si>
    <t xml:space="preserve">MINI MERCANTIL RAIMU                    </t>
  </si>
  <si>
    <t xml:space="preserve">RAIMUNDO A MONTEIRO LTDA                </t>
  </si>
  <si>
    <t xml:space="preserve">R RUA NAZARE VASCONCELOS 1729           </t>
  </si>
  <si>
    <t xml:space="preserve"> MERCADO PUBLICO                        </t>
  </si>
  <si>
    <t xml:space="preserve"> 88 99687-5639                                      </t>
  </si>
  <si>
    <t xml:space="preserve">    806.123.934-53</t>
  </si>
  <si>
    <t xml:space="preserve">CAJUEIROS BAR                           </t>
  </si>
  <si>
    <t xml:space="preserve">MARIA DA GUIA DA SILVA RUFINO           </t>
  </si>
  <si>
    <t xml:space="preserve">R PV TOPE DE CIMA SN                    </t>
  </si>
  <si>
    <t xml:space="preserve"> CLUBE DOS COQUEIROS                    </t>
  </si>
  <si>
    <t xml:space="preserve"> 88 98105-6941                                      </t>
  </si>
  <si>
    <t xml:space="preserve">    843.895.083-34</t>
  </si>
  <si>
    <t xml:space="preserve">GELADAO GERALD                          </t>
  </si>
  <si>
    <t xml:space="preserve">JOSE GERALDO DA COSTA                   </t>
  </si>
  <si>
    <t xml:space="preserve">AV AV JOAO BATISTA RIOS 1446            </t>
  </si>
  <si>
    <t xml:space="preserve"> FRENTE A POUSADA ESPACO V              </t>
  </si>
  <si>
    <t xml:space="preserve">    971.528.543-00</t>
  </si>
  <si>
    <t xml:space="preserve">DEP SERGIO D ZE LEME                    </t>
  </si>
  <si>
    <t xml:space="preserve">JOAO SERGIO ROCHA SILVEIRA              </t>
  </si>
  <si>
    <t xml:space="preserve">R RUA GOVERNADOR RAUL BARBOSA 718       </t>
  </si>
  <si>
    <t xml:space="preserve"> PROXIMO A LOJA SEM COMENT              </t>
  </si>
  <si>
    <t xml:space="preserve"> 88 99801-1418                                      </t>
  </si>
  <si>
    <t xml:space="preserve">    039.911.203-05</t>
  </si>
  <si>
    <t xml:space="preserve">DRINKS BAR                              </t>
  </si>
  <si>
    <t xml:space="preserve">MARIA ADRIANA FERREIRA DOS SANTOS       </t>
  </si>
  <si>
    <t xml:space="preserve">AV AVENIDA JOSE MARIA SALES 860         </t>
  </si>
  <si>
    <t xml:space="preserve"> AO LADO DO LED SOUND                   </t>
  </si>
  <si>
    <t xml:space="preserve"> 88 92159-6823                                      </t>
  </si>
  <si>
    <t>60.727.858/0001-84</t>
  </si>
  <si>
    <t xml:space="preserve">RESTAURANTE JERIMUUM                    </t>
  </si>
  <si>
    <t xml:space="preserve">MARIA DIANA DE SOUZA                    </t>
  </si>
  <si>
    <t xml:space="preserve">AV AVENIDA OLAVIO VASCONCELOS SN        </t>
  </si>
  <si>
    <t xml:space="preserve"> RESTAURANTE SOL E SABOR                </t>
  </si>
  <si>
    <t xml:space="preserve"> 88 99936-1045                                      </t>
  </si>
  <si>
    <t xml:space="preserve">    018.173.413-32</t>
  </si>
  <si>
    <t xml:space="preserve">TIA BAICA CONVENIENC                    </t>
  </si>
  <si>
    <t xml:space="preserve">BEATRIZ DE SOUSA MONTEIRO               </t>
  </si>
  <si>
    <t xml:space="preserve"> PONTO DO COCO                          </t>
  </si>
  <si>
    <t xml:space="preserve"> 88 99699-6491                                      </t>
  </si>
  <si>
    <t xml:space="preserve">    042.692.913-62</t>
  </si>
  <si>
    <t xml:space="preserve">DEPOSITO SAO FRANCIS                    </t>
  </si>
  <si>
    <t xml:space="preserve">MANOEL ERINALDO CAMPOS                  </t>
  </si>
  <si>
    <t xml:space="preserve">R RUA PERNAMBUCO SN                     </t>
  </si>
  <si>
    <t xml:space="preserve"> CRECHE SERGIO HEREIRA                  </t>
  </si>
  <si>
    <t xml:space="preserve"> 88 99665-8100                                      </t>
  </si>
  <si>
    <t>16.756.688/0001-74</t>
  </si>
  <si>
    <t xml:space="preserve">BALNEARIO ZE RITA                       </t>
  </si>
  <si>
    <t xml:space="preserve">VALDERLANDIA IARA DE ARAUJO             </t>
  </si>
  <si>
    <t xml:space="preserve">AC POCO DOCE SN                         </t>
  </si>
  <si>
    <t xml:space="preserve"> DEPOIS DA PONTE DO ACUDE               </t>
  </si>
  <si>
    <t xml:space="preserve"> 88 98194-5925                                      </t>
  </si>
  <si>
    <t xml:space="preserve">    703.053.903-68</t>
  </si>
  <si>
    <t xml:space="preserve">BAR DO ANTONIO                          </t>
  </si>
  <si>
    <t xml:space="preserve">ANTONIO ANDRADE SAMPAIO                 </t>
  </si>
  <si>
    <t xml:space="preserve">R RUA BELEM 700                         </t>
  </si>
  <si>
    <t xml:space="preserve"> DEPOIS DO CIMITERIO                    </t>
  </si>
  <si>
    <t xml:space="preserve"> 88 99857-7614                                      </t>
  </si>
  <si>
    <t xml:space="preserve">    054.251.603-99</t>
  </si>
  <si>
    <t xml:space="preserve">MERCANTIL POPULAR                       </t>
  </si>
  <si>
    <t xml:space="preserve">FRACISCO TIAGO ANDRADE MARQUES          </t>
  </si>
  <si>
    <t xml:space="preserve">AC OSTRAS SN                            </t>
  </si>
  <si>
    <t xml:space="preserve"> PROXIMO AO MERCANTIL ESPE              </t>
  </si>
  <si>
    <t xml:space="preserve"> 88 88146-8709                                      </t>
  </si>
  <si>
    <t xml:space="preserve">    080.630.783-81</t>
  </si>
  <si>
    <t xml:space="preserve">BRANDMAR DISTRIBUIDO                    </t>
  </si>
  <si>
    <t xml:space="preserve">WILLIAM HIGOR QUIRINO BRANDAO           </t>
  </si>
  <si>
    <t xml:space="preserve">R RUA RAIMUNDO ALEXANDRE 2063           </t>
  </si>
  <si>
    <t xml:space="preserve"> ESCOLA JOSE DIONISIO                   </t>
  </si>
  <si>
    <t xml:space="preserve"> 88 99911-0959                                      </t>
  </si>
  <si>
    <t xml:space="preserve">    029.154.663-35</t>
  </si>
  <si>
    <t xml:space="preserve">MERC ZE DO FAUSTO                       </t>
  </si>
  <si>
    <t xml:space="preserve">JOSE ALVES DE MIRANDA                   </t>
  </si>
  <si>
    <t xml:space="preserve">AC ILHA DOS COQUEIROS SN                </t>
  </si>
  <si>
    <t xml:space="preserve"> EM FRENTE AO BAR DA MENTA              </t>
  </si>
  <si>
    <t>05.006.716/0001-10</t>
  </si>
  <si>
    <t xml:space="preserve">KAZE SUSHI BAR                          </t>
  </si>
  <si>
    <t xml:space="preserve">RAQUEL TANIGAKI BORGES ME               </t>
  </si>
  <si>
    <t xml:space="preserve">TV TV EDVAR ESMERINO DA SILVA SN        </t>
  </si>
  <si>
    <t xml:space="preserve"> EM FRENTE AO ROX HOTEL                 </t>
  </si>
  <si>
    <t xml:space="preserve"> 88 99996-5791                                      </t>
  </si>
  <si>
    <t>05.006.716/0002-09</t>
  </si>
  <si>
    <t xml:space="preserve">KAZE IZAKAYA                            </t>
  </si>
  <si>
    <t xml:space="preserve"> ESQUINA COM O BEDO DO GUA              </t>
  </si>
  <si>
    <t xml:space="preserve"> 88 99953-1872                                      </t>
  </si>
  <si>
    <t>39.292.934/0001-80</t>
  </si>
  <si>
    <t xml:space="preserve">PARAISO DO FRANGO                       </t>
  </si>
  <si>
    <t xml:space="preserve">GLAUCIANE PEREIRA DA SILVA              </t>
  </si>
  <si>
    <t xml:space="preserve">VL PV CORREGO DO URUBU 1 SN             </t>
  </si>
  <si>
    <t xml:space="preserve"> BENDITO SABOR                          </t>
  </si>
  <si>
    <t xml:space="preserve"> 88 99254-9025                                      </t>
  </si>
  <si>
    <t xml:space="preserve">    179.055.083-15</t>
  </si>
  <si>
    <t xml:space="preserve">BAR DO JOSE JACINTO                     </t>
  </si>
  <si>
    <t xml:space="preserve">JOSE JACINTO MARGUES                    </t>
  </si>
  <si>
    <t xml:space="preserve">CRG CORREGO DO URUBU 2 SN               </t>
  </si>
  <si>
    <t xml:space="preserve"> MERCADINHO JM                          </t>
  </si>
  <si>
    <t xml:space="preserve"> 88 99634-0499                                      </t>
  </si>
  <si>
    <t xml:space="preserve">    825.298.253-00</t>
  </si>
  <si>
    <t xml:space="preserve">MERCADINHO 3R                           </t>
  </si>
  <si>
    <t xml:space="preserve">ROGERIO DE SOUSA BRANDaO                </t>
  </si>
  <si>
    <t xml:space="preserve">AV AVENIDA JERICOACOARA SN              </t>
  </si>
  <si>
    <t xml:space="preserve"> EM FRENTE AO CHAGA BRANDa              </t>
  </si>
  <si>
    <t xml:space="preserve"> 88 99915-5815                                      </t>
  </si>
  <si>
    <t>51.524.482/0001-10</t>
  </si>
  <si>
    <t xml:space="preserve">SAL E SABOR                             </t>
  </si>
  <si>
    <t xml:space="preserve">SAL E SABOR LTDA                        </t>
  </si>
  <si>
    <t xml:space="preserve">R RUA MINAS GERAIS 407                  </t>
  </si>
  <si>
    <t xml:space="preserve"> MERCADINHO GILMAR                      </t>
  </si>
  <si>
    <t xml:space="preserve"> 85 99616-3969                                      </t>
  </si>
  <si>
    <t xml:space="preserve">    049.262.253-10</t>
  </si>
  <si>
    <t xml:space="preserve">BAR DO NILDE                            </t>
  </si>
  <si>
    <t xml:space="preserve">ANTONIO ERONILDES DOS SANTOS DE SOUSA   </t>
  </si>
  <si>
    <t xml:space="preserve">VL PV BORGES SN                         </t>
  </si>
  <si>
    <t xml:space="preserve"> CAMPO DO BORGES                        </t>
  </si>
  <si>
    <t xml:space="preserve"> 88 99696-9818                                      </t>
  </si>
  <si>
    <t>39.347.053/0001-19</t>
  </si>
  <si>
    <t xml:space="preserve">STANDER BURGUER                         </t>
  </si>
  <si>
    <t xml:space="preserve">ANTONIO ALCI DO NASCIMENTO              </t>
  </si>
  <si>
    <t xml:space="preserve">AV AVENIDA JERICOACOARA 479             </t>
  </si>
  <si>
    <t xml:space="preserve"> JC VEICULOS                            </t>
  </si>
  <si>
    <t xml:space="preserve"> 88 99987-0854                                      </t>
  </si>
  <si>
    <t xml:space="preserve">    075.660.463-06</t>
  </si>
  <si>
    <t xml:space="preserve">BAR ENCANTO VERDE                       </t>
  </si>
  <si>
    <t xml:space="preserve">VICENTE DE PAULO COSTA                  </t>
  </si>
  <si>
    <t xml:space="preserve">R PV RIACHO DA PRATA 1 SN               </t>
  </si>
  <si>
    <t xml:space="preserve"> AO LADO DA IGREJA MATRIZ               </t>
  </si>
  <si>
    <t xml:space="preserve"> 11 98285-6724                                      </t>
  </si>
  <si>
    <t xml:space="preserve">    072.685.786-60</t>
  </si>
  <si>
    <t xml:space="preserve">CONDOMINIO CONDURU                      </t>
  </si>
  <si>
    <t xml:space="preserve">ADERSON JOSE ALVES JARDIM BONFIM        </t>
  </si>
  <si>
    <t xml:space="preserve">CON Condominio Conduru 2 2              </t>
  </si>
  <si>
    <t xml:space="preserve"> CASA 09                                </t>
  </si>
  <si>
    <t xml:space="preserve"> 88 98163-4228                                      </t>
  </si>
  <si>
    <t>30.158.316/0001-77</t>
  </si>
  <si>
    <t xml:space="preserve">BAR DO ALEX                             </t>
  </si>
  <si>
    <t xml:space="preserve">FRANCISCO ALEX PINTO                    </t>
  </si>
  <si>
    <t xml:space="preserve">R RUA JOSE LUCIO 507                    </t>
  </si>
  <si>
    <t xml:space="preserve"> AO LADO DA URBAN STORE PR              </t>
  </si>
  <si>
    <t xml:space="preserve"> 88 99833-9102                                      </t>
  </si>
  <si>
    <t xml:space="preserve">    053.213.703-54</t>
  </si>
  <si>
    <t xml:space="preserve">DECK BAR                                </t>
  </si>
  <si>
    <t xml:space="preserve">FRANCISCA ALINE VENANCIO                </t>
  </si>
  <si>
    <t xml:space="preserve">R ROD. JOaO FERREIRA GOMES SN           </t>
  </si>
  <si>
    <t xml:space="preserve"> POUSADA E REST UNIdos                  </t>
  </si>
  <si>
    <t xml:space="preserve"> 88 99982-7241                                      </t>
  </si>
  <si>
    <t xml:space="preserve">    003.458.543-57</t>
  </si>
  <si>
    <t xml:space="preserve">OFERTA MERCANTIL                        </t>
  </si>
  <si>
    <t xml:space="preserve">MARIA EDILENE SAMPAIO                   </t>
  </si>
  <si>
    <t xml:space="preserve">AV AVENIDA MARIA MUNIZ 400              </t>
  </si>
  <si>
    <t xml:space="preserve"> AO LADO DA LOJA BS STORY               </t>
  </si>
  <si>
    <t xml:space="preserve"> 88 99941-3857                                      </t>
  </si>
  <si>
    <t xml:space="preserve">    071.468.283-79</t>
  </si>
  <si>
    <t xml:space="preserve">VAREJAO DAS FRUTAS                      </t>
  </si>
  <si>
    <t xml:space="preserve">JORGE HENRIQUE SILVEIRA                 </t>
  </si>
  <si>
    <t xml:space="preserve">R RUA 6 DE ABRIL 507                    </t>
  </si>
  <si>
    <t xml:space="preserve"> EM FRENTE AO EMPORIO CASA              </t>
  </si>
  <si>
    <t xml:space="preserve"> 88 99920-6295                                      </t>
  </si>
  <si>
    <t xml:space="preserve">    165.152.168-90</t>
  </si>
  <si>
    <t xml:space="preserve">LANCHONETE EXPLOSaO                     </t>
  </si>
  <si>
    <t xml:space="preserve">EVERARDO JOSE DE VASCONCELOS            </t>
  </si>
  <si>
    <t xml:space="preserve">R RUA CELSO ARAUJO 124                  </t>
  </si>
  <si>
    <t xml:space="preserve"> LELEO CALCADOS                         </t>
  </si>
  <si>
    <t xml:space="preserve"> 88 99918-3564                                      </t>
  </si>
  <si>
    <t>17.500.816/0001-87</t>
  </si>
  <si>
    <t xml:space="preserve">I LOVE NIGHT CLUB                       </t>
  </si>
  <si>
    <t xml:space="preserve">MARIA NEIDE DE BARROS                   </t>
  </si>
  <si>
    <t xml:space="preserve">EST ESTRADA ACARAU SN                   </t>
  </si>
  <si>
    <t xml:space="preserve"> PROX A ROTATORIA                       </t>
  </si>
  <si>
    <t xml:space="preserve"> 88 98104-4371                                      </t>
  </si>
  <si>
    <t xml:space="preserve">    078.898.763-19</t>
  </si>
  <si>
    <t xml:space="preserve">RESTAURANTE PANELACO                    </t>
  </si>
  <si>
    <t xml:space="preserve">MARIA GESSIANE DE SOUSA BARROS          </t>
  </si>
  <si>
    <t xml:space="preserve"> EMPORIO 33                             </t>
  </si>
  <si>
    <t xml:space="preserve"> 88 98879-1438                                      </t>
  </si>
  <si>
    <t xml:space="preserve">    284.683.251-04</t>
  </si>
  <si>
    <t xml:space="preserve">BISTRO JERIMUN                          </t>
  </si>
  <si>
    <t xml:space="preserve">EDNA LUCIA DA SILVA VARGAS VENTURIN     </t>
  </si>
  <si>
    <t xml:space="preserve">R RUA JOSE LOPES PONTES SN              </t>
  </si>
  <si>
    <t xml:space="preserve"> RESTAURANTE DA LU                      </t>
  </si>
  <si>
    <t xml:space="preserve"> 66 98127-6671                                      </t>
  </si>
  <si>
    <t>59.572.425/0001-18</t>
  </si>
  <si>
    <t xml:space="preserve">REST SABOR DE CASA                      </t>
  </si>
  <si>
    <t xml:space="preserve">RAIMUNDO CLEANDO TEIXEIRA ARAUJO        </t>
  </si>
  <si>
    <t xml:space="preserve"> 88 98185-2109                                      </t>
  </si>
  <si>
    <t xml:space="preserve">    079.873.763-88</t>
  </si>
  <si>
    <t xml:space="preserve">PIZZAJERI                               </t>
  </si>
  <si>
    <t xml:space="preserve">KARLOS SOUSA NASCIMENTO CID             </t>
  </si>
  <si>
    <t xml:space="preserve">R RUA JOSE CAPISTRANO 820               </t>
  </si>
  <si>
    <t xml:space="preserve"> ENTRADA DAS PIRANHAS                   </t>
  </si>
  <si>
    <t xml:space="preserve"> 88 99720-3640                                      </t>
  </si>
  <si>
    <t>60.861.710/0001-38</t>
  </si>
  <si>
    <t xml:space="preserve">DALLAS BURGUER                          </t>
  </si>
  <si>
    <t xml:space="preserve">DALLAS BURGUER LTDA - ME                </t>
  </si>
  <si>
    <t xml:space="preserve">R RUA FRANCISCO XAVIER CHAVES 1072      </t>
  </si>
  <si>
    <t xml:space="preserve"> FRIGORIFICO PREA                       </t>
  </si>
  <si>
    <t xml:space="preserve"> 88 99928-4654                                      </t>
  </si>
  <si>
    <t xml:space="preserve">    035.639.553-79</t>
  </si>
  <si>
    <t xml:space="preserve">BOTECO BAR                              </t>
  </si>
  <si>
    <t xml:space="preserve">JOSE OZETE DO NASCIMENTO                </t>
  </si>
  <si>
    <t xml:space="preserve">R RUA GUADRA G 6                        </t>
  </si>
  <si>
    <t xml:space="preserve"> FRUTARIA DO RAIMUNDO                   </t>
  </si>
  <si>
    <t xml:space="preserve"> 88 99651-0447                                      </t>
  </si>
  <si>
    <t xml:space="preserve">    091.508.528-33</t>
  </si>
  <si>
    <t xml:space="preserve">MERCADINHO DIAS                         </t>
  </si>
  <si>
    <t xml:space="preserve">ANTONIO DIAS NETO                       </t>
  </si>
  <si>
    <t xml:space="preserve">AV AVENIDA QUATORZE DE JANEIRO 490      </t>
  </si>
  <si>
    <t xml:space="preserve"> PROX A AMBEV                           </t>
  </si>
  <si>
    <t xml:space="preserve"> 88 99914-1356                                      </t>
  </si>
  <si>
    <t xml:space="preserve">    024.333.943-76</t>
  </si>
  <si>
    <t xml:space="preserve">ESPETINHO CENTRAL                       </t>
  </si>
  <si>
    <t xml:space="preserve">JOSE EVALDO ALMEIDA                     </t>
  </si>
  <si>
    <t xml:space="preserve">R RUA CAPITaO MIGUEL LOPES 60           </t>
  </si>
  <si>
    <t xml:space="preserve"> PROX AO MERCADINHO DO PAU              </t>
  </si>
  <si>
    <t xml:space="preserve"> 88 99937-5869                                      </t>
  </si>
  <si>
    <t xml:space="preserve">    039.393.953-74</t>
  </si>
  <si>
    <t xml:space="preserve">DANIEL BORGES DOS SANTOS                </t>
  </si>
  <si>
    <t xml:space="preserve">PC PRACA RODRIGUES BASTOS 36            </t>
  </si>
  <si>
    <t xml:space="preserve"> 88 99930-5072                                      </t>
  </si>
  <si>
    <t xml:space="preserve">    042.810.073-26</t>
  </si>
  <si>
    <t xml:space="preserve">ADEGA BAR                               </t>
  </si>
  <si>
    <t xml:space="preserve">RAIMUNDO ERIVALDO DA SILVA              </t>
  </si>
  <si>
    <t xml:space="preserve">R RUA JOSE LEORNE RIOS 1023             </t>
  </si>
  <si>
    <t xml:space="preserve"> POINT DO BAIaO                         </t>
  </si>
  <si>
    <t xml:space="preserve"> 88 99910-3859                                      </t>
  </si>
  <si>
    <t xml:space="preserve">    042.385.043-13</t>
  </si>
  <si>
    <t xml:space="preserve">ARENA MACAJUBA                          </t>
  </si>
  <si>
    <t xml:space="preserve">MARIA ERISVANIA VASCONCELOS             </t>
  </si>
  <si>
    <t xml:space="preserve">VL VILA PROGRESSO SN                    </t>
  </si>
  <si>
    <t xml:space="preserve"> ANTIGO CAMPO DAS CASA NOV              </t>
  </si>
  <si>
    <t xml:space="preserve"> 88 99943-4601                                      </t>
  </si>
  <si>
    <t>53.784.485/0001-18</t>
  </si>
  <si>
    <t xml:space="preserve">FRANCISCO SERGIO ALB                    </t>
  </si>
  <si>
    <t xml:space="preserve">53.784.485 FRANCISCO SERGIO ALBUQUERQUE </t>
  </si>
  <si>
    <t xml:space="preserve">R pocos bela cruz SN                    </t>
  </si>
  <si>
    <t xml:space="preserve"> 88 99267-6398                                      </t>
  </si>
  <si>
    <t xml:space="preserve">    034.336.603-79</t>
  </si>
  <si>
    <t xml:space="preserve">DEPOSITO ADF                            </t>
  </si>
  <si>
    <t xml:space="preserve">JOSE ANDEON RODRIGUES COSTA             </t>
  </si>
  <si>
    <t xml:space="preserve">ROD BR 402 SN                           </t>
  </si>
  <si>
    <t xml:space="preserve"> PROX. A ENTRADA DA BAIXA               </t>
  </si>
  <si>
    <t xml:space="preserve">SANTA FE                                                    </t>
  </si>
  <si>
    <t xml:space="preserve"> 88 99904-3960                                      </t>
  </si>
  <si>
    <t xml:space="preserve">    067.513.393-99</t>
  </si>
  <si>
    <t xml:space="preserve">BAR DO ARROCHA                          </t>
  </si>
  <si>
    <t xml:space="preserve">TALISMAR BARROS COSTA SOUSA             </t>
  </si>
  <si>
    <t xml:space="preserve">AV AVENIDA JOSE COSTA SOUZA SN          </t>
  </si>
  <si>
    <t xml:space="preserve"> 88 98190-5531                                      </t>
  </si>
  <si>
    <t xml:space="preserve">    061.070.623-35</t>
  </si>
  <si>
    <t xml:space="preserve">MERC BENE                               </t>
  </si>
  <si>
    <t xml:space="preserve">MARIA NATALIA VIANA ARAUJO              </t>
  </si>
  <si>
    <t xml:space="preserve">VL PAU-DARCO SN                         </t>
  </si>
  <si>
    <t xml:space="preserve"> AO LADO DO BAR EDIVALCI                </t>
  </si>
  <si>
    <t xml:space="preserve"> 88 99602-2248                                      </t>
  </si>
  <si>
    <t xml:space="preserve">    967.191.333-49</t>
  </si>
  <si>
    <t xml:space="preserve">VALMIR DOS SANTOS OLIVEIRA              </t>
  </si>
  <si>
    <t xml:space="preserve">R RUA EDIGAR SALES MOURA 1355           </t>
  </si>
  <si>
    <t xml:space="preserve"> PROXIMO A CAIXA D AGUA                 </t>
  </si>
  <si>
    <t xml:space="preserve"> 88 99769-7669                                      </t>
  </si>
  <si>
    <t xml:space="preserve">    318.104.648-54</t>
  </si>
  <si>
    <t xml:space="preserve">MERCEARIA TOP 10                        </t>
  </si>
  <si>
    <t xml:space="preserve">JOSIVAN PESSOA FREITAS                  </t>
  </si>
  <si>
    <t xml:space="preserve">LG LG MONTEIRO SN                       </t>
  </si>
  <si>
    <t xml:space="preserve"> PONTO DA CASTANHA 2                    </t>
  </si>
  <si>
    <t xml:space="preserve"> 88 99694-7746                                      </t>
  </si>
  <si>
    <t xml:space="preserve">    524.946.913-20</t>
  </si>
  <si>
    <t xml:space="preserve">PARATI BAR                              </t>
  </si>
  <si>
    <t xml:space="preserve">JOSE EDVAR DOS SANTOS                   </t>
  </si>
  <si>
    <t xml:space="preserve">VL POVOADO PARATI SN                    </t>
  </si>
  <si>
    <t xml:space="preserve"> PERTO DO GATAO                         </t>
  </si>
  <si>
    <t xml:space="preserve">VILA PARATI                                                 </t>
  </si>
  <si>
    <t xml:space="preserve"> 88 99965-0326                                      </t>
  </si>
  <si>
    <t xml:space="preserve">    190.330.103-30</t>
  </si>
  <si>
    <t xml:space="preserve">COMERCIAL O JOCELIO                     </t>
  </si>
  <si>
    <t xml:space="preserve">RAIMUNDA NONATA DE MATOS                </t>
  </si>
  <si>
    <t xml:space="preserve">R RUA CAPITaO MIGUEL LOPES 672          </t>
  </si>
  <si>
    <t xml:space="preserve"> DEPOIS DO HOSPITAL                     </t>
  </si>
  <si>
    <t xml:space="preserve"> 88 99496-9092                                      </t>
  </si>
  <si>
    <t>61.296.819/0001-32</t>
  </si>
  <si>
    <t xml:space="preserve">HURA BEACH BRASIL                       </t>
  </si>
  <si>
    <t xml:space="preserve">TEMPERO DA ILHA RESTAURANTE LTDA - ME   </t>
  </si>
  <si>
    <t xml:space="preserve">AC FAROL DO ITAPAJE SN                  </t>
  </si>
  <si>
    <t xml:space="preserve"> AO LADO DO HOTEL KALYT                 </t>
  </si>
  <si>
    <t xml:space="preserve">FAROL DO ITAPAJE                                            </t>
  </si>
  <si>
    <t>62.690-000</t>
  </si>
  <si>
    <t xml:space="preserve"> 88 99972-8541                                      </t>
  </si>
  <si>
    <t xml:space="preserve">    071.675.513-09</t>
  </si>
  <si>
    <t xml:space="preserve">MERCADINHO TOP ALIME                    </t>
  </si>
  <si>
    <t xml:space="preserve">JOSE WESLEY SILVEIRA                    </t>
  </si>
  <si>
    <t xml:space="preserve">ROD RODOVIA JOSE MARIA MONTEIRO SN      </t>
  </si>
  <si>
    <t xml:space="preserve"> PROX. AO COLEGIO IZAURA F              </t>
  </si>
  <si>
    <t xml:space="preserve"> 88 99785-2973                                      </t>
  </si>
  <si>
    <t>45.084.354/0001-08</t>
  </si>
  <si>
    <t xml:space="preserve">MANDALA KITE                            </t>
  </si>
  <si>
    <t xml:space="preserve">MANDALA GROUP LTDA                      </t>
  </si>
  <si>
    <t xml:space="preserve">AV AVENIDA BEIRA MAR 1849               </t>
  </si>
  <si>
    <t xml:space="preserve"> VILA AGUA DE COCO                      </t>
  </si>
  <si>
    <t xml:space="preserve"> 88 98837-7014                                      </t>
  </si>
  <si>
    <t xml:space="preserve">    073.758.873-06</t>
  </si>
  <si>
    <t xml:space="preserve">BAR DO FARRINHA                         </t>
  </si>
  <si>
    <t xml:space="preserve">FRANCISCO JEFFERSON ALVES               </t>
  </si>
  <si>
    <t xml:space="preserve">R RIACHO PROXIMO AO BAR DA NOVINSN      </t>
  </si>
  <si>
    <t xml:space="preserve"> PROXIMO AO BAR DO NOVINHA              </t>
  </si>
  <si>
    <t xml:space="preserve"> 88 99939-9705                                      </t>
  </si>
  <si>
    <t xml:space="preserve">    253.783.008-35</t>
  </si>
  <si>
    <t xml:space="preserve">REST SABOR DA VILA                      </t>
  </si>
  <si>
    <t xml:space="preserve">VALDEMIR DAS CHAGAS SOUSA               </t>
  </si>
  <si>
    <t xml:space="preserve">R RUA DO PORTUGUES SN                   </t>
  </si>
  <si>
    <t xml:space="preserve"> PLAY KITE SCHOOL                       </t>
  </si>
  <si>
    <t xml:space="preserve"> 88 98217-2849                                      </t>
  </si>
  <si>
    <t xml:space="preserve">    018.656.263-25</t>
  </si>
  <si>
    <t xml:space="preserve">BAR DO SAMUEL                           </t>
  </si>
  <si>
    <t xml:space="preserve">SAMUEL BRAZ SOUZA OLIVEIRA              </t>
  </si>
  <si>
    <t xml:space="preserve">R RUA PROJETADA 03 514                  </t>
  </si>
  <si>
    <t xml:space="preserve"> COMICIO DO ROCHINHA                    </t>
  </si>
  <si>
    <t xml:space="preserve"> 88 99949-5095                                      </t>
  </si>
  <si>
    <t xml:space="preserve">    033.714.913-58</t>
  </si>
  <si>
    <t xml:space="preserve">JP MERCADINHO                           </t>
  </si>
  <si>
    <t xml:space="preserve">GEYSSA CORDEIRO                         </t>
  </si>
  <si>
    <t xml:space="preserve"> Rua Coronel Virgilio Tavora 142        </t>
  </si>
  <si>
    <t xml:space="preserve"> Prox ao triangulo bar                  </t>
  </si>
  <si>
    <t xml:space="preserve"> 88 99617-1967                                      </t>
  </si>
  <si>
    <t>58.771.876/0001-11</t>
  </si>
  <si>
    <t xml:space="preserve">DEPOSITO ELINARDO BE                    </t>
  </si>
  <si>
    <t xml:space="preserve">MARIA DAYANE ARAUJO                     </t>
  </si>
  <si>
    <t xml:space="preserve">R PV LAGOA DO MATO 141                  </t>
  </si>
  <si>
    <t xml:space="preserve"> FAZENDA VACA MAGA                      </t>
  </si>
  <si>
    <t xml:space="preserve"> 11 95789-5298                                      </t>
  </si>
  <si>
    <t xml:space="preserve">    061.546.913-27</t>
  </si>
  <si>
    <t xml:space="preserve">BAR DO LUCAS                            </t>
  </si>
  <si>
    <t xml:space="preserve">LUCAS EVANGELISTA DO VASCONCELOS        </t>
  </si>
  <si>
    <t xml:space="preserve">R RUA DA PRINCIPAL sn                   </t>
  </si>
  <si>
    <t xml:space="preserve"> PROXIMO AO BARILHOCHE                  </t>
  </si>
  <si>
    <t xml:space="preserve">JENIPAPIRO                                                  </t>
  </si>
  <si>
    <t xml:space="preserve"> 88 99939-1763                                      </t>
  </si>
  <si>
    <t xml:space="preserve">    050.288.903-90</t>
  </si>
  <si>
    <t xml:space="preserve">BURACO VERDE                            </t>
  </si>
  <si>
    <t xml:space="preserve">MARIA MACILENE ALBUQUERQUE              </t>
  </si>
  <si>
    <t xml:space="preserve">AC PV CORREGO DOS ANAS sn               </t>
  </si>
  <si>
    <t xml:space="preserve"> CLUB DO PATHUCA                        </t>
  </si>
  <si>
    <t xml:space="preserve">    063.157.673-89</t>
  </si>
  <si>
    <t xml:space="preserve">MERCADINHO SaO FRANC                    </t>
  </si>
  <si>
    <t xml:space="preserve">FRANCISCO EVANDRO AMORIM                </t>
  </si>
  <si>
    <t xml:space="preserve">VL PV MEDEIROS sn                       </t>
  </si>
  <si>
    <t xml:space="preserve"> PROX. AO CAMPO DE FUTEBOL              </t>
  </si>
  <si>
    <t xml:space="preserve">MEDEIROS                                                    </t>
  </si>
  <si>
    <t xml:space="preserve"> 88 99608-6855                                      </t>
  </si>
  <si>
    <t xml:space="preserve">    275.510.568-23</t>
  </si>
  <si>
    <t xml:space="preserve">DL MERCADINHO                           </t>
  </si>
  <si>
    <t xml:space="preserve">JOaO BATISTA NASCIMENTO                 </t>
  </si>
  <si>
    <t xml:space="preserve"> 88 99942-8770                                      </t>
  </si>
  <si>
    <t xml:space="preserve">    821.892.343-87</t>
  </si>
  <si>
    <t xml:space="preserve">MERCADINHO DO MAURIC                    </t>
  </si>
  <si>
    <t xml:space="preserve">FRANCISCO MAURICIO ARAUJO               </t>
  </si>
  <si>
    <t xml:space="preserve"> MEDEIROS                               </t>
  </si>
  <si>
    <t xml:space="preserve"> 88 99841-7788                                      </t>
  </si>
  <si>
    <t xml:space="preserve">    251.637.088-13</t>
  </si>
  <si>
    <t xml:space="preserve">MERCADINHO DO LUIS                      </t>
  </si>
  <si>
    <t xml:space="preserve">LUIS JOSE DE ARAUJO                     </t>
  </si>
  <si>
    <t xml:space="preserve">AC PV MEDEIROS sn                       </t>
  </si>
  <si>
    <t xml:space="preserve"> PROX. A OFICINA DO MANOEL              </t>
  </si>
  <si>
    <t xml:space="preserve"> 88 99603-0398                                      </t>
  </si>
  <si>
    <t xml:space="preserve">    154.232.178-65</t>
  </si>
  <si>
    <t xml:space="preserve">LANCHONETE RIKI BAR                     </t>
  </si>
  <si>
    <t xml:space="preserve">MANOEL ELIAS DE ARAUJO                  </t>
  </si>
  <si>
    <t xml:space="preserve">VL PV TABOLEIRO ALEGRE sn               </t>
  </si>
  <si>
    <t xml:space="preserve"> 88 98227-8285                                      </t>
  </si>
  <si>
    <t xml:space="preserve">    023.525.893-80</t>
  </si>
  <si>
    <t xml:space="preserve">PADARIA L.A                             </t>
  </si>
  <si>
    <t xml:space="preserve">MANOEL LEONARDO SILVEIRA                </t>
  </si>
  <si>
    <t xml:space="preserve"> BUDEGS BAR E PETISCARIA                </t>
  </si>
  <si>
    <t xml:space="preserve">CARAPATEIRA                                                 </t>
  </si>
  <si>
    <t xml:space="preserve"> 88 99632-9665                                      </t>
  </si>
  <si>
    <t>36.359.261/0001-40</t>
  </si>
  <si>
    <t xml:space="preserve">POUSADA LAGOA AZUL                      </t>
  </si>
  <si>
    <t xml:space="preserve">POUSADA LAGOA AZUL LTDA - ME            </t>
  </si>
  <si>
    <t xml:space="preserve">EST ESTRADA LAGOA AZUL SN               </t>
  </si>
  <si>
    <t xml:space="preserve"> BARRACA LAGOA AZUL                     </t>
  </si>
  <si>
    <t xml:space="preserve"> 88 98166-5793                                      </t>
  </si>
  <si>
    <t>48.773.361/0001-05</t>
  </si>
  <si>
    <t xml:space="preserve">MERCANTIL PAI E FILH                    </t>
  </si>
  <si>
    <t xml:space="preserve">OSVALDO BENTO GUILHERME FILHO LTDA      </t>
  </si>
  <si>
    <t xml:space="preserve">R RUA JOSE CAPISTRANO 790               </t>
  </si>
  <si>
    <t xml:space="preserve"> ENTRADA DO ACUDE DAS PIRA              </t>
  </si>
  <si>
    <t xml:space="preserve">PIRANHAS                                                    </t>
  </si>
  <si>
    <t xml:space="preserve"> 88 99640-9750                                      </t>
  </si>
  <si>
    <t>60.484.114/0001-86</t>
  </si>
  <si>
    <t xml:space="preserve">CHICO DELIVEY                           </t>
  </si>
  <si>
    <t xml:space="preserve">ANTONIO ROMARIO CARVALHO DOS SANTOS     </t>
  </si>
  <si>
    <t xml:space="preserve"> AO LADO DA MERC DO CHAGAS              </t>
  </si>
  <si>
    <t xml:space="preserve"> 85  9826-8642                                      </t>
  </si>
  <si>
    <t xml:space="preserve">    071.399.333-24</t>
  </si>
  <si>
    <t xml:space="preserve">ADEGA FARIAS                            </t>
  </si>
  <si>
    <t xml:space="preserve">LARISSA KAREN FARIAS BRANDAO            </t>
  </si>
  <si>
    <t xml:space="preserve">R RUA BELEM 1622                        </t>
  </si>
  <si>
    <t xml:space="preserve"> CAFE ZEN                               </t>
  </si>
  <si>
    <t xml:space="preserve"> 88 99645-4647                                      </t>
  </si>
  <si>
    <t>47.793.915/0001-65</t>
  </si>
  <si>
    <t xml:space="preserve">JC LIVINO                               </t>
  </si>
  <si>
    <t xml:space="preserve">AV AVENIDA MANOEL MARQUES 1177          </t>
  </si>
  <si>
    <t xml:space="preserve"> DO LADO CHEFE SANTA LUZIA              </t>
  </si>
  <si>
    <t xml:space="preserve"> 88 98132-0884                                      </t>
  </si>
  <si>
    <t xml:space="preserve">    002.696.603-48</t>
  </si>
  <si>
    <t xml:space="preserve">MERCADINHO PEREIRA                      </t>
  </si>
  <si>
    <t xml:space="preserve">JOAO SOUZA DOS SANTOS                   </t>
  </si>
  <si>
    <t xml:space="preserve">R RUA CAMPO GRANDE 2414                 </t>
  </si>
  <si>
    <t xml:space="preserve"> CONVENIENCIA E MERCEARIA               </t>
  </si>
  <si>
    <t xml:space="preserve"> 88 99789-9489                                      </t>
  </si>
  <si>
    <t>50.481.636/0001-70</t>
  </si>
  <si>
    <t xml:space="preserve">MATRIZ RESTAURANTE E                    </t>
  </si>
  <si>
    <t xml:space="preserve">DENILSON DE ARAUJO SETUBAL              </t>
  </si>
  <si>
    <t xml:space="preserve">AV PRACA MONSENHOR SABINO 249           </t>
  </si>
  <si>
    <t xml:space="preserve"> POR TRAS DA IGREJA MATRIZ              </t>
  </si>
  <si>
    <t xml:space="preserve"> 11 97536-7346                                      </t>
  </si>
  <si>
    <t xml:space="preserve">    072.825.793-93</t>
  </si>
  <si>
    <t xml:space="preserve">WAGNER BARBEARIA                        </t>
  </si>
  <si>
    <t xml:space="preserve">WEVERTHON ALBUQUERQUE GONCALVES         </t>
  </si>
  <si>
    <t xml:space="preserve">SIT SITIO AROEIRA sn                    </t>
  </si>
  <si>
    <t xml:space="preserve"> PROX. AO POSTO DE SAUDE                </t>
  </si>
  <si>
    <t xml:space="preserve"> 88 99794-6807                                      </t>
  </si>
  <si>
    <t xml:space="preserve">    042.730.853-48</t>
  </si>
  <si>
    <t xml:space="preserve">CENTRAL DO GALETO                       </t>
  </si>
  <si>
    <t xml:space="preserve">MAURO CESAR DE OLIVEIRA ALVES           </t>
  </si>
  <si>
    <t xml:space="preserve">ROD RODOVIA JOaO JAIME FERREIRA GOSN    </t>
  </si>
  <si>
    <t xml:space="preserve"> EM FRENTE A IGREJA DE SaO              </t>
  </si>
  <si>
    <t xml:space="preserve"> 88 98119-7041                                      </t>
  </si>
  <si>
    <t>22.963.976/0017-60</t>
  </si>
  <si>
    <t xml:space="preserve">AGENCIA ADVANTAGE                       </t>
  </si>
  <si>
    <t>ADVANTAGE PLUS AGENCIA DE VIAGENS E TURI</t>
  </si>
  <si>
    <t xml:space="preserve">ROD RODOVIA CE 085 SN                   </t>
  </si>
  <si>
    <t xml:space="preserve"> 88 98807-5614                                      </t>
  </si>
  <si>
    <t xml:space="preserve">    052.697.303-08</t>
  </si>
  <si>
    <t xml:space="preserve">MARCOS AURELIO DA SILVA ARAUJO          </t>
  </si>
  <si>
    <t xml:space="preserve">EST ESTRADA BURITI 43                   </t>
  </si>
  <si>
    <t xml:space="preserve"> PROX. AO MOTEL EU e ELA                </t>
  </si>
  <si>
    <t xml:space="preserve"> 88 98181-0076                                      </t>
  </si>
  <si>
    <t xml:space="preserve">    013.501.463-82</t>
  </si>
  <si>
    <t xml:space="preserve">PADARIA PEREIRAS                        </t>
  </si>
  <si>
    <t xml:space="preserve">ANA JAQUELINI FREITAS ARAUJO            </t>
  </si>
  <si>
    <t xml:space="preserve">VL PV PEREIRAS 62                       </t>
  </si>
  <si>
    <t xml:space="preserve"> PROX AO COMERCIO DO BRANC              </t>
  </si>
  <si>
    <t xml:space="preserve"> 88 99941-1679                                      </t>
  </si>
  <si>
    <t xml:space="preserve">    906.795.713-53</t>
  </si>
  <si>
    <t xml:space="preserve">LANCHE BISS                             </t>
  </si>
  <si>
    <t xml:space="preserve">JAQUELINI EDINA DIAS ROCHA              </t>
  </si>
  <si>
    <t xml:space="preserve">VL PV SaO GERALDO 178                   </t>
  </si>
  <si>
    <t xml:space="preserve"> COMERCIAL BERG                         </t>
  </si>
  <si>
    <t xml:space="preserve"> 88 99925-8059                                      </t>
  </si>
  <si>
    <t xml:space="preserve">    111.526.678-07</t>
  </si>
  <si>
    <t xml:space="preserve">BUTECO DO TITAI                         </t>
  </si>
  <si>
    <t xml:space="preserve">JOaO BATISTA DO NASCIMENTO              </t>
  </si>
  <si>
    <t xml:space="preserve">R RUA PEDRO LOURENCO DA ROCHA sn        </t>
  </si>
  <si>
    <t xml:space="preserve"> PROX. AO ADEMAR CONSTRUCO              </t>
  </si>
  <si>
    <t xml:space="preserve"> 88 99993-5768                                      </t>
  </si>
  <si>
    <t xml:space="preserve">    047.832.733-16</t>
  </si>
  <si>
    <t xml:space="preserve">BAR LANCH QUERO MAIS                    </t>
  </si>
  <si>
    <t xml:space="preserve">JEOVA FREITAS                           </t>
  </si>
  <si>
    <t xml:space="preserve">CRG corrego du topi de cima SN          </t>
  </si>
  <si>
    <t xml:space="preserve"> Fatima e Joao Martins                  </t>
  </si>
  <si>
    <t xml:space="preserve"> 88 99611-5466                                      </t>
  </si>
  <si>
    <t xml:space="preserve">    043.930.503-98</t>
  </si>
  <si>
    <t xml:space="preserve">DELICIA DI CASA                         </t>
  </si>
  <si>
    <t xml:space="preserve">FRANCISCO ROGERIO SILVA                 </t>
  </si>
  <si>
    <t xml:space="preserve">VL PV SANTA ROSA sn                     </t>
  </si>
  <si>
    <t xml:space="preserve"> PROX. A ARENINHA                       </t>
  </si>
  <si>
    <t xml:space="preserve"> 88 99980-5223                                      </t>
  </si>
  <si>
    <t xml:space="preserve">    804.223.653-00</t>
  </si>
  <si>
    <t xml:space="preserve">BANGALO BEBIDAS                         </t>
  </si>
  <si>
    <t xml:space="preserve">VALDENIR FERREIRA DE ALEXANDRIA         </t>
  </si>
  <si>
    <t xml:space="preserve">AV AVENIDA CHICO BASTOS SN              </t>
  </si>
  <si>
    <t xml:space="preserve"> RECANTO DAS REDES                      </t>
  </si>
  <si>
    <t xml:space="preserve"> 88 99903-5675                                      </t>
  </si>
  <si>
    <t xml:space="preserve">    821.094.783-49</t>
  </si>
  <si>
    <t xml:space="preserve">LANCHONETE CONFIANCA                    </t>
  </si>
  <si>
    <t xml:space="preserve">JOSE PEREIRA NASCIMENTO                 </t>
  </si>
  <si>
    <t xml:space="preserve">AV AVENIDA AFONSO FONTES 783            </t>
  </si>
  <si>
    <t xml:space="preserve"> LAVA JATO CONFIANCA                    </t>
  </si>
  <si>
    <t xml:space="preserve"> 88 98865-6273                                      </t>
  </si>
  <si>
    <t xml:space="preserve">    424.579.178-08</t>
  </si>
  <si>
    <t xml:space="preserve">MERCADINHO KI BARATO                    </t>
  </si>
  <si>
    <t xml:space="preserve">PAULO HENRIQUE VASCONCELOS              </t>
  </si>
  <si>
    <t xml:space="preserve">R PV CAITITU SN                         </t>
  </si>
  <si>
    <t xml:space="preserve"> PROX. A COLEGIO MARIA JOS              </t>
  </si>
  <si>
    <t xml:space="preserve"> 88 99634-5437                                      </t>
  </si>
  <si>
    <t xml:space="preserve">    279.467.928-75</t>
  </si>
  <si>
    <t xml:space="preserve">PIZZARIA KI DELICIA                     </t>
  </si>
  <si>
    <t xml:space="preserve">VITOR PAULO VASCONCELOS                 </t>
  </si>
  <si>
    <t xml:space="preserve">R PV PITOMBEIRAS SN                     </t>
  </si>
  <si>
    <t xml:space="preserve"> PITOMBEIRAS BAR                        </t>
  </si>
  <si>
    <t xml:space="preserve">    068.748.313-13</t>
  </si>
  <si>
    <t xml:space="preserve">DEPOSITO DO LUCAS                       </t>
  </si>
  <si>
    <t xml:space="preserve">LUCAS EVANGELISTA DA SILVEIRA           </t>
  </si>
  <si>
    <t xml:space="preserve">VL LAGOA VELHA sn                       </t>
  </si>
  <si>
    <t xml:space="preserve"> FRENTE A ESCOLA                        </t>
  </si>
  <si>
    <t xml:space="preserve"> 88 99902-6017                                      </t>
  </si>
  <si>
    <t>51.336.151/0001-56</t>
  </si>
  <si>
    <t xml:space="preserve">ACOUGUE DO MARCELO                      </t>
  </si>
  <si>
    <t xml:space="preserve">LUIZ MARCELO SILVEIRA                   </t>
  </si>
  <si>
    <t xml:space="preserve">CRG CORREGO DO URUBU II sn              </t>
  </si>
  <si>
    <t xml:space="preserve"> MERCADINHO CEARENSE                    </t>
  </si>
  <si>
    <t xml:space="preserve">    157.656.078-37</t>
  </si>
  <si>
    <t xml:space="preserve">BAR DO CHICO                            </t>
  </si>
  <si>
    <t xml:space="preserve">AV AVENIDA QUATORZE DE JANEIRO 790      </t>
  </si>
  <si>
    <t xml:space="preserve"> AMBEV                                  </t>
  </si>
  <si>
    <t xml:space="preserve"> 88 99715-9474                                      </t>
  </si>
  <si>
    <t xml:space="preserve">    907.301.003-91</t>
  </si>
  <si>
    <t xml:space="preserve">RESTAURANTE RECANTO                     </t>
  </si>
  <si>
    <t xml:space="preserve">MARIA JUCIOLA DO NASCIMENTO             </t>
  </si>
  <si>
    <t xml:space="preserve">R BR 403 SN                             </t>
  </si>
  <si>
    <t xml:space="preserve"> EM FRENTE AO POSTO FREITA              </t>
  </si>
  <si>
    <t xml:space="preserve"> 88 99716-7541                                      </t>
  </si>
  <si>
    <t>62.166.848/0011-14</t>
  </si>
  <si>
    <t xml:space="preserve">DIAGEO BRASIL LTDA.                     </t>
  </si>
  <si>
    <t xml:space="preserve">ROD BR 116 KM 22 GALPAO1 MODULO 1 15000 </t>
  </si>
  <si>
    <t xml:space="preserve">JABUTI                                                      </t>
  </si>
  <si>
    <t xml:space="preserve">ITAITINGA                     </t>
  </si>
  <si>
    <t>61.880-000</t>
  </si>
  <si>
    <t xml:space="preserve"> 85 99121-2046                                      </t>
  </si>
  <si>
    <t>30.105.351/0001-28</t>
  </si>
  <si>
    <t xml:space="preserve">FINA FINA BRASIL PIZ                    </t>
  </si>
  <si>
    <t xml:space="preserve">FINA FINA BR PIZZERIA LTDA              </t>
  </si>
  <si>
    <t xml:space="preserve">R RUA OLAVO VASCONCELOS SN              </t>
  </si>
  <si>
    <t xml:space="preserve"> EM FRENTE AO LOS LOUCO                 </t>
  </si>
  <si>
    <t xml:space="preserve"> 88 99297-5188                                      </t>
  </si>
  <si>
    <t>54.416.864/0001-18</t>
  </si>
  <si>
    <t xml:space="preserve">DEPOSITO DADI                           </t>
  </si>
  <si>
    <t xml:space="preserve">AC RUA MIGUEL ARCANJO MENESES SN        </t>
  </si>
  <si>
    <t xml:space="preserve"> ACOUGUE ESQUINaO DA CARNE              </t>
  </si>
  <si>
    <t xml:space="preserve"> 88 99997-3472                                      </t>
  </si>
  <si>
    <t xml:space="preserve">    456.988.053-34</t>
  </si>
  <si>
    <t xml:space="preserve">GUIS FAST FOOD                          </t>
  </si>
  <si>
    <t xml:space="preserve">JOAO BOSCO DE ARAUJO SOUZA              </t>
  </si>
  <si>
    <t xml:space="preserve">R RUA TEOFILO LOPES 397                 </t>
  </si>
  <si>
    <t xml:space="preserve"> PROX. A HB LANCHES                     </t>
  </si>
  <si>
    <t xml:space="preserve"> 88 98198-8565                                      </t>
  </si>
  <si>
    <t xml:space="preserve">    075.300.263-99</t>
  </si>
  <si>
    <t xml:space="preserve">MERCADINHO POPULAR                      </t>
  </si>
  <si>
    <t xml:space="preserve">JOSE ALVES LIMA NETO                    </t>
  </si>
  <si>
    <t xml:space="preserve"> PROX A OFICINA DO MARCELO              </t>
  </si>
  <si>
    <t xml:space="preserve"> 88 99931-5321                                      </t>
  </si>
  <si>
    <t xml:space="preserve">    038.241.323-70</t>
  </si>
  <si>
    <t xml:space="preserve">XAVIER BEBIDAS                          </t>
  </si>
  <si>
    <t xml:space="preserve">ISRAEL XAVIER                           </t>
  </si>
  <si>
    <t xml:space="preserve">R Rua Francisca Ieda Rios 589           </t>
  </si>
  <si>
    <t xml:space="preserve"> perto do itarema granito               </t>
  </si>
  <si>
    <t xml:space="preserve"> 88 99913-8580                                      </t>
  </si>
  <si>
    <t xml:space="preserve">    038.388.933-28</t>
  </si>
  <si>
    <t xml:space="preserve">POINT AVENIDA JERICO                    </t>
  </si>
  <si>
    <t xml:space="preserve">DIEGO MACARIO                           </t>
  </si>
  <si>
    <t xml:space="preserve">VL vila aeroporto SN                    </t>
  </si>
  <si>
    <t xml:space="preserve"> viz a j.som                            </t>
  </si>
  <si>
    <t xml:space="preserve"> 27 98886-1556                                      </t>
  </si>
  <si>
    <t xml:space="preserve">    066.354.223-58</t>
  </si>
  <si>
    <t xml:space="preserve">BAR DO DIMAS                            </t>
  </si>
  <si>
    <t xml:space="preserve">THALES ARAUJO DO NASCIMENTO             </t>
  </si>
  <si>
    <t xml:space="preserve">AV AVENIDA LUDIGAR TEIXEIRA SN          </t>
  </si>
  <si>
    <t xml:space="preserve"> PROX AO AROLDaO CLUB                   </t>
  </si>
  <si>
    <t xml:space="preserve"> 88 99808-7616                                      </t>
  </si>
  <si>
    <t xml:space="preserve">    801.887.703-30</t>
  </si>
  <si>
    <t xml:space="preserve">BAR DO PEPE                             </t>
  </si>
  <si>
    <t xml:space="preserve">JOSE OSMAR DE LIMA                      </t>
  </si>
  <si>
    <t xml:space="preserve">VL PV LAGOA DA VOLTA SN                 </t>
  </si>
  <si>
    <t xml:space="preserve"> PROX. A CAIXA D AGUA                   </t>
  </si>
  <si>
    <t xml:space="preserve"> 88 98213-9873                                      </t>
  </si>
  <si>
    <t xml:space="preserve">    045.387.923-30</t>
  </si>
  <si>
    <t xml:space="preserve">RECANTO DO MOMENTO                      </t>
  </si>
  <si>
    <t xml:space="preserve">ANTONIA GLEISIVANIA DE SOUSA            </t>
  </si>
  <si>
    <t xml:space="preserve">VL PV LAGAMAR SN                        </t>
  </si>
  <si>
    <t xml:space="preserve"> PROX. AO MERCADINHO LAGAM              </t>
  </si>
  <si>
    <t xml:space="preserve"> 88 98124-7456                                      </t>
  </si>
  <si>
    <t xml:space="preserve">    430.938.548-65</t>
  </si>
  <si>
    <t xml:space="preserve">BAR DA GECINA                           </t>
  </si>
  <si>
    <t xml:space="preserve">FRANCISCO JOZE DIAS                     </t>
  </si>
  <si>
    <t xml:space="preserve">VL PV RIACHO DA PRATA 169               </t>
  </si>
  <si>
    <t xml:space="preserve"> PROX A CASA DO WALDEMAR D              </t>
  </si>
  <si>
    <t xml:space="preserve"> 11 95699-7048                                      </t>
  </si>
  <si>
    <t>29.646.797/0001-80</t>
  </si>
  <si>
    <t xml:space="preserve">VILLA TIBA                              </t>
  </si>
  <si>
    <t xml:space="preserve">BORGES E GUERREIRO LTDA                 </t>
  </si>
  <si>
    <t xml:space="preserve">R RUA DA IGREJA SN                      </t>
  </si>
  <si>
    <t xml:space="preserve"> PROX. AO HOTEL THE CHILI               </t>
  </si>
  <si>
    <t>61.155.609/0001-24</t>
  </si>
  <si>
    <t xml:space="preserve">BARRACA DO KITE                         </t>
  </si>
  <si>
    <t xml:space="preserve">LOOPING KITE LTDA - ME                  </t>
  </si>
  <si>
    <t xml:space="preserve">V VIA COSTEIRA SN                       </t>
  </si>
  <si>
    <t xml:space="preserve"> BARRACA DO KITE                        </t>
  </si>
  <si>
    <t xml:space="preserve"> 88 99622-3661                                      </t>
  </si>
  <si>
    <t>06.103.054/0001-69</t>
  </si>
  <si>
    <t xml:space="preserve">CHALE CREOULO                           </t>
  </si>
  <si>
    <t xml:space="preserve">POUSADA CHALE CREOULO LTDA              </t>
  </si>
  <si>
    <t xml:space="preserve">R RUA DAS DUNAS 120                     </t>
  </si>
  <si>
    <t xml:space="preserve"> POUSADA MYM DUNAS                      </t>
  </si>
  <si>
    <t xml:space="preserve"> 88 99973-4438                                      </t>
  </si>
  <si>
    <t xml:space="preserve">    114.452.113-00</t>
  </si>
  <si>
    <t xml:space="preserve">MERCADINHO ZE RIBEIR                    </t>
  </si>
  <si>
    <t xml:space="preserve">JOSE RIBEIRO DA SILVA                   </t>
  </si>
  <si>
    <t xml:space="preserve">AV AVENIDA DO LAGAMAR SN                </t>
  </si>
  <si>
    <t xml:space="preserve"> PROX AO RECANTO DAS FLORE              </t>
  </si>
  <si>
    <t xml:space="preserve"> 88 99931-3683                                      </t>
  </si>
  <si>
    <t xml:space="preserve">    823.085.513-72</t>
  </si>
  <si>
    <t xml:space="preserve">MERCADINHO IASMIM                       </t>
  </si>
  <si>
    <t xml:space="preserve">FRANCISCO GLEIDSON TEOFILO LAVOR        </t>
  </si>
  <si>
    <t xml:space="preserve">R RUA GERALDO JACINTO 139               </t>
  </si>
  <si>
    <t xml:space="preserve"> PROX A ARENINHA                        </t>
  </si>
  <si>
    <t xml:space="preserve"> 85 99842-4838                                      </t>
  </si>
  <si>
    <t xml:space="preserve">    065.436.723-07</t>
  </si>
  <si>
    <t xml:space="preserve">MERCADINHO DO DEDE                      </t>
  </si>
  <si>
    <t xml:space="preserve">FRANCISCO JOSE ALVES                    </t>
  </si>
  <si>
    <t xml:space="preserve">R RUA MANOEL LOUZADA 555                </t>
  </si>
  <si>
    <t xml:space="preserve"> PROX A CASA DO SEU IVAN                </t>
  </si>
  <si>
    <t xml:space="preserve"> 88 99945-5624                                      </t>
  </si>
  <si>
    <t>21.206.857/0001-32</t>
  </si>
  <si>
    <t xml:space="preserve">LOCANDA DEI VENTI HO                    </t>
  </si>
  <si>
    <t xml:space="preserve">LOCANDA DEI VENTI HOTELARIA LTDA.       </t>
  </si>
  <si>
    <t xml:space="preserve"> LA FAMIGLIA RISTORANTE BA              </t>
  </si>
  <si>
    <t xml:space="preserve"> 88 99273-5380                                      </t>
  </si>
  <si>
    <t xml:space="preserve">    617.278.893-04</t>
  </si>
  <si>
    <t xml:space="preserve">COCO LOCO BAR-RINHA                     </t>
  </si>
  <si>
    <t xml:space="preserve">FREDERIC DANZIN                         </t>
  </si>
  <si>
    <t xml:space="preserve"> BARRACA DO BELO                        </t>
  </si>
  <si>
    <t xml:space="preserve"> 88 99976-0832                                      </t>
  </si>
  <si>
    <t>11.455.179/0001-98</t>
  </si>
  <si>
    <t xml:space="preserve">MERCADINHO RICARDO                      </t>
  </si>
  <si>
    <t xml:space="preserve">MARIA ANGELUCIA DA COSTA PINTO          </t>
  </si>
  <si>
    <t xml:space="preserve">SIT SITIO BELEM SN                      </t>
  </si>
  <si>
    <t xml:space="preserve"> ARENINHA BELEM                         </t>
  </si>
  <si>
    <t xml:space="preserve"> 88 99632-0055                                      </t>
  </si>
  <si>
    <t xml:space="preserve">    027.666.523-61</t>
  </si>
  <si>
    <t xml:space="preserve">HORTIFRUTI POPULAR                      </t>
  </si>
  <si>
    <t xml:space="preserve">FRANCISCO FABIO ALVES DO SANTOS         </t>
  </si>
  <si>
    <t xml:space="preserve">R RUA JOSE ANICETO SALES SN             </t>
  </si>
  <si>
    <t xml:space="preserve"> EM FRENTE A ARENINHA                   </t>
  </si>
  <si>
    <t xml:space="preserve"> 88 99650-8767                                      </t>
  </si>
  <si>
    <t xml:space="preserve">    001.025.033-62</t>
  </si>
  <si>
    <t xml:space="preserve">BAR DA DAYANNE                          </t>
  </si>
  <si>
    <t xml:space="preserve">MARIA DAYANNE DA SILVA FONTENELE        </t>
  </si>
  <si>
    <t xml:space="preserve">R RUA JOaO COELHO 58                    </t>
  </si>
  <si>
    <t xml:space="preserve"> PROX AO MERCADINHO DO CAR              </t>
  </si>
  <si>
    <t xml:space="preserve"> 88 98182-0655                                      </t>
  </si>
  <si>
    <t>32.825.252/0001-46</t>
  </si>
  <si>
    <t xml:space="preserve">BIO DISTAC LUB                          </t>
  </si>
  <si>
    <t xml:space="preserve">MARIA LEILA BARROS DE SOUZA             </t>
  </si>
  <si>
    <t xml:space="preserve">AV AVENIDA CENTRAL 98                   </t>
  </si>
  <si>
    <t xml:space="preserve"> PROX A DIAS IMOBILIARIA                </t>
  </si>
  <si>
    <t xml:space="preserve"> 88 98116-4430                                      </t>
  </si>
  <si>
    <t xml:space="preserve">    907.861.813-20</t>
  </si>
  <si>
    <t xml:space="preserve">AG GELADAO                              </t>
  </si>
  <si>
    <t xml:space="preserve">REGINA CELIA BARBOSA                    </t>
  </si>
  <si>
    <t xml:space="preserve">R RUA DO CEMITERIO 18                   </t>
  </si>
  <si>
    <t xml:space="preserve"> EM FRENTE AO COLEGIO SaO               </t>
  </si>
  <si>
    <t xml:space="preserve"> 88 99959-9455                                      </t>
  </si>
  <si>
    <t>61.338.506/0001-08</t>
  </si>
  <si>
    <t xml:space="preserve">BV ATACAREJO                            </t>
  </si>
  <si>
    <t xml:space="preserve">BV ATACAREJO LTDA - EPP                 </t>
  </si>
  <si>
    <t xml:space="preserve">R RUA HUMAITA 980                       </t>
  </si>
  <si>
    <t xml:space="preserve"> PROX A FARMA DUTRA                     </t>
  </si>
  <si>
    <t xml:space="preserve"> 88 99713-2537                                      </t>
  </si>
  <si>
    <t xml:space="preserve">    917.642.113-91</t>
  </si>
  <si>
    <t xml:space="preserve">ESQUINA BAR                             </t>
  </si>
  <si>
    <t xml:space="preserve">VALDIRENE MARIA SOUSA                   </t>
  </si>
  <si>
    <t xml:space="preserve">R FRANCISCO SALGUEIRO FILHO SN          </t>
  </si>
  <si>
    <t xml:space="preserve"> PROX AO GINASIO                        </t>
  </si>
  <si>
    <t xml:space="preserve"> 88 98198-5263                                      </t>
  </si>
  <si>
    <t xml:space="preserve">    486.024.773-68</t>
  </si>
  <si>
    <t xml:space="preserve">MERCEARIA DA FATIMA                     </t>
  </si>
  <si>
    <t xml:space="preserve">SILENE DIAS DE SENA                     </t>
  </si>
  <si>
    <t xml:space="preserve">R RUA PADRE JOSE ARTEIRO 1758           </t>
  </si>
  <si>
    <t xml:space="preserve"> PROX AO BAR DO PANTANAL                </t>
  </si>
  <si>
    <t xml:space="preserve"> 85 99916-0717                                      </t>
  </si>
  <si>
    <t>61.638.486/0001-82</t>
  </si>
  <si>
    <t xml:space="preserve">JARILLA                                 </t>
  </si>
  <si>
    <t xml:space="preserve">JARILLA RESTAURANTE                     </t>
  </si>
  <si>
    <t xml:space="preserve">IA ILHA DO GUAGIRU SN                   </t>
  </si>
  <si>
    <t xml:space="preserve"> PROXIMO A POUSADA BATE VE              </t>
  </si>
  <si>
    <t xml:space="preserve"> 48 99651-4166                                      </t>
  </si>
  <si>
    <t>59.384.548/0001-25</t>
  </si>
  <si>
    <t xml:space="preserve">CONVENIENCIA EL SHAD                    </t>
  </si>
  <si>
    <t xml:space="preserve">VALTINO ANTONIO FREITAS                 </t>
  </si>
  <si>
    <t xml:space="preserve">AV AVENIDA MARIA DO CARMO 982           </t>
  </si>
  <si>
    <t xml:space="preserve"> 88 99714-2710                                      </t>
  </si>
  <si>
    <t xml:space="preserve">    022.539.103-17</t>
  </si>
  <si>
    <t xml:space="preserve">KI LANCHES                              </t>
  </si>
  <si>
    <t xml:space="preserve">JOSE ERMESON MENDES                     </t>
  </si>
  <si>
    <t xml:space="preserve">VL PV LAGOA SALGADA SN                  </t>
  </si>
  <si>
    <t xml:space="preserve"> PROX AO BUTECO DA PRACA                </t>
  </si>
  <si>
    <t xml:space="preserve"> 88 99686-5518                                      </t>
  </si>
  <si>
    <t>44.672.916/0001-63</t>
  </si>
  <si>
    <t xml:space="preserve">PEIXARIA MAR AZUL                       </t>
  </si>
  <si>
    <t xml:space="preserve">GLEICIANE LINDA MORAIS LIVINO           </t>
  </si>
  <si>
    <t xml:space="preserve">R RUA EZEQUIEL VASCONCELOS 649          </t>
  </si>
  <si>
    <t xml:space="preserve"> FRENTE A RODOVIARIA                    </t>
  </si>
  <si>
    <t xml:space="preserve"> 88 99662-0556                                      </t>
  </si>
  <si>
    <t>47.419.993/0001-02</t>
  </si>
  <si>
    <t xml:space="preserve">VILA GARA                               </t>
  </si>
  <si>
    <t xml:space="preserve">LIFE EMPREENDIMENTOS TURISTICOS LTDA    </t>
  </si>
  <si>
    <t xml:space="preserve">V Via Costeira SN                       </t>
  </si>
  <si>
    <t xml:space="preserve"> Pousada Vila Gara,ilha gu              </t>
  </si>
  <si>
    <t xml:space="preserve"> 11 97308-4110                                      </t>
  </si>
  <si>
    <t xml:space="preserve">    057.836.568-52</t>
  </si>
  <si>
    <t xml:space="preserve">DEPOSITO DO NEGaO                       </t>
  </si>
  <si>
    <t xml:space="preserve">EDVAR JOAO SALES                        </t>
  </si>
  <si>
    <t xml:space="preserve">R RUA SaO JOSE 27                       </t>
  </si>
  <si>
    <t xml:space="preserve"> EM FRENTE AO BECO DO PREA              </t>
  </si>
  <si>
    <t xml:space="preserve"> 88 99816-7329                                      </t>
  </si>
  <si>
    <t>45.802.750/0001-15</t>
  </si>
  <si>
    <t xml:space="preserve">CHURRASCARIA OASIS                      </t>
  </si>
  <si>
    <t>CHURRASCARIA OASIS COMERCIO DE ALIMENTOS</t>
  </si>
  <si>
    <t xml:space="preserve">AV AV JOAO BATISTA RIOS ,CENTRO I3174   </t>
  </si>
  <si>
    <t xml:space="preserve"> POUSADA OASIS                          </t>
  </si>
  <si>
    <t xml:space="preserve"> 88 99985-4478                                      </t>
  </si>
  <si>
    <t>40.293.651/0001-31</t>
  </si>
  <si>
    <t xml:space="preserve">RESTAURANTE HULA BEA                    </t>
  </si>
  <si>
    <t xml:space="preserve">ANDREA FABIANA DE FARIAS CARNEIRO       </t>
  </si>
  <si>
    <t xml:space="preserve"> EM FRENTE A BARRACA DA MO              </t>
  </si>
  <si>
    <t xml:space="preserve"> 88 99351-5927                                      </t>
  </si>
  <si>
    <t>60.937.478/0001-74</t>
  </si>
  <si>
    <t xml:space="preserve">RESTAURANTE TEMPERO                     </t>
  </si>
  <si>
    <t xml:space="preserve">ANTONIO MARCOS DA SILVA                 </t>
  </si>
  <si>
    <t xml:space="preserve">ROD RODOVIA CE 085 1005                 </t>
  </si>
  <si>
    <t xml:space="preserve"> PROX AO IRMaO JOEL AUTO C              </t>
  </si>
  <si>
    <t xml:space="preserve">BAILAIRINA                                                  </t>
  </si>
  <si>
    <t xml:space="preserve"> 88 99958-1312                                      </t>
  </si>
  <si>
    <t xml:space="preserve">    380.938.393-72</t>
  </si>
  <si>
    <t xml:space="preserve">QUINTALS BAR                            </t>
  </si>
  <si>
    <t xml:space="preserve">FRANCISCO VALDY DE SOUSA                </t>
  </si>
  <si>
    <t xml:space="preserve">R PV BAIXA DO MEIO SN                   </t>
  </si>
  <si>
    <t xml:space="preserve"> PROX A CAPELA DA BAIXA DO              </t>
  </si>
  <si>
    <t xml:space="preserve"> 85 99694-0193                                      </t>
  </si>
  <si>
    <t xml:space="preserve">    041.890.793-59</t>
  </si>
  <si>
    <t xml:space="preserve">BAR DRINK                               </t>
  </si>
  <si>
    <t xml:space="preserve">JOSE FLAVIO BARROS                      </t>
  </si>
  <si>
    <t xml:space="preserve">R RUA ESPERANCA SN                      </t>
  </si>
  <si>
    <t xml:space="preserve"> CARINE VARIEDADES                      </t>
  </si>
  <si>
    <t xml:space="preserve"> 88 98226-0480                                      </t>
  </si>
  <si>
    <t xml:space="preserve">    023.238.323-52</t>
  </si>
  <si>
    <t xml:space="preserve">MERCADINHO CARINA VA                    </t>
  </si>
  <si>
    <t xml:space="preserve">CARINA SILVEIRA ARAUJO SOUSA            </t>
  </si>
  <si>
    <t xml:space="preserve"> PROX AO CEMITERIO                      </t>
  </si>
  <si>
    <t xml:space="preserve"> 88 98220-2907                                      </t>
  </si>
  <si>
    <t>59.445.707/0001-54</t>
  </si>
  <si>
    <t xml:space="preserve">PADARIA CENTRAL LTDA - ME               </t>
  </si>
  <si>
    <t xml:space="preserve">R RUA AFONSO FONTES 648                 </t>
  </si>
  <si>
    <t xml:space="preserve"> 88 99988-6162                                      </t>
  </si>
  <si>
    <t xml:space="preserve">    055.073.173-30</t>
  </si>
  <si>
    <t xml:space="preserve">MERCADINHO PAUS BRAN                    </t>
  </si>
  <si>
    <t xml:space="preserve">MARCOS HENRIQUE ARAUJO                  </t>
  </si>
  <si>
    <t xml:space="preserve">R POVOADO PAUS BRANCO SN                </t>
  </si>
  <si>
    <t xml:space="preserve"> PROX A CASA DO SR ROMEU                </t>
  </si>
  <si>
    <t xml:space="preserve"> 88 99738-3036                                      </t>
  </si>
  <si>
    <t xml:space="preserve">    606.461.063-84</t>
  </si>
  <si>
    <t xml:space="preserve">BAR DO ORMAR                            </t>
  </si>
  <si>
    <t xml:space="preserve">BRUNO MARTINS                           </t>
  </si>
  <si>
    <t xml:space="preserve">R Rua Favelinha SN                      </t>
  </si>
  <si>
    <t xml:space="preserve"> Jacinta                                </t>
  </si>
  <si>
    <t xml:space="preserve"> 85 99609-5805                                      </t>
  </si>
  <si>
    <t xml:space="preserve">    075.201.783-74</t>
  </si>
  <si>
    <t xml:space="preserve">ESPETINHO DA LOURA                      </t>
  </si>
  <si>
    <t xml:space="preserve">MARIA ANDRESSA DA SILVA                 </t>
  </si>
  <si>
    <t xml:space="preserve">R RUA TENENTE JOSE MUNIZ 792            </t>
  </si>
  <si>
    <t xml:space="preserve"> AAO LADO DA CANTINA CONTE              </t>
  </si>
  <si>
    <t xml:space="preserve"> 88 99917-3270                                      </t>
  </si>
  <si>
    <t>61.376.681/0001-81</t>
  </si>
  <si>
    <t xml:space="preserve">CHE BRAZIL RESTO                        </t>
  </si>
  <si>
    <t xml:space="preserve">CHE BRAZIL RESTO LTDA - ME              </t>
  </si>
  <si>
    <t xml:space="preserve">R RUA FRANCISCO XAVIER CHAVES 1242      </t>
  </si>
  <si>
    <t xml:space="preserve"> EM FRENTE A PRACA DO PREA              </t>
  </si>
  <si>
    <t>61.915.587/0001-53</t>
  </si>
  <si>
    <t xml:space="preserve">VILAREJO JERI                           </t>
  </si>
  <si>
    <t xml:space="preserve">3G JERI VILAREJO LTDA                   </t>
  </si>
  <si>
    <t xml:space="preserve"> EM FRENTE AO PIRATAS DA V              </t>
  </si>
  <si>
    <t xml:space="preserve"> 88 98105-4985                                      </t>
  </si>
  <si>
    <t>55.316.356/0001-20</t>
  </si>
  <si>
    <t xml:space="preserve">COMERCIAL VSETEM                        </t>
  </si>
  <si>
    <t xml:space="preserve">JOSE ARAUJO SILVESTRE                   </t>
  </si>
  <si>
    <t xml:space="preserve"> PROX AO PONTO DO COCO                  </t>
  </si>
  <si>
    <t xml:space="preserve"> 88 99934-6675                                      </t>
  </si>
  <si>
    <t xml:space="preserve">    063.936.153-62</t>
  </si>
  <si>
    <t xml:space="preserve">GELADAO PREA                            </t>
  </si>
  <si>
    <t xml:space="preserve">RHOBSON DE SOUSA AMBROZIO               </t>
  </si>
  <si>
    <t xml:space="preserve">R RUA J SN                              </t>
  </si>
  <si>
    <t xml:space="preserve"> PROX A CYBER INFO                      </t>
  </si>
  <si>
    <t xml:space="preserve"> 88 98105-3545                                      </t>
  </si>
  <si>
    <t>27.713.178/0008-02</t>
  </si>
  <si>
    <t xml:space="preserve">CAFE JERI                               </t>
  </si>
  <si>
    <t xml:space="preserve"> AO LADO DO ALL BLUE HOTEL              </t>
  </si>
  <si>
    <t xml:space="preserve"> 88 99965-0382                                      </t>
  </si>
  <si>
    <t>30.787.798/0001-24</t>
  </si>
  <si>
    <t xml:space="preserve">ARENA MARIANO                           </t>
  </si>
  <si>
    <t xml:space="preserve">M B FREIRE - ME                         </t>
  </si>
  <si>
    <t xml:space="preserve">R RUA SAO JOSE SN                       </t>
  </si>
  <si>
    <t xml:space="preserve"> PROX. A ARENA SANTANA FRE              </t>
  </si>
  <si>
    <t xml:space="preserve"> 88 99686-6612                                      </t>
  </si>
  <si>
    <t xml:space="preserve">    002.979.103-02</t>
  </si>
  <si>
    <t xml:space="preserve">PONTO DO FRANGO                         </t>
  </si>
  <si>
    <t xml:space="preserve">VAGNER SOARES SILVA                     </t>
  </si>
  <si>
    <t xml:space="preserve"> EM FRENTE A ACO NORTE                  </t>
  </si>
  <si>
    <t xml:space="preserve"> 85 99429-1103                                      </t>
  </si>
  <si>
    <t>51.181.124/0001-51</t>
  </si>
  <si>
    <t xml:space="preserve">ESPECIAL GRILL RESTA                    </t>
  </si>
  <si>
    <t xml:space="preserve">ESPECIAL GRILL RESTAURANTE LTDA - ME    </t>
  </si>
  <si>
    <t xml:space="preserve"> PROX. A CANTINA JERI                   </t>
  </si>
  <si>
    <t xml:space="preserve">    047.059.568-00</t>
  </si>
  <si>
    <t xml:space="preserve">LANCHONETE TUR VIA J                    </t>
  </si>
  <si>
    <t xml:space="preserve">JOSE OSVALDO VASCONCELOS                </t>
  </si>
  <si>
    <t xml:space="preserve">AV AVENIDA PRINCIPAL 29                 </t>
  </si>
  <si>
    <t xml:space="preserve"> PROX A CENTRAL PADARIA                 </t>
  </si>
  <si>
    <t xml:space="preserve"> 88 99628-9805                                      </t>
  </si>
  <si>
    <t>54.107.519/0001-00</t>
  </si>
  <si>
    <t xml:space="preserve">CANTINHO DO NORDESTE                    </t>
  </si>
  <si>
    <t xml:space="preserve">RAIMUNDA FERREIRA DA FONSECA LTDA - ME  </t>
  </si>
  <si>
    <t xml:space="preserve">VL PV CAJUEIRINHO DE CRUZ SN            </t>
  </si>
  <si>
    <t xml:space="preserve"> PROX AO POSTO LITORAL                  </t>
  </si>
  <si>
    <t xml:space="preserve">    820.412.103-20</t>
  </si>
  <si>
    <t xml:space="preserve">BAR DA CALCINHA PRET                    </t>
  </si>
  <si>
    <t xml:space="preserve">REGINALDO DOS SANTOS                    </t>
  </si>
  <si>
    <t xml:space="preserve">AV AVENIDA CARLOS MATINS CHAVES SN      </t>
  </si>
  <si>
    <t xml:space="preserve"> PROX AO HANGAR FRISONFLY               </t>
  </si>
  <si>
    <t xml:space="preserve"> 88 99970-8806                                      </t>
  </si>
  <si>
    <t>60.623.619/0001-84</t>
  </si>
  <si>
    <t xml:space="preserve">BARRIGA CHEIA RESTAU                    </t>
  </si>
  <si>
    <t xml:space="preserve">SILVA SERVICO DE BUFES LTDA             </t>
  </si>
  <si>
    <t xml:space="preserve">R RUA DUNAS SN                          </t>
  </si>
  <si>
    <t xml:space="preserve"> EM FRENTE AO LAVA JATO VI              </t>
  </si>
  <si>
    <t xml:space="preserve"> 85 99228-9740                                      </t>
  </si>
  <si>
    <t>62.115.656/0001-07</t>
  </si>
  <si>
    <t xml:space="preserve">CANTINA DR                              </t>
  </si>
  <si>
    <t xml:space="preserve">DAYANA ROSS DA SILVA ARAUJO             </t>
  </si>
  <si>
    <t xml:space="preserve">AC RUA FRANCISCO SALGUEIRO FILHO SN     </t>
  </si>
  <si>
    <t xml:space="preserve"> PROXIMO AO GINASIO                     </t>
  </si>
  <si>
    <t xml:space="preserve"> 11 94950-8805                                      </t>
  </si>
  <si>
    <t xml:space="preserve">    054.145.543-58</t>
  </si>
  <si>
    <t xml:space="preserve">PONTO DA PIZZA                          </t>
  </si>
  <si>
    <t xml:space="preserve">JOSE MICAEL DA CUNHA                    </t>
  </si>
  <si>
    <t xml:space="preserve">VL PV AROEIRA SN                        </t>
  </si>
  <si>
    <t xml:space="preserve"> 85 99703-8737                                      </t>
  </si>
  <si>
    <t xml:space="preserve">    215.802.578-60</t>
  </si>
  <si>
    <t xml:space="preserve">G E F FITNESS                           </t>
  </si>
  <si>
    <t xml:space="preserve">JOSE GILSON VASCONCELOS                 </t>
  </si>
  <si>
    <t xml:space="preserve">R RUA 14 DE JANEIRO 92                  </t>
  </si>
  <si>
    <t xml:space="preserve"> EM FRENTE CANTINA CONTEMP              </t>
  </si>
  <si>
    <t xml:space="preserve"> 88 99662-1279                                      </t>
  </si>
  <si>
    <t xml:space="preserve">ACADEMIA/CLUBE      </t>
  </si>
  <si>
    <t xml:space="preserve">    901.894.423-87</t>
  </si>
  <si>
    <t xml:space="preserve">CAJAZEIRAS BAR                          </t>
  </si>
  <si>
    <t xml:space="preserve">JOSE REGINALDO FERREIRA                 </t>
  </si>
  <si>
    <t xml:space="preserve">R GUARDA SN                             </t>
  </si>
  <si>
    <t xml:space="preserve"> ENTRADA DA CAIXA DAGUA AN              </t>
  </si>
  <si>
    <t xml:space="preserve"> 88 99950-2153                                      </t>
  </si>
  <si>
    <t xml:space="preserve">    615.513.573-80</t>
  </si>
  <si>
    <t xml:space="preserve">CONVENIENCIA ST                         </t>
  </si>
  <si>
    <t xml:space="preserve">SANY MARIA DE BRITO PEIXOTO             </t>
  </si>
  <si>
    <t xml:space="preserve">R RUA ANGELA MARQUES 99                 </t>
  </si>
  <si>
    <t xml:space="preserve"> POUSADA DO NORTE                       </t>
  </si>
  <si>
    <t xml:space="preserve"> 88 98163-0958                                      </t>
  </si>
  <si>
    <t>62.063.704/0001-60</t>
  </si>
  <si>
    <t xml:space="preserve">MR DEPOSITO                             </t>
  </si>
  <si>
    <t xml:space="preserve">MARIA LUZIA FREITAS VASCONCELOS         </t>
  </si>
  <si>
    <t xml:space="preserve">CJ CONJUNTO MONSENHOR VALDIR SN         </t>
  </si>
  <si>
    <t xml:space="preserve"> PROX AO CAMPO DE FUTEBOL               </t>
  </si>
  <si>
    <t xml:space="preserve"> 88 99930-4688                                      </t>
  </si>
  <si>
    <t xml:space="preserve">    071.656.003-88</t>
  </si>
  <si>
    <t xml:space="preserve">OPALA BAR                               </t>
  </si>
  <si>
    <t xml:space="preserve">EDUARDO BRANDaO                         </t>
  </si>
  <si>
    <t xml:space="preserve">R Rua Damiana Maria Brandao SN          </t>
  </si>
  <si>
    <t xml:space="preserve"> 11 94193-5783                                      </t>
  </si>
  <si>
    <t xml:space="preserve">    053.125.623-51</t>
  </si>
  <si>
    <t xml:space="preserve">MARIA TAIS RODRIGUES DE LIMA            </t>
  </si>
  <si>
    <t xml:space="preserve">R RUA MANOEL DE OLIVEIRA MAGALHa150     </t>
  </si>
  <si>
    <t xml:space="preserve"> PROXIMO A ARENINHA DE ESP              </t>
  </si>
  <si>
    <t xml:space="preserve"> 88 99720-1197                                      </t>
  </si>
  <si>
    <t xml:space="preserve">    076.923.533-60</t>
  </si>
  <si>
    <t xml:space="preserve">MERCADINHO PALMEIRAS                    </t>
  </si>
  <si>
    <t xml:space="preserve">VITOR VASCONCELOS ARAUJO                </t>
  </si>
  <si>
    <t xml:space="preserve"> VIZINHO O RECANTO DAS PAL              </t>
  </si>
  <si>
    <t xml:space="preserve">    042.719.463-62</t>
  </si>
  <si>
    <t xml:space="preserve">BALNEARIO DO DEL                        </t>
  </si>
  <si>
    <t xml:space="preserve">JOSE EUDES SILVEIRA COSTA               </t>
  </si>
  <si>
    <t xml:space="preserve">ROD CE 085 SN                           </t>
  </si>
  <si>
    <t xml:space="preserve"> PROX. AO RESTAURANTE QUER              </t>
  </si>
  <si>
    <t xml:space="preserve"> 88 99918-2931                                      </t>
  </si>
  <si>
    <t xml:space="preserve">    772.376.923-72</t>
  </si>
  <si>
    <t xml:space="preserve">BAR DA GALBA                            </t>
  </si>
  <si>
    <t xml:space="preserve">ROBERTO RIBEIRO DOS SANTOS              </t>
  </si>
  <si>
    <t xml:space="preserve">R RUA PEDRO LOURENCO DA ROCHA SN        </t>
  </si>
  <si>
    <t xml:space="preserve"> PROX AO MERCADINHO ADEMAR              </t>
  </si>
  <si>
    <t xml:space="preserve"> 88 98115-0339                                      </t>
  </si>
  <si>
    <t>61.834.210/0001-70</t>
  </si>
  <si>
    <t xml:space="preserve">DF DISTRIBUIDORA                        </t>
  </si>
  <si>
    <t xml:space="preserve">DF DISTRIBUIDORA LTDA                   </t>
  </si>
  <si>
    <t xml:space="preserve">R RUA RAIMUNDO BASTOS 180               </t>
  </si>
  <si>
    <t xml:space="preserve"> PROX. A B.REGINA MOVEIS E              </t>
  </si>
  <si>
    <t xml:space="preserve"> 88 99789-8040                                      </t>
  </si>
  <si>
    <t xml:space="preserve">    055.639.223-08</t>
  </si>
  <si>
    <t xml:space="preserve">JC ADEGA                                </t>
  </si>
  <si>
    <t xml:space="preserve">FRANCISCA ISABELA COSTA                 </t>
  </si>
  <si>
    <t xml:space="preserve">R Rua Nicolau Peixoto 913               </t>
  </si>
  <si>
    <t xml:space="preserve"> Casa do Dede do garrafinha             </t>
  </si>
  <si>
    <t xml:space="preserve"> 88 99768-6653                                      </t>
  </si>
  <si>
    <t>57.486.189/0001-91</t>
  </si>
  <si>
    <t xml:space="preserve">LAGUN BEACH RESTAURA                    </t>
  </si>
  <si>
    <t xml:space="preserve">LAGUN RESTAURANTE E ENTRETENIMENTO LTDA </t>
  </si>
  <si>
    <t xml:space="preserve">EST ESTRADA CAVALO BRAVO A PREA SN      </t>
  </si>
  <si>
    <t xml:space="preserve"> PROX AO CAVALO BRAVO CONS              </t>
  </si>
  <si>
    <t xml:space="preserve"> 88 98130-5650                                      </t>
  </si>
  <si>
    <t xml:space="preserve">    058.372.293-88</t>
  </si>
  <si>
    <t xml:space="preserve">CANTINHO DA PIZZA AL                    </t>
  </si>
  <si>
    <t xml:space="preserve">CARLOS EDUARDO DE SOUSA                 </t>
  </si>
  <si>
    <t xml:space="preserve">R PV DE ALMECEGAS DE DENTRO 1000        </t>
  </si>
  <si>
    <t xml:space="preserve"> RUA DO JETULIO                         </t>
  </si>
  <si>
    <t xml:space="preserve">ARANAU CEARA                                                </t>
  </si>
  <si>
    <t xml:space="preserve"> 11 98672-4600                                      </t>
  </si>
  <si>
    <t>05.961.371/0001-53</t>
  </si>
  <si>
    <t xml:space="preserve">ROTA DO KITE e JERI                     </t>
  </si>
  <si>
    <t xml:space="preserve">JC MARQUES                              </t>
  </si>
  <si>
    <t xml:space="preserve">R RUA JOaO DUDA 111                     </t>
  </si>
  <si>
    <t xml:space="preserve"> PROXIMO AO ESTACIONAMENTO              </t>
  </si>
  <si>
    <t xml:space="preserve"> 88 99648-1188                                      </t>
  </si>
  <si>
    <t>62.271.016/0001-96</t>
  </si>
  <si>
    <t xml:space="preserve">R RUA EDGAR SALES MOURA 770             </t>
  </si>
  <si>
    <t xml:space="preserve"> 88 99856-2948                                      </t>
  </si>
  <si>
    <t xml:space="preserve">    190.388.678-32</t>
  </si>
  <si>
    <t xml:space="preserve">RESTAURANTE O CACADO                    </t>
  </si>
  <si>
    <t xml:space="preserve">RESTAURANTE O CACADOR                   </t>
  </si>
  <si>
    <t xml:space="preserve"> 88 99675-5949                                      </t>
  </si>
  <si>
    <t xml:space="preserve">    968.086.673-49</t>
  </si>
  <si>
    <t xml:space="preserve">MERCADINHO MINHA JOI                    </t>
  </si>
  <si>
    <t xml:space="preserve">ELISASANDRO REIS DOS SANTOS             </t>
  </si>
  <si>
    <t xml:space="preserve">R RUA DR FRANCISCO ODEON SILVA 635      </t>
  </si>
  <si>
    <t xml:space="preserve"> PROXIMO ANARENINHA DE FU               </t>
  </si>
  <si>
    <t xml:space="preserve"> 88 99928-9466                                      </t>
  </si>
  <si>
    <t>19.114.226/0001-41</t>
  </si>
  <si>
    <t xml:space="preserve">KITE LODGE BRAZIL                       </t>
  </si>
  <si>
    <t>AGBS BRASIL EMPREENDIMENTOS E SERVICOS L</t>
  </si>
  <si>
    <t xml:space="preserve">R R SAO JOSE SN                         </t>
  </si>
  <si>
    <t xml:space="preserve"> 88 98151-5264                                      </t>
  </si>
  <si>
    <t>42.888.314/0001-12</t>
  </si>
  <si>
    <t xml:space="preserve">VARANDA BAR PETISCAR                    </t>
  </si>
  <si>
    <t xml:space="preserve">MARCO AURELIO VASCONCELOS               </t>
  </si>
  <si>
    <t xml:space="preserve">PR BARRINHA DE CIMA SN                  </t>
  </si>
  <si>
    <t xml:space="preserve"> PROXIMO AO BAR DA KATIA                </t>
  </si>
  <si>
    <t xml:space="preserve"> 88 98140-7870                                      </t>
  </si>
  <si>
    <t xml:space="preserve">    058.485.853-18</t>
  </si>
  <si>
    <t xml:space="preserve">TECNO MOTOS                             </t>
  </si>
  <si>
    <t xml:space="preserve">JOSE DIEGO FERREIRA                     </t>
  </si>
  <si>
    <t xml:space="preserve">R RUA EZEQUIEL VASCONCELOS 955          </t>
  </si>
  <si>
    <t xml:space="preserve"> AO LADO DA SUCATA O PEZaO              </t>
  </si>
  <si>
    <t xml:space="preserve"> 88 99928-2509                                      </t>
  </si>
  <si>
    <t xml:space="preserve">    025.157.443-11</t>
  </si>
  <si>
    <t xml:space="preserve">SUPERMERCADO POMPEU                     </t>
  </si>
  <si>
    <t xml:space="preserve">RAFAEL CEILON SILVA LAVOR               </t>
  </si>
  <si>
    <t xml:space="preserve">R RUA NEON SALES LOPES 255              </t>
  </si>
  <si>
    <t xml:space="preserve"> NOS SOMOS A REFERENCIA                 </t>
  </si>
  <si>
    <t xml:space="preserve"> 88 99640-8093                                      </t>
  </si>
  <si>
    <t xml:space="preserve">    467.605.658-35</t>
  </si>
  <si>
    <t xml:space="preserve">MERCADINHO MS                           </t>
  </si>
  <si>
    <t xml:space="preserve">JOAO CARLOS MATHEUS SOUSA               </t>
  </si>
  <si>
    <t xml:space="preserve">R RUA CORONEL TEIXEIRA PINTO 601        </t>
  </si>
  <si>
    <t xml:space="preserve"> 88 99974-4719                                      </t>
  </si>
  <si>
    <t xml:space="preserve">    513.286.233-00</t>
  </si>
  <si>
    <t xml:space="preserve">MERCEARIA FERNANDO                      </t>
  </si>
  <si>
    <t xml:space="preserve">FERNANDO CESAR DA SILVEIRA              </t>
  </si>
  <si>
    <t xml:space="preserve">R RUA ABEL VASCONCELOS 173              </t>
  </si>
  <si>
    <t xml:space="preserve"> PROXIMO AO ZE DO PEIXE DE              </t>
  </si>
  <si>
    <t xml:space="preserve"> 88 99918-7580                                      </t>
  </si>
  <si>
    <t xml:space="preserve">    377.952.523-20</t>
  </si>
  <si>
    <t xml:space="preserve">DEP TELMARES                            </t>
  </si>
  <si>
    <t xml:space="preserve">JOaO ALVES DE ABREU                     </t>
  </si>
  <si>
    <t xml:space="preserve">VL VOLTA DO RIO SN                      </t>
  </si>
  <si>
    <t xml:space="preserve"> PROXIMO AO CABANA BAR                  </t>
  </si>
  <si>
    <t xml:space="preserve"> 88 99623-9682                                      </t>
  </si>
  <si>
    <t xml:space="preserve">    944.712.583-20</t>
  </si>
  <si>
    <t xml:space="preserve">TERRACO LOVE STORY                      </t>
  </si>
  <si>
    <t xml:space="preserve">FRANCISCO EDSON BRANDaO                 </t>
  </si>
  <si>
    <t xml:space="preserve"> PROX. AO MERCANTIL DO FER              </t>
  </si>
  <si>
    <t xml:space="preserve"> 88 99619-6918                                      </t>
  </si>
  <si>
    <t xml:space="preserve">    768.588.203-53</t>
  </si>
  <si>
    <t xml:space="preserve">BARRACA DJAIR                           </t>
  </si>
  <si>
    <t xml:space="preserve">MARIA DIVANETE RIBEIRO                  </t>
  </si>
  <si>
    <t xml:space="preserve">PR ARPOEIRAS SN                         </t>
  </si>
  <si>
    <t xml:space="preserve"> ARPOEIRAS                              </t>
  </si>
  <si>
    <t xml:space="preserve">PRAIA DA ARPUEIRA                                           </t>
  </si>
  <si>
    <t xml:space="preserve"> 88 99693-6511                                      </t>
  </si>
  <si>
    <t xml:space="preserve">    001.719.283-85</t>
  </si>
  <si>
    <t xml:space="preserve">BAR DO CABECA                           </t>
  </si>
  <si>
    <t xml:space="preserve">ERLANDIO VASCONCELOS BRANDaO            </t>
  </si>
  <si>
    <t xml:space="preserve">AV AV PRINCIPAL JENIPAPEIRO SN          </t>
  </si>
  <si>
    <t xml:space="preserve"> ANTES DO BAR ALTAS HORAS               </t>
  </si>
  <si>
    <t xml:space="preserve"> 88 99795-0993                                      </t>
  </si>
  <si>
    <t xml:space="preserve">    165.108.708-35</t>
  </si>
  <si>
    <t xml:space="preserve">MERCADINHO ZE AMANCI                    </t>
  </si>
  <si>
    <t xml:space="preserve">JOSE AMANCIO DUTRA                      </t>
  </si>
  <si>
    <t xml:space="preserve">VL LAGOA GRANDE SN                      </t>
  </si>
  <si>
    <t xml:space="preserve"> PROX A POUSADA TRILHA DAS              </t>
  </si>
  <si>
    <t xml:space="preserve"> 88 99625-9612                                      </t>
  </si>
  <si>
    <t>61.573.674/0001-70</t>
  </si>
  <si>
    <t xml:space="preserve">TABERNA DO RONALDO                      </t>
  </si>
  <si>
    <t xml:space="preserve">TABERNA DO RONALDO LTDA                 </t>
  </si>
  <si>
    <t xml:space="preserve">R RUA MANOEL TEIXEIRA 368               </t>
  </si>
  <si>
    <t xml:space="preserve"> PROX. AO MARCELO AUTO PEC              </t>
  </si>
  <si>
    <t xml:space="preserve"> 88 99664-3374                                      </t>
  </si>
  <si>
    <t>61.555.135/0001-08</t>
  </si>
  <si>
    <t xml:space="preserve">PETISCARIA FORNALHA                     </t>
  </si>
  <si>
    <t xml:space="preserve">MANOELITON LUCAS OLIVEIRA               </t>
  </si>
  <si>
    <t xml:space="preserve">AV AVENIDA BRASIL 1694                  </t>
  </si>
  <si>
    <t xml:space="preserve"> PROX AO MERCADINHO JOSE J              </t>
  </si>
  <si>
    <t>52.570-000</t>
  </si>
  <si>
    <t xml:space="preserve"> 88 99761-8026                                      </t>
  </si>
  <si>
    <t xml:space="preserve">    023.132.343-39</t>
  </si>
  <si>
    <t xml:space="preserve">LARISSA IVA FERREIRA SILVA              </t>
  </si>
  <si>
    <t xml:space="preserve">VL VILLA MOURA 1000                     </t>
  </si>
  <si>
    <t xml:space="preserve"> PROXIMO AO COMERCIO DO XI              </t>
  </si>
  <si>
    <t xml:space="preserve"> 88 98226-3616                                      </t>
  </si>
  <si>
    <t xml:space="preserve">    086.991.373-54</t>
  </si>
  <si>
    <t xml:space="preserve">LA CASA DAS BEBIDAS                     </t>
  </si>
  <si>
    <t xml:space="preserve">FRANCISCO AMADEU NICOLAU                </t>
  </si>
  <si>
    <t xml:space="preserve">R RUA ANTONIO MINERVINO VASCONCE835     </t>
  </si>
  <si>
    <t xml:space="preserve"> PROX A PRACA DOS ALEMaES               </t>
  </si>
  <si>
    <t xml:space="preserve"> 88 99817-3017                                      </t>
  </si>
  <si>
    <t>38.054.957/0001-93</t>
  </si>
  <si>
    <t xml:space="preserve">BARBDO CHEFE PEDRINH                    </t>
  </si>
  <si>
    <t xml:space="preserve">WALTER CESAR DIAS FILHO                 </t>
  </si>
  <si>
    <t xml:space="preserve">R RUA SAO PAULO 425                     </t>
  </si>
  <si>
    <t xml:space="preserve"> PROXIMO AO MERCADINHO                  </t>
  </si>
  <si>
    <t xml:space="preserve"> 88 99929-8035                                      </t>
  </si>
  <si>
    <t>61.712.353/0001-09</t>
  </si>
  <si>
    <t xml:space="preserve">ORIGEM BAR                              </t>
  </si>
  <si>
    <t xml:space="preserve">ORIGEM QS BAR LTDA                      </t>
  </si>
  <si>
    <t xml:space="preserve">R RUA RICARDO MARTINS SN                </t>
  </si>
  <si>
    <t xml:space="preserve"> EM FRENTE A PRACA DE JERI              </t>
  </si>
  <si>
    <t xml:space="preserve"> 85 98160-3317                                      </t>
  </si>
  <si>
    <t>05.410.416/0001-00</t>
  </si>
  <si>
    <t xml:space="preserve">DISTRIB ASA BRANCA                      </t>
  </si>
  <si>
    <t>DISTRIBUIDORA DE BEBIDAS ASA BRANCA LDTA</t>
  </si>
  <si>
    <t xml:space="preserve">R RUA LUIS HENRIQUE ALBUQUERQUE SN      </t>
  </si>
  <si>
    <t xml:space="preserve"> PARQUE TIJUCA                          </t>
  </si>
  <si>
    <t xml:space="preserve">PARQUE TIJUCA                                               </t>
  </si>
  <si>
    <t xml:space="preserve">MARACANAU                     </t>
  </si>
  <si>
    <t>61.917-310</t>
  </si>
  <si>
    <t xml:space="preserve"> 85  3383-1616                                      </t>
  </si>
  <si>
    <t xml:space="preserve">    070.087.723-19</t>
  </si>
  <si>
    <t xml:space="preserve">MERCADINHO GS CROATA                    </t>
  </si>
  <si>
    <t xml:space="preserve">FRANCISCO GELCIMAR DA SILVEIRA          </t>
  </si>
  <si>
    <t xml:space="preserve">R CROATA 1000                           </t>
  </si>
  <si>
    <t xml:space="preserve"> PROXIMO A MIRINDIBA                    </t>
  </si>
  <si>
    <t xml:space="preserve"> 88 99409-2964                                      </t>
  </si>
  <si>
    <t>50.463.258/0001-00</t>
  </si>
  <si>
    <t xml:space="preserve">DHEANE KESSYA BRAZ D                    </t>
  </si>
  <si>
    <t xml:space="preserve">50.463.258 DHEANE KESSYA BRAZ DA SILVA  </t>
  </si>
  <si>
    <t xml:space="preserve">R Rua Iracema SN                        </t>
  </si>
  <si>
    <t xml:space="preserve"> GELADAO DA VILA                        </t>
  </si>
  <si>
    <t xml:space="preserve"> 11 97775-4690                                      </t>
  </si>
  <si>
    <t xml:space="preserve">    913.578.103-34</t>
  </si>
  <si>
    <t xml:space="preserve">ESPETINHO DO DEDE                       </t>
  </si>
  <si>
    <t xml:space="preserve">JOSE MARIA DA ROCHA                     </t>
  </si>
  <si>
    <t xml:space="preserve">AV AV TENENTE ALBANO 620                </t>
  </si>
  <si>
    <t xml:space="preserve"> VIZINHO A MERCEARIA DO MA              </t>
  </si>
  <si>
    <t xml:space="preserve"> 88 92166-2272                                      </t>
  </si>
  <si>
    <t xml:space="preserve">    072.186.453-80</t>
  </si>
  <si>
    <t xml:space="preserve">COMERCIO BOM PRECO                      </t>
  </si>
  <si>
    <t xml:space="preserve">DANILO DOS SANTOS RODRIGUES             </t>
  </si>
  <si>
    <t xml:space="preserve"> AO LADO DA MERC CABRITO                </t>
  </si>
  <si>
    <t xml:space="preserve">    048.225.473-45</t>
  </si>
  <si>
    <t xml:space="preserve">MERCANTIL                               </t>
  </si>
  <si>
    <t xml:space="preserve">CARLA CARINE COSTA DE SOUSA             </t>
  </si>
  <si>
    <t xml:space="preserve">AV AVENIDA VILA FORMOSA SN              </t>
  </si>
  <si>
    <t xml:space="preserve"> PROX A POUSADA DO CHEFE                </t>
  </si>
  <si>
    <t xml:space="preserve">VILA PREA                                                   </t>
  </si>
  <si>
    <t xml:space="preserve"> 88 98224-2342                                      </t>
  </si>
  <si>
    <t>62.588.227/0001-57</t>
  </si>
  <si>
    <t xml:space="preserve">CAJUBAR JIJOCA                          </t>
  </si>
  <si>
    <t xml:space="preserve">CAJUBAR LTDA                            </t>
  </si>
  <si>
    <t xml:space="preserve">R RUA ARACAJU 182                       </t>
  </si>
  <si>
    <t xml:space="preserve"> PROX A PREFEITURA                      </t>
  </si>
  <si>
    <t xml:space="preserve"> 88 98212-4429                                      </t>
  </si>
  <si>
    <t xml:space="preserve">    031.409.394-00</t>
  </si>
  <si>
    <t xml:space="preserve">GRUPO 2 IRMaOS JIJOC                    </t>
  </si>
  <si>
    <t xml:space="preserve">FRANCISCO DE ASSIS DA SILVA             </t>
  </si>
  <si>
    <t xml:space="preserve">ROD RODOVIA O85 SN                      </t>
  </si>
  <si>
    <t xml:space="preserve"> ROTATORIA DA ENTRADA DA J              </t>
  </si>
  <si>
    <t xml:space="preserve"> 88 99217-2595                                      </t>
  </si>
  <si>
    <t xml:space="preserve">    603.479.383-10</t>
  </si>
  <si>
    <t xml:space="preserve">BRUNA LANCHES                           </t>
  </si>
  <si>
    <t xml:space="preserve">ANTONIA BRUNIELICA NASCIMENTO           </t>
  </si>
  <si>
    <t xml:space="preserve">R RUA JOSE ELIAS 328                    </t>
  </si>
  <si>
    <t xml:space="preserve"> PROX AO DECK RESTAURANTE               </t>
  </si>
  <si>
    <t xml:space="preserve"> 88 99750-3060                                      </t>
  </si>
  <si>
    <t xml:space="preserve">    616.585.293-91</t>
  </si>
  <si>
    <t xml:space="preserve">GELADAO DA PRACA                        </t>
  </si>
  <si>
    <t xml:space="preserve">ISAAC LIEVIN FELIPE ROCHA               </t>
  </si>
  <si>
    <t xml:space="preserve">PC PRACA PRINCIPAL SN                   </t>
  </si>
  <si>
    <t xml:space="preserve"> EM FRENTE O FININ                      </t>
  </si>
  <si>
    <t xml:space="preserve"> 88 99384-7112                                      </t>
  </si>
  <si>
    <t xml:space="preserve">    065.969.253-82</t>
  </si>
  <si>
    <t xml:space="preserve">MERCADINHO JS                           </t>
  </si>
  <si>
    <t xml:space="preserve">CARLOS BRENO DE SENA                    </t>
  </si>
  <si>
    <t xml:space="preserve">R BR 403 BOM JESUS SN                   </t>
  </si>
  <si>
    <t xml:space="preserve"> PROX AO MERC CARLINHOS BI              </t>
  </si>
  <si>
    <t xml:space="preserve"> 88 99857-1420                                      </t>
  </si>
  <si>
    <t xml:space="preserve">    093.580.323-83</t>
  </si>
  <si>
    <t xml:space="preserve">BAR DO ZE VALERIO                       </t>
  </si>
  <si>
    <t xml:space="preserve">DANILO WILLIAN DA CRUZ                  </t>
  </si>
  <si>
    <t xml:space="preserve"> DEPOIS DO BAR DA GECINA                </t>
  </si>
  <si>
    <t xml:space="preserve"> 11 95795-0643                                      </t>
  </si>
  <si>
    <t xml:space="preserve">    605.706.563-89</t>
  </si>
  <si>
    <t xml:space="preserve">SORVETERIA KIDELICIA                    </t>
  </si>
  <si>
    <t xml:space="preserve">MARIA IVONEIDE DA SILVA                 </t>
  </si>
  <si>
    <t xml:space="preserve">R RUA DOM VALFRIDO SN                   </t>
  </si>
  <si>
    <t xml:space="preserve"> VILA VERDE                             </t>
  </si>
  <si>
    <t xml:space="preserve"> 88 99736-8542                                      </t>
  </si>
  <si>
    <t>45.812.677/0001-62</t>
  </si>
  <si>
    <t xml:space="preserve">ACARAU BEBIDAS 2                        </t>
  </si>
  <si>
    <t xml:space="preserve">J DE OLIVEIRA MOREIRA                   </t>
  </si>
  <si>
    <t xml:space="preserve">AV AV JOSE GIFONI DA SILVA 1782         </t>
  </si>
  <si>
    <t xml:space="preserve"> VIZINHO A OFICINA FRANCIS              </t>
  </si>
  <si>
    <t xml:space="preserve"> 88 99643-8287                                      </t>
  </si>
  <si>
    <t>34.894.936/0001-25</t>
  </si>
  <si>
    <t xml:space="preserve">CLUBE DOS VENTOS                        </t>
  </si>
  <si>
    <t xml:space="preserve">APENUNGA SERVICOS TURISTICOS S A        </t>
  </si>
  <si>
    <t xml:space="preserve">VL VILA DE JERICOACOARA SN              </t>
  </si>
  <si>
    <t xml:space="preserve"> AO LADO DA POUSADA DO NOR              </t>
  </si>
  <si>
    <t xml:space="preserve">    072.340.053-90</t>
  </si>
  <si>
    <t xml:space="preserve">DRINK TRUCK                             </t>
  </si>
  <si>
    <t xml:space="preserve">THALLIS JHONANTHAN TEIXEIRA CARNEIRO    </t>
  </si>
  <si>
    <t xml:space="preserve">DT GUAGIRU SN                           </t>
  </si>
  <si>
    <t xml:space="preserve"> PROXIMO AO CONTANER                    </t>
  </si>
  <si>
    <t xml:space="preserve"> 88 99617-5385                                      </t>
  </si>
  <si>
    <t xml:space="preserve">    060.989.613-01</t>
  </si>
  <si>
    <t xml:space="preserve">ALFA BEAT                               </t>
  </si>
  <si>
    <t xml:space="preserve">DANIEL COUTO FILOMENO                   </t>
  </si>
  <si>
    <t xml:space="preserve">VL AV PADRE ANTONIO TOMAS 2775          </t>
  </si>
  <si>
    <t xml:space="preserve"> EM FRENTE O FABIO DO ESPE              </t>
  </si>
  <si>
    <t xml:space="preserve"> 88 99611-5522                                      </t>
  </si>
  <si>
    <t>46.740.434/0001-29</t>
  </si>
  <si>
    <t xml:space="preserve">RESTAURANTE COSTA NE                    </t>
  </si>
  <si>
    <t xml:space="preserve">FORNO A LENHA RODIZIO LTDA              </t>
  </si>
  <si>
    <t xml:space="preserve">AV AV OLAVO VASCONCELOS SN              </t>
  </si>
  <si>
    <t xml:space="preserve"> PROXIMO A CONVENIENCIA DA              </t>
  </si>
  <si>
    <t xml:space="preserve"> 88 99404-0570                                      </t>
  </si>
  <si>
    <t xml:space="preserve">    004.492.033-44</t>
  </si>
  <si>
    <t xml:space="preserve">BAR DO DENILSON                         </t>
  </si>
  <si>
    <t xml:space="preserve">R RUA VEREADOR MUNDICO MARTINS 605      </t>
  </si>
  <si>
    <t xml:space="preserve"> DEPOIS DO MERCADINHO SILV              </t>
  </si>
  <si>
    <t xml:space="preserve"> 88 99711-1366                                      </t>
  </si>
  <si>
    <t>38.478.478/0001-02</t>
  </si>
  <si>
    <t xml:space="preserve">REST SABOR E MAR                        </t>
  </si>
  <si>
    <t xml:space="preserve">LORRANY VASCONCELOS OLIVEIRA ME         </t>
  </si>
  <si>
    <t xml:space="preserve">R BEIRA MAR SN                          </t>
  </si>
  <si>
    <t xml:space="preserve"> PROXIMO AO LIFE                        </t>
  </si>
  <si>
    <t xml:space="preserve"> 88 99295-9242                                      </t>
  </si>
  <si>
    <t xml:space="preserve">    261.318.268-70</t>
  </si>
  <si>
    <t xml:space="preserve">BOTECO LAGOA AZUL                       </t>
  </si>
  <si>
    <t xml:space="preserve">AMILTON JOSE DE VASCONCELOS             </t>
  </si>
  <si>
    <t xml:space="preserve">VL VILA IMBE SN                         </t>
  </si>
  <si>
    <t xml:space="preserve"> EM FRENTE A FAZENDA LAGOA              </t>
  </si>
  <si>
    <t xml:space="preserve"> 88 99994-3833                                      </t>
  </si>
  <si>
    <t>62.300.159/0001-89</t>
  </si>
  <si>
    <t xml:space="preserve">JERI DUNAS POUSADA D                    </t>
  </si>
  <si>
    <t xml:space="preserve">JERI HOSPEDAGEM E SERVICOS LTDA         </t>
  </si>
  <si>
    <t xml:space="preserve">AV AV EDVA ESMERINODA SILVA SN          </t>
  </si>
  <si>
    <t xml:space="preserve"> PROXIMO AO MERCADINHO CAR              </t>
  </si>
  <si>
    <t xml:space="preserve"> 88 99903-9848                                      </t>
  </si>
  <si>
    <t>62.874.600/0001-36</t>
  </si>
  <si>
    <t xml:space="preserve">GELO DA VILA                            </t>
  </si>
  <si>
    <t xml:space="preserve">GELO DA VILA LTDA                       </t>
  </si>
  <si>
    <t xml:space="preserve">R RUA 15 JERI SN                        </t>
  </si>
  <si>
    <t xml:space="preserve"> PROXIMO AO MERC VAREJaO D              </t>
  </si>
  <si>
    <t xml:space="preserve"> 88 98860-8917                                      </t>
  </si>
  <si>
    <t>62.062.440/0001-20</t>
  </si>
  <si>
    <t xml:space="preserve">BAR E RESTAURANTE E                     </t>
  </si>
  <si>
    <t xml:space="preserve">ARMAZEM GASTRONOMIA LTDA                </t>
  </si>
  <si>
    <t xml:space="preserve"> PROXIMO AO CHALE CONVENIE              </t>
  </si>
  <si>
    <t xml:space="preserve"> 88 99632-1678                                      </t>
  </si>
  <si>
    <t xml:space="preserve">    077.635.173-79</t>
  </si>
  <si>
    <t xml:space="preserve">MERCADINHO O CARLIM                     </t>
  </si>
  <si>
    <t xml:space="preserve">FRANCISCO VICTOR DE VASCONCELOS         </t>
  </si>
  <si>
    <t xml:space="preserve">R CUNHAU , PITOMBEIRAS SN               </t>
  </si>
  <si>
    <t xml:space="preserve"> PROX A ENTRADA DI CAJUI B              </t>
  </si>
  <si>
    <t xml:space="preserve"> 88 99938-6443                                      </t>
  </si>
  <si>
    <t>62.721.283/0001-18</t>
  </si>
  <si>
    <t xml:space="preserve">DEPOSITO ZE ORLANDO                     </t>
  </si>
  <si>
    <t xml:space="preserve">CLEANE CHAVES DA SILVA                  </t>
  </si>
  <si>
    <t xml:space="preserve">R CAICARA SN                            </t>
  </si>
  <si>
    <t xml:space="preserve"> PROX A ASSOCIACaO DE CAIC              </t>
  </si>
  <si>
    <t xml:space="preserve"> 88 98187-9176                                      </t>
  </si>
  <si>
    <t xml:space="preserve">    006.740.713-79</t>
  </si>
  <si>
    <t xml:space="preserve">POINT PIZZA                             </t>
  </si>
  <si>
    <t xml:space="preserve">FRANCISCO EDVAN ALEXANDRE               </t>
  </si>
  <si>
    <t xml:space="preserve">CRG CORREGO DA FORQUILHA 02 SN          </t>
  </si>
  <si>
    <t xml:space="preserve"> EM FRENTE O COCO BONGO                 </t>
  </si>
  <si>
    <t xml:space="preserve">    080.187.013-50</t>
  </si>
  <si>
    <t xml:space="preserve">CAJU BAR BELA CRUZ                      </t>
  </si>
  <si>
    <t xml:space="preserve">PEDRO HENRIQUE JESUINO                  </t>
  </si>
  <si>
    <t xml:space="preserve">R RUA JOSE ROMaO DE CARVALHO SN         </t>
  </si>
  <si>
    <t xml:space="preserve"> DEPOIS DO ZE PINTOR NOS L              </t>
  </si>
  <si>
    <t xml:space="preserve"> 88 92169-7793                                      </t>
  </si>
  <si>
    <t>60.347.774/0001-15</t>
  </si>
  <si>
    <t xml:space="preserve">PADARIA DO VILAREJO                     </t>
  </si>
  <si>
    <t xml:space="preserve">PADARIA DO VILAREJO LTDA                </t>
  </si>
  <si>
    <t xml:space="preserve"> EM FRENTE A FARMACIA FARM              </t>
  </si>
  <si>
    <t xml:space="preserve"> 85 98671-7742                                      </t>
  </si>
  <si>
    <t xml:space="preserve">    082.695.183-01</t>
  </si>
  <si>
    <t xml:space="preserve">MERCADINHO MeI                          </t>
  </si>
  <si>
    <t xml:space="preserve">FERNANDO EUDES DE MARIA                 </t>
  </si>
  <si>
    <t xml:space="preserve">R RUA HUMAITA 293                       </t>
  </si>
  <si>
    <t xml:space="preserve"> AO LADO DA FARMACIA BELA               </t>
  </si>
  <si>
    <t xml:space="preserve"> 88 99662-9309                                      </t>
  </si>
  <si>
    <t xml:space="preserve">    805.665.963-34</t>
  </si>
  <si>
    <t xml:space="preserve">BAR DO ZEZIM                            </t>
  </si>
  <si>
    <t xml:space="preserve">MARIA DO LIVRAMEMTO DE FREITAS          </t>
  </si>
  <si>
    <t xml:space="preserve">DT LAGOA DA VOLTA SN                    </t>
  </si>
  <si>
    <t xml:space="preserve"> PROX AO MERC DO PEDRO PAI              </t>
  </si>
  <si>
    <t xml:space="preserve"> 88 99713-8810                                      </t>
  </si>
  <si>
    <t>62.926.585/0001-22</t>
  </si>
  <si>
    <t xml:space="preserve">ANTONIO LUCAS OSTERNO SOUSA             </t>
  </si>
  <si>
    <t xml:space="preserve"> PROX AO RESTAURANTE ELENI              </t>
  </si>
  <si>
    <t xml:space="preserve"> 88 99445-5978                                      </t>
  </si>
  <si>
    <t>26.443.661/0001-85</t>
  </si>
  <si>
    <t xml:space="preserve">SUPREMA MARCO                           </t>
  </si>
  <si>
    <t xml:space="preserve">SUPREMA MARCO LTDA                      </t>
  </si>
  <si>
    <t xml:space="preserve">R 30 DE JULHO 904                       </t>
  </si>
  <si>
    <t xml:space="preserve">ALEMAO                                                      </t>
  </si>
  <si>
    <t xml:space="preserve"> 88 99941-1624                                      </t>
  </si>
  <si>
    <t xml:space="preserve">    088.198.209-19</t>
  </si>
  <si>
    <t xml:space="preserve">CASAS ELILULA                           </t>
  </si>
  <si>
    <t xml:space="preserve">ROBERTA MURADAS CARNEIRO DE SOUSA       </t>
  </si>
  <si>
    <t xml:space="preserve">VL VILA PREA SN                         </t>
  </si>
  <si>
    <t xml:space="preserve"> AO LADO DO CASA SIARA                  </t>
  </si>
  <si>
    <t xml:space="preserve"> 11 99634-1414                                      </t>
  </si>
  <si>
    <t xml:space="preserve">    052.718.493-41</t>
  </si>
  <si>
    <t xml:space="preserve">BUTECO DO PAULO                         </t>
  </si>
  <si>
    <t xml:space="preserve"> FRANCISCO HENRIQUE FONTELES            </t>
  </si>
  <si>
    <t xml:space="preserve">R RUA PE JOAO BATISTA PAREIRA 1000      </t>
  </si>
  <si>
    <t xml:space="preserve"> PROXIMO COMERCIO DO TADE               </t>
  </si>
  <si>
    <t xml:space="preserve"> 88 99703-6975                                      </t>
  </si>
  <si>
    <t xml:space="preserve">    798.657.473-91</t>
  </si>
  <si>
    <t xml:space="preserve">RENOVE CONVENIENCIA                     </t>
  </si>
  <si>
    <t xml:space="preserve">MARIA ELINEIDE SILVEIRA                 </t>
  </si>
  <si>
    <t xml:space="preserve">R RUA ANTIOQUIA SN                      </t>
  </si>
  <si>
    <t xml:space="preserve"> IGREJA BIBLIOTECA E DEPOS              </t>
  </si>
  <si>
    <t xml:space="preserve"> 88 99802-2342                                      </t>
  </si>
  <si>
    <t>63.081.023/0001-98</t>
  </si>
  <si>
    <t xml:space="preserve">MERC VEM QUE TEM                        </t>
  </si>
  <si>
    <t xml:space="preserve">MAIRA FERREIRA RODRIGUES                </t>
  </si>
  <si>
    <t xml:space="preserve">R R ANGELA MARQUES SN                   </t>
  </si>
  <si>
    <t xml:space="preserve"> PROXIMO AO MERC O GERALDO              </t>
  </si>
  <si>
    <t xml:space="preserve"> 88 99648-5129                                      </t>
  </si>
  <si>
    <t>61.969.968/0001-15</t>
  </si>
  <si>
    <t xml:space="preserve">SUSHICOACOARA                           </t>
  </si>
  <si>
    <t xml:space="preserve">SUSHICOACOARA LTDA                      </t>
  </si>
  <si>
    <t xml:space="preserve"> PROXIMO AO REST SABOR DAS              </t>
  </si>
  <si>
    <t xml:space="preserve"> 88 99747-9083                                      </t>
  </si>
  <si>
    <t>62.546.664/0001-08</t>
  </si>
  <si>
    <t xml:space="preserve">CONV POSTO APARECIDA                    </t>
  </si>
  <si>
    <t xml:space="preserve">JDF VARIEDADES LTDA                     </t>
  </si>
  <si>
    <t xml:space="preserve">DT CAICARA SN                           </t>
  </si>
  <si>
    <t xml:space="preserve"> NO POSTO APARECIDA                     </t>
  </si>
  <si>
    <t xml:space="preserve"> 88 98116-3837                                      </t>
  </si>
  <si>
    <t xml:space="preserve">    625.398.903-00</t>
  </si>
  <si>
    <t xml:space="preserve">TREILER AMIGOS DO MA                    </t>
  </si>
  <si>
    <t xml:space="preserve">ALEX MARCILINO GOMES DA COSTA           </t>
  </si>
  <si>
    <t xml:space="preserve">PR PRAIA VOLTA DO RIO SN                </t>
  </si>
  <si>
    <t xml:space="preserve"> EM FRENTE A BARRACA DA TE              </t>
  </si>
  <si>
    <t xml:space="preserve">V DO RIO                                                    </t>
  </si>
  <si>
    <t xml:space="preserve"> 88 99823-3557                                      </t>
  </si>
  <si>
    <t xml:space="preserve">    061.430.383-41</t>
  </si>
  <si>
    <t xml:space="preserve">FRANCISCO ANDERSON M                    </t>
  </si>
  <si>
    <t xml:space="preserve">FRANCISCO ANDERSON MOURA DE SOUSA       </t>
  </si>
  <si>
    <t xml:space="preserve">R Rua Senador Virgilio Tavora 236       </t>
  </si>
  <si>
    <t xml:space="preserve"> proximo ao posto de saude              </t>
  </si>
  <si>
    <t xml:space="preserve"> 88 99960-8950                                      </t>
  </si>
  <si>
    <t>62.847.643/0001-22</t>
  </si>
  <si>
    <t xml:space="preserve">CHACARA ACONCHEGO                       </t>
  </si>
  <si>
    <t xml:space="preserve">CRISTIANO GARCIA NOJOSA                 </t>
  </si>
  <si>
    <t xml:space="preserve">R RUA VER OTAVIO FERREIRA GOMES 905     </t>
  </si>
  <si>
    <t xml:space="preserve"> PROXIMO A CAIXA DE AGUA                </t>
  </si>
  <si>
    <t xml:space="preserve"> 85 99904-2370                                      </t>
  </si>
  <si>
    <t>56.168.943/0001-82</t>
  </si>
  <si>
    <t xml:space="preserve">COSTEIRO SEAFOOD                        </t>
  </si>
  <si>
    <t xml:space="preserve">COSTEIRO SEAFOOD LTDA                   </t>
  </si>
  <si>
    <t xml:space="preserve">R R CELSO ARAUJO 586                    </t>
  </si>
  <si>
    <t xml:space="preserve"> PERTO DO BOM BOMBAR, VIZI              </t>
  </si>
  <si>
    <t xml:space="preserve"> 88 99627-1000                                      </t>
  </si>
  <si>
    <t>61.986.036/0001-80</t>
  </si>
  <si>
    <t xml:space="preserve">CABARE DU VENTO                         </t>
  </si>
  <si>
    <t xml:space="preserve">CABARE DU VENTO LTDA                    </t>
  </si>
  <si>
    <t xml:space="preserve">AV AV BEIRA MAR PREA SN                 </t>
  </si>
  <si>
    <t xml:space="preserve"> AO LADO CHE BRAZIL                     </t>
  </si>
  <si>
    <t xml:space="preserve"> 88 98863-2557                                      </t>
  </si>
  <si>
    <t>63.139.871/0001-00</t>
  </si>
  <si>
    <t xml:space="preserve">BODEGA DO ZECA                          </t>
  </si>
  <si>
    <t xml:space="preserve">VIEIRAS E MONTENEGRO LTDA               </t>
  </si>
  <si>
    <t xml:space="preserve"> PROXIMO A CONVENIENCIA EM              </t>
  </si>
  <si>
    <t xml:space="preserve"> 88 99238-2716                                      </t>
  </si>
  <si>
    <t>51.631.746/0001-34</t>
  </si>
  <si>
    <t xml:space="preserve">ITAREMA360                              </t>
  </si>
  <si>
    <t xml:space="preserve">ITAREMA360 LTDA                         </t>
  </si>
  <si>
    <t xml:space="preserve"> GUAGIRU                                </t>
  </si>
  <si>
    <t xml:space="preserve"> 88 99633-7777                                      </t>
  </si>
  <si>
    <t xml:space="preserve">    060.729.193-16</t>
  </si>
  <si>
    <t xml:space="preserve">BAR DO RENE                             </t>
  </si>
  <si>
    <t xml:space="preserve">MANUEL RENE SILVA                       </t>
  </si>
  <si>
    <t xml:space="preserve">DT MARCO SN                             </t>
  </si>
  <si>
    <t xml:space="preserve"> ENFRENTE A PRACA DO BAIRR              </t>
  </si>
  <si>
    <t xml:space="preserve"> 88 99637-9342                                      </t>
  </si>
  <si>
    <t xml:space="preserve">    057.326.643-35</t>
  </si>
  <si>
    <t xml:space="preserve">MERCADINHO PALHOCA M                    </t>
  </si>
  <si>
    <t xml:space="preserve">LUCAS MATEUS ARAUJO                     </t>
  </si>
  <si>
    <t xml:space="preserve">VL VILA MORGADO SN                      </t>
  </si>
  <si>
    <t xml:space="preserve"> ANTES DO MERCADINHO ROCHA              </t>
  </si>
  <si>
    <t xml:space="preserve"> 88 98825-4511                                      </t>
  </si>
  <si>
    <t xml:space="preserve">    066.334.303-88</t>
  </si>
  <si>
    <t xml:space="preserve">MERCADINHO PONTO CER                    </t>
  </si>
  <si>
    <t xml:space="preserve">JOEL RODRIGUES DE ARAUJO                </t>
  </si>
  <si>
    <t xml:space="preserve">DT BARINHA DE BAIXO SN                  </t>
  </si>
  <si>
    <t xml:space="preserve"> DO LADO DO MERCADINHO VIL              </t>
  </si>
  <si>
    <t xml:space="preserve"> 88 99932-9393                                      </t>
  </si>
  <si>
    <t>03.871.538/0001-60</t>
  </si>
  <si>
    <t xml:space="preserve">FARMACIA 7 DE SETEMB                    </t>
  </si>
  <si>
    <t xml:space="preserve">FARMACIA 7 DE SETEMBRO LTDA             </t>
  </si>
  <si>
    <t xml:space="preserve">R RUA 7 DE SETEMBRO 278                 </t>
  </si>
  <si>
    <t xml:space="preserve"> EM FRENTE A ESCOLA SaO FR              </t>
  </si>
  <si>
    <t xml:space="preserve"> 88 99849-4182                                      </t>
  </si>
  <si>
    <t xml:space="preserve">BOTICA/FARMACIA     </t>
  </si>
  <si>
    <t xml:space="preserve">    068.750.513-54</t>
  </si>
  <si>
    <t xml:space="preserve">SERGIO BEBIDAS                          </t>
  </si>
  <si>
    <t xml:space="preserve">SERGIO CARLOS PEREIRA MAGALHaES         </t>
  </si>
  <si>
    <t xml:space="preserve">DT CAPaO ACARAU SN                      </t>
  </si>
  <si>
    <t xml:space="preserve"> PROXIMO A IGREJA CATOLICA              </t>
  </si>
  <si>
    <t xml:space="preserve"> 11 94344-5001                                      </t>
  </si>
  <si>
    <t>60.860.831/0001-65</t>
  </si>
  <si>
    <t xml:space="preserve">LA BELLA PIZZARIA                       </t>
  </si>
  <si>
    <t>LA BELLA PIZZARIA E HAMBURGUERIA LTDA ME</t>
  </si>
  <si>
    <t xml:space="preserve">R ANICETO PINTO VASCONCELOS 114         </t>
  </si>
  <si>
    <t xml:space="preserve"> PROXIMO AO MERCADINHO O S              </t>
  </si>
  <si>
    <t xml:space="preserve"> 88 99991-2327                                      </t>
  </si>
  <si>
    <t xml:space="preserve">    100.897.143-00</t>
  </si>
  <si>
    <t xml:space="preserve">DISK RAPIDEZ                            </t>
  </si>
  <si>
    <t xml:space="preserve">JOSE ALAILTON DO NASCIMENTO             </t>
  </si>
  <si>
    <t xml:space="preserve">R RUA VEREADOR RAIMUNDO COSTA SO25      </t>
  </si>
  <si>
    <t xml:space="preserve"> PROXIMO AO COMERCIO DO GA              </t>
  </si>
  <si>
    <t xml:space="preserve"> 88 99951-1769                                      </t>
  </si>
  <si>
    <t xml:space="preserve">    093.409.463-24</t>
  </si>
  <si>
    <t xml:space="preserve">ESPETINHO DA FATINHA                    </t>
  </si>
  <si>
    <t xml:space="preserve">DENILSON DO NASCIMENTO MANOEL           </t>
  </si>
  <si>
    <t xml:space="preserve">R RUA NELSON DE ANDRADE SALES 22220     </t>
  </si>
  <si>
    <t xml:space="preserve"> PROXIMO AO COMERCIO DO CA              </t>
  </si>
  <si>
    <t xml:space="preserve"> 88 99634-0312                                      </t>
  </si>
  <si>
    <t>33.958.659/0001-04</t>
  </si>
  <si>
    <t xml:space="preserve">NATURALMENTE PREA RE                    </t>
  </si>
  <si>
    <t xml:space="preserve">NATURALMENTE PREA COMERCIO DE ALIMENTOS </t>
  </si>
  <si>
    <t xml:space="preserve"> EM FRENTE A LU RESTAURANT              </t>
  </si>
  <si>
    <t xml:space="preserve"> 62 98111-3192                                      </t>
  </si>
  <si>
    <t xml:space="preserve">    015.988.053-04</t>
  </si>
  <si>
    <t xml:space="preserve">MESTRE DO ESPETINHO                     </t>
  </si>
  <si>
    <t xml:space="preserve">MRIA ROSIANE PEREIRA CORDEIRO           </t>
  </si>
  <si>
    <t xml:space="preserve">AV AV FORMOSA SN                        </t>
  </si>
  <si>
    <t xml:space="preserve"> ANTIGA CHURRASCARIA FREIT              </t>
  </si>
  <si>
    <t xml:space="preserve"> 88 99211-0845                                      </t>
  </si>
  <si>
    <t>24.852.445/0001-68</t>
  </si>
  <si>
    <t xml:space="preserve">POUSADA VITAL                           </t>
  </si>
  <si>
    <t xml:space="preserve">CAMILO EVALDO CIALDINE VASCONCELOS      </t>
  </si>
  <si>
    <t xml:space="preserve">R RUA ISABELLE 360                      </t>
  </si>
  <si>
    <t xml:space="preserve"> RUA ATRAS DO HORTIFRUTTI               </t>
  </si>
  <si>
    <t xml:space="preserve"> 88 99903-3119                                      </t>
  </si>
  <si>
    <t>49.318.122/0002-09</t>
  </si>
  <si>
    <t xml:space="preserve">RICARDO DOS ALUMINIO                    </t>
  </si>
  <si>
    <t xml:space="preserve">JRS COMERCIO LTDA FILIAL                </t>
  </si>
  <si>
    <t xml:space="preserve">R RUA JOSE MONTEIRO DE MELO 1000        </t>
  </si>
  <si>
    <t xml:space="preserve"> PROXIMO AO SEMAFORO                    </t>
  </si>
  <si>
    <t xml:space="preserve"> 88 99988-4552                                      </t>
  </si>
  <si>
    <t xml:space="preserve">    055.926.223-09</t>
  </si>
  <si>
    <t xml:space="preserve">GELADAO DO NARDIN                       </t>
  </si>
  <si>
    <t xml:space="preserve">FRANCISCO LEONARDO ABREU DO NASCIMENTO  </t>
  </si>
  <si>
    <t xml:space="preserve">R JOAO ALBUQUERQUE RIBEIRO 1000         </t>
  </si>
  <si>
    <t xml:space="preserve"> SEM REFERENCIAS                        </t>
  </si>
  <si>
    <t xml:space="preserve"> 88 98164-5652                                      </t>
  </si>
  <si>
    <t>62.653.797/0001-83</t>
  </si>
  <si>
    <t xml:space="preserve">COIMBRA E MEDEIROS R                    </t>
  </si>
  <si>
    <t xml:space="preserve">COIMBRA E MEDEIROS RESTAURANTE LTDA     </t>
  </si>
  <si>
    <t xml:space="preserve">R RUA ISMAEL VASCONCELOS SN             </t>
  </si>
  <si>
    <t xml:space="preserve"> EM FRENTE AO FINA FINA PI              </t>
  </si>
  <si>
    <t xml:space="preserve"> 88 99635-5003                                      </t>
  </si>
  <si>
    <t xml:space="preserve">    019.948.533-01</t>
  </si>
  <si>
    <t xml:space="preserve">MERCEARIA DO NEGO                       </t>
  </si>
  <si>
    <t xml:space="preserve">JOSE CLAUDENOR FERREIRA                 </t>
  </si>
  <si>
    <t xml:space="preserve">R POVOADO SAO GERALDO SN                </t>
  </si>
  <si>
    <t xml:space="preserve"> DEPOSITO EMANUEL                       </t>
  </si>
  <si>
    <t xml:space="preserve"> 88  9960-4569                                      </t>
  </si>
  <si>
    <t>62.764.283/0001-03</t>
  </si>
  <si>
    <t xml:space="preserve">POUSADA PARAISO DOS                     </t>
  </si>
  <si>
    <t xml:space="preserve">POUSADA P. VENTOS LTDA                  </t>
  </si>
  <si>
    <t xml:space="preserve"> PROX. AO RANCHO DO PEIXE               </t>
  </si>
  <si>
    <t xml:space="preserve"> 88 98876-6581                                      </t>
  </si>
  <si>
    <t>62.378.870/0001-56</t>
  </si>
  <si>
    <t xml:space="preserve">MENINOS DA VILA DE JERICOACOARA LTDA    </t>
  </si>
  <si>
    <t xml:space="preserve"> PROXIMO AO REST BOM DE BO              </t>
  </si>
  <si>
    <t xml:space="preserve"> 88 99635-2992                                      </t>
  </si>
  <si>
    <t xml:space="preserve">    025.231.483-23</t>
  </si>
  <si>
    <t xml:space="preserve">CAFETERIA LITORANEA                     </t>
  </si>
  <si>
    <t xml:space="preserve">MARIA ROZANGELA DE ARAUJO MARTINS       </t>
  </si>
  <si>
    <t xml:space="preserve">AV AV JOaO BATISTA RIOS 589             </t>
  </si>
  <si>
    <t xml:space="preserve"> 88 99683-6685                                      </t>
  </si>
  <si>
    <t xml:space="preserve">    727.691.813-00</t>
  </si>
  <si>
    <t xml:space="preserve">MERCADINHO DO DIA                       </t>
  </si>
  <si>
    <t xml:space="preserve">JOSE VILMAR DE MENEZES                  </t>
  </si>
  <si>
    <t xml:space="preserve">R RUA TRES IRMaS SN                     </t>
  </si>
  <si>
    <t xml:space="preserve"> PROX AO CHAFARIZ                       </t>
  </si>
  <si>
    <t xml:space="preserve"> 88 99977-8169                                      </t>
  </si>
  <si>
    <t>39.320.573/0001-38</t>
  </si>
  <si>
    <t xml:space="preserve">COMERCIO DO OSEAS                       </t>
  </si>
  <si>
    <t>OSEAS SILVEIRA DO NASCIMENTO FILHO 06577</t>
  </si>
  <si>
    <t xml:space="preserve">R RUA COSMO PINTO SILVEIRA 1000         </t>
  </si>
  <si>
    <t xml:space="preserve"> 88 99613-1419                                      </t>
  </si>
  <si>
    <t>57.309.847/0001-70</t>
  </si>
  <si>
    <t xml:space="preserve">MERCADINHO DO JUNIOR                    </t>
  </si>
  <si>
    <t xml:space="preserve">FRANCISCO JUNIOR                        </t>
  </si>
  <si>
    <t xml:space="preserve">CRG CORREGO DOS ANAS , ANTES DO MESN    </t>
  </si>
  <si>
    <t xml:space="preserve"> PROX AO MERCADINHO SV                  </t>
  </si>
  <si>
    <t xml:space="preserve"> 88 98235-6234                                      </t>
  </si>
  <si>
    <t xml:space="preserve">    063.736.203-95</t>
  </si>
  <si>
    <t xml:space="preserve">MERCADINHO SANDRA                       </t>
  </si>
  <si>
    <t xml:space="preserve">MARIA ADRIANA SILVEIRA                  </t>
  </si>
  <si>
    <t xml:space="preserve">LOT LOTEAMENTO BECO DO PELE SN          </t>
  </si>
  <si>
    <t xml:space="preserve"> BECO DO PELE PROXIMO AO A              </t>
  </si>
  <si>
    <t xml:space="preserve"> 88 99650-7647                                      </t>
  </si>
  <si>
    <t xml:space="preserve">    373.285.878-22</t>
  </si>
  <si>
    <t xml:space="preserve">BAR DO VAL                              </t>
  </si>
  <si>
    <t xml:space="preserve">GLEICIANE CONSOLACaO SANTOS SOUZA       </t>
  </si>
  <si>
    <t xml:space="preserve">R BARRINHA DE BAIXO , SN                </t>
  </si>
  <si>
    <t xml:space="preserve"> ANTES DO MERCADINHO PONTO              </t>
  </si>
  <si>
    <t xml:space="preserve"> 88 99943-8265                                      </t>
  </si>
  <si>
    <t xml:space="preserve">    022.594.416-29</t>
  </si>
  <si>
    <t xml:space="preserve">POUSADA VISTA ENCANT                    </t>
  </si>
  <si>
    <t xml:space="preserve">ALESSANDRA MARQUES ROCHA PIRES          </t>
  </si>
  <si>
    <t xml:space="preserve">DT PREA SN                              </t>
  </si>
  <si>
    <t xml:space="preserve"> AO LADO DO RESTAURANTE DA              </t>
  </si>
  <si>
    <t xml:space="preserve"> 88 98806-2340                                      </t>
  </si>
  <si>
    <t xml:space="preserve">    051.981.253-00</t>
  </si>
  <si>
    <t xml:space="preserve">PANIFICADORA VASCONC                    </t>
  </si>
  <si>
    <t xml:space="preserve">FRANCISCO TIAGO DE VASCONCELOS          </t>
  </si>
  <si>
    <t xml:space="preserve"> PROXIMO A ESCOLA LUCIO TE              </t>
  </si>
  <si>
    <t xml:space="preserve"> 88 98215-0705                                      </t>
  </si>
  <si>
    <t xml:space="preserve">    061.575.253-55</t>
  </si>
  <si>
    <t xml:space="preserve">ROOFTOP BURGUER                         </t>
  </si>
  <si>
    <t xml:space="preserve">JORGE BRUNO LEITE                       </t>
  </si>
  <si>
    <t xml:space="preserve">CRG CORREGUINHO 510                     </t>
  </si>
  <si>
    <t xml:space="preserve"> ENFRENTE REALMOTOS                     </t>
  </si>
  <si>
    <t xml:space="preserve"> 88 99678-5417                                      </t>
  </si>
  <si>
    <t>FAST FOOD/DISQUE-SER</t>
  </si>
  <si>
    <t xml:space="preserve">    048.892.653-09</t>
  </si>
  <si>
    <t xml:space="preserve">NARIANE                                 </t>
  </si>
  <si>
    <t xml:space="preserve">MARIA NARIANE NASCIMENTO                </t>
  </si>
  <si>
    <t xml:space="preserve">R RUA DEPUTADO MANUEL RODRIGUES 893     </t>
  </si>
  <si>
    <t xml:space="preserve"> ENFRENTE O FROTA                       </t>
  </si>
  <si>
    <t xml:space="preserve"> 88 99405-0343                                      </t>
  </si>
  <si>
    <t xml:space="preserve">    047.675.707-00</t>
  </si>
  <si>
    <t xml:space="preserve">BOTECO CARIOCA                          </t>
  </si>
  <si>
    <t xml:space="preserve">VANESA CARLA MINIZ DE SOUZA             </t>
  </si>
  <si>
    <t xml:space="preserve"> AO LADO DA PARARIA DO CHI              </t>
  </si>
  <si>
    <t xml:space="preserve"> 21 96986-3584                                      </t>
  </si>
  <si>
    <t xml:space="preserve">    873.814.273-20</t>
  </si>
  <si>
    <t xml:space="preserve">MERCEARIA DO ELIEUDE                    </t>
  </si>
  <si>
    <t xml:space="preserve">FRANCISCO ELIEUDE ARAUJO                </t>
  </si>
  <si>
    <t xml:space="preserve">LGA LAGOA DO CANEMA ,BECO DOS ROS1000   </t>
  </si>
  <si>
    <t xml:space="preserve"> BECO DOS ROSA                          </t>
  </si>
  <si>
    <t xml:space="preserve"> 88 99843-7709                                      </t>
  </si>
  <si>
    <t xml:space="preserve">    126.085.363-28</t>
  </si>
  <si>
    <t xml:space="preserve">BETE SALGADOS E PETI                    </t>
  </si>
  <si>
    <t xml:space="preserve">FRANCISCO RUAN PAIVA DE ABREU           </t>
  </si>
  <si>
    <t xml:space="preserve">R RUA CORONEL TEIXEIRA PINTO SN         </t>
  </si>
  <si>
    <t xml:space="preserve"> FRENTE AO BANCO DO BRASIL              </t>
  </si>
  <si>
    <t xml:space="preserve"> 11 93773-5634                                      </t>
  </si>
  <si>
    <t xml:space="preserve">    069.446.323-06</t>
  </si>
  <si>
    <t xml:space="preserve">MERCANTIL DO CHICO                      </t>
  </si>
  <si>
    <t xml:space="preserve">DANIELE VASCONCELOS DE SOUZA            </t>
  </si>
  <si>
    <t xml:space="preserve">R RUA 05 SN                             </t>
  </si>
  <si>
    <t xml:space="preserve"> 88 98152-1399                                      </t>
  </si>
  <si>
    <t>62.676.797/0001-07</t>
  </si>
  <si>
    <t xml:space="preserve">LE CHARME JERICOACOA                    </t>
  </si>
  <si>
    <t xml:space="preserve">LE CHARME JERICOACOARA LTDA             </t>
  </si>
  <si>
    <t xml:space="preserve"> PROX AO FINA FINA PIZZARI              </t>
  </si>
  <si>
    <t xml:space="preserve"> 88 98107-7719                                      </t>
  </si>
  <si>
    <t xml:space="preserve">    633.138.843-50</t>
  </si>
  <si>
    <t xml:space="preserve">BAR DO CASTELO                          </t>
  </si>
  <si>
    <t xml:space="preserve">ANA BEATRIZ MEDEIROS PINTO              </t>
  </si>
  <si>
    <t xml:space="preserve">R RUA VEREADOR MUNDICO MARTINS 747      </t>
  </si>
  <si>
    <t xml:space="preserve"> FRENTE A PRACA AFONSO FON              </t>
  </si>
  <si>
    <t xml:space="preserve"> 88 99636-7043                                      </t>
  </si>
  <si>
    <t xml:space="preserve">    016.103.523-00</t>
  </si>
  <si>
    <t xml:space="preserve">QUINTAL DE CASA                         </t>
  </si>
  <si>
    <t xml:space="preserve">ANA MARCIA ARAUJO                       </t>
  </si>
  <si>
    <t xml:space="preserve">LOT LOTEAMENTO FLORESTA SN              </t>
  </si>
  <si>
    <t xml:space="preserve"> PROXIMA A CAPOTARIA TREVO              </t>
  </si>
  <si>
    <t xml:space="preserve"> 88 98870-8862                                      </t>
  </si>
  <si>
    <t xml:space="preserve">    023.642.113-10</t>
  </si>
  <si>
    <t xml:space="preserve">BAR DO CEBOLA                           </t>
  </si>
  <si>
    <t xml:space="preserve">JOSE VALDENEIDE DE FREITAS              </t>
  </si>
  <si>
    <t xml:space="preserve">SIT SITIO ALPARGATAS SN                 </t>
  </si>
  <si>
    <t xml:space="preserve"> PROXIMO CLUBE ALPARGATAS               </t>
  </si>
  <si>
    <t xml:space="preserve"> 88 99314-7582                                      </t>
  </si>
  <si>
    <t xml:space="preserve">    062.969.253-01</t>
  </si>
  <si>
    <t xml:space="preserve">LUCAS FAUSTINO DE AR                    </t>
  </si>
  <si>
    <t xml:space="preserve">LUCAS FAUSTINO DE ARAUJO                </t>
  </si>
  <si>
    <t xml:space="preserve">R CAITITU SN                            </t>
  </si>
  <si>
    <t xml:space="preserve"> Proximo a escola infantil              </t>
  </si>
  <si>
    <t xml:space="preserve"> 88 99916-2294                                      </t>
  </si>
  <si>
    <t>14.908.767/0001-28</t>
  </si>
  <si>
    <t xml:space="preserve">MERCANTIL O ROGERIO                     </t>
  </si>
  <si>
    <t xml:space="preserve">MARIA JACINTA DA SILVA                  </t>
  </si>
  <si>
    <t xml:space="preserve">SIT SITIO URUBU SN                      </t>
  </si>
  <si>
    <t xml:space="preserve"> PROXIMO AO RIO                         </t>
  </si>
  <si>
    <t xml:space="preserve">V. TORRES                                                   </t>
  </si>
  <si>
    <t xml:space="preserve"> 88 99817-4270                                      </t>
  </si>
  <si>
    <t>14.710.314/0002-73</t>
  </si>
  <si>
    <t xml:space="preserve">RIVIERA EMPREENDIMEN                    </t>
  </si>
  <si>
    <t xml:space="preserve">RIVIERA EMPREENDIMENTOS TURISTICOS LTDA </t>
  </si>
  <si>
    <t xml:space="preserve">AV CE 178 FAZENDA CACIMBAS SN           </t>
  </si>
  <si>
    <t xml:space="preserve"> AQUACRUSTA                             </t>
  </si>
  <si>
    <t xml:space="preserve"> 85 93110-7878                                      </t>
  </si>
  <si>
    <t xml:space="preserve">    445.567.053-04</t>
  </si>
  <si>
    <t xml:space="preserve">RANCHO CEARENCE RIAC                    </t>
  </si>
  <si>
    <t xml:space="preserve">JOAO BATISTA ARAUJO                     </t>
  </si>
  <si>
    <t xml:space="preserve">AC RIACHO DA PRATA SN                   </t>
  </si>
  <si>
    <t xml:space="preserve"> DO LADO DO CAMPO DE FUTEB              </t>
  </si>
  <si>
    <t xml:space="preserve"> 88 99991-3596                                      </t>
  </si>
  <si>
    <t>63.276.204/0001-70</t>
  </si>
  <si>
    <t xml:space="preserve">CHURRASCARIA O AGRIP                    </t>
  </si>
  <si>
    <t xml:space="preserve">CAIO JARBAS DO NASCIMENTO LTDA          </t>
  </si>
  <si>
    <t xml:space="preserve">R RUA JOSE MILTON DE OLIVEIRA 524       </t>
  </si>
  <si>
    <t xml:space="preserve"> PROX. AO ACONCHEGO DO LON              </t>
  </si>
  <si>
    <t xml:space="preserve"> 85 99841-6972                                      </t>
  </si>
  <si>
    <t>29.282.764/0001-07</t>
  </si>
  <si>
    <t xml:space="preserve">SABOR DO MAR RESTAUR                    </t>
  </si>
  <si>
    <t xml:space="preserve">SABOR DO MAR RESTAURANTE LTDA           </t>
  </si>
  <si>
    <t xml:space="preserve"> PROX AO VIVENDO DO MAR                 </t>
  </si>
  <si>
    <t xml:space="preserve"> 88 99712-9817                                      </t>
  </si>
  <si>
    <t xml:space="preserve">    615.518.523-90</t>
  </si>
  <si>
    <t xml:space="preserve">LUCIVAN                                 </t>
  </si>
  <si>
    <t xml:space="preserve">FRANCISCO FELIPE FREITAS                </t>
  </si>
  <si>
    <t xml:space="preserve">AC PEREIRAS 54                          </t>
  </si>
  <si>
    <t xml:space="preserve"> PERTO DA PADARIA DOS PERE              </t>
  </si>
  <si>
    <t>06.256-000</t>
  </si>
  <si>
    <t xml:space="preserve"> 88 99653-4763                                      </t>
  </si>
  <si>
    <t xml:space="preserve">    907.622.743-87</t>
  </si>
  <si>
    <t xml:space="preserve">SUCOS e CIA                             </t>
  </si>
  <si>
    <t xml:space="preserve">VIVIANE VASCONCELOS COSTA               </t>
  </si>
  <si>
    <t xml:space="preserve"> PROXIMO AO BAR DO GIL                  </t>
  </si>
  <si>
    <t xml:space="preserve"> 88 99982-7036                                      </t>
  </si>
  <si>
    <t>60.521.348/0001-56</t>
  </si>
  <si>
    <t xml:space="preserve">CANDIEIRO BAR E REST                    </t>
  </si>
  <si>
    <t xml:space="preserve">IERY MARIA ARAUJO OSTERNO CAVALCANTE    </t>
  </si>
  <si>
    <t xml:space="preserve">AV AV PREFEITO GUIDO OSTERNO 1183       </t>
  </si>
  <si>
    <t xml:space="preserve"> POSTO SaO LUCAS                        </t>
  </si>
  <si>
    <t xml:space="preserve"> 88 99755-0675                                      </t>
  </si>
  <si>
    <t>41.640.083/0002-41</t>
  </si>
  <si>
    <t xml:space="preserve">ALISIOS BORA                            </t>
  </si>
  <si>
    <t xml:space="preserve"> AO LADO DO CARNAUBA                    </t>
  </si>
  <si>
    <t xml:space="preserve"> 88 99755-2517                                      </t>
  </si>
  <si>
    <t>42.353.709/0001-10</t>
  </si>
  <si>
    <t xml:space="preserve">PIZZARIA BRANDaO                        </t>
  </si>
  <si>
    <t xml:space="preserve">RAIMUNDO TEIXEIRA BRANDAO               </t>
  </si>
  <si>
    <t xml:space="preserve">R RUA CAMPO GRANDE 865                  </t>
  </si>
  <si>
    <t xml:space="preserve"> OSMAZAO                                </t>
  </si>
  <si>
    <t xml:space="preserve"> 11 97246-5142                                      </t>
  </si>
  <si>
    <t xml:space="preserve">    051.842.433-21</t>
  </si>
  <si>
    <t xml:space="preserve">TOIM BIER                               </t>
  </si>
  <si>
    <t xml:space="preserve">ANTONIO ODACILIO RODRIGUES ARAUJO       </t>
  </si>
  <si>
    <t xml:space="preserve">SIT SITIO ALPARGATAS 97                 </t>
  </si>
  <si>
    <t xml:space="preserve"> ALPARGATAS CLUBE                       </t>
  </si>
  <si>
    <t xml:space="preserve"> 88 99953-7964                                      </t>
  </si>
  <si>
    <t>63.190.260/0001-97</t>
  </si>
  <si>
    <t xml:space="preserve">MERCADO DUNA DO SOL                     </t>
  </si>
  <si>
    <t xml:space="preserve">MARYA EDUARDA SPIGOLON DE FARIAS        </t>
  </si>
  <si>
    <t xml:space="preserve">VL VILA R RAIMUNDO ARTIDOR SN           </t>
  </si>
  <si>
    <t xml:space="preserve"> AO LADO DO CORPO DE BOMBE              </t>
  </si>
  <si>
    <t xml:space="preserve"> 61 99570-7524                                      </t>
  </si>
  <si>
    <t xml:space="preserve">    049.674.363-58</t>
  </si>
  <si>
    <t xml:space="preserve">POTI TUTTI                              </t>
  </si>
  <si>
    <t xml:space="preserve">WESLEY TEIXEIRA DO NASCIMENTO           </t>
  </si>
  <si>
    <t xml:space="preserve"> ANTIGO FAROL TUOR                      </t>
  </si>
  <si>
    <t xml:space="preserve"> 11 98274-6165                                      </t>
  </si>
  <si>
    <t xml:space="preserve">    205.117.778-33</t>
  </si>
  <si>
    <t xml:space="preserve">MERCADINHO OSASCO                       </t>
  </si>
  <si>
    <t xml:space="preserve">FLORISA MATEUS DOS SANTOS               </t>
  </si>
  <si>
    <t xml:space="preserve">R CARLOS ARY MACEDO OSTERNO 531         </t>
  </si>
  <si>
    <t xml:space="preserve"> PROXIMO A SEMBLEIA DE DEU              </t>
  </si>
  <si>
    <t xml:space="preserve"> 88 99668-1540                                      </t>
  </si>
  <si>
    <t xml:space="preserve">    990.994.623-87</t>
  </si>
  <si>
    <t xml:space="preserve">ROTA DO SABOR                           </t>
  </si>
  <si>
    <t xml:space="preserve">MARIA IOLAENE SOUSA                     </t>
  </si>
  <si>
    <t xml:space="preserve">AV AV MANOEL SALES SN                   </t>
  </si>
  <si>
    <t xml:space="preserve"> PROXIMO AO MERCANTIL DO L              </t>
  </si>
  <si>
    <t xml:space="preserve"> 88 99906-7173                                      </t>
  </si>
  <si>
    <t>51.699.242/0001-56</t>
  </si>
  <si>
    <t xml:space="preserve">GELADAO DO BOLINHA                      </t>
  </si>
  <si>
    <t xml:space="preserve">GELADAO DO BOLINHA COMERCIO LTDA        </t>
  </si>
  <si>
    <t xml:space="preserve">R RUA MANOEL RIOS 81                    </t>
  </si>
  <si>
    <t xml:space="preserve"> MERCADO PUBLICO DE ITAREM              </t>
  </si>
  <si>
    <t xml:space="preserve"> 88 99767-4642                                      </t>
  </si>
  <si>
    <t xml:space="preserve">    511.501.073-91</t>
  </si>
  <si>
    <t xml:space="preserve">MERCADINHO O RAIMUND                    </t>
  </si>
  <si>
    <t xml:space="preserve">JOSE RAIMUNDO DE SOUSA                  </t>
  </si>
  <si>
    <t xml:space="preserve">R CURRAL VELHO DE BAIXO SN              </t>
  </si>
  <si>
    <t xml:space="preserve"> 88 99838-8977                                      </t>
  </si>
  <si>
    <t>07.069.004/0001-75</t>
  </si>
  <si>
    <t xml:space="preserve">POUSADA CAP THOMAZ                      </t>
  </si>
  <si>
    <t xml:space="preserve">POUSADA CAPITAO THOMAZ LTDA ME          </t>
  </si>
  <si>
    <t xml:space="preserve"> AO LADO D JERI ARTE                    </t>
  </si>
  <si>
    <t xml:space="preserve"> 88 99947-0003                                      </t>
  </si>
  <si>
    <t xml:space="preserve">    047.101.993-37</t>
  </si>
  <si>
    <t xml:space="preserve">LANCHONETE E RESTAUR                    </t>
  </si>
  <si>
    <t xml:space="preserve">JOSIANE FEITOSA DE SOUSA                </t>
  </si>
  <si>
    <t xml:space="preserve">AC CAICARA SN                           </t>
  </si>
  <si>
    <t xml:space="preserve"> DO LADO DA FRUTARIA CAICA              </t>
  </si>
  <si>
    <t xml:space="preserve"> 88 98129-5551                                      </t>
  </si>
  <si>
    <t xml:space="preserve">    038.506.983-94</t>
  </si>
  <si>
    <t xml:space="preserve">AFTER DA LELE                           </t>
  </si>
  <si>
    <t xml:space="preserve">AFTER DA LELE LTDA                      </t>
  </si>
  <si>
    <t xml:space="preserve">VL PREA SN                              </t>
  </si>
  <si>
    <t xml:space="preserve"> NA PRACA PRINCIPAL,EM FRE              </t>
  </si>
  <si>
    <t xml:space="preserve"> 88 98860-0266                                      </t>
  </si>
  <si>
    <t>50.955.076/0001-49</t>
  </si>
  <si>
    <t xml:space="preserve">JUNIOR DAS FRUTAS                       </t>
  </si>
  <si>
    <t xml:space="preserve">ANTONIO FRANCISCO JUNIOR                </t>
  </si>
  <si>
    <t xml:space="preserve">R RUA PROFESSOR JOAO PEREIRA 259        </t>
  </si>
  <si>
    <t xml:space="preserve"> AO LADO DA DELEGACIA                   </t>
  </si>
  <si>
    <t xml:space="preserve"> 88 89903-3083                                      </t>
  </si>
  <si>
    <t>63.535.680/0001-68</t>
  </si>
  <si>
    <t xml:space="preserve">SUPERMERCADO EXPRESS                    </t>
  </si>
  <si>
    <t xml:space="preserve">ESTHILY BRANDAO DE ARAUJO               </t>
  </si>
  <si>
    <t xml:space="preserve">CRG CORREGO DO URUBU 01                 </t>
  </si>
  <si>
    <t xml:space="preserve"> DE FRENTE O WHITE BAR                  </t>
  </si>
  <si>
    <t xml:space="preserve"> 88 99814-4528                                      </t>
  </si>
  <si>
    <t xml:space="preserve">    072.270.623-50</t>
  </si>
  <si>
    <t xml:space="preserve">ANDRESA DE FATIMA CA                    </t>
  </si>
  <si>
    <t xml:space="preserve">S e A COMERCIAL DE BEBIDAS              </t>
  </si>
  <si>
    <t xml:space="preserve"> PROXIMO AO JESO                        </t>
  </si>
  <si>
    <t xml:space="preserve"> 88 99342-4449                                      </t>
  </si>
  <si>
    <t xml:space="preserve">    049.772.963-62</t>
  </si>
  <si>
    <t xml:space="preserve">COMERCIAL FREITAS                       </t>
  </si>
  <si>
    <t xml:space="preserve">DAVID CRUZ DE OLIVEIRA                  </t>
  </si>
  <si>
    <t xml:space="preserve">R RUA VILA NOVA 16                      </t>
  </si>
  <si>
    <t xml:space="preserve"> VIZINHO AO CANAVIEIRA                  </t>
  </si>
  <si>
    <t xml:space="preserve"> 88 98866-0472                                      </t>
  </si>
  <si>
    <t xml:space="preserve">    047.420.693-90</t>
  </si>
  <si>
    <t xml:space="preserve">PONTO DO PETISCO                        </t>
  </si>
  <si>
    <t xml:space="preserve">FRANCISCO EUDES SOUSA                   </t>
  </si>
  <si>
    <t xml:space="preserve"> PROXIMO AO BR                          </t>
  </si>
  <si>
    <t xml:space="preserve"> 88 99713-1463                                      </t>
  </si>
  <si>
    <t xml:space="preserve">    047.716.383-14</t>
  </si>
  <si>
    <t xml:space="preserve">BAR DOS AMIGOS                          </t>
  </si>
  <si>
    <t xml:space="preserve">RAIMUNDO NONATO DA CRUZ NICOLAU         </t>
  </si>
  <si>
    <t xml:space="preserve">R RUA ISABELE SN                        </t>
  </si>
  <si>
    <t xml:space="preserve"> PROXIMO AO POLO                        </t>
  </si>
  <si>
    <t xml:space="preserve"> 88 98869-1347                                      </t>
  </si>
  <si>
    <t xml:space="preserve">    047.677.503-50</t>
  </si>
  <si>
    <t xml:space="preserve">GARAGEM BARBEARIA                       </t>
  </si>
  <si>
    <t xml:space="preserve">ALMIR GUSTAVO DE SOUSA                  </t>
  </si>
  <si>
    <t xml:space="preserve">R RUA MONSENHOR SABINO 243              </t>
  </si>
  <si>
    <t xml:space="preserve"> DO LADO DA ACESSO CAR                  </t>
  </si>
  <si>
    <t xml:space="preserve"> 88 99863-0289                                      </t>
  </si>
  <si>
    <t xml:space="preserve">    074.491.523-63</t>
  </si>
  <si>
    <t xml:space="preserve">GELATOP                                 </t>
  </si>
  <si>
    <t xml:space="preserve">JOSE AROLDO CARNEIRO DOS SANTOS         </t>
  </si>
  <si>
    <t xml:space="preserve">R RUA JOSE FERNANDES GOMES 85           </t>
  </si>
  <si>
    <t xml:space="preserve"> CASA DO ZE PORETA                      </t>
  </si>
  <si>
    <t xml:space="preserve"> 88 99937-5696                                      </t>
  </si>
  <si>
    <t xml:space="preserve">DELIVERY            </t>
  </si>
  <si>
    <t xml:space="preserve">    028.708.153-28</t>
  </si>
  <si>
    <t xml:space="preserve">ADEGA DO TOIM                           </t>
  </si>
  <si>
    <t xml:space="preserve">GABRIELA MARIA NASCIMENTO               </t>
  </si>
  <si>
    <t xml:space="preserve">SIT SITIO SaO JOSE SN                   </t>
  </si>
  <si>
    <t xml:space="preserve"> PROXIMO A CAIXA DAGUA                  </t>
  </si>
  <si>
    <t xml:space="preserve"> 88 99684-6972                                      </t>
  </si>
  <si>
    <t xml:space="preserve">    025.787.423-24</t>
  </si>
  <si>
    <t xml:space="preserve">ARENA LANDIR                            </t>
  </si>
  <si>
    <t xml:space="preserve">LANDIR DOS SANTOS VITOR                 </t>
  </si>
  <si>
    <t xml:space="preserve">CRG CORREGO DO ARROZ SN                 </t>
  </si>
  <si>
    <t xml:space="preserve"> PROXIMO AO SANTA HELENA                </t>
  </si>
  <si>
    <t xml:space="preserve">V. CARVOEIRO                                                </t>
  </si>
  <si>
    <t xml:space="preserve"> 88 99632-8941                                      </t>
  </si>
  <si>
    <t>38.386.849/0001-18</t>
  </si>
  <si>
    <t xml:space="preserve">ESSEN BURGER LTDA                       </t>
  </si>
  <si>
    <t xml:space="preserve">R VICENTE DE PAULO 1444                 </t>
  </si>
  <si>
    <t xml:space="preserve"> LOCALIZADO NO CALCADAO DE              </t>
  </si>
  <si>
    <t xml:space="preserve"> 88 98105-5505                                      </t>
  </si>
  <si>
    <t>62.401.164/0001-88</t>
  </si>
  <si>
    <t xml:space="preserve">CONVENIENCIA SaO VIC                    </t>
  </si>
  <si>
    <t xml:space="preserve">RENAN CARVALHO MONTEIRO                 </t>
  </si>
  <si>
    <t xml:space="preserve">R R VITAL VERISSIMO SN                  </t>
  </si>
  <si>
    <t xml:space="preserve"> PROXIMO A PADARIA DA VILA              </t>
  </si>
  <si>
    <t xml:space="preserve"> 88 99654-9270                                      </t>
  </si>
  <si>
    <t>14.910.302/0001-01</t>
  </si>
  <si>
    <t xml:space="preserve">DEPOSITO RODRIGO MAR                    </t>
  </si>
  <si>
    <t xml:space="preserve">JOSE GRACIANO RODRIGUES NETO ME         </t>
  </si>
  <si>
    <t xml:space="preserve"> PROXIMO AO DEPOSITO J V                </t>
  </si>
  <si>
    <t xml:space="preserve">CARVOEIRO                                                   </t>
  </si>
  <si>
    <t xml:space="preserve"> 88 98219-4390                                      </t>
  </si>
  <si>
    <t xml:space="preserve">    605.101.013-05</t>
  </si>
  <si>
    <t xml:space="preserve">MERCADINHO DA TOTI                      </t>
  </si>
  <si>
    <t xml:space="preserve">JOSE MOEZIO DE OLIVEIRA                 </t>
  </si>
  <si>
    <t xml:space="preserve">R RUA JOSE COSTA SOUZA SN               </t>
  </si>
  <si>
    <t xml:space="preserve"> POSTO DE SAUDE                         </t>
  </si>
  <si>
    <t xml:space="preserve"> 88 99985-3515                                      </t>
  </si>
  <si>
    <t xml:space="preserve">    878.492.753-49</t>
  </si>
  <si>
    <t xml:space="preserve">POSTO ROCHA                             </t>
  </si>
  <si>
    <t xml:space="preserve">NILO ROCHA DIAS NETO                    </t>
  </si>
  <si>
    <t xml:space="preserve">R TRIAGULO DE MARCO SN                  </t>
  </si>
  <si>
    <t xml:space="preserve"> PROXIMO AO RESTORANTE BOM              </t>
  </si>
  <si>
    <t xml:space="preserve"> 88 98648-1002                                      </t>
  </si>
  <si>
    <t xml:space="preserve">    030.850.265-50</t>
  </si>
  <si>
    <t xml:space="preserve">BAR DO BAHIA                            </t>
  </si>
  <si>
    <t xml:space="preserve">VALDEMIR ALMEIDA ESTRELA                </t>
  </si>
  <si>
    <t xml:space="preserve"> 88 98805-0053                                      </t>
  </si>
  <si>
    <t>63.733.474/0001-62</t>
  </si>
  <si>
    <t xml:space="preserve">CASA DA JO                              </t>
  </si>
  <si>
    <t xml:space="preserve">FRANCISCA ANA ERIKA DA SILVA            </t>
  </si>
  <si>
    <t xml:space="preserve">R R ANANIAS LOPES SN                    </t>
  </si>
  <si>
    <t xml:space="preserve"> 88 99459-7745                                      </t>
  </si>
  <si>
    <t xml:space="preserve">    886.835.833-68</t>
  </si>
  <si>
    <t xml:space="preserve">TEMPEIRO CASEIRO                        </t>
  </si>
  <si>
    <t xml:space="preserve">RAFAEL PEREIRA BRANDaO                  </t>
  </si>
  <si>
    <t xml:space="preserve">DT ARANAU SN                            </t>
  </si>
  <si>
    <t xml:space="preserve"> PRACA DE ARANAU                        </t>
  </si>
  <si>
    <t xml:space="preserve"> 19 99968-2911                                      </t>
  </si>
  <si>
    <t xml:space="preserve">    606.186.423-07</t>
  </si>
  <si>
    <t xml:space="preserve">FRANCISCO KUAN CORDEIRO SOUSA           </t>
  </si>
  <si>
    <t xml:space="preserve">R SANTA ROSA 2 SN                       </t>
  </si>
  <si>
    <t xml:space="preserve"> ENFRENTE A PRACA DA SANTA              </t>
  </si>
  <si>
    <t xml:space="preserve"> 88 99743-1753                                      </t>
  </si>
  <si>
    <t xml:space="preserve">    948.371.553-91</t>
  </si>
  <si>
    <t xml:space="preserve">FUNDO DE QUINTAL PRE                    </t>
  </si>
  <si>
    <t xml:space="preserve">SEVERINO ALBERTO JUSTINO                </t>
  </si>
  <si>
    <t xml:space="preserve"> PROXIMO AO GL MERCADINHO               </t>
  </si>
  <si>
    <t xml:space="preserve"> 85 98505-0203                                      </t>
  </si>
  <si>
    <t xml:space="preserve">    826.882.303-87</t>
  </si>
  <si>
    <t xml:space="preserve">ESPETINHO DA SUELY                      </t>
  </si>
  <si>
    <t xml:space="preserve">MARIA SUELY SILVA SANTOS                </t>
  </si>
  <si>
    <t xml:space="preserve">R RUA SANTOS MOURA 270                  </t>
  </si>
  <si>
    <t xml:space="preserve"> PROXIMO AO CONDOMINIO RIV              </t>
  </si>
  <si>
    <t xml:space="preserve"> 88 99901-2532                                      </t>
  </si>
  <si>
    <t>40.702.153/0001-03</t>
  </si>
  <si>
    <t xml:space="preserve">SMOOV                                   </t>
  </si>
  <si>
    <t xml:space="preserve">VILA TUPI LTDA                          </t>
  </si>
  <si>
    <t xml:space="preserve"> PROX AO CABARE DU VENTO                </t>
  </si>
  <si>
    <t xml:space="preserve"> 11 97960-7646                                      </t>
  </si>
  <si>
    <t>60.263.734/0001-95</t>
  </si>
  <si>
    <t xml:space="preserve">TOCA DA ILHA                            </t>
  </si>
  <si>
    <t xml:space="preserve">CRISTOVAO GUERRA NETO LTDA - ME         </t>
  </si>
  <si>
    <t xml:space="preserve"> PROX A BARRA DO KITE                   </t>
  </si>
  <si>
    <t xml:space="preserve"> 88 99975-1171                                      </t>
  </si>
  <si>
    <t xml:space="preserve">    070.798.893-40</t>
  </si>
  <si>
    <t xml:space="preserve">GRUTAS PETISCARIA                       </t>
  </si>
  <si>
    <t xml:space="preserve">GABRIEL RODRIGO DE SOUSA                </t>
  </si>
  <si>
    <t xml:space="preserve">R RUA DO GRUTAS SN                      </t>
  </si>
  <si>
    <t xml:space="preserve"> IGREJA DO CORREGO PERDIDO              </t>
  </si>
  <si>
    <t xml:space="preserve"> 88 99618-1332                                      </t>
  </si>
  <si>
    <t xml:space="preserve">    100.824.313-29</t>
  </si>
  <si>
    <t xml:space="preserve">DIVINO SABOR                            </t>
  </si>
  <si>
    <t xml:space="preserve">ANA CLARA DA SILVA DO NASCIMENTO        </t>
  </si>
  <si>
    <t xml:space="preserve">AV AV JOAO BATISTA RIOS 580             </t>
  </si>
  <si>
    <t xml:space="preserve"> PROXIMO AO KILANCHE                    </t>
  </si>
  <si>
    <t xml:space="preserve"> 88 99871-3450                                      </t>
  </si>
  <si>
    <t>61.433.300/0001-59</t>
  </si>
  <si>
    <t xml:space="preserve">DONA IVONE BISTRO                       </t>
  </si>
  <si>
    <t xml:space="preserve">TARCISIO IRAPUA CHAVES SALES - ME       </t>
  </si>
  <si>
    <t xml:space="preserve"> PROX AO CHE BRASIL                     </t>
  </si>
  <si>
    <t xml:space="preserve"> 85 98534-4447                                      </t>
  </si>
  <si>
    <t>29.237.791/0002-30</t>
  </si>
  <si>
    <t xml:space="preserve">AYA                                     </t>
  </si>
  <si>
    <t xml:space="preserve">SCHEIDE EMPREENDIMENTOS ARTISTICOS LTDA </t>
  </si>
  <si>
    <t xml:space="preserve"> VILA DE JERICOACORA                    </t>
  </si>
  <si>
    <t xml:space="preserve"> 11 99698-3331                                      </t>
  </si>
  <si>
    <t>63.638.236/0001-78</t>
  </si>
  <si>
    <t xml:space="preserve">RESTAURANTE KITEBRIS                    </t>
  </si>
  <si>
    <t xml:space="preserve">RESTAURANTE KITEBRISA PREA LTDA         </t>
  </si>
  <si>
    <t xml:space="preserve"> EM FRENTE A POUSADA PREA               </t>
  </si>
  <si>
    <t xml:space="preserve"> 11 91518-2020                                      </t>
  </si>
  <si>
    <t xml:space="preserve">    059.429.768-05</t>
  </si>
  <si>
    <t xml:space="preserve">BAR AMIGO                               </t>
  </si>
  <si>
    <t xml:space="preserve">PEDRO RODRIGUES DE ARAUJO               </t>
  </si>
  <si>
    <t xml:space="preserve"> AO LADO DO FACE BAR                    </t>
  </si>
  <si>
    <t xml:space="preserve"> 11 98398-2142                                      </t>
  </si>
  <si>
    <t>24.692.640/0001-78</t>
  </si>
  <si>
    <t xml:space="preserve">BARRACA O TOCA                          </t>
  </si>
  <si>
    <t xml:space="preserve">JOSE GEZUALDO DE FREITAS SANTOS ME      </t>
  </si>
  <si>
    <t xml:space="preserve"> PROX A TOCA DA ILHA                    </t>
  </si>
  <si>
    <t xml:space="preserve"> 85 99992-4874                                      </t>
  </si>
  <si>
    <t>15.762.866/0001-07</t>
  </si>
  <si>
    <t xml:space="preserve">PREA BEACH VILLAS                       </t>
  </si>
  <si>
    <t xml:space="preserve">PREA BEACH VILLAS POUSADA LTDA          </t>
  </si>
  <si>
    <t xml:space="preserve">AV AV BEIRA MAR,SN,GRUPO PREA BEASN     </t>
  </si>
  <si>
    <t xml:space="preserve"> PROXIMO A PEDRA DA SEREIA              </t>
  </si>
  <si>
    <t xml:space="preserve">    021.589.413-83</t>
  </si>
  <si>
    <t xml:space="preserve">LEON ELIACHAR S.GOME                    </t>
  </si>
  <si>
    <t xml:space="preserve">LEON ELIACHAR SOUSA GOMES               </t>
  </si>
  <si>
    <t xml:space="preserve">R CAIO PRADO 2086                       </t>
  </si>
  <si>
    <t xml:space="preserve">VIOLETE                                                     </t>
  </si>
  <si>
    <t>62.500-000</t>
  </si>
  <si>
    <t xml:space="preserve"> 88 99605-7261                                      </t>
  </si>
  <si>
    <t xml:space="preserve">BALCAO              </t>
  </si>
  <si>
    <t>55.262.039/0002-50</t>
  </si>
  <si>
    <t xml:space="preserve">CAPITALI CRUZ                           </t>
  </si>
  <si>
    <t xml:space="preserve">CAPITALI DIST. BEBIDAS CRUZ LTDA        </t>
  </si>
  <si>
    <t xml:space="preserve">R 07 DE SETEMBRO 1182                   </t>
  </si>
  <si>
    <t xml:space="preserve"> 81  3339-5252                                      </t>
  </si>
  <si>
    <t>Setor</t>
  </si>
  <si>
    <t>Tipo de Vasilhame</t>
  </si>
  <si>
    <t>Comprou</t>
  </si>
  <si>
    <t>Falta Comprar</t>
  </si>
  <si>
    <t>INICIO DO MÊS</t>
  </si>
  <si>
    <t>HOJE</t>
  </si>
  <si>
    <t>INICIO DO MÊS - HOJE</t>
  </si>
  <si>
    <t>Meta</t>
  </si>
  <si>
    <t>Tendência</t>
  </si>
  <si>
    <t xml:space="preserve">Zero Total  </t>
  </si>
  <si>
    <t xml:space="preserve">GV </t>
  </si>
  <si>
    <t>SETORES</t>
  </si>
  <si>
    <t>GV</t>
  </si>
  <si>
    <t>Jaissa</t>
  </si>
  <si>
    <t>Fredson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</si>
</sst>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1" applyNumberFormat="1" applyFont="1"/>
    <xf numFmtId="9" fontId="0" fillId="0" borderId="0" xfId="1" applyFont="1"/>
    <xf numFmtId="0" fontId="18" fillId="33" borderId="0" xfId="0" applyFont="1" applyFill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14" fontId="0" fillId="0" borderId="12" xfId="0" applyNumberFormat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A16" totalsRowShown="0">
  <autoFilter ref="A1:AA16" xr:uid="{00000000-0009-0000-0100-000002000000}"/>
  <sortState xmlns:xlrd2="http://schemas.microsoft.com/office/spreadsheetml/2017/richdata2" ref="A2:AA16">
    <sortCondition descending="1" ref="S1:S16"/>
  </sortState>
  <tableColumns count="27">
    <tableColumn id="1" xr3:uid="{00000000-0010-0000-0000-000001000000}" name="Cliente"/>
    <tableColumn id="2" xr3:uid="{00000000-0010-0000-0000-000002000000}" name="Razão Social"/>
    <tableColumn id="3" xr3:uid="{00000000-0010-0000-0000-000003000000}" name="AG"/>
    <tableColumn id="4" xr3:uid="{00000000-0010-0000-0000-000004000000}" name="Caixas Comodatadas"/>
    <tableColumn id="5" xr3:uid="{00000000-0010-0000-0000-000005000000}" name="Vol. Real Hl Trimestral"/>
    <tableColumn id="6" xr3:uid="{00000000-0010-0000-0000-000006000000}" name="Vol. Real Cx Trimestral"/>
    <tableColumn id="7" xr3:uid="{00000000-0010-0000-0000-000007000000}" name="Giro Trimestral"/>
    <tableColumn id="8" xr3:uid="{00000000-0010-0000-0000-000008000000}" name="Vol. Real Hl Mensal"/>
    <tableColumn id="9" xr3:uid="{00000000-0010-0000-0000-000009000000}" name="Vol. Real Cx Mensal"/>
    <tableColumn id="10" xr3:uid="{00000000-0010-0000-0000-00000A000000}" name="Giro"/>
    <tableColumn id="11" xr3:uid="{00000000-0010-0000-0000-00000B000000}" name="Tend. Giro"/>
    <tableColumn id="12" xr3:uid="{00000000-0010-0000-0000-00000C000000}" name="Meta Unit."/>
    <tableColumn id="13" xr3:uid="{00000000-0010-0000-0000-00000D000000}" name="Item Comodato"/>
    <tableColumn id="14" xr3:uid="{00000000-0010-0000-0000-00000E000000}" name="tipo"/>
    <tableColumn id="15" xr3:uid="{00000000-0010-0000-0000-00000F000000}" name="Quantidade"/>
    <tableColumn id="16" xr3:uid="{00000000-0010-0000-0000-000010000000}" name="Valor Uni."/>
    <tableColumn id="17" xr3:uid="{00000000-0010-0000-0000-000011000000}" name="Valor Tot."/>
    <tableColumn id="18" xr3:uid="{00000000-0010-0000-0000-000012000000}" name="Tipo Giro Trimestral"/>
    <tableColumn id="19" xr3:uid="{00000000-0010-0000-0000-000013000000}" name="Tipo Giro Mensal"/>
    <tableColumn id="20" xr3:uid="{00000000-0010-0000-0000-000014000000}" name="Nome Fantasia" dataDxfId="9">
      <calculatedColumnFormula>VLOOKUP(Tabela2[[#This Row],[Cliente]],Setor!$C$2:$F$1606,4,0)</calculatedColumnFormula>
    </tableColumn>
    <tableColumn id="21" xr3:uid="{00000000-0010-0000-0000-000015000000}" name="Setor" dataDxfId="8">
      <calculatedColumnFormula>VLOOKUP(Tabela2[[#This Row],[Cliente]],Setor!$C:$AU,45,0)</calculatedColumnFormula>
    </tableColumn>
    <tableColumn id="27" xr3:uid="{779E7815-2E63-435D-9879-3D01F525EA89}" name="GV " dataDxfId="7">
      <calculatedColumnFormula>_xlfn.XLOOKUP(Tabela2[[#This Row],[Setor]],AD:AD,AE:AE)</calculatedColumnFormula>
    </tableColumn>
    <tableColumn id="22" xr3:uid="{00000000-0010-0000-0000-000016000000}" name="Tipo de Vasilhame" dataDxfId="6">
      <calculatedColumnFormula>IF(Tabela2[[#This Row],[Meta Unit.]]=2,"SEISCENTOS","LITRINHO")</calculatedColumnFormula>
    </tableColumn>
    <tableColumn id="23" xr3:uid="{00000000-0010-0000-0000-000017000000}" name="Comprou" dataDxfId="5">
      <calculatedColumnFormula>Tabela2[[#This Row],[Vol. Real Cx Mensal]]</calculatedColumnFormula>
    </tableColumn>
    <tableColumn id="24" xr3:uid="{00000000-0010-0000-0000-000018000000}" name="Falta Comprar" dataDxfId="4">
      <calculatedColumnFormula>(Tabela2[[#This Row],[Caixas Comodatadas]]*Tabela2[[#This Row],[Meta Unit.]])-Tabela2[[#This Row],[Comprou]]</calculatedColumnFormula>
    </tableColumn>
    <tableColumn id="25" xr3:uid="{90870495-0B3F-447F-B325-B8A837F7603A}" name="Meta" dataDxfId="3">
      <calculatedColumnFormula>IF(Tabela2[[#This Row],[Tipo de Vasilhame]] = "LITRINHO",1.5*Tabela2[[#This Row],[Caixas Comodatadas]],Tabela2[[#This Row],[Caixas Comodatadas]]*2)</calculatedColumnFormula>
    </tableColumn>
    <tableColumn id="26" xr3:uid="{A51E84EF-4561-44C3-B771-D93CB2A53FBD}" name="Tendência" dataDxfId="2">
      <calculatedColumnFormula>IFERROR(IF(OR(FIND("OK", Tabela2[[#This Row],[Tipo Giro Mensal]]) &gt; 0), IF(Tabela2[[#This Row],[Comprou]]/$AH$2*30 &gt; Tabela2[[#This Row],[Meta]], "BATE", "ABAIXO"), "-"),"-")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AI32"/>
  <sheetViews>
    <sheetView tabSelected="1" topLeftCell="T1" zoomScale="85" zoomScaleNormal="85" workbookViewId="0">
      <selection activeCell="AB18" sqref="AB18"/>
    </sheetView>
  </sheetViews>
  <sheetFormatPr defaultRowHeight="15" x14ac:dyDescent="0.25"/>
  <cols>
    <col min="1" max="1" width="9.5703125" customWidth="1"/>
    <col min="2" max="2" width="56.42578125" bestFit="1" customWidth="1"/>
    <col min="3" max="3" width="15" bestFit="1" customWidth="1"/>
    <col min="4" max="4" width="21.140625" customWidth="1"/>
    <col min="5" max="5" width="22.7109375" customWidth="1"/>
    <col min="6" max="6" width="23" customWidth="1"/>
    <col min="7" max="7" width="16.42578125" customWidth="1"/>
    <col min="8" max="8" width="20.28515625" customWidth="1"/>
    <col min="9" max="9" width="20.5703125" customWidth="1"/>
    <col min="11" max="11" width="12.5703125" bestFit="1" customWidth="1"/>
    <col min="12" max="12" width="12.85546875" bestFit="1" customWidth="1"/>
    <col min="13" max="13" width="16.85546875" customWidth="1"/>
    <col min="15" max="15" width="19.5703125" bestFit="1" customWidth="1"/>
    <col min="16" max="16" width="12" customWidth="1"/>
    <col min="17" max="17" width="11.7109375" customWidth="1"/>
    <col min="18" max="18" width="20.7109375" customWidth="1"/>
    <col min="19" max="19" width="18.28515625" customWidth="1"/>
    <col min="20" max="20" width="32.5703125" bestFit="1" customWidth="1"/>
    <col min="23" max="23" width="19.85546875" bestFit="1" customWidth="1"/>
    <col min="24" max="24" width="11.42578125" bestFit="1" customWidth="1"/>
    <col min="25" max="25" width="23.5703125" bestFit="1" customWidth="1"/>
    <col min="27" max="27" width="12.42578125" bestFit="1" customWidth="1"/>
    <col min="30" max="30" width="0" hidden="1" customWidth="1"/>
    <col min="31" max="31" width="20.7109375" hidden="1" customWidth="1"/>
    <col min="32" max="32" width="14.42578125" bestFit="1" customWidth="1"/>
    <col min="33" max="33" width="10.85546875" bestFit="1" customWidth="1"/>
    <col min="34" max="34" width="20.7109375" bestFit="1" customWidth="1"/>
  </cols>
  <sheetData>
    <row r="1" spans="1:35" ht="15.75" thickTop="1" x14ac:dyDescent="0.25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5" t="s">
        <v>45</v>
      </c>
      <c r="U1" s="5" t="s">
        <v>9174</v>
      </c>
      <c r="V1" s="5" t="s">
        <v>9184</v>
      </c>
      <c r="W1" s="5" t="s">
        <v>9175</v>
      </c>
      <c r="X1" s="5" t="s">
        <v>9176</v>
      </c>
      <c r="Y1" s="5" t="s">
        <v>9177</v>
      </c>
      <c r="Z1" s="5" t="s">
        <v>9181</v>
      </c>
      <c r="AA1" s="5" t="s">
        <v>9182</v>
      </c>
      <c r="AE1" s="14"/>
      <c r="AF1" s="6" t="s">
        <v>9178</v>
      </c>
      <c r="AG1" s="6" t="s">
        <v>9179</v>
      </c>
      <c r="AH1" s="6" t="s">
        <v>9180</v>
      </c>
      <c r="AI1" s="14"/>
    </row>
    <row r="2" spans="1:35" ht="15.75" thickBot="1" x14ac:dyDescent="0.3">
      <c r="A2">
        <v>197</v>
      </c>
      <c r="B2" t="s">
        <v>17</v>
      </c>
      <c r="C2" t="s">
        <v>18</v>
      </c>
      <c r="D2">
        <v>6</v>
      </c>
      <c r="E2">
        <v>0.41</v>
      </c>
      <c r="F2">
        <v>6</v>
      </c>
      <c r="G2">
        <v>0.22</v>
      </c>
      <c r="H2">
        <v>0</v>
      </c>
      <c r="I2">
        <v>0</v>
      </c>
      <c r="J2">
        <v>0</v>
      </c>
      <c r="K2">
        <v>0</v>
      </c>
      <c r="L2">
        <v>1.5</v>
      </c>
      <c r="M2">
        <v>296156</v>
      </c>
      <c r="N2" t="s">
        <v>21</v>
      </c>
      <c r="O2">
        <v>6</v>
      </c>
      <c r="P2">
        <v>29.77</v>
      </c>
      <c r="Q2">
        <v>178.62</v>
      </c>
      <c r="R2" t="s">
        <v>20</v>
      </c>
      <c r="S2" t="s">
        <v>28</v>
      </c>
      <c r="T2" t="str">
        <f>VLOOKUP(Tabela2[[#This Row],[Cliente]],Setor!$C$2:$F$1606,4,0)</f>
        <v xml:space="preserve">ZE - ARMAZEM EXPRESS                    </v>
      </c>
      <c r="U2">
        <f>VLOOKUP(Tabela2[[#This Row],[Cliente]],Setor!$C:$AU,45,0)</f>
        <v>501</v>
      </c>
      <c r="V2" t="str">
        <f>_xlfn.XLOOKUP(Tabela2[[#This Row],[Setor]],AD:AD,AE:AE)</f>
        <v>Fredson</v>
      </c>
      <c r="W2" t="str">
        <f>IF(Tabela2[[#This Row],[Meta Unit.]]=2,"SEISCENTOS","LITRINHO")</f>
        <v>LITRINHO</v>
      </c>
      <c r="X2">
        <f>Tabela2[[#This Row],[Vol. Real Cx Mensal]]</f>
        <v>0</v>
      </c>
      <c r="Y2">
        <f>(Tabela2[[#This Row],[Caixas Comodatadas]]*Tabela2[[#This Row],[Meta Unit.]])-Tabela2[[#This Row],[Comprou]]</f>
        <v>9</v>
      </c>
      <c r="Z2">
        <f>IF(Tabela2[[#This Row],[Tipo de Vasilhame]] = "LITRINHO",1.5*Tabela2[[#This Row],[Caixas Comodatadas]],Tabela2[[#This Row],[Caixas Comodatadas]]*2)</f>
        <v>9</v>
      </c>
      <c r="AA2" t="str">
        <f>IFERROR(IF(OR(FIND("OK", Tabela2[[#This Row],[Tipo Giro Mensal]]) &gt; 0), IF(Tabela2[[#This Row],[Comprou]]/$AH$2*30 &gt; Tabela2[[#This Row],[Meta]], "BATE", "ABAIXO"), "-"),"-")</f>
        <v>-</v>
      </c>
      <c r="AE2" s="15"/>
      <c r="AF2" s="16">
        <v>46082</v>
      </c>
      <c r="AG2" s="16">
        <f ca="1">TODAY()</f>
        <v>46111</v>
      </c>
      <c r="AH2" s="7">
        <f ca="1">AG2-AF2</f>
        <v>29</v>
      </c>
      <c r="AI2" s="14"/>
    </row>
    <row r="3" spans="1:35" ht="16.5" thickTop="1" thickBot="1" x14ac:dyDescent="0.3">
      <c r="A3">
        <v>221</v>
      </c>
      <c r="B3" t="s">
        <v>22</v>
      </c>
      <c r="C3" t="s">
        <v>18</v>
      </c>
      <c r="D3">
        <v>5</v>
      </c>
      <c r="E3">
        <v>6.55</v>
      </c>
      <c r="F3">
        <v>95</v>
      </c>
      <c r="G3">
        <v>4.22</v>
      </c>
      <c r="H3">
        <v>1.17</v>
      </c>
      <c r="I3">
        <v>17</v>
      </c>
      <c r="J3">
        <v>2.27</v>
      </c>
      <c r="K3">
        <v>21.25</v>
      </c>
      <c r="L3">
        <v>1.5</v>
      </c>
      <c r="M3">
        <v>296156</v>
      </c>
      <c r="N3" t="s">
        <v>21</v>
      </c>
      <c r="O3">
        <v>5</v>
      </c>
      <c r="P3">
        <v>29.77</v>
      </c>
      <c r="Q3">
        <v>148.85</v>
      </c>
      <c r="R3" t="s">
        <v>19</v>
      </c>
      <c r="S3" t="s">
        <v>19</v>
      </c>
      <c r="T3" t="str">
        <f>VLOOKUP(Tabela2[[#This Row],[Cliente]],Setor!$C$2:$F$1606,4,0)</f>
        <v xml:space="preserve">RANCHO DA ROCA                          </v>
      </c>
      <c r="U3">
        <f>VLOOKUP(Tabela2[[#This Row],[Cliente]],Setor!$C:$AU,45,0)</f>
        <v>102</v>
      </c>
      <c r="V3" t="str">
        <f>_xlfn.XLOOKUP(Tabela2[[#This Row],[Setor]],AD:AD,AE:AE)</f>
        <v>Fredson</v>
      </c>
      <c r="W3" s="3" t="str">
        <f>IF(Tabela2[[#This Row],[Meta Unit.]]=2,"SEISCENTOS","LITRINHO")</f>
        <v>LITRINHO</v>
      </c>
      <c r="X3">
        <f>Tabela2[[#This Row],[Vol. Real Cx Mensal]]</f>
        <v>17</v>
      </c>
      <c r="Y3">
        <f>(Tabela2[[#This Row],[Caixas Comodatadas]]*Tabela2[[#This Row],[Meta Unit.]])-Tabela2[[#This Row],[Comprou]]</f>
        <v>-9.5</v>
      </c>
      <c r="Z3">
        <f>IF(Tabela2[[#This Row],[Tipo de Vasilhame]] = "LITRINHO",1.5*Tabela2[[#This Row],[Caixas Comodatadas]],Tabela2[[#This Row],[Caixas Comodatadas]]*2)</f>
        <v>7.5</v>
      </c>
      <c r="AA3" t="str">
        <f ca="1">IFERROR(IF(OR(FIND("OK", Tabela2[[#This Row],[Tipo Giro Mensal]]) &gt; 0), IF(Tabela2[[#This Row],[Comprou]]/$AH$2*30 &gt; Tabela2[[#This Row],[Meta]], "BATE", "ABAIXO"), "-"),"-")</f>
        <v>BATE</v>
      </c>
      <c r="AD3" s="8" t="s">
        <v>9185</v>
      </c>
      <c r="AE3" s="9" t="s">
        <v>9186</v>
      </c>
      <c r="AF3" s="14"/>
    </row>
    <row r="4" spans="1:35" ht="15.75" thickTop="1" x14ac:dyDescent="0.25">
      <c r="A4">
        <v>271</v>
      </c>
      <c r="B4" t="s">
        <v>23</v>
      </c>
      <c r="C4" t="s">
        <v>18</v>
      </c>
      <c r="D4">
        <v>2</v>
      </c>
      <c r="E4">
        <v>0.82</v>
      </c>
      <c r="F4">
        <v>12</v>
      </c>
      <c r="G4">
        <v>1.33</v>
      </c>
      <c r="H4">
        <v>0.27</v>
      </c>
      <c r="I4">
        <v>4</v>
      </c>
      <c r="J4">
        <v>1.33</v>
      </c>
      <c r="K4">
        <v>5</v>
      </c>
      <c r="L4">
        <v>1.5</v>
      </c>
      <c r="M4">
        <v>296156</v>
      </c>
      <c r="N4" t="s">
        <v>21</v>
      </c>
      <c r="O4">
        <v>2</v>
      </c>
      <c r="P4">
        <v>29.77</v>
      </c>
      <c r="Q4">
        <v>59.54</v>
      </c>
      <c r="R4" t="s">
        <v>19</v>
      </c>
      <c r="S4" t="s">
        <v>19</v>
      </c>
      <c r="T4" t="str">
        <f>VLOOKUP(Tabela2[[#This Row],[Cliente]],Setor!$C$2:$F$1606,4,0)</f>
        <v xml:space="preserve">BAR DA JACINTA CORR                     </v>
      </c>
      <c r="U4">
        <f>VLOOKUP(Tabela2[[#This Row],[Cliente]],Setor!$C:$AU,45,0)</f>
        <v>104</v>
      </c>
      <c r="V4" t="str">
        <f>_xlfn.XLOOKUP(Tabela2[[#This Row],[Setor]],AD:AD,AE:AE)</f>
        <v>Fredson</v>
      </c>
      <c r="W4" t="str">
        <f>IF(Tabela2[[#This Row],[Meta Unit.]]=2,"SEISCENTOS","LITRINHO")</f>
        <v>LITRINHO</v>
      </c>
      <c r="X4">
        <f>Tabela2[[#This Row],[Vol. Real Cx Mensal]]</f>
        <v>4</v>
      </c>
      <c r="Y4">
        <f>(Tabela2[[#This Row],[Caixas Comodatadas]]*Tabela2[[#This Row],[Meta Unit.]])-Tabela2[[#This Row],[Comprou]]</f>
        <v>-1</v>
      </c>
      <c r="Z4">
        <f>IF(Tabela2[[#This Row],[Tipo de Vasilhame]] = "LITRINHO",1.5*Tabela2[[#This Row],[Caixas Comodatadas]],Tabela2[[#This Row],[Caixas Comodatadas]]*2)</f>
        <v>3</v>
      </c>
      <c r="AA4" t="str">
        <f ca="1">IFERROR(IF(OR(FIND("OK", Tabela2[[#This Row],[Tipo Giro Mensal]]) &gt; 0), IF(Tabela2[[#This Row],[Comprou]]/$AH$2*30 &gt; Tabela2[[#This Row],[Meta]], "BATE", "ABAIXO"), "-"),"-")</f>
        <v>BATE</v>
      </c>
      <c r="AD4" s="10">
        <v>100</v>
      </c>
      <c r="AE4" s="11" t="s">
        <v>9187</v>
      </c>
    </row>
    <row r="5" spans="1:35" x14ac:dyDescent="0.25">
      <c r="A5">
        <v>320</v>
      </c>
      <c r="B5" t="s">
        <v>24</v>
      </c>
      <c r="C5" t="s">
        <v>18</v>
      </c>
      <c r="D5">
        <v>10</v>
      </c>
      <c r="E5">
        <v>11.52</v>
      </c>
      <c r="F5">
        <v>167</v>
      </c>
      <c r="G5">
        <v>3.71</v>
      </c>
      <c r="H5">
        <v>0</v>
      </c>
      <c r="I5">
        <v>0</v>
      </c>
      <c r="J5">
        <v>0</v>
      </c>
      <c r="K5">
        <v>0</v>
      </c>
      <c r="L5">
        <v>1.5</v>
      </c>
      <c r="M5">
        <v>296156</v>
      </c>
      <c r="N5" t="s">
        <v>21</v>
      </c>
      <c r="O5">
        <v>10</v>
      </c>
      <c r="P5">
        <v>29.77</v>
      </c>
      <c r="Q5">
        <v>297.7</v>
      </c>
      <c r="R5" t="s">
        <v>19</v>
      </c>
      <c r="S5" t="s">
        <v>9183</v>
      </c>
      <c r="T5" t="str">
        <f>VLOOKUP(Tabela2[[#This Row],[Cliente]],Setor!$C$2:$F$1606,4,0)</f>
        <v xml:space="preserve">MERC RICARDO TIMBIR                     </v>
      </c>
      <c r="U5">
        <f>VLOOKUP(Tabela2[[#This Row],[Cliente]],Setor!$C:$AU,45,0)</f>
        <v>105</v>
      </c>
      <c r="V5" t="str">
        <f>_xlfn.XLOOKUP(Tabela2[[#This Row],[Setor]],AD:AD,AE:AE)</f>
        <v>Jaissa</v>
      </c>
      <c r="W5" t="str">
        <f>IF(Tabela2[[#This Row],[Meta Unit.]]=2,"SEISCENTOS","LITRINHO")</f>
        <v>LITRINHO</v>
      </c>
      <c r="X5">
        <f>Tabela2[[#This Row],[Vol. Real Cx Mensal]]</f>
        <v>0</v>
      </c>
      <c r="Y5">
        <f>(Tabela2[[#This Row],[Caixas Comodatadas]]*Tabela2[[#This Row],[Meta Unit.]])-Tabela2[[#This Row],[Comprou]]</f>
        <v>15</v>
      </c>
      <c r="Z5">
        <f>IF(Tabela2[[#This Row],[Tipo de Vasilhame]] = "LITRINHO",1.5*Tabela2[[#This Row],[Caixas Comodatadas]],Tabela2[[#This Row],[Caixas Comodatadas]]*2)</f>
        <v>15</v>
      </c>
      <c r="AA5" t="str">
        <f>IFERROR(IF(OR(FIND("OK", Tabela2[[#This Row],[Tipo Giro Mensal]]) &gt; 0), IF(Tabela2[[#This Row],[Comprou]]/$AH$2*30 &gt; Tabela2[[#This Row],[Meta]], "BATE", "ABAIXO"), "-"),"-")</f>
        <v>-</v>
      </c>
      <c r="AD5" s="10">
        <v>103</v>
      </c>
      <c r="AE5" s="11" t="s">
        <v>9187</v>
      </c>
    </row>
    <row r="6" spans="1:35" x14ac:dyDescent="0.25">
      <c r="A6">
        <v>345</v>
      </c>
      <c r="B6" t="s">
        <v>25</v>
      </c>
      <c r="C6" t="s">
        <v>18</v>
      </c>
      <c r="D6">
        <v>4</v>
      </c>
      <c r="E6">
        <v>5.38</v>
      </c>
      <c r="F6">
        <v>78</v>
      </c>
      <c r="G6">
        <v>4.33</v>
      </c>
      <c r="H6">
        <v>0.69</v>
      </c>
      <c r="I6">
        <v>10</v>
      </c>
      <c r="J6">
        <v>1.67</v>
      </c>
      <c r="K6">
        <v>12.5</v>
      </c>
      <c r="L6">
        <v>1.5</v>
      </c>
      <c r="M6">
        <v>296156</v>
      </c>
      <c r="N6" t="s">
        <v>21</v>
      </c>
      <c r="O6">
        <v>4</v>
      </c>
      <c r="P6">
        <v>29.77</v>
      </c>
      <c r="Q6">
        <v>119.08</v>
      </c>
      <c r="R6" t="s">
        <v>19</v>
      </c>
      <c r="S6" t="s">
        <v>19</v>
      </c>
      <c r="T6" t="str">
        <f>VLOOKUP(Tabela2[[#This Row],[Cliente]],Setor!$C$2:$F$1606,4,0)</f>
        <v xml:space="preserve">BAR DO COXINHA CRUZ                     </v>
      </c>
      <c r="U6">
        <f>VLOOKUP(Tabela2[[#This Row],[Cliente]],Setor!$C:$AU,45,0)</f>
        <v>105</v>
      </c>
      <c r="V6" t="str">
        <f>_xlfn.XLOOKUP(Tabela2[[#This Row],[Setor]],AD:AD,AE:AE)</f>
        <v>Jaissa</v>
      </c>
      <c r="W6" t="str">
        <f>IF(Tabela2[[#This Row],[Meta Unit.]]=2,"SEISCENTOS","LITRINHO")</f>
        <v>LITRINHO</v>
      </c>
      <c r="X6">
        <f>Tabela2[[#This Row],[Vol. Real Cx Mensal]]</f>
        <v>10</v>
      </c>
      <c r="Y6">
        <f>(Tabela2[[#This Row],[Caixas Comodatadas]]*Tabela2[[#This Row],[Meta Unit.]])-Tabela2[[#This Row],[Comprou]]</f>
        <v>-4</v>
      </c>
      <c r="Z6">
        <f>IF(Tabela2[[#This Row],[Tipo de Vasilhame]] = "LITRINHO",1.5*Tabela2[[#This Row],[Caixas Comodatadas]],Tabela2[[#This Row],[Caixas Comodatadas]]*2)</f>
        <v>6</v>
      </c>
      <c r="AA6" t="str">
        <f ca="1">IFERROR(IF(OR(FIND("OK", Tabela2[[#This Row],[Tipo Giro Mensal]]) &gt; 0), IF(Tabela2[[#This Row],[Comprou]]/$AH$2*30 &gt; Tabela2[[#This Row],[Meta]], "BATE", "ABAIXO"), "-"),"-")</f>
        <v>BATE</v>
      </c>
      <c r="AD6" s="10">
        <v>105</v>
      </c>
      <c r="AE6" s="11" t="s">
        <v>9187</v>
      </c>
    </row>
    <row r="7" spans="1:35" x14ac:dyDescent="0.25">
      <c r="A7">
        <v>388</v>
      </c>
      <c r="B7" t="s">
        <v>26</v>
      </c>
      <c r="C7" t="s">
        <v>27</v>
      </c>
      <c r="D7">
        <v>6</v>
      </c>
      <c r="E7">
        <v>0</v>
      </c>
      <c r="F7">
        <v>0</v>
      </c>
      <c r="G7">
        <v>0</v>
      </c>
      <c r="H7">
        <v>0.56999999999999995</v>
      </c>
      <c r="I7">
        <v>4</v>
      </c>
      <c r="J7">
        <v>0.33</v>
      </c>
      <c r="K7">
        <v>5</v>
      </c>
      <c r="L7">
        <v>2</v>
      </c>
      <c r="M7">
        <v>103330</v>
      </c>
      <c r="N7" t="s">
        <v>29</v>
      </c>
      <c r="O7">
        <v>6</v>
      </c>
      <c r="P7">
        <v>43.86</v>
      </c>
      <c r="Q7">
        <v>263.16000000000003</v>
      </c>
      <c r="R7" t="s">
        <v>28</v>
      </c>
      <c r="S7" t="s">
        <v>20</v>
      </c>
      <c r="T7" t="str">
        <f>VLOOKUP(Tabela2[[#This Row],[Cliente]],Setor!$C$2:$F$1606,4,0)</f>
        <v xml:space="preserve">SUPERMERCADO SKINAO                     </v>
      </c>
      <c r="U7">
        <f>VLOOKUP(Tabela2[[#This Row],[Cliente]],Setor!$C:$AU,45,0)</f>
        <v>501</v>
      </c>
      <c r="V7" t="str">
        <f>_xlfn.XLOOKUP(Tabela2[[#This Row],[Setor]],AD:AD,AE:AE)</f>
        <v>Fredson</v>
      </c>
      <c r="W7" t="str">
        <f>IF(Tabela2[[#This Row],[Meta Unit.]]=2,"SEISCENTOS","LITRINHO")</f>
        <v>SEISCENTOS</v>
      </c>
      <c r="X7">
        <f>Tabela2[[#This Row],[Vol. Real Cx Mensal]]</f>
        <v>4</v>
      </c>
      <c r="Y7">
        <f>(Tabela2[[#This Row],[Caixas Comodatadas]]*Tabela2[[#This Row],[Meta Unit.]])-Tabela2[[#This Row],[Comprou]]</f>
        <v>8</v>
      </c>
      <c r="Z7">
        <f>IF(Tabela2[[#This Row],[Tipo de Vasilhame]] = "LITRINHO",1.5*Tabela2[[#This Row],[Caixas Comodatadas]],Tabela2[[#This Row],[Caixas Comodatadas]]*2)</f>
        <v>12</v>
      </c>
      <c r="AA7" t="str">
        <f ca="1">IFERROR(IF(OR(FIND("OK", Tabela2[[#This Row],[Tipo Giro Mensal]]) &gt; 0), IF(Tabela2[[#This Row],[Comprou]]/$AH$2*30 &gt; Tabela2[[#This Row],[Meta]], "BATE", "ABAIXO"), "-"),"-")</f>
        <v>ABAIXO</v>
      </c>
      <c r="AD7" s="10">
        <v>106</v>
      </c>
      <c r="AE7" s="11" t="s">
        <v>9187</v>
      </c>
    </row>
    <row r="8" spans="1:35" x14ac:dyDescent="0.25">
      <c r="A8">
        <v>388</v>
      </c>
      <c r="B8" t="s">
        <v>26</v>
      </c>
      <c r="C8" t="s">
        <v>18</v>
      </c>
      <c r="D8">
        <v>50</v>
      </c>
      <c r="E8">
        <v>8.83</v>
      </c>
      <c r="F8">
        <v>128</v>
      </c>
      <c r="G8">
        <v>0.56999999999999995</v>
      </c>
      <c r="H8">
        <v>1.03</v>
      </c>
      <c r="I8">
        <v>15</v>
      </c>
      <c r="J8">
        <v>0.2</v>
      </c>
      <c r="K8">
        <v>18.75</v>
      </c>
      <c r="L8">
        <v>1.5</v>
      </c>
      <c r="M8">
        <v>296156</v>
      </c>
      <c r="N8" t="s">
        <v>21</v>
      </c>
      <c r="O8">
        <v>50</v>
      </c>
      <c r="P8">
        <v>29.77</v>
      </c>
      <c r="Q8" s="1">
        <v>1488.5</v>
      </c>
      <c r="R8" t="s">
        <v>20</v>
      </c>
      <c r="S8" t="s">
        <v>20</v>
      </c>
      <c r="T8" t="str">
        <f>VLOOKUP(Tabela2[[#This Row],[Cliente]],Setor!$C$2:$F$1606,4,0)</f>
        <v xml:space="preserve">SUPERMERCADO SKINAO                     </v>
      </c>
      <c r="U8">
        <f>VLOOKUP(Tabela2[[#This Row],[Cliente]],Setor!$C:$AU,45,0)</f>
        <v>501</v>
      </c>
      <c r="V8" t="str">
        <f>_xlfn.XLOOKUP(Tabela2[[#This Row],[Setor]],AD:AD,AE:AE)</f>
        <v>Fredson</v>
      </c>
      <c r="W8" t="str">
        <f>IF(Tabela2[[#This Row],[Meta Unit.]]=2,"SEISCENTOS","LITRINHO")</f>
        <v>LITRINHO</v>
      </c>
      <c r="X8">
        <f>Tabela2[[#This Row],[Vol. Real Cx Mensal]]</f>
        <v>15</v>
      </c>
      <c r="Y8">
        <f>(Tabela2[[#This Row],[Caixas Comodatadas]]*Tabela2[[#This Row],[Meta Unit.]])-Tabela2[[#This Row],[Comprou]]</f>
        <v>60</v>
      </c>
      <c r="Z8">
        <f>IF(Tabela2[[#This Row],[Tipo de Vasilhame]] = "LITRINHO",1.5*Tabela2[[#This Row],[Caixas Comodatadas]],Tabela2[[#This Row],[Caixas Comodatadas]]*2)</f>
        <v>75</v>
      </c>
      <c r="AA8" t="str">
        <f ca="1">IFERROR(IF(OR(FIND("OK", Tabela2[[#This Row],[Tipo Giro Mensal]]) &gt; 0), IF(Tabela2[[#This Row],[Comprou]]/$AH$2*30 &gt; Tabela2[[#This Row],[Meta]], "BATE", "ABAIXO"), "-"),"-")</f>
        <v>ABAIXO</v>
      </c>
      <c r="AD8" s="10">
        <v>500</v>
      </c>
      <c r="AE8" s="11" t="s">
        <v>9187</v>
      </c>
    </row>
    <row r="9" spans="1:35" x14ac:dyDescent="0.25">
      <c r="A9">
        <v>407</v>
      </c>
      <c r="B9" t="s">
        <v>30</v>
      </c>
      <c r="C9" t="s">
        <v>18</v>
      </c>
      <c r="D9">
        <v>30</v>
      </c>
      <c r="E9">
        <v>44.85</v>
      </c>
      <c r="F9">
        <v>650</v>
      </c>
      <c r="G9">
        <v>4.8099999999999996</v>
      </c>
      <c r="H9">
        <v>0</v>
      </c>
      <c r="I9">
        <v>0</v>
      </c>
      <c r="J9">
        <v>0</v>
      </c>
      <c r="K9">
        <v>0</v>
      </c>
      <c r="L9">
        <v>1.5</v>
      </c>
      <c r="M9">
        <v>296156</v>
      </c>
      <c r="N9" t="s">
        <v>21</v>
      </c>
      <c r="O9">
        <v>30</v>
      </c>
      <c r="P9">
        <v>29.77</v>
      </c>
      <c r="Q9">
        <v>893.1</v>
      </c>
      <c r="R9" t="s">
        <v>19</v>
      </c>
      <c r="S9" t="s">
        <v>28</v>
      </c>
      <c r="T9" t="str">
        <f>VLOOKUP(Tabela2[[#This Row],[Cliente]],Setor!$C$2:$F$1606,4,0)</f>
        <v xml:space="preserve">JOSE JONAS CURRAL V                     </v>
      </c>
      <c r="U9">
        <f>VLOOKUP(Tabela2[[#This Row],[Cliente]],Setor!$C:$AU,45,0)</f>
        <v>501</v>
      </c>
      <c r="V9" t="str">
        <f>_xlfn.XLOOKUP(Tabela2[[#This Row],[Setor]],AD:AD,AE:AE)</f>
        <v>Fredson</v>
      </c>
      <c r="W9" t="str">
        <f>IF(Tabela2[[#This Row],[Meta Unit.]]=2,"SEISCENTOS","LITRINHO")</f>
        <v>LITRINHO</v>
      </c>
      <c r="X9">
        <f>Tabela2[[#This Row],[Vol. Real Cx Mensal]]</f>
        <v>0</v>
      </c>
      <c r="Y9">
        <f>(Tabela2[[#This Row],[Caixas Comodatadas]]*Tabela2[[#This Row],[Meta Unit.]])-Tabela2[[#This Row],[Comprou]]</f>
        <v>45</v>
      </c>
      <c r="Z9">
        <f>IF(Tabela2[[#This Row],[Tipo de Vasilhame]] = "LITRINHO",1.5*Tabela2[[#This Row],[Caixas Comodatadas]],Tabela2[[#This Row],[Caixas Comodatadas]]*2)</f>
        <v>45</v>
      </c>
      <c r="AA9" t="str">
        <f>IFERROR(IF(OR(FIND("OK", Tabela2[[#This Row],[Tipo Giro Mensal]]) &gt; 0), IF(Tabela2[[#This Row],[Comprou]]/$AH$2*30 &gt; Tabela2[[#This Row],[Meta]], "BATE", "ABAIXO"), "-"),"-")</f>
        <v>-</v>
      </c>
      <c r="AD9" s="10">
        <v>101</v>
      </c>
      <c r="AE9" s="11" t="s">
        <v>9188</v>
      </c>
    </row>
    <row r="10" spans="1:35" x14ac:dyDescent="0.25">
      <c r="A10">
        <v>876</v>
      </c>
      <c r="B10" t="s">
        <v>31</v>
      </c>
      <c r="C10" t="s">
        <v>27</v>
      </c>
      <c r="D10">
        <v>6</v>
      </c>
      <c r="E10">
        <v>22.17</v>
      </c>
      <c r="F10">
        <v>154</v>
      </c>
      <c r="G10">
        <v>4.28</v>
      </c>
      <c r="H10">
        <v>1.58</v>
      </c>
      <c r="I10">
        <v>11</v>
      </c>
      <c r="J10">
        <v>0.92</v>
      </c>
      <c r="K10">
        <v>13.75</v>
      </c>
      <c r="L10">
        <v>2</v>
      </c>
      <c r="M10">
        <v>30491</v>
      </c>
      <c r="N10" t="s">
        <v>32</v>
      </c>
      <c r="O10">
        <v>6</v>
      </c>
      <c r="P10">
        <v>43.86</v>
      </c>
      <c r="Q10">
        <v>263.16000000000003</v>
      </c>
      <c r="R10" t="s">
        <v>19</v>
      </c>
      <c r="S10" t="s">
        <v>20</v>
      </c>
      <c r="T10" t="str">
        <f>VLOOKUP(Tabela2[[#This Row],[Cliente]],Setor!$C$2:$F$1606,4,0)</f>
        <v xml:space="preserve">S5 - REST LUA CHEIA                     </v>
      </c>
      <c r="U10">
        <f>VLOOKUP(Tabela2[[#This Row],[Cliente]],Setor!$C:$AU,45,0)</f>
        <v>500</v>
      </c>
      <c r="V10" t="str">
        <f>_xlfn.XLOOKUP(Tabela2[[#This Row],[Setor]],AD:AD,AE:AE)</f>
        <v>Jaissa</v>
      </c>
      <c r="W10" t="str">
        <f>IF(Tabela2[[#This Row],[Meta Unit.]]=2,"SEISCENTOS","LITRINHO")</f>
        <v>SEISCENTOS</v>
      </c>
      <c r="X10">
        <f>Tabela2[[#This Row],[Vol. Real Cx Mensal]]</f>
        <v>11</v>
      </c>
      <c r="Y10">
        <f>(Tabela2[[#This Row],[Caixas Comodatadas]]*Tabela2[[#This Row],[Meta Unit.]])-Tabela2[[#This Row],[Comprou]]</f>
        <v>1</v>
      </c>
      <c r="Z10">
        <f>IF(Tabela2[[#This Row],[Tipo de Vasilhame]] = "LITRINHO",1.5*Tabela2[[#This Row],[Caixas Comodatadas]],Tabela2[[#This Row],[Caixas Comodatadas]]*2)</f>
        <v>12</v>
      </c>
      <c r="AA10" t="str">
        <f ca="1">IFERROR(IF(OR(FIND("OK", Tabela2[[#This Row],[Tipo Giro Mensal]]) &gt; 0), IF(Tabela2[[#This Row],[Comprou]]/$AH$2*30 &gt; Tabela2[[#This Row],[Meta]], "BATE", "ABAIXO"), "-"),"-")</f>
        <v>ABAIXO</v>
      </c>
      <c r="AD10" s="10">
        <v>102</v>
      </c>
      <c r="AE10" s="11" t="s">
        <v>9188</v>
      </c>
    </row>
    <row r="11" spans="1:35" x14ac:dyDescent="0.25">
      <c r="A11">
        <v>2918</v>
      </c>
      <c r="B11" t="s">
        <v>33</v>
      </c>
      <c r="C11" t="s">
        <v>18</v>
      </c>
      <c r="D11">
        <v>10</v>
      </c>
      <c r="E11">
        <v>6.55</v>
      </c>
      <c r="F11">
        <v>95</v>
      </c>
      <c r="G11">
        <v>2.11</v>
      </c>
      <c r="H11">
        <v>0.34</v>
      </c>
      <c r="I11">
        <v>5</v>
      </c>
      <c r="J11">
        <v>0.33</v>
      </c>
      <c r="K11">
        <v>6.25</v>
      </c>
      <c r="L11">
        <v>1.5</v>
      </c>
      <c r="M11">
        <v>296156</v>
      </c>
      <c r="N11" t="s">
        <v>21</v>
      </c>
      <c r="O11">
        <v>10</v>
      </c>
      <c r="P11">
        <v>29.77</v>
      </c>
      <c r="Q11">
        <v>297.7</v>
      </c>
      <c r="R11" t="s">
        <v>19</v>
      </c>
      <c r="S11" t="s">
        <v>20</v>
      </c>
      <c r="T11" t="str">
        <f>VLOOKUP(Tabela2[[#This Row],[Cliente]],Setor!$C$2:$F$1606,4,0)</f>
        <v xml:space="preserve">CHINA ESPETO                            </v>
      </c>
      <c r="U11">
        <f>VLOOKUP(Tabela2[[#This Row],[Cliente]],Setor!$C:$AU,45,0)</f>
        <v>501</v>
      </c>
      <c r="V11" t="str">
        <f>_xlfn.XLOOKUP(Tabela2[[#This Row],[Setor]],AD:AD,AE:AE)</f>
        <v>Fredson</v>
      </c>
      <c r="W11" t="str">
        <f>IF(Tabela2[[#This Row],[Meta Unit.]]=2,"SEISCENTOS","LITRINHO")</f>
        <v>LITRINHO</v>
      </c>
      <c r="X11">
        <f>Tabela2[[#This Row],[Vol. Real Cx Mensal]]</f>
        <v>5</v>
      </c>
      <c r="Y11">
        <f>(Tabela2[[#This Row],[Caixas Comodatadas]]*Tabela2[[#This Row],[Meta Unit.]])-Tabela2[[#This Row],[Comprou]]</f>
        <v>10</v>
      </c>
      <c r="Z11">
        <f>IF(Tabela2[[#This Row],[Tipo de Vasilhame]] = "LITRINHO",1.5*Tabela2[[#This Row],[Caixas Comodatadas]],Tabela2[[#This Row],[Caixas Comodatadas]]*2)</f>
        <v>15</v>
      </c>
      <c r="AA11" t="str">
        <f ca="1">IFERROR(IF(OR(FIND("OK", Tabela2[[#This Row],[Tipo Giro Mensal]]) &gt; 0), IF(Tabela2[[#This Row],[Comprou]]/$AH$2*30 &gt; Tabela2[[#This Row],[Meta]], "BATE", "ABAIXO"), "-"),"-")</f>
        <v>ABAIXO</v>
      </c>
      <c r="AD11" s="10">
        <v>104</v>
      </c>
      <c r="AE11" s="11" t="s">
        <v>9188</v>
      </c>
    </row>
    <row r="12" spans="1:35" ht="15.75" thickBot="1" x14ac:dyDescent="0.3">
      <c r="A12">
        <v>3105</v>
      </c>
      <c r="B12" t="s">
        <v>34</v>
      </c>
      <c r="C12" t="s">
        <v>27</v>
      </c>
      <c r="D12">
        <v>2</v>
      </c>
      <c r="E12">
        <v>3.88</v>
      </c>
      <c r="F12">
        <v>27</v>
      </c>
      <c r="G12">
        <v>2.25</v>
      </c>
      <c r="H12">
        <v>0.28000000000000003</v>
      </c>
      <c r="I12">
        <v>2</v>
      </c>
      <c r="J12">
        <v>0.5</v>
      </c>
      <c r="K12">
        <v>2.5</v>
      </c>
      <c r="L12">
        <v>2</v>
      </c>
      <c r="M12">
        <v>30491</v>
      </c>
      <c r="N12" t="s">
        <v>32</v>
      </c>
      <c r="O12">
        <v>2</v>
      </c>
      <c r="P12">
        <v>43.86</v>
      </c>
      <c r="Q12">
        <v>87.72</v>
      </c>
      <c r="R12" t="s">
        <v>19</v>
      </c>
      <c r="S12" t="s">
        <v>20</v>
      </c>
      <c r="T12" t="str">
        <f>VLOOKUP(Tabela2[[#This Row],[Cliente]],Setor!$C$2:$F$1606,4,0)</f>
        <v xml:space="preserve">BARRACA POR DO SOL                      </v>
      </c>
      <c r="U12">
        <f>VLOOKUP(Tabela2[[#This Row],[Cliente]],Setor!$C:$AU,45,0)</f>
        <v>104</v>
      </c>
      <c r="V12" t="str">
        <f>_xlfn.XLOOKUP(Tabela2[[#This Row],[Setor]],AD:AD,AE:AE)</f>
        <v>Fredson</v>
      </c>
      <c r="W12" t="str">
        <f>IF(Tabela2[[#This Row],[Meta Unit.]]=2,"SEISCENTOS","LITRINHO")</f>
        <v>SEISCENTOS</v>
      </c>
      <c r="X12">
        <f>Tabela2[[#This Row],[Vol. Real Cx Mensal]]</f>
        <v>2</v>
      </c>
      <c r="Y12">
        <f>(Tabela2[[#This Row],[Caixas Comodatadas]]*Tabela2[[#This Row],[Meta Unit.]])-Tabela2[[#This Row],[Comprou]]</f>
        <v>2</v>
      </c>
      <c r="Z12">
        <f>IF(Tabela2[[#This Row],[Tipo de Vasilhame]] = "LITRINHO",1.5*Tabela2[[#This Row],[Caixas Comodatadas]],Tabela2[[#This Row],[Caixas Comodatadas]]*2)</f>
        <v>4</v>
      </c>
      <c r="AA12" t="str">
        <f ca="1">IFERROR(IF(OR(FIND("OK", Tabela2[[#This Row],[Tipo Giro Mensal]]) &gt; 0), IF(Tabela2[[#This Row],[Comprou]]/$AH$2*30 &gt; Tabela2[[#This Row],[Meta]], "BATE", "ABAIXO"), "-"),"-")</f>
        <v>ABAIXO</v>
      </c>
      <c r="AD12" s="12">
        <v>501</v>
      </c>
      <c r="AE12" s="13" t="s">
        <v>9188</v>
      </c>
    </row>
    <row r="13" spans="1:35" ht="15.75" thickTop="1" x14ac:dyDescent="0.25">
      <c r="A13">
        <v>3877</v>
      </c>
      <c r="B13" t="s">
        <v>35</v>
      </c>
      <c r="C13" t="s">
        <v>27</v>
      </c>
      <c r="D13">
        <v>20</v>
      </c>
      <c r="E13">
        <v>4.46</v>
      </c>
      <c r="F13">
        <v>31</v>
      </c>
      <c r="G13">
        <v>0.26</v>
      </c>
      <c r="H13">
        <v>0.72</v>
      </c>
      <c r="I13">
        <v>5</v>
      </c>
      <c r="J13">
        <v>0.13</v>
      </c>
      <c r="K13">
        <v>6.25</v>
      </c>
      <c r="L13">
        <v>2</v>
      </c>
      <c r="M13">
        <v>899599</v>
      </c>
      <c r="N13" t="s">
        <v>36</v>
      </c>
      <c r="O13">
        <v>20</v>
      </c>
      <c r="P13">
        <v>20</v>
      </c>
      <c r="Q13">
        <v>400</v>
      </c>
      <c r="R13" t="s">
        <v>20</v>
      </c>
      <c r="S13" t="s">
        <v>20</v>
      </c>
      <c r="T13" t="str">
        <f>VLOOKUP(Tabela2[[#This Row],[Cliente]],Setor!$C$2:$F$1606,4,0)</f>
        <v xml:space="preserve">LE CHARME JERICOACOA                    </v>
      </c>
      <c r="U13">
        <f>VLOOKUP(Tabela2[[#This Row],[Cliente]],Setor!$C:$AU,45,0)</f>
        <v>106</v>
      </c>
      <c r="V13" t="str">
        <f>_xlfn.XLOOKUP(Tabela2[[#This Row],[Setor]],AD:AD,AE:AE)</f>
        <v>Jaissa</v>
      </c>
      <c r="W13" t="str">
        <f>IF(Tabela2[[#This Row],[Meta Unit.]]=2,"SEISCENTOS","LITRINHO")</f>
        <v>SEISCENTOS</v>
      </c>
      <c r="X13">
        <f>Tabela2[[#This Row],[Vol. Real Cx Mensal]]</f>
        <v>5</v>
      </c>
      <c r="Y13">
        <f>(Tabela2[[#This Row],[Caixas Comodatadas]]*Tabela2[[#This Row],[Meta Unit.]])-Tabela2[[#This Row],[Comprou]]</f>
        <v>35</v>
      </c>
      <c r="Z13">
        <f>IF(Tabela2[[#This Row],[Tipo de Vasilhame]] = "LITRINHO",1.5*Tabela2[[#This Row],[Caixas Comodatadas]],Tabela2[[#This Row],[Caixas Comodatadas]]*2)</f>
        <v>40</v>
      </c>
      <c r="AA13" t="str">
        <f ca="1">IFERROR(IF(OR(FIND("OK", Tabela2[[#This Row],[Tipo Giro Mensal]]) &gt; 0), IF(Tabela2[[#This Row],[Comprou]]/$AH$2*30 &gt; Tabela2[[#This Row],[Meta]], "BATE", "ABAIXO"), "-"),"-")</f>
        <v>ABAIXO</v>
      </c>
    </row>
    <row r="14" spans="1:35" x14ac:dyDescent="0.25">
      <c r="A14">
        <v>3891</v>
      </c>
      <c r="B14" t="s">
        <v>37</v>
      </c>
      <c r="C14" t="s">
        <v>27</v>
      </c>
      <c r="D14">
        <v>32</v>
      </c>
      <c r="E14">
        <v>1.1499999999999999</v>
      </c>
      <c r="F14">
        <v>8</v>
      </c>
      <c r="G14">
        <v>0.04</v>
      </c>
      <c r="H14">
        <v>0.72</v>
      </c>
      <c r="I14">
        <v>5</v>
      </c>
      <c r="J14">
        <v>0.08</v>
      </c>
      <c r="K14">
        <v>6.25</v>
      </c>
      <c r="L14">
        <v>2</v>
      </c>
      <c r="M14">
        <v>899599</v>
      </c>
      <c r="N14" t="s">
        <v>36</v>
      </c>
      <c r="O14">
        <v>32</v>
      </c>
      <c r="P14">
        <v>20</v>
      </c>
      <c r="Q14">
        <v>640</v>
      </c>
      <c r="R14" t="s">
        <v>20</v>
      </c>
      <c r="S14" t="s">
        <v>20</v>
      </c>
      <c r="T14" t="str">
        <f>VLOOKUP(Tabela2[[#This Row],[Cliente]],Setor!$C$2:$F$1606,4,0)</f>
        <v xml:space="preserve">CANDIEIRO BAR E REST                    </v>
      </c>
      <c r="U14">
        <f>VLOOKUP(Tabela2[[#This Row],[Cliente]],Setor!$C:$AU,45,0)</f>
        <v>102</v>
      </c>
      <c r="V14" t="str">
        <f>_xlfn.XLOOKUP(Tabela2[[#This Row],[Setor]],AD:AD,AE:AE)</f>
        <v>Fredson</v>
      </c>
      <c r="W14" t="str">
        <f>IF(Tabela2[[#This Row],[Meta Unit.]]=2,"SEISCENTOS","LITRINHO")</f>
        <v>SEISCENTOS</v>
      </c>
      <c r="X14">
        <f>Tabela2[[#This Row],[Vol. Real Cx Mensal]]</f>
        <v>5</v>
      </c>
      <c r="Y14">
        <f>(Tabela2[[#This Row],[Caixas Comodatadas]]*Tabela2[[#This Row],[Meta Unit.]])-Tabela2[[#This Row],[Comprou]]</f>
        <v>59</v>
      </c>
      <c r="Z14">
        <f>IF(Tabela2[[#This Row],[Tipo de Vasilhame]] = "LITRINHO",1.5*Tabela2[[#This Row],[Caixas Comodatadas]],Tabela2[[#This Row],[Caixas Comodatadas]]*2)</f>
        <v>64</v>
      </c>
      <c r="AA14" t="str">
        <f ca="1">IFERROR(IF(OR(FIND("OK", Tabela2[[#This Row],[Tipo Giro Mensal]]) &gt; 0), IF(Tabela2[[#This Row],[Comprou]]/$AH$2*30 &gt; Tabela2[[#This Row],[Meta]], "BATE", "ABAIXO"), "-"),"-")</f>
        <v>ABAIXO</v>
      </c>
    </row>
    <row r="15" spans="1:35" x14ac:dyDescent="0.25">
      <c r="Q15" s="1"/>
      <c r="T15" t="e">
        <f>VLOOKUP(Tabela2[[#This Row],[Cliente]],Setor!$C$2:$F$1606,4,0)</f>
        <v>#N/A</v>
      </c>
      <c r="U15" t="e">
        <f>VLOOKUP(Tabela2[[#This Row],[Cliente]],Setor!$C:$AU,45,0)</f>
        <v>#N/A</v>
      </c>
      <c r="V15" t="e">
        <f>_xlfn.XLOOKUP(Tabela2[[#This Row],[Setor]],AD:AD,AE:AE)</f>
        <v>#N/A</v>
      </c>
      <c r="W15" t="str">
        <f>IF(Tabela2[[#This Row],[Meta Unit.]]=2,"SEISCENTOS","LITRINHO")</f>
        <v>LITRINHO</v>
      </c>
      <c r="X15">
        <f>Tabela2[[#This Row],[Vol. Real Cx Mensal]]</f>
        <v>0</v>
      </c>
      <c r="Y15">
        <f>(Tabela2[[#This Row],[Caixas Comodatadas]]*Tabela2[[#This Row],[Meta Unit.]])-Tabela2[[#This Row],[Comprou]]</f>
        <v>0</v>
      </c>
      <c r="Z15">
        <f>IF(Tabela2[[#This Row],[Tipo de Vasilhame]] = "LITRINHO",1.5*Tabela2[[#This Row],[Caixas Comodatadas]],Tabela2[[#This Row],[Caixas Comodatadas]]*2)</f>
        <v>0</v>
      </c>
      <c r="AA15" t="str">
        <f>IFERROR(IF(OR(FIND("OK", Tabela2[[#This Row],[Tipo Giro Mensal]]) &gt; 0), IF(Tabela2[[#This Row],[Comprou]]/$AH$2*30 &gt; Tabela2[[#This Row],[Meta]], "BATE", "ABAIXO"), "-"),"-")</f>
        <v>-</v>
      </c>
    </row>
    <row r="16" spans="1:35" x14ac:dyDescent="0.25">
      <c r="Q16" s="1"/>
      <c r="T16" t="e">
        <f>VLOOKUP(Tabela2[[#This Row],[Cliente]],Setor!$C$2:$F$1606,4,0)</f>
        <v>#N/A</v>
      </c>
      <c r="U16" t="e">
        <f>VLOOKUP(Tabela2[[#This Row],[Cliente]],Setor!$C:$AU,45,0)</f>
        <v>#N/A</v>
      </c>
      <c r="V16" t="e">
        <f>_xlfn.XLOOKUP(Tabela2[[#This Row],[Setor]],AD:AD,AE:AE)</f>
        <v>#N/A</v>
      </c>
      <c r="W16" t="str">
        <f>IF(Tabela2[[#This Row],[Meta Unit.]]=2,"SEISCENTOS","LITRINHO")</f>
        <v>LITRINHO</v>
      </c>
      <c r="X16">
        <f>Tabela2[[#This Row],[Vol. Real Cx Mensal]]</f>
        <v>0</v>
      </c>
      <c r="Y16">
        <f>(Tabela2[[#This Row],[Caixas Comodatadas]]*Tabela2[[#This Row],[Meta Unit.]])-Tabela2[[#This Row],[Comprou]]</f>
        <v>0</v>
      </c>
      <c r="Z16">
        <f>IF(Tabela2[[#This Row],[Tipo de Vasilhame]] = "LITRINHO",1.5*Tabela2[[#This Row],[Caixas Comodatadas]],Tabela2[[#This Row],[Caixas Comodatadas]]*2)</f>
        <v>0</v>
      </c>
      <c r="AA16" t="str">
        <f>IFERROR(IF(OR(FIND("OK", Tabela2[[#This Row],[Tipo Giro Mensal]]) &gt; 0), IF(Tabela2[[#This Row],[Comprou]]/$AH$2*30 &gt; Tabela2[[#This Row],[Meta]], "BATE", "ABAIXO"), "-"),"-")</f>
        <v>-</v>
      </c>
    </row>
    <row r="23" spans="16:18" x14ac:dyDescent="0.25">
      <c r="P23" s="4"/>
    </row>
    <row r="32" spans="16:18" x14ac:dyDescent="0.25">
      <c r="R32">
        <f>9/183</f>
        <v>4.9180327868852458E-2</v>
      </c>
    </row>
  </sheetData>
  <conditionalFormatting sqref="AA1:AA1048576">
    <cfRule type="cellIs" dxfId="1" priority="1" operator="equal">
      <formula>"ABAIXO"</formula>
    </cfRule>
    <cfRule type="cellIs" dxfId="0" priority="2" operator="equal">
      <formula>"BATE"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CC1606"/>
  <sheetViews>
    <sheetView topLeftCell="AE1" workbookViewId="0">
      <selection activeCell="AF4" sqref="AF4"/>
    </sheetView>
  </sheetViews>
  <sheetFormatPr defaultRowHeight="15" x14ac:dyDescent="0.25"/>
  <cols>
    <col min="31" max="31" width="22.42578125" bestFit="1" customWidth="1"/>
    <col min="32" max="32" width="16" bestFit="1" customWidth="1"/>
    <col min="33" max="33" width="21.5703125" bestFit="1" customWidth="1"/>
  </cols>
  <sheetData>
    <row r="1" spans="1:81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38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</row>
    <row r="2" spans="1:81" x14ac:dyDescent="0.25">
      <c r="A2">
        <v>345</v>
      </c>
      <c r="B2">
        <v>2</v>
      </c>
      <c r="C2">
        <v>1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>
        <v>0</v>
      </c>
      <c r="Q2" t="s">
        <v>125</v>
      </c>
      <c r="R2">
        <v>6</v>
      </c>
      <c r="S2">
        <v>38</v>
      </c>
      <c r="T2" t="s">
        <v>132</v>
      </c>
      <c r="U2" t="s">
        <v>133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134</v>
      </c>
      <c r="AE2" t="s">
        <v>134</v>
      </c>
      <c r="AF2" s="2">
        <v>45518</v>
      </c>
      <c r="AG2" s="2">
        <v>46011</v>
      </c>
      <c r="AH2" s="1">
        <v>1112.78</v>
      </c>
      <c r="AI2" s="1">
        <v>1622.79</v>
      </c>
      <c r="AJ2" s="1">
        <v>5563.92</v>
      </c>
      <c r="AK2">
        <v>0</v>
      </c>
      <c r="AL2">
        <v>0</v>
      </c>
      <c r="AM2">
        <v>0</v>
      </c>
      <c r="AN2" t="s">
        <v>135</v>
      </c>
      <c r="AO2" t="s">
        <v>135</v>
      </c>
      <c r="AP2" t="s">
        <v>136</v>
      </c>
      <c r="AQ2" t="s">
        <v>137</v>
      </c>
      <c r="AR2" t="s">
        <v>138</v>
      </c>
      <c r="AS2" t="s">
        <v>139</v>
      </c>
      <c r="AT2" t="s">
        <v>140</v>
      </c>
      <c r="AU2">
        <v>102</v>
      </c>
      <c r="AV2">
        <v>10</v>
      </c>
      <c r="AW2">
        <v>1</v>
      </c>
      <c r="AX2" s="2">
        <v>45999</v>
      </c>
      <c r="AY2" t="s">
        <v>141</v>
      </c>
      <c r="AZ2" s="2">
        <v>46027</v>
      </c>
      <c r="BA2">
        <v>0</v>
      </c>
      <c r="BB2">
        <v>0</v>
      </c>
      <c r="BC2">
        <v>0</v>
      </c>
      <c r="BD2">
        <v>700</v>
      </c>
      <c r="BE2">
        <v>70</v>
      </c>
      <c r="BF2">
        <v>9</v>
      </c>
      <c r="BG2" s="2">
        <v>45536</v>
      </c>
      <c r="BH2" t="s">
        <v>142</v>
      </c>
      <c r="BI2" s="2">
        <v>46026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 s="1">
        <v>3932.24</v>
      </c>
      <c r="BQ2" s="1">
        <v>3932.24</v>
      </c>
      <c r="BR2">
        <v>0</v>
      </c>
      <c r="BS2">
        <v>0</v>
      </c>
      <c r="BT2">
        <v>0</v>
      </c>
      <c r="BU2">
        <v>0</v>
      </c>
      <c r="BV2">
        <v>803.06</v>
      </c>
      <c r="BW2">
        <v>803.06</v>
      </c>
      <c r="BX2">
        <v>0</v>
      </c>
      <c r="BY2">
        <v>0</v>
      </c>
      <c r="BZ2">
        <v>0</v>
      </c>
      <c r="CA2">
        <v>0</v>
      </c>
      <c r="CB2" s="1">
        <v>1868.43</v>
      </c>
      <c r="CC2" t="s">
        <v>143</v>
      </c>
    </row>
    <row r="3" spans="1:81" x14ac:dyDescent="0.25">
      <c r="A3">
        <v>345</v>
      </c>
      <c r="B3">
        <v>2</v>
      </c>
      <c r="C3">
        <v>3</v>
      </c>
      <c r="D3" t="s">
        <v>144</v>
      </c>
      <c r="E3" t="s">
        <v>121</v>
      </c>
      <c r="F3" t="s">
        <v>145</v>
      </c>
      <c r="G3" t="s">
        <v>146</v>
      </c>
      <c r="H3" t="s">
        <v>147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148</v>
      </c>
      <c r="O3" t="s">
        <v>149</v>
      </c>
      <c r="P3">
        <v>0</v>
      </c>
      <c r="Q3" t="s">
        <v>125</v>
      </c>
      <c r="R3">
        <v>3</v>
      </c>
      <c r="S3">
        <v>88</v>
      </c>
      <c r="T3" t="s">
        <v>132</v>
      </c>
      <c r="U3" t="s">
        <v>133</v>
      </c>
      <c r="V3" s="1">
        <v>14700</v>
      </c>
      <c r="W3">
        <v>0</v>
      </c>
      <c r="X3" s="1">
        <v>14700</v>
      </c>
      <c r="Y3">
        <v>7</v>
      </c>
      <c r="Z3">
        <v>0</v>
      </c>
      <c r="AA3">
        <v>0</v>
      </c>
      <c r="AB3">
        <v>0</v>
      </c>
      <c r="AC3">
        <v>0</v>
      </c>
      <c r="AD3" t="s">
        <v>134</v>
      </c>
      <c r="AE3" t="s">
        <v>134</v>
      </c>
      <c r="AF3" s="2">
        <v>45518</v>
      </c>
      <c r="AG3" s="2">
        <v>46020</v>
      </c>
      <c r="AH3" s="1">
        <v>9902</v>
      </c>
      <c r="AI3" s="1">
        <v>21446</v>
      </c>
      <c r="AJ3" s="1">
        <v>128726</v>
      </c>
      <c r="AK3">
        <v>0</v>
      </c>
      <c r="AL3">
        <v>0</v>
      </c>
      <c r="AM3">
        <v>0</v>
      </c>
      <c r="AN3" t="s">
        <v>135</v>
      </c>
      <c r="AO3" t="s">
        <v>135</v>
      </c>
      <c r="AP3" t="s">
        <v>136</v>
      </c>
      <c r="AQ3" t="s">
        <v>137</v>
      </c>
      <c r="AR3" t="s">
        <v>138</v>
      </c>
      <c r="AS3" t="s">
        <v>150</v>
      </c>
      <c r="AT3" t="s">
        <v>140</v>
      </c>
      <c r="AU3">
        <v>501</v>
      </c>
      <c r="AV3">
        <v>10</v>
      </c>
      <c r="AW3">
        <v>1</v>
      </c>
      <c r="AX3" s="2">
        <v>45947</v>
      </c>
      <c r="AY3" t="s">
        <v>151</v>
      </c>
      <c r="AZ3" s="2">
        <v>46024</v>
      </c>
      <c r="BA3">
        <v>0</v>
      </c>
      <c r="BB3">
        <v>0</v>
      </c>
      <c r="BC3">
        <v>0</v>
      </c>
      <c r="BD3">
        <v>700</v>
      </c>
      <c r="BE3">
        <v>70</v>
      </c>
      <c r="BF3">
        <v>9</v>
      </c>
      <c r="BG3" s="2">
        <v>45536</v>
      </c>
      <c r="BH3" t="s">
        <v>142</v>
      </c>
      <c r="BI3" s="2">
        <v>46026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1">
        <v>37472.35</v>
      </c>
      <c r="BQ3" s="1">
        <v>37472.35</v>
      </c>
      <c r="BR3">
        <v>0</v>
      </c>
      <c r="BS3">
        <v>0</v>
      </c>
      <c r="BT3">
        <v>0</v>
      </c>
      <c r="BU3">
        <v>0</v>
      </c>
      <c r="BV3" s="1">
        <v>66554.5</v>
      </c>
      <c r="BW3" s="1">
        <v>66554.5</v>
      </c>
      <c r="BX3">
        <v>0</v>
      </c>
      <c r="BY3">
        <v>0</v>
      </c>
      <c r="BZ3">
        <v>0</v>
      </c>
      <c r="CA3">
        <v>0</v>
      </c>
      <c r="CB3" s="1">
        <v>34231.879999999997</v>
      </c>
      <c r="CC3" t="s">
        <v>152</v>
      </c>
    </row>
    <row r="4" spans="1:81" x14ac:dyDescent="0.25">
      <c r="A4">
        <v>345</v>
      </c>
      <c r="B4">
        <v>2</v>
      </c>
      <c r="C4">
        <v>4</v>
      </c>
      <c r="D4" t="s">
        <v>153</v>
      </c>
      <c r="E4" t="s">
        <v>121</v>
      </c>
      <c r="F4" t="s">
        <v>154</v>
      </c>
      <c r="G4" t="s">
        <v>155</v>
      </c>
      <c r="H4" t="s">
        <v>156</v>
      </c>
      <c r="I4" t="s">
        <v>125</v>
      </c>
      <c r="J4" t="s">
        <v>157</v>
      </c>
      <c r="K4" t="s">
        <v>127</v>
      </c>
      <c r="L4" t="s">
        <v>128</v>
      </c>
      <c r="M4" t="s">
        <v>129</v>
      </c>
      <c r="N4" t="s">
        <v>158</v>
      </c>
      <c r="O4" t="s">
        <v>159</v>
      </c>
      <c r="P4">
        <v>0</v>
      </c>
      <c r="Q4" t="s">
        <v>125</v>
      </c>
      <c r="R4">
        <v>6</v>
      </c>
      <c r="S4">
        <v>36</v>
      </c>
      <c r="T4" t="s">
        <v>132</v>
      </c>
      <c r="U4" t="s">
        <v>133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134</v>
      </c>
      <c r="AE4" t="s">
        <v>134</v>
      </c>
      <c r="AF4" s="2">
        <v>45518</v>
      </c>
      <c r="AG4" s="2">
        <v>46020</v>
      </c>
      <c r="AH4">
        <v>768.19</v>
      </c>
      <c r="AI4" s="1">
        <v>1269.28</v>
      </c>
      <c r="AJ4" s="1">
        <v>9986.5499999999993</v>
      </c>
      <c r="AK4">
        <v>0</v>
      </c>
      <c r="AL4">
        <v>0</v>
      </c>
      <c r="AM4">
        <v>0</v>
      </c>
      <c r="AN4" t="s">
        <v>135</v>
      </c>
      <c r="AO4" t="s">
        <v>135</v>
      </c>
      <c r="AP4" t="s">
        <v>136</v>
      </c>
      <c r="AQ4" t="s">
        <v>137</v>
      </c>
      <c r="AR4" t="s">
        <v>138</v>
      </c>
      <c r="AS4" t="s">
        <v>139</v>
      </c>
      <c r="AT4" t="s">
        <v>140</v>
      </c>
      <c r="AU4">
        <v>102</v>
      </c>
      <c r="AV4">
        <v>10</v>
      </c>
      <c r="AW4">
        <v>1</v>
      </c>
      <c r="AX4" s="2">
        <v>45815</v>
      </c>
      <c r="AY4" t="s">
        <v>160</v>
      </c>
      <c r="AZ4" s="2">
        <v>46025</v>
      </c>
      <c r="BA4">
        <v>0</v>
      </c>
      <c r="BB4">
        <v>0</v>
      </c>
      <c r="BC4">
        <v>0</v>
      </c>
      <c r="BD4">
        <v>700</v>
      </c>
      <c r="BE4">
        <v>70</v>
      </c>
      <c r="BF4">
        <v>9</v>
      </c>
      <c r="BG4" s="2">
        <v>45536</v>
      </c>
      <c r="BH4" t="s">
        <v>142</v>
      </c>
      <c r="BI4" s="2">
        <v>46026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 s="1">
        <v>3441.49</v>
      </c>
      <c r="BQ4" s="1">
        <v>3441.49</v>
      </c>
      <c r="BR4">
        <v>0</v>
      </c>
      <c r="BS4">
        <v>0</v>
      </c>
      <c r="BT4">
        <v>0</v>
      </c>
      <c r="BU4">
        <v>0</v>
      </c>
      <c r="BV4" s="1">
        <v>3654.2</v>
      </c>
      <c r="BW4" s="1">
        <v>3654.2</v>
      </c>
      <c r="BX4">
        <v>0</v>
      </c>
      <c r="BY4">
        <v>0</v>
      </c>
      <c r="BZ4">
        <v>0</v>
      </c>
      <c r="CA4">
        <v>0</v>
      </c>
      <c r="CB4" s="1">
        <v>3049.15</v>
      </c>
      <c r="CC4" t="s">
        <v>161</v>
      </c>
    </row>
    <row r="5" spans="1:81" x14ac:dyDescent="0.25">
      <c r="A5">
        <v>345</v>
      </c>
      <c r="B5">
        <v>2</v>
      </c>
      <c r="C5">
        <v>5</v>
      </c>
      <c r="D5" t="s">
        <v>162</v>
      </c>
      <c r="E5" t="s">
        <v>121</v>
      </c>
      <c r="F5" t="s">
        <v>163</v>
      </c>
      <c r="G5" t="s">
        <v>164</v>
      </c>
      <c r="H5" t="s">
        <v>165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166</v>
      </c>
      <c r="O5" t="s">
        <v>167</v>
      </c>
      <c r="P5">
        <v>0</v>
      </c>
      <c r="Q5" t="s">
        <v>125</v>
      </c>
      <c r="R5">
        <v>6</v>
      </c>
      <c r="S5">
        <v>36</v>
      </c>
      <c r="T5" t="s">
        <v>132</v>
      </c>
      <c r="U5" t="s">
        <v>133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134</v>
      </c>
      <c r="AE5" t="s">
        <v>134</v>
      </c>
      <c r="AF5" s="2">
        <v>45518</v>
      </c>
      <c r="AG5" s="2">
        <v>46018</v>
      </c>
      <c r="AH5">
        <v>515.09</v>
      </c>
      <c r="AI5">
        <v>869.76</v>
      </c>
      <c r="AJ5" s="1">
        <v>5666.02</v>
      </c>
      <c r="AK5">
        <v>0</v>
      </c>
      <c r="AL5">
        <v>0</v>
      </c>
      <c r="AM5">
        <v>0</v>
      </c>
      <c r="AN5" t="s">
        <v>135</v>
      </c>
      <c r="AO5" t="s">
        <v>135</v>
      </c>
      <c r="AP5" t="s">
        <v>136</v>
      </c>
      <c r="AQ5" t="s">
        <v>137</v>
      </c>
      <c r="AR5" t="s">
        <v>138</v>
      </c>
      <c r="AS5" t="s">
        <v>139</v>
      </c>
      <c r="AT5" t="s">
        <v>140</v>
      </c>
      <c r="AU5">
        <v>102</v>
      </c>
      <c r="AV5">
        <v>10</v>
      </c>
      <c r="AW5">
        <v>1</v>
      </c>
      <c r="AX5" s="2">
        <v>45847</v>
      </c>
      <c r="AY5" t="s">
        <v>168</v>
      </c>
      <c r="AZ5" s="2">
        <v>46022</v>
      </c>
      <c r="BA5">
        <v>0</v>
      </c>
      <c r="BB5">
        <v>0</v>
      </c>
      <c r="BC5">
        <v>0</v>
      </c>
      <c r="BD5">
        <v>700</v>
      </c>
      <c r="BE5">
        <v>70</v>
      </c>
      <c r="BF5">
        <v>9</v>
      </c>
      <c r="BG5" s="2">
        <v>45536</v>
      </c>
      <c r="BH5" t="s">
        <v>142</v>
      </c>
      <c r="BI5" s="2">
        <v>46026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 s="1">
        <v>2066.6999999999998</v>
      </c>
      <c r="BQ5" s="1">
        <v>2066.6999999999998</v>
      </c>
      <c r="BR5">
        <v>0</v>
      </c>
      <c r="BS5">
        <v>0</v>
      </c>
      <c r="BT5">
        <v>0</v>
      </c>
      <c r="BU5">
        <v>0</v>
      </c>
      <c r="BV5" s="1">
        <v>1513.88</v>
      </c>
      <c r="BW5" s="1">
        <v>1513.88</v>
      </c>
      <c r="BX5">
        <v>0</v>
      </c>
      <c r="BY5">
        <v>0</v>
      </c>
      <c r="BZ5">
        <v>0</v>
      </c>
      <c r="CA5">
        <v>0</v>
      </c>
      <c r="CB5" s="1">
        <v>2068</v>
      </c>
      <c r="CC5" t="s">
        <v>161</v>
      </c>
    </row>
    <row r="6" spans="1:81" x14ac:dyDescent="0.25">
      <c r="A6">
        <v>345</v>
      </c>
      <c r="B6">
        <v>2</v>
      </c>
      <c r="C6">
        <v>7</v>
      </c>
      <c r="D6" t="s">
        <v>169</v>
      </c>
      <c r="E6" t="s">
        <v>121</v>
      </c>
      <c r="F6" t="s">
        <v>170</v>
      </c>
      <c r="G6" t="s">
        <v>171</v>
      </c>
      <c r="H6" t="s">
        <v>172</v>
      </c>
      <c r="I6" t="s">
        <v>125</v>
      </c>
      <c r="J6" t="s">
        <v>173</v>
      </c>
      <c r="K6" t="s">
        <v>127</v>
      </c>
      <c r="L6" t="s">
        <v>128</v>
      </c>
      <c r="M6" t="s">
        <v>129</v>
      </c>
      <c r="N6" t="s">
        <v>174</v>
      </c>
      <c r="O6" t="s">
        <v>131</v>
      </c>
      <c r="P6">
        <v>0</v>
      </c>
      <c r="Q6" t="s">
        <v>125</v>
      </c>
      <c r="R6">
        <v>6</v>
      </c>
      <c r="S6">
        <v>41</v>
      </c>
      <c r="T6" t="s">
        <v>132</v>
      </c>
      <c r="U6" t="s">
        <v>133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134</v>
      </c>
      <c r="AE6" t="s">
        <v>134</v>
      </c>
      <c r="AF6" s="2">
        <v>45518</v>
      </c>
      <c r="AG6" s="2">
        <v>46021</v>
      </c>
      <c r="AH6" s="1">
        <v>2542.7399999999998</v>
      </c>
      <c r="AI6" s="1">
        <v>9173.85</v>
      </c>
      <c r="AJ6" s="1">
        <v>35598.46</v>
      </c>
      <c r="AK6">
        <v>0</v>
      </c>
      <c r="AL6">
        <v>0</v>
      </c>
      <c r="AM6">
        <v>0</v>
      </c>
      <c r="AN6" t="s">
        <v>135</v>
      </c>
      <c r="AO6" t="s">
        <v>135</v>
      </c>
      <c r="AP6" t="s">
        <v>136</v>
      </c>
      <c r="AQ6" t="s">
        <v>137</v>
      </c>
      <c r="AR6" t="s">
        <v>138</v>
      </c>
      <c r="AS6" t="s">
        <v>139</v>
      </c>
      <c r="AT6" t="s">
        <v>140</v>
      </c>
      <c r="AU6">
        <v>102</v>
      </c>
      <c r="AV6">
        <v>10</v>
      </c>
      <c r="AW6">
        <v>1</v>
      </c>
      <c r="AX6" s="2">
        <v>45847</v>
      </c>
      <c r="AY6" t="s">
        <v>168</v>
      </c>
      <c r="AZ6" s="2">
        <v>46022</v>
      </c>
      <c r="BA6">
        <v>0</v>
      </c>
      <c r="BB6">
        <v>0</v>
      </c>
      <c r="BC6">
        <v>0</v>
      </c>
      <c r="BD6">
        <v>700</v>
      </c>
      <c r="BE6">
        <v>70</v>
      </c>
      <c r="BF6">
        <v>9</v>
      </c>
      <c r="BG6" s="2">
        <v>45536</v>
      </c>
      <c r="BH6" t="s">
        <v>142</v>
      </c>
      <c r="BI6" s="2">
        <v>46026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 s="1">
        <v>8278.89</v>
      </c>
      <c r="BQ6" s="1">
        <v>8278.89</v>
      </c>
      <c r="BR6">
        <v>0</v>
      </c>
      <c r="BS6">
        <v>0</v>
      </c>
      <c r="BT6">
        <v>0</v>
      </c>
      <c r="BU6">
        <v>0</v>
      </c>
      <c r="BV6" s="1">
        <v>15164.36</v>
      </c>
      <c r="BW6" s="1">
        <v>15814.36</v>
      </c>
      <c r="BX6">
        <v>0</v>
      </c>
      <c r="BY6">
        <v>0</v>
      </c>
      <c r="BZ6">
        <v>0</v>
      </c>
      <c r="CA6">
        <v>0</v>
      </c>
      <c r="CB6" s="1">
        <v>14196.53</v>
      </c>
      <c r="CC6" t="s">
        <v>143</v>
      </c>
    </row>
    <row r="7" spans="1:81" x14ac:dyDescent="0.25">
      <c r="A7">
        <v>345</v>
      </c>
      <c r="B7">
        <v>2</v>
      </c>
      <c r="C7">
        <v>9</v>
      </c>
      <c r="D7" t="s">
        <v>175</v>
      </c>
      <c r="E7" t="s">
        <v>121</v>
      </c>
      <c r="F7" t="s">
        <v>176</v>
      </c>
      <c r="G7" t="s">
        <v>177</v>
      </c>
      <c r="H7" t="s">
        <v>178</v>
      </c>
      <c r="I7" t="s">
        <v>125</v>
      </c>
      <c r="J7" t="s">
        <v>157</v>
      </c>
      <c r="K7" t="s">
        <v>127</v>
      </c>
      <c r="L7" t="s">
        <v>128</v>
      </c>
      <c r="M7" t="s">
        <v>129</v>
      </c>
      <c r="N7" t="s">
        <v>179</v>
      </c>
      <c r="O7" t="s">
        <v>167</v>
      </c>
      <c r="P7">
        <v>0</v>
      </c>
      <c r="Q7" t="s">
        <v>125</v>
      </c>
      <c r="R7">
        <v>6</v>
      </c>
      <c r="S7">
        <v>36</v>
      </c>
      <c r="T7" t="s">
        <v>132</v>
      </c>
      <c r="U7" t="s">
        <v>133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134</v>
      </c>
      <c r="AE7" t="s">
        <v>134</v>
      </c>
      <c r="AF7" s="2">
        <v>45518</v>
      </c>
      <c r="AG7" s="2">
        <v>46019</v>
      </c>
      <c r="AH7">
        <v>205.74</v>
      </c>
      <c r="AI7">
        <v>390.17</v>
      </c>
      <c r="AJ7" s="1">
        <v>1851.69</v>
      </c>
      <c r="AK7">
        <v>0</v>
      </c>
      <c r="AL7">
        <v>0</v>
      </c>
      <c r="AM7">
        <v>0</v>
      </c>
      <c r="AN7" t="s">
        <v>135</v>
      </c>
      <c r="AO7" t="s">
        <v>135</v>
      </c>
      <c r="AP7" t="s">
        <v>136</v>
      </c>
      <c r="AQ7" t="s">
        <v>137</v>
      </c>
      <c r="AR7" t="s">
        <v>138</v>
      </c>
      <c r="AS7" t="s">
        <v>139</v>
      </c>
      <c r="AT7" t="s">
        <v>140</v>
      </c>
      <c r="AU7">
        <v>102</v>
      </c>
      <c r="AV7">
        <v>10</v>
      </c>
      <c r="AW7">
        <v>1</v>
      </c>
      <c r="AX7" s="2">
        <v>45966</v>
      </c>
      <c r="AY7" t="s">
        <v>168</v>
      </c>
      <c r="AZ7" s="2">
        <v>46022</v>
      </c>
      <c r="BA7">
        <v>0</v>
      </c>
      <c r="BB7">
        <v>0</v>
      </c>
      <c r="BC7">
        <v>0</v>
      </c>
      <c r="BD7">
        <v>700</v>
      </c>
      <c r="BE7">
        <v>70</v>
      </c>
      <c r="BF7">
        <v>9</v>
      </c>
      <c r="BG7" s="2">
        <v>45536</v>
      </c>
      <c r="BH7" t="s">
        <v>142</v>
      </c>
      <c r="BI7" s="2">
        <v>46026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800.58</v>
      </c>
      <c r="BQ7">
        <v>800.58</v>
      </c>
      <c r="BR7">
        <v>0</v>
      </c>
      <c r="BS7">
        <v>0</v>
      </c>
      <c r="BT7">
        <v>0</v>
      </c>
      <c r="BU7">
        <v>0</v>
      </c>
      <c r="BV7">
        <v>763.67</v>
      </c>
      <c r="BW7">
        <v>763.67</v>
      </c>
      <c r="BX7">
        <v>0</v>
      </c>
      <c r="BY7">
        <v>0</v>
      </c>
      <c r="BZ7">
        <v>0</v>
      </c>
      <c r="CA7">
        <v>0</v>
      </c>
      <c r="CB7">
        <v>508.55</v>
      </c>
      <c r="CC7" t="s">
        <v>161</v>
      </c>
    </row>
    <row r="8" spans="1:81" x14ac:dyDescent="0.25">
      <c r="A8">
        <v>345</v>
      </c>
      <c r="B8">
        <v>2</v>
      </c>
      <c r="C8">
        <v>12</v>
      </c>
      <c r="D8" t="s">
        <v>180</v>
      </c>
      <c r="E8" t="s">
        <v>121</v>
      </c>
      <c r="F8" t="s">
        <v>181</v>
      </c>
      <c r="G8" t="s">
        <v>182</v>
      </c>
      <c r="H8" t="s">
        <v>183</v>
      </c>
      <c r="I8" t="s">
        <v>125</v>
      </c>
      <c r="J8" t="s">
        <v>173</v>
      </c>
      <c r="K8" t="s">
        <v>127</v>
      </c>
      <c r="L8" t="s">
        <v>128</v>
      </c>
      <c r="M8" t="s">
        <v>129</v>
      </c>
      <c r="N8" t="s">
        <v>184</v>
      </c>
      <c r="O8" t="s">
        <v>167</v>
      </c>
      <c r="P8">
        <v>0</v>
      </c>
      <c r="Q8" t="s">
        <v>125</v>
      </c>
      <c r="R8">
        <v>6</v>
      </c>
      <c r="S8">
        <v>37</v>
      </c>
      <c r="T8" t="s">
        <v>132</v>
      </c>
      <c r="U8" t="s">
        <v>133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134</v>
      </c>
      <c r="AE8" t="s">
        <v>134</v>
      </c>
      <c r="AF8" s="2">
        <v>45518</v>
      </c>
      <c r="AG8" s="2">
        <v>46020</v>
      </c>
      <c r="AH8" s="1">
        <v>4458.68</v>
      </c>
      <c r="AI8" s="1">
        <v>8936.8700000000008</v>
      </c>
      <c r="AJ8" s="1">
        <v>49045.51</v>
      </c>
      <c r="AK8">
        <v>0</v>
      </c>
      <c r="AL8">
        <v>0</v>
      </c>
      <c r="AM8">
        <v>0</v>
      </c>
      <c r="AN8" t="s">
        <v>135</v>
      </c>
      <c r="AO8" t="s">
        <v>135</v>
      </c>
      <c r="AP8" t="s">
        <v>136</v>
      </c>
      <c r="AQ8" t="s">
        <v>137</v>
      </c>
      <c r="AR8" t="s">
        <v>138</v>
      </c>
      <c r="AS8" t="s">
        <v>139</v>
      </c>
      <c r="AT8" t="s">
        <v>140</v>
      </c>
      <c r="AU8">
        <v>102</v>
      </c>
      <c r="AV8">
        <v>10</v>
      </c>
      <c r="AW8">
        <v>1</v>
      </c>
      <c r="AX8" s="2">
        <v>45843</v>
      </c>
      <c r="AY8" t="s">
        <v>160</v>
      </c>
      <c r="AZ8" s="2">
        <v>46025</v>
      </c>
      <c r="BA8">
        <v>0</v>
      </c>
      <c r="BB8">
        <v>0</v>
      </c>
      <c r="BC8">
        <v>0</v>
      </c>
      <c r="BD8">
        <v>700</v>
      </c>
      <c r="BE8">
        <v>70</v>
      </c>
      <c r="BF8">
        <v>9</v>
      </c>
      <c r="BG8" s="2">
        <v>45536</v>
      </c>
      <c r="BH8" t="s">
        <v>142</v>
      </c>
      <c r="BI8" s="2">
        <v>46026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 s="1">
        <v>19076.560000000001</v>
      </c>
      <c r="BQ8" s="1">
        <v>19076.560000000001</v>
      </c>
      <c r="BR8">
        <v>0</v>
      </c>
      <c r="BS8">
        <v>0</v>
      </c>
      <c r="BT8">
        <v>0</v>
      </c>
      <c r="BU8">
        <v>0</v>
      </c>
      <c r="BV8" s="1">
        <v>21277.89</v>
      </c>
      <c r="BW8" s="1">
        <v>21277.89</v>
      </c>
      <c r="BX8">
        <v>0</v>
      </c>
      <c r="BY8">
        <v>0</v>
      </c>
      <c r="BZ8">
        <v>0</v>
      </c>
      <c r="CA8">
        <v>0</v>
      </c>
      <c r="CB8" s="1">
        <v>12789.82</v>
      </c>
      <c r="CC8" t="s">
        <v>152</v>
      </c>
    </row>
    <row r="9" spans="1:81" x14ac:dyDescent="0.25">
      <c r="A9">
        <v>345</v>
      </c>
      <c r="B9">
        <v>2</v>
      </c>
      <c r="C9">
        <v>20</v>
      </c>
      <c r="D9" t="s">
        <v>185</v>
      </c>
      <c r="E9" t="s">
        <v>121</v>
      </c>
      <c r="F9" t="s">
        <v>186</v>
      </c>
      <c r="G9" t="s">
        <v>187</v>
      </c>
      <c r="H9" t="s">
        <v>188</v>
      </c>
      <c r="I9" t="s">
        <v>125</v>
      </c>
      <c r="J9" t="s">
        <v>173</v>
      </c>
      <c r="K9" t="s">
        <v>127</v>
      </c>
      <c r="L9" t="s">
        <v>128</v>
      </c>
      <c r="M9" t="s">
        <v>129</v>
      </c>
      <c r="N9" t="s">
        <v>189</v>
      </c>
      <c r="O9" t="s">
        <v>131</v>
      </c>
      <c r="P9">
        <v>0</v>
      </c>
      <c r="Q9" t="s">
        <v>125</v>
      </c>
      <c r="R9">
        <v>6</v>
      </c>
      <c r="S9">
        <v>39</v>
      </c>
      <c r="T9" t="s">
        <v>132</v>
      </c>
      <c r="U9" t="s">
        <v>133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134</v>
      </c>
      <c r="AE9" t="s">
        <v>134</v>
      </c>
      <c r="AF9" s="2">
        <v>45518</v>
      </c>
      <c r="AG9" s="2">
        <v>46002</v>
      </c>
      <c r="AH9">
        <v>337.21</v>
      </c>
      <c r="AI9">
        <v>399.57</v>
      </c>
      <c r="AJ9">
        <v>674.42</v>
      </c>
      <c r="AK9">
        <v>0</v>
      </c>
      <c r="AL9">
        <v>0</v>
      </c>
      <c r="AM9">
        <v>0</v>
      </c>
      <c r="AN9" t="s">
        <v>135</v>
      </c>
      <c r="AO9" t="s">
        <v>135</v>
      </c>
      <c r="AP9" t="s">
        <v>136</v>
      </c>
      <c r="AQ9" t="s">
        <v>137</v>
      </c>
      <c r="AR9" t="s">
        <v>138</v>
      </c>
      <c r="AS9" t="s">
        <v>139</v>
      </c>
      <c r="AT9" t="s">
        <v>140</v>
      </c>
      <c r="AU9">
        <v>102</v>
      </c>
      <c r="AV9">
        <v>10</v>
      </c>
      <c r="AW9">
        <v>1</v>
      </c>
      <c r="AX9" s="2">
        <v>45847</v>
      </c>
      <c r="AY9" t="s">
        <v>168</v>
      </c>
      <c r="AZ9" s="2">
        <v>46022</v>
      </c>
      <c r="BA9">
        <v>0</v>
      </c>
      <c r="BB9">
        <v>0</v>
      </c>
      <c r="BC9">
        <v>0</v>
      </c>
      <c r="BD9">
        <v>700</v>
      </c>
      <c r="BE9">
        <v>70</v>
      </c>
      <c r="BF9">
        <v>9</v>
      </c>
      <c r="BG9" s="2">
        <v>45536</v>
      </c>
      <c r="BH9" t="s">
        <v>142</v>
      </c>
      <c r="BI9" s="2">
        <v>46026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274.85000000000002</v>
      </c>
      <c r="BQ9">
        <v>274.85000000000002</v>
      </c>
      <c r="BR9">
        <v>0</v>
      </c>
      <c r="BS9">
        <v>0</v>
      </c>
      <c r="BT9">
        <v>0</v>
      </c>
      <c r="BU9">
        <v>0</v>
      </c>
      <c r="BV9">
        <v>399.57</v>
      </c>
      <c r="BW9">
        <v>399.57</v>
      </c>
      <c r="BX9">
        <v>0</v>
      </c>
      <c r="BY9">
        <v>0</v>
      </c>
      <c r="BZ9">
        <v>0</v>
      </c>
      <c r="CA9">
        <v>0</v>
      </c>
      <c r="CB9">
        <v>536.82000000000005</v>
      </c>
      <c r="CC9" t="s">
        <v>143</v>
      </c>
    </row>
    <row r="10" spans="1:81" x14ac:dyDescent="0.25">
      <c r="A10">
        <v>345</v>
      </c>
      <c r="B10">
        <v>2</v>
      </c>
      <c r="C10">
        <v>21</v>
      </c>
      <c r="D10" t="s">
        <v>190</v>
      </c>
      <c r="E10" t="s">
        <v>121</v>
      </c>
      <c r="F10" t="s">
        <v>191</v>
      </c>
      <c r="G10" t="s">
        <v>192</v>
      </c>
      <c r="H10" t="s">
        <v>193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194</v>
      </c>
      <c r="O10" t="s">
        <v>195</v>
      </c>
      <c r="P10">
        <v>0</v>
      </c>
      <c r="Q10" t="s">
        <v>125</v>
      </c>
      <c r="R10">
        <v>6</v>
      </c>
      <c r="S10">
        <v>40</v>
      </c>
      <c r="T10" t="s">
        <v>132</v>
      </c>
      <c r="U10" t="s">
        <v>133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134</v>
      </c>
      <c r="AE10" t="s">
        <v>134</v>
      </c>
      <c r="AF10" s="2">
        <v>45518</v>
      </c>
      <c r="AG10" s="2">
        <v>46014</v>
      </c>
      <c r="AH10">
        <v>204.81</v>
      </c>
      <c r="AI10">
        <v>279.24</v>
      </c>
      <c r="AJ10" s="1">
        <v>1024.0899999999999</v>
      </c>
      <c r="AK10">
        <v>0</v>
      </c>
      <c r="AL10">
        <v>0</v>
      </c>
      <c r="AM10">
        <v>0</v>
      </c>
      <c r="AN10" t="s">
        <v>135</v>
      </c>
      <c r="AO10" t="s">
        <v>135</v>
      </c>
      <c r="AP10" t="s">
        <v>136</v>
      </c>
      <c r="AQ10" t="s">
        <v>137</v>
      </c>
      <c r="AR10" t="s">
        <v>138</v>
      </c>
      <c r="AS10" t="s">
        <v>150</v>
      </c>
      <c r="AT10" t="s">
        <v>140</v>
      </c>
      <c r="AU10">
        <v>102</v>
      </c>
      <c r="AV10">
        <v>10</v>
      </c>
      <c r="AW10">
        <v>1</v>
      </c>
      <c r="AX10" s="2">
        <v>45810</v>
      </c>
      <c r="AY10" t="s">
        <v>141</v>
      </c>
      <c r="AZ10" s="2">
        <v>46027</v>
      </c>
      <c r="BA10">
        <v>0</v>
      </c>
      <c r="BB10">
        <v>0</v>
      </c>
      <c r="BC10">
        <v>0</v>
      </c>
      <c r="BD10">
        <v>700</v>
      </c>
      <c r="BE10">
        <v>70</v>
      </c>
      <c r="BF10">
        <v>9</v>
      </c>
      <c r="BG10" s="2">
        <v>45536</v>
      </c>
      <c r="BH10" t="s">
        <v>142</v>
      </c>
      <c r="BI10" s="2">
        <v>46026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188.15</v>
      </c>
      <c r="BQ10">
        <v>188.15</v>
      </c>
      <c r="BR10">
        <v>0</v>
      </c>
      <c r="BS10">
        <v>0</v>
      </c>
      <c r="BT10">
        <v>0</v>
      </c>
      <c r="BU10">
        <v>0</v>
      </c>
      <c r="BV10">
        <v>477.84</v>
      </c>
      <c r="BW10">
        <v>477.84</v>
      </c>
      <c r="BX10">
        <v>0</v>
      </c>
      <c r="BY10">
        <v>0</v>
      </c>
      <c r="BZ10">
        <v>0</v>
      </c>
      <c r="CA10">
        <v>0</v>
      </c>
      <c r="CB10">
        <v>182.08</v>
      </c>
      <c r="CC10" t="s">
        <v>161</v>
      </c>
    </row>
    <row r="11" spans="1:81" x14ac:dyDescent="0.25">
      <c r="A11">
        <v>345</v>
      </c>
      <c r="B11">
        <v>2</v>
      </c>
      <c r="C11">
        <v>23</v>
      </c>
      <c r="D11" t="s">
        <v>196</v>
      </c>
      <c r="E11" t="s">
        <v>121</v>
      </c>
      <c r="F11" t="s">
        <v>197</v>
      </c>
      <c r="G11" t="s">
        <v>198</v>
      </c>
      <c r="H11" t="s">
        <v>199</v>
      </c>
      <c r="I11" t="s">
        <v>125</v>
      </c>
      <c r="J11" t="s">
        <v>157</v>
      </c>
      <c r="K11" t="s">
        <v>127</v>
      </c>
      <c r="L11" t="s">
        <v>128</v>
      </c>
      <c r="M11" t="s">
        <v>129</v>
      </c>
      <c r="N11" t="s">
        <v>200</v>
      </c>
      <c r="O11" t="s">
        <v>201</v>
      </c>
      <c r="P11">
        <v>0</v>
      </c>
      <c r="Q11" t="s">
        <v>125</v>
      </c>
      <c r="R11">
        <v>6</v>
      </c>
      <c r="S11">
        <v>41</v>
      </c>
      <c r="T11" t="s">
        <v>132</v>
      </c>
      <c r="U11" t="s">
        <v>133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134</v>
      </c>
      <c r="AE11" t="s">
        <v>134</v>
      </c>
      <c r="AF11" s="2">
        <v>45518</v>
      </c>
      <c r="AG11" s="2">
        <v>46020</v>
      </c>
      <c r="AH11">
        <v>129.66999999999999</v>
      </c>
      <c r="AI11">
        <v>217.83</v>
      </c>
      <c r="AJ11" s="1">
        <v>1296.79</v>
      </c>
      <c r="AK11">
        <v>0</v>
      </c>
      <c r="AL11">
        <v>0</v>
      </c>
      <c r="AM11">
        <v>0</v>
      </c>
      <c r="AN11" t="s">
        <v>135</v>
      </c>
      <c r="AO11" t="s">
        <v>135</v>
      </c>
      <c r="AP11" t="s">
        <v>136</v>
      </c>
      <c r="AQ11" t="s">
        <v>137</v>
      </c>
      <c r="AR11" t="s">
        <v>138</v>
      </c>
      <c r="AS11" t="s">
        <v>139</v>
      </c>
      <c r="AT11" t="s">
        <v>140</v>
      </c>
      <c r="AU11">
        <v>102</v>
      </c>
      <c r="AV11">
        <v>10</v>
      </c>
      <c r="AW11">
        <v>1</v>
      </c>
      <c r="AX11" s="2">
        <v>45815</v>
      </c>
      <c r="AY11" t="s">
        <v>160</v>
      </c>
      <c r="AZ11" s="2">
        <v>46025</v>
      </c>
      <c r="BA11">
        <v>0</v>
      </c>
      <c r="BB11">
        <v>0</v>
      </c>
      <c r="BC11">
        <v>0</v>
      </c>
      <c r="BD11">
        <v>700</v>
      </c>
      <c r="BE11">
        <v>70</v>
      </c>
      <c r="BF11">
        <v>9</v>
      </c>
      <c r="BG11" s="2">
        <v>45536</v>
      </c>
      <c r="BH11" t="s">
        <v>142</v>
      </c>
      <c r="BI11" s="2">
        <v>46026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229.2</v>
      </c>
      <c r="BQ11">
        <v>229.2</v>
      </c>
      <c r="BR11">
        <v>0</v>
      </c>
      <c r="BS11">
        <v>0</v>
      </c>
      <c r="BT11">
        <v>0</v>
      </c>
      <c r="BU11">
        <v>0</v>
      </c>
      <c r="BV11">
        <v>743.81</v>
      </c>
      <c r="BW11">
        <v>743.81</v>
      </c>
      <c r="BX11">
        <v>0</v>
      </c>
      <c r="BY11">
        <v>0</v>
      </c>
      <c r="BZ11">
        <v>0</v>
      </c>
      <c r="CA11">
        <v>0</v>
      </c>
      <c r="CB11">
        <v>302.64999999999998</v>
      </c>
      <c r="CC11" t="s">
        <v>161</v>
      </c>
    </row>
    <row r="12" spans="1:81" x14ac:dyDescent="0.25">
      <c r="A12">
        <v>345</v>
      </c>
      <c r="B12">
        <v>2</v>
      </c>
      <c r="C12">
        <v>27</v>
      </c>
      <c r="D12" t="s">
        <v>202</v>
      </c>
      <c r="E12" t="s">
        <v>121</v>
      </c>
      <c r="F12" t="s">
        <v>203</v>
      </c>
      <c r="G12" t="s">
        <v>204</v>
      </c>
      <c r="H12" t="s">
        <v>205</v>
      </c>
      <c r="I12" t="s">
        <v>125</v>
      </c>
      <c r="J12" t="s">
        <v>206</v>
      </c>
      <c r="K12" t="s">
        <v>127</v>
      </c>
      <c r="L12" t="s">
        <v>128</v>
      </c>
      <c r="M12" t="s">
        <v>129</v>
      </c>
      <c r="N12" t="s">
        <v>207</v>
      </c>
      <c r="O12" t="s">
        <v>131</v>
      </c>
      <c r="P12">
        <v>0</v>
      </c>
      <c r="Q12" t="s">
        <v>125</v>
      </c>
      <c r="R12">
        <v>6</v>
      </c>
      <c r="S12">
        <v>41</v>
      </c>
      <c r="T12" t="s">
        <v>132</v>
      </c>
      <c r="U12" t="s">
        <v>133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134</v>
      </c>
      <c r="AE12" t="s">
        <v>134</v>
      </c>
      <c r="AF12" s="2">
        <v>45518</v>
      </c>
      <c r="AG12" s="2">
        <v>46021</v>
      </c>
      <c r="AH12" s="1">
        <v>1165.82</v>
      </c>
      <c r="AI12" s="1">
        <v>2855.54</v>
      </c>
      <c r="AJ12" s="1">
        <v>10492.45</v>
      </c>
      <c r="AK12">
        <v>0</v>
      </c>
      <c r="AL12">
        <v>0</v>
      </c>
      <c r="AM12">
        <v>0</v>
      </c>
      <c r="AN12" t="s">
        <v>135</v>
      </c>
      <c r="AO12" t="s">
        <v>135</v>
      </c>
      <c r="AP12" t="s">
        <v>136</v>
      </c>
      <c r="AQ12" t="s">
        <v>137</v>
      </c>
      <c r="AR12" t="s">
        <v>138</v>
      </c>
      <c r="AS12" t="s">
        <v>139</v>
      </c>
      <c r="AT12" t="s">
        <v>140</v>
      </c>
      <c r="AU12">
        <v>102</v>
      </c>
      <c r="AV12">
        <v>10</v>
      </c>
      <c r="AW12">
        <v>1</v>
      </c>
      <c r="AX12" s="2">
        <v>45537</v>
      </c>
      <c r="AY12" t="s">
        <v>141</v>
      </c>
      <c r="AZ12" s="2">
        <v>46027</v>
      </c>
      <c r="BA12">
        <v>0</v>
      </c>
      <c r="BB12">
        <v>0</v>
      </c>
      <c r="BC12">
        <v>0</v>
      </c>
      <c r="BD12">
        <v>700</v>
      </c>
      <c r="BE12">
        <v>70</v>
      </c>
      <c r="BF12">
        <v>9</v>
      </c>
      <c r="BG12" s="2">
        <v>45536</v>
      </c>
      <c r="BH12" t="s">
        <v>142</v>
      </c>
      <c r="BI12" s="2">
        <v>46026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 s="1">
        <v>1060.81</v>
      </c>
      <c r="BQ12" s="1">
        <v>1060.81</v>
      </c>
      <c r="BR12">
        <v>0</v>
      </c>
      <c r="BS12">
        <v>0</v>
      </c>
      <c r="BT12">
        <v>0</v>
      </c>
      <c r="BU12">
        <v>0</v>
      </c>
      <c r="BV12" s="1">
        <v>7370.28</v>
      </c>
      <c r="BW12" s="1">
        <v>7370.28</v>
      </c>
      <c r="BX12">
        <v>0</v>
      </c>
      <c r="BY12">
        <v>0</v>
      </c>
      <c r="BZ12">
        <v>0</v>
      </c>
      <c r="CA12">
        <v>0</v>
      </c>
      <c r="CB12" s="1">
        <v>3101.34</v>
      </c>
      <c r="CC12" t="s">
        <v>143</v>
      </c>
    </row>
    <row r="13" spans="1:81" x14ac:dyDescent="0.25">
      <c r="A13">
        <v>345</v>
      </c>
      <c r="B13">
        <v>2</v>
      </c>
      <c r="C13">
        <v>28</v>
      </c>
      <c r="D13" t="s">
        <v>208</v>
      </c>
      <c r="E13" t="s">
        <v>121</v>
      </c>
      <c r="F13" t="s">
        <v>209</v>
      </c>
      <c r="G13" t="s">
        <v>210</v>
      </c>
      <c r="H13" t="s">
        <v>211</v>
      </c>
      <c r="I13" t="s">
        <v>125</v>
      </c>
      <c r="J13" t="s">
        <v>157</v>
      </c>
      <c r="K13" t="s">
        <v>127</v>
      </c>
      <c r="L13" t="s">
        <v>128</v>
      </c>
      <c r="M13" t="s">
        <v>129</v>
      </c>
      <c r="N13" t="s">
        <v>212</v>
      </c>
      <c r="O13" t="s">
        <v>131</v>
      </c>
      <c r="P13">
        <v>0</v>
      </c>
      <c r="Q13" t="s">
        <v>125</v>
      </c>
      <c r="R13">
        <v>6</v>
      </c>
      <c r="S13">
        <v>41</v>
      </c>
      <c r="T13" t="s">
        <v>132</v>
      </c>
      <c r="U13" t="s">
        <v>133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134</v>
      </c>
      <c r="AE13" t="s">
        <v>134</v>
      </c>
      <c r="AF13" s="2">
        <v>45518</v>
      </c>
      <c r="AG13" s="2">
        <v>46020</v>
      </c>
      <c r="AH13" s="1">
        <v>1537.44</v>
      </c>
      <c r="AI13" s="1">
        <v>3156.79</v>
      </c>
      <c r="AJ13" s="1">
        <v>13837.03</v>
      </c>
      <c r="AK13">
        <v>0</v>
      </c>
      <c r="AL13">
        <v>0</v>
      </c>
      <c r="AM13">
        <v>0</v>
      </c>
      <c r="AN13" t="s">
        <v>135</v>
      </c>
      <c r="AO13" t="s">
        <v>135</v>
      </c>
      <c r="AP13" t="s">
        <v>136</v>
      </c>
      <c r="AQ13" t="s">
        <v>137</v>
      </c>
      <c r="AR13" t="s">
        <v>138</v>
      </c>
      <c r="AS13" t="s">
        <v>139</v>
      </c>
      <c r="AT13" t="s">
        <v>140</v>
      </c>
      <c r="AU13">
        <v>102</v>
      </c>
      <c r="AV13">
        <v>10</v>
      </c>
      <c r="AW13">
        <v>1</v>
      </c>
      <c r="AX13" s="2">
        <v>45815</v>
      </c>
      <c r="AY13" t="s">
        <v>160</v>
      </c>
      <c r="AZ13" s="2">
        <v>46025</v>
      </c>
      <c r="BA13">
        <v>0</v>
      </c>
      <c r="BB13">
        <v>0</v>
      </c>
      <c r="BC13">
        <v>0</v>
      </c>
      <c r="BD13">
        <v>700</v>
      </c>
      <c r="BE13">
        <v>70</v>
      </c>
      <c r="BF13">
        <v>9</v>
      </c>
      <c r="BG13" s="2">
        <v>45536</v>
      </c>
      <c r="BH13" t="s">
        <v>142</v>
      </c>
      <c r="BI13" s="2">
        <v>46026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 s="1">
        <v>3446.97</v>
      </c>
      <c r="BQ13" s="1">
        <v>3446.97</v>
      </c>
      <c r="BR13">
        <v>0</v>
      </c>
      <c r="BS13">
        <v>0</v>
      </c>
      <c r="BT13">
        <v>0</v>
      </c>
      <c r="BU13">
        <v>0</v>
      </c>
      <c r="BV13" s="1">
        <v>7834.51</v>
      </c>
      <c r="BW13" s="1">
        <v>7834.51</v>
      </c>
      <c r="BX13">
        <v>0</v>
      </c>
      <c r="BY13">
        <v>0</v>
      </c>
      <c r="BZ13">
        <v>0</v>
      </c>
      <c r="CA13">
        <v>0</v>
      </c>
      <c r="CB13" s="1">
        <v>2804.25</v>
      </c>
      <c r="CC13" t="s">
        <v>143</v>
      </c>
    </row>
    <row r="14" spans="1:81" x14ac:dyDescent="0.25">
      <c r="A14">
        <v>345</v>
      </c>
      <c r="B14">
        <v>2</v>
      </c>
      <c r="C14">
        <v>29</v>
      </c>
      <c r="D14" t="s">
        <v>213</v>
      </c>
      <c r="E14" t="s">
        <v>121</v>
      </c>
      <c r="F14" t="s">
        <v>214</v>
      </c>
      <c r="G14" t="s">
        <v>215</v>
      </c>
      <c r="H14" t="s">
        <v>216</v>
      </c>
      <c r="I14" t="s">
        <v>125</v>
      </c>
      <c r="J14" t="s">
        <v>217</v>
      </c>
      <c r="K14" t="s">
        <v>127</v>
      </c>
      <c r="L14" t="s">
        <v>128</v>
      </c>
      <c r="M14" t="s">
        <v>129</v>
      </c>
      <c r="N14" t="s">
        <v>218</v>
      </c>
      <c r="O14" t="s">
        <v>131</v>
      </c>
      <c r="P14">
        <v>0</v>
      </c>
      <c r="Q14" t="s">
        <v>125</v>
      </c>
      <c r="R14">
        <v>6</v>
      </c>
      <c r="S14">
        <v>39</v>
      </c>
      <c r="T14" t="s">
        <v>132</v>
      </c>
      <c r="U14" t="s">
        <v>133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134</v>
      </c>
      <c r="AE14" t="s">
        <v>134</v>
      </c>
      <c r="AF14" s="2">
        <v>45518</v>
      </c>
      <c r="AG14" s="2">
        <v>46021</v>
      </c>
      <c r="AH14">
        <v>437.65</v>
      </c>
      <c r="AI14">
        <v>593</v>
      </c>
      <c r="AJ14" s="1">
        <v>3063.6</v>
      </c>
      <c r="AK14">
        <v>0</v>
      </c>
      <c r="AL14">
        <v>0</v>
      </c>
      <c r="AM14">
        <v>0</v>
      </c>
      <c r="AN14" t="s">
        <v>135</v>
      </c>
      <c r="AO14" t="s">
        <v>135</v>
      </c>
      <c r="AP14" t="s">
        <v>136</v>
      </c>
      <c r="AQ14" t="s">
        <v>137</v>
      </c>
      <c r="AR14" t="s">
        <v>138</v>
      </c>
      <c r="AS14" t="s">
        <v>139</v>
      </c>
      <c r="AT14" t="s">
        <v>140</v>
      </c>
      <c r="AU14">
        <v>102</v>
      </c>
      <c r="AV14">
        <v>10</v>
      </c>
      <c r="AW14">
        <v>1</v>
      </c>
      <c r="AX14" s="2">
        <v>45537</v>
      </c>
      <c r="AY14" t="s">
        <v>141</v>
      </c>
      <c r="AZ14" s="2">
        <v>46027</v>
      </c>
      <c r="BA14">
        <v>0</v>
      </c>
      <c r="BB14">
        <v>0</v>
      </c>
      <c r="BC14">
        <v>0</v>
      </c>
      <c r="BD14">
        <v>700</v>
      </c>
      <c r="BE14">
        <v>70</v>
      </c>
      <c r="BF14">
        <v>9</v>
      </c>
      <c r="BG14" s="2">
        <v>45536</v>
      </c>
      <c r="BH14" t="s">
        <v>142</v>
      </c>
      <c r="BI14" s="2">
        <v>46026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355.8</v>
      </c>
      <c r="BQ14">
        <v>355.8</v>
      </c>
      <c r="BR14">
        <v>0</v>
      </c>
      <c r="BS14">
        <v>0</v>
      </c>
      <c r="BT14">
        <v>0</v>
      </c>
      <c r="BU14">
        <v>0</v>
      </c>
      <c r="BV14" s="1">
        <v>2114.8000000000002</v>
      </c>
      <c r="BW14" s="1">
        <v>2114.8000000000002</v>
      </c>
      <c r="BX14">
        <v>0</v>
      </c>
      <c r="BY14">
        <v>0</v>
      </c>
      <c r="BZ14">
        <v>0</v>
      </c>
      <c r="CA14">
        <v>0</v>
      </c>
      <c r="CB14">
        <v>507.26</v>
      </c>
      <c r="CC14" t="s">
        <v>143</v>
      </c>
    </row>
    <row r="15" spans="1:81" x14ac:dyDescent="0.25">
      <c r="A15">
        <v>345</v>
      </c>
      <c r="B15">
        <v>2</v>
      </c>
      <c r="C15">
        <v>33</v>
      </c>
      <c r="D15" t="s">
        <v>219</v>
      </c>
      <c r="E15" t="s">
        <v>121</v>
      </c>
      <c r="F15" t="s">
        <v>220</v>
      </c>
      <c r="G15" t="s">
        <v>221</v>
      </c>
      <c r="H15" t="s">
        <v>222</v>
      </c>
      <c r="I15" t="s">
        <v>125</v>
      </c>
      <c r="J15" t="s">
        <v>173</v>
      </c>
      <c r="K15" t="s">
        <v>127</v>
      </c>
      <c r="L15" t="s">
        <v>128</v>
      </c>
      <c r="M15" t="s">
        <v>129</v>
      </c>
      <c r="N15" t="s">
        <v>223</v>
      </c>
      <c r="O15" t="s">
        <v>131</v>
      </c>
      <c r="P15">
        <v>0</v>
      </c>
      <c r="Q15" t="s">
        <v>125</v>
      </c>
      <c r="R15">
        <v>6</v>
      </c>
      <c r="S15">
        <v>44</v>
      </c>
      <c r="T15" t="s">
        <v>132</v>
      </c>
      <c r="U15" t="s">
        <v>133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134</v>
      </c>
      <c r="AE15" t="s">
        <v>134</v>
      </c>
      <c r="AF15" s="2">
        <v>45518</v>
      </c>
      <c r="AG15" s="2">
        <v>45995</v>
      </c>
      <c r="AH15">
        <v>243.4</v>
      </c>
      <c r="AI15">
        <v>392.2</v>
      </c>
      <c r="AJ15" s="1">
        <v>1460.41</v>
      </c>
      <c r="AK15">
        <v>0</v>
      </c>
      <c r="AL15">
        <v>0</v>
      </c>
      <c r="AM15">
        <v>0</v>
      </c>
      <c r="AN15" t="s">
        <v>135</v>
      </c>
      <c r="AO15" t="s">
        <v>135</v>
      </c>
      <c r="AP15" t="s">
        <v>136</v>
      </c>
      <c r="AQ15" t="s">
        <v>137</v>
      </c>
      <c r="AR15" t="s">
        <v>138</v>
      </c>
      <c r="AS15" t="s">
        <v>150</v>
      </c>
      <c r="AT15" t="s">
        <v>140</v>
      </c>
      <c r="AU15">
        <v>102</v>
      </c>
      <c r="AV15">
        <v>10</v>
      </c>
      <c r="AW15">
        <v>1</v>
      </c>
      <c r="AX15" s="2">
        <v>45854</v>
      </c>
      <c r="AY15" t="s">
        <v>168</v>
      </c>
      <c r="AZ15" s="2">
        <v>46022</v>
      </c>
      <c r="BA15">
        <v>0</v>
      </c>
      <c r="BB15">
        <v>0</v>
      </c>
      <c r="BC15">
        <v>0</v>
      </c>
      <c r="BD15">
        <v>700</v>
      </c>
      <c r="BE15">
        <v>70</v>
      </c>
      <c r="BF15">
        <v>9</v>
      </c>
      <c r="BG15" s="2">
        <v>45536</v>
      </c>
      <c r="BH15" t="s">
        <v>142</v>
      </c>
      <c r="BI15" s="2">
        <v>46026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879.53</v>
      </c>
      <c r="BQ15">
        <v>879.53</v>
      </c>
      <c r="BR15">
        <v>0</v>
      </c>
      <c r="BS15">
        <v>0</v>
      </c>
      <c r="BT15">
        <v>0</v>
      </c>
      <c r="BU15">
        <v>0</v>
      </c>
      <c r="BV15">
        <v>140.27000000000001</v>
      </c>
      <c r="BW15">
        <v>140.27000000000001</v>
      </c>
      <c r="BX15">
        <v>0</v>
      </c>
      <c r="BY15">
        <v>0</v>
      </c>
      <c r="BZ15">
        <v>0</v>
      </c>
      <c r="CA15">
        <v>0</v>
      </c>
      <c r="CB15">
        <v>600.91999999999996</v>
      </c>
      <c r="CC15" t="s">
        <v>161</v>
      </c>
    </row>
    <row r="16" spans="1:81" x14ac:dyDescent="0.25">
      <c r="A16">
        <v>345</v>
      </c>
      <c r="B16">
        <v>2</v>
      </c>
      <c r="C16">
        <v>34</v>
      </c>
      <c r="D16" t="s">
        <v>224</v>
      </c>
      <c r="E16" t="s">
        <v>121</v>
      </c>
      <c r="F16" t="s">
        <v>225</v>
      </c>
      <c r="G16" t="s">
        <v>226</v>
      </c>
      <c r="H16" t="s">
        <v>227</v>
      </c>
      <c r="I16" t="s">
        <v>125</v>
      </c>
      <c r="J16" t="s">
        <v>206</v>
      </c>
      <c r="K16" t="s">
        <v>127</v>
      </c>
      <c r="L16" t="s">
        <v>128</v>
      </c>
      <c r="M16" t="s">
        <v>129</v>
      </c>
      <c r="N16" t="s">
        <v>228</v>
      </c>
      <c r="O16" t="s">
        <v>131</v>
      </c>
      <c r="P16">
        <v>0</v>
      </c>
      <c r="Q16" t="s">
        <v>125</v>
      </c>
      <c r="R16">
        <v>6</v>
      </c>
      <c r="S16">
        <v>39</v>
      </c>
      <c r="T16" t="s">
        <v>132</v>
      </c>
      <c r="U16" t="s">
        <v>133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134</v>
      </c>
      <c r="AE16" t="s">
        <v>134</v>
      </c>
      <c r="AF16" s="2">
        <v>45518</v>
      </c>
      <c r="AG16" s="2">
        <v>46014</v>
      </c>
      <c r="AH16">
        <v>902.9</v>
      </c>
      <c r="AI16" s="1">
        <v>1297.18</v>
      </c>
      <c r="AJ16" s="1">
        <v>3611.6</v>
      </c>
      <c r="AK16">
        <v>0</v>
      </c>
      <c r="AL16">
        <v>0</v>
      </c>
      <c r="AM16">
        <v>0</v>
      </c>
      <c r="AN16" t="s">
        <v>135</v>
      </c>
      <c r="AO16" t="s">
        <v>135</v>
      </c>
      <c r="AP16" t="s">
        <v>136</v>
      </c>
      <c r="AQ16" t="s">
        <v>137</v>
      </c>
      <c r="AR16" t="s">
        <v>138</v>
      </c>
      <c r="AS16" t="s">
        <v>139</v>
      </c>
      <c r="AT16" t="s">
        <v>140</v>
      </c>
      <c r="AU16">
        <v>102</v>
      </c>
      <c r="AV16">
        <v>10</v>
      </c>
      <c r="AW16">
        <v>1</v>
      </c>
      <c r="AX16" s="2">
        <v>45537</v>
      </c>
      <c r="AY16" t="s">
        <v>141</v>
      </c>
      <c r="AZ16" s="2">
        <v>46027</v>
      </c>
      <c r="BA16">
        <v>0</v>
      </c>
      <c r="BB16">
        <v>0</v>
      </c>
      <c r="BC16">
        <v>0</v>
      </c>
      <c r="BD16">
        <v>700</v>
      </c>
      <c r="BE16">
        <v>70</v>
      </c>
      <c r="BF16">
        <v>9</v>
      </c>
      <c r="BG16" s="2">
        <v>45536</v>
      </c>
      <c r="BH16" t="s">
        <v>142</v>
      </c>
      <c r="BI16" s="2">
        <v>46026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286.5</v>
      </c>
      <c r="BQ16">
        <v>286.5</v>
      </c>
      <c r="BR16">
        <v>0</v>
      </c>
      <c r="BS16">
        <v>0</v>
      </c>
      <c r="BT16">
        <v>0</v>
      </c>
      <c r="BU16">
        <v>0</v>
      </c>
      <c r="BV16" s="1">
        <v>3325.1</v>
      </c>
      <c r="BW16" s="1">
        <v>3325.1</v>
      </c>
      <c r="BX16">
        <v>0</v>
      </c>
      <c r="BY16">
        <v>0</v>
      </c>
      <c r="BZ16">
        <v>0</v>
      </c>
      <c r="CA16">
        <v>0</v>
      </c>
      <c r="CB16">
        <v>420.2</v>
      </c>
      <c r="CC16" t="s">
        <v>143</v>
      </c>
    </row>
    <row r="17" spans="1:81" x14ac:dyDescent="0.25">
      <c r="A17">
        <v>345</v>
      </c>
      <c r="B17">
        <v>2</v>
      </c>
      <c r="C17">
        <v>37</v>
      </c>
      <c r="D17" t="s">
        <v>229</v>
      </c>
      <c r="E17" t="s">
        <v>121</v>
      </c>
      <c r="F17" t="s">
        <v>230</v>
      </c>
      <c r="G17" t="s">
        <v>231</v>
      </c>
      <c r="H17" t="s">
        <v>232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233</v>
      </c>
      <c r="O17" t="s">
        <v>149</v>
      </c>
      <c r="P17">
        <v>0</v>
      </c>
      <c r="Q17" t="s">
        <v>125</v>
      </c>
      <c r="R17">
        <v>6</v>
      </c>
      <c r="S17">
        <v>41</v>
      </c>
      <c r="T17" t="s">
        <v>132</v>
      </c>
      <c r="U17" t="s">
        <v>133</v>
      </c>
      <c r="V17" s="1">
        <v>1800</v>
      </c>
      <c r="W17">
        <v>922.08</v>
      </c>
      <c r="X17">
        <v>877.92</v>
      </c>
      <c r="Y17">
        <v>7</v>
      </c>
      <c r="Z17">
        <v>0</v>
      </c>
      <c r="AA17">
        <v>6</v>
      </c>
      <c r="AB17">
        <v>0</v>
      </c>
      <c r="AC17">
        <v>0</v>
      </c>
      <c r="AD17" t="s">
        <v>134</v>
      </c>
      <c r="AE17" t="s">
        <v>234</v>
      </c>
      <c r="AF17" s="2">
        <v>45518</v>
      </c>
      <c r="AG17" s="2">
        <v>46019</v>
      </c>
      <c r="AH17">
        <v>759.89</v>
      </c>
      <c r="AI17">
        <v>922.08</v>
      </c>
      <c r="AJ17" s="1">
        <v>3799.48</v>
      </c>
      <c r="AK17">
        <v>922.08</v>
      </c>
      <c r="AL17">
        <v>0</v>
      </c>
      <c r="AM17">
        <v>0</v>
      </c>
      <c r="AN17" t="s">
        <v>135</v>
      </c>
      <c r="AO17" t="s">
        <v>135</v>
      </c>
      <c r="AP17" t="s">
        <v>136</v>
      </c>
      <c r="AQ17" t="s">
        <v>137</v>
      </c>
      <c r="AR17" t="s">
        <v>138</v>
      </c>
      <c r="AS17" t="s">
        <v>150</v>
      </c>
      <c r="AT17" t="s">
        <v>140</v>
      </c>
      <c r="AU17">
        <v>501</v>
      </c>
      <c r="AV17">
        <v>10</v>
      </c>
      <c r="AW17">
        <v>1</v>
      </c>
      <c r="AX17" s="2">
        <v>45856</v>
      </c>
      <c r="AY17" t="s">
        <v>151</v>
      </c>
      <c r="AZ17" s="2">
        <v>46024</v>
      </c>
      <c r="BA17">
        <v>0</v>
      </c>
      <c r="BB17">
        <v>0</v>
      </c>
      <c r="BC17">
        <v>0</v>
      </c>
      <c r="BD17">
        <v>700</v>
      </c>
      <c r="BE17">
        <v>70</v>
      </c>
      <c r="BF17">
        <v>9</v>
      </c>
      <c r="BG17" s="2">
        <v>45536</v>
      </c>
      <c r="BH17" t="s">
        <v>142</v>
      </c>
      <c r="BI17" s="2">
        <v>46026</v>
      </c>
      <c r="BJ17">
        <v>0</v>
      </c>
      <c r="BK17">
        <v>0</v>
      </c>
      <c r="BL17">
        <v>0</v>
      </c>
      <c r="BM17">
        <v>5</v>
      </c>
      <c r="BN17">
        <v>5</v>
      </c>
      <c r="BO17" s="1">
        <v>1450.4</v>
      </c>
      <c r="BP17">
        <v>0</v>
      </c>
      <c r="BQ17" s="1">
        <v>1450.4</v>
      </c>
      <c r="BR17">
        <v>866.46</v>
      </c>
      <c r="BS17">
        <v>4.18</v>
      </c>
      <c r="BT17">
        <v>4.18</v>
      </c>
      <c r="BU17" s="1">
        <v>2349.08</v>
      </c>
      <c r="BV17">
        <v>0</v>
      </c>
      <c r="BW17" s="1">
        <v>2349.08</v>
      </c>
      <c r="BX17">
        <v>0</v>
      </c>
      <c r="BY17">
        <v>0</v>
      </c>
      <c r="BZ17">
        <v>0</v>
      </c>
      <c r="CA17">
        <v>0</v>
      </c>
      <c r="CB17">
        <v>993.94</v>
      </c>
      <c r="CC17" t="s">
        <v>152</v>
      </c>
    </row>
    <row r="18" spans="1:81" x14ac:dyDescent="0.25">
      <c r="A18">
        <v>345</v>
      </c>
      <c r="B18">
        <v>2</v>
      </c>
      <c r="C18">
        <v>41</v>
      </c>
      <c r="D18" t="s">
        <v>235</v>
      </c>
      <c r="E18" t="s">
        <v>121</v>
      </c>
      <c r="F18" t="s">
        <v>236</v>
      </c>
      <c r="G18" t="s">
        <v>237</v>
      </c>
      <c r="H18" t="s">
        <v>238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239</v>
      </c>
      <c r="O18" t="s">
        <v>131</v>
      </c>
      <c r="P18">
        <v>0</v>
      </c>
      <c r="Q18" t="s">
        <v>125</v>
      </c>
      <c r="R18">
        <v>6</v>
      </c>
      <c r="S18">
        <v>36</v>
      </c>
      <c r="T18" t="s">
        <v>132</v>
      </c>
      <c r="U18" t="s">
        <v>133</v>
      </c>
      <c r="V18" s="1">
        <v>5000</v>
      </c>
      <c r="W18">
        <v>0</v>
      </c>
      <c r="X18" s="1">
        <v>5000</v>
      </c>
      <c r="Y18">
        <v>7</v>
      </c>
      <c r="Z18">
        <v>0</v>
      </c>
      <c r="AA18">
        <v>7</v>
      </c>
      <c r="AB18">
        <v>1</v>
      </c>
      <c r="AC18">
        <v>17</v>
      </c>
      <c r="AD18" t="s">
        <v>134</v>
      </c>
      <c r="AE18" t="s">
        <v>134</v>
      </c>
      <c r="AF18" s="2">
        <v>45518</v>
      </c>
      <c r="AG18" s="2">
        <v>46006</v>
      </c>
      <c r="AH18" s="1">
        <v>2746.1</v>
      </c>
      <c r="AI18" s="1">
        <v>3592.26</v>
      </c>
      <c r="AJ18" s="1">
        <v>8238.2999999999993</v>
      </c>
      <c r="AK18">
        <v>0</v>
      </c>
      <c r="AL18">
        <v>0</v>
      </c>
      <c r="AM18">
        <v>0</v>
      </c>
      <c r="AN18" t="s">
        <v>135</v>
      </c>
      <c r="AO18" t="s">
        <v>135</v>
      </c>
      <c r="AP18" t="s">
        <v>136</v>
      </c>
      <c r="AQ18" t="s">
        <v>137</v>
      </c>
      <c r="AR18" t="s">
        <v>138</v>
      </c>
      <c r="AS18" t="s">
        <v>150</v>
      </c>
      <c r="AT18" t="s">
        <v>140</v>
      </c>
      <c r="AU18">
        <v>501</v>
      </c>
      <c r="AV18">
        <v>10</v>
      </c>
      <c r="AW18">
        <v>1</v>
      </c>
      <c r="AX18" s="2">
        <v>45856</v>
      </c>
      <c r="AY18" t="s">
        <v>151</v>
      </c>
      <c r="AZ18" s="2">
        <v>46024</v>
      </c>
      <c r="BA18">
        <v>0</v>
      </c>
      <c r="BB18">
        <v>0</v>
      </c>
      <c r="BC18">
        <v>0</v>
      </c>
      <c r="BD18">
        <v>700</v>
      </c>
      <c r="BE18">
        <v>70</v>
      </c>
      <c r="BF18">
        <v>9</v>
      </c>
      <c r="BG18" s="2">
        <v>45536</v>
      </c>
      <c r="BH18" t="s">
        <v>142</v>
      </c>
      <c r="BI18" s="2">
        <v>46026</v>
      </c>
      <c r="BJ18">
        <v>0</v>
      </c>
      <c r="BK18">
        <v>0</v>
      </c>
      <c r="BL18">
        <v>0</v>
      </c>
      <c r="BM18">
        <v>2</v>
      </c>
      <c r="BN18">
        <v>2</v>
      </c>
      <c r="BO18" s="1">
        <v>3216.87</v>
      </c>
      <c r="BP18">
        <v>0</v>
      </c>
      <c r="BQ18" s="1">
        <v>3216.87</v>
      </c>
      <c r="BR18">
        <v>0</v>
      </c>
      <c r="BS18">
        <v>2</v>
      </c>
      <c r="BT18">
        <v>2</v>
      </c>
      <c r="BU18" s="1">
        <v>3592.26</v>
      </c>
      <c r="BV18">
        <v>0</v>
      </c>
      <c r="BW18" s="1">
        <v>3592.26</v>
      </c>
      <c r="BX18">
        <v>0</v>
      </c>
      <c r="BY18">
        <v>0</v>
      </c>
      <c r="BZ18">
        <v>0</v>
      </c>
      <c r="CA18">
        <v>0</v>
      </c>
      <c r="CB18" s="1">
        <v>2408.0700000000002</v>
      </c>
      <c r="CC18" t="s">
        <v>143</v>
      </c>
    </row>
    <row r="19" spans="1:81" x14ac:dyDescent="0.25">
      <c r="A19">
        <v>345</v>
      </c>
      <c r="B19">
        <v>2</v>
      </c>
      <c r="C19">
        <v>57</v>
      </c>
      <c r="D19" t="s">
        <v>240</v>
      </c>
      <c r="E19" t="s">
        <v>121</v>
      </c>
      <c r="F19" t="s">
        <v>241</v>
      </c>
      <c r="G19" t="s">
        <v>242</v>
      </c>
      <c r="H19" t="s">
        <v>243</v>
      </c>
      <c r="I19" t="s">
        <v>125</v>
      </c>
      <c r="J19" t="s">
        <v>157</v>
      </c>
      <c r="K19" t="s">
        <v>127</v>
      </c>
      <c r="L19" t="s">
        <v>128</v>
      </c>
      <c r="M19" t="s">
        <v>129</v>
      </c>
      <c r="N19" t="s">
        <v>244</v>
      </c>
      <c r="O19" t="s">
        <v>159</v>
      </c>
      <c r="P19">
        <v>0</v>
      </c>
      <c r="Q19" t="s">
        <v>125</v>
      </c>
      <c r="R19">
        <v>6</v>
      </c>
      <c r="S19">
        <v>36</v>
      </c>
      <c r="T19" t="s">
        <v>132</v>
      </c>
      <c r="U19" t="s">
        <v>133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134</v>
      </c>
      <c r="AE19" t="s">
        <v>134</v>
      </c>
      <c r="AF19" s="2">
        <v>45518</v>
      </c>
      <c r="AG19" s="2">
        <v>46011</v>
      </c>
      <c r="AH19" s="1">
        <v>2031.11</v>
      </c>
      <c r="AI19" s="1">
        <v>3101.78</v>
      </c>
      <c r="AJ19" s="1">
        <v>14217.79</v>
      </c>
      <c r="AK19">
        <v>0</v>
      </c>
      <c r="AL19">
        <v>0</v>
      </c>
      <c r="AM19">
        <v>0</v>
      </c>
      <c r="AN19" t="s">
        <v>135</v>
      </c>
      <c r="AO19" t="s">
        <v>135</v>
      </c>
      <c r="AP19" t="s">
        <v>136</v>
      </c>
      <c r="AQ19" t="s">
        <v>137</v>
      </c>
      <c r="AR19" t="s">
        <v>138</v>
      </c>
      <c r="AS19" t="s">
        <v>139</v>
      </c>
      <c r="AT19" t="s">
        <v>140</v>
      </c>
      <c r="AU19">
        <v>501</v>
      </c>
      <c r="AV19">
        <v>10</v>
      </c>
      <c r="AW19">
        <v>1</v>
      </c>
      <c r="AX19" s="2">
        <v>45856</v>
      </c>
      <c r="AY19" t="s">
        <v>151</v>
      </c>
      <c r="AZ19" s="2">
        <v>46024</v>
      </c>
      <c r="BA19">
        <v>0</v>
      </c>
      <c r="BB19">
        <v>0</v>
      </c>
      <c r="BC19">
        <v>0</v>
      </c>
      <c r="BD19">
        <v>700</v>
      </c>
      <c r="BE19">
        <v>70</v>
      </c>
      <c r="BF19">
        <v>9</v>
      </c>
      <c r="BG19" s="2">
        <v>45536</v>
      </c>
      <c r="BH19" t="s">
        <v>142</v>
      </c>
      <c r="BI19" s="2">
        <v>46026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 s="1">
        <v>3268.16</v>
      </c>
      <c r="BQ19" s="1">
        <v>3268.16</v>
      </c>
      <c r="BR19">
        <v>0</v>
      </c>
      <c r="BS19">
        <v>0</v>
      </c>
      <c r="BT19">
        <v>0</v>
      </c>
      <c r="BU19">
        <v>0</v>
      </c>
      <c r="BV19" s="1">
        <v>5573.6</v>
      </c>
      <c r="BW19" s="1">
        <v>5573.6</v>
      </c>
      <c r="BX19">
        <v>0</v>
      </c>
      <c r="BY19">
        <v>0</v>
      </c>
      <c r="BZ19">
        <v>0</v>
      </c>
      <c r="CA19">
        <v>0</v>
      </c>
      <c r="CB19" s="1">
        <v>4175.82</v>
      </c>
      <c r="CC19" t="s">
        <v>161</v>
      </c>
    </row>
    <row r="20" spans="1:81" x14ac:dyDescent="0.25">
      <c r="A20">
        <v>345</v>
      </c>
      <c r="B20">
        <v>2</v>
      </c>
      <c r="C20">
        <v>58</v>
      </c>
      <c r="D20" t="s">
        <v>245</v>
      </c>
      <c r="E20" t="s">
        <v>121</v>
      </c>
      <c r="F20" t="s">
        <v>246</v>
      </c>
      <c r="G20" t="s">
        <v>247</v>
      </c>
      <c r="H20" t="s">
        <v>248</v>
      </c>
      <c r="I20" t="s">
        <v>125</v>
      </c>
      <c r="J20" t="s">
        <v>173</v>
      </c>
      <c r="K20" t="s">
        <v>127</v>
      </c>
      <c r="L20" t="s">
        <v>128</v>
      </c>
      <c r="M20" t="s">
        <v>129</v>
      </c>
      <c r="N20" t="s">
        <v>249</v>
      </c>
      <c r="O20" t="s">
        <v>149</v>
      </c>
      <c r="P20">
        <v>0</v>
      </c>
      <c r="Q20" t="s">
        <v>125</v>
      </c>
      <c r="R20">
        <v>3</v>
      </c>
      <c r="S20">
        <v>85</v>
      </c>
      <c r="T20" t="s">
        <v>132</v>
      </c>
      <c r="U20" t="s">
        <v>133</v>
      </c>
      <c r="V20" s="1">
        <v>1294</v>
      </c>
      <c r="W20">
        <v>0</v>
      </c>
      <c r="X20" s="1">
        <v>1294</v>
      </c>
      <c r="Y20">
        <v>7</v>
      </c>
      <c r="Z20">
        <v>0</v>
      </c>
      <c r="AA20">
        <v>5</v>
      </c>
      <c r="AB20">
        <v>0</v>
      </c>
      <c r="AC20">
        <v>0</v>
      </c>
      <c r="AD20" t="s">
        <v>134</v>
      </c>
      <c r="AE20" t="s">
        <v>134</v>
      </c>
      <c r="AF20" s="2">
        <v>45518</v>
      </c>
      <c r="AG20" s="2">
        <v>46004</v>
      </c>
      <c r="AH20">
        <v>855.3</v>
      </c>
      <c r="AI20" s="1">
        <v>1680.9</v>
      </c>
      <c r="AJ20" s="1">
        <v>5131.84</v>
      </c>
      <c r="AK20">
        <v>0</v>
      </c>
      <c r="AL20">
        <v>0</v>
      </c>
      <c r="AM20">
        <v>0</v>
      </c>
      <c r="AN20" t="s">
        <v>135</v>
      </c>
      <c r="AO20" t="s">
        <v>135</v>
      </c>
      <c r="AP20" t="s">
        <v>136</v>
      </c>
      <c r="AQ20" t="s">
        <v>137</v>
      </c>
      <c r="AR20" t="s">
        <v>138</v>
      </c>
      <c r="AS20" t="s">
        <v>139</v>
      </c>
      <c r="AT20" t="s">
        <v>140</v>
      </c>
      <c r="AU20">
        <v>102</v>
      </c>
      <c r="AV20">
        <v>10</v>
      </c>
      <c r="AW20">
        <v>1</v>
      </c>
      <c r="AX20" s="2">
        <v>45926</v>
      </c>
      <c r="AY20" t="s">
        <v>151</v>
      </c>
      <c r="AZ20" s="2">
        <v>46024</v>
      </c>
      <c r="BA20">
        <v>0</v>
      </c>
      <c r="BB20">
        <v>0</v>
      </c>
      <c r="BC20">
        <v>0</v>
      </c>
      <c r="BD20">
        <v>999</v>
      </c>
      <c r="BE20">
        <v>99</v>
      </c>
      <c r="BF20">
        <v>9</v>
      </c>
      <c r="BG20" t="s">
        <v>135</v>
      </c>
      <c r="BH20" t="s">
        <v>250</v>
      </c>
      <c r="BI20" t="s">
        <v>135</v>
      </c>
      <c r="BJ20">
        <v>0</v>
      </c>
      <c r="BK20">
        <v>0</v>
      </c>
      <c r="BL20">
        <v>0</v>
      </c>
      <c r="BM20">
        <v>3</v>
      </c>
      <c r="BN20">
        <v>1.1299999999999999</v>
      </c>
      <c r="BO20">
        <v>695.44</v>
      </c>
      <c r="BP20" s="1">
        <v>1146</v>
      </c>
      <c r="BQ20" s="1">
        <v>1841.44</v>
      </c>
      <c r="BR20">
        <v>695.44</v>
      </c>
      <c r="BS20">
        <v>5</v>
      </c>
      <c r="BT20">
        <v>2.52</v>
      </c>
      <c r="BU20">
        <v>848.4</v>
      </c>
      <c r="BV20">
        <v>832.5</v>
      </c>
      <c r="BW20" s="1">
        <v>1680.9</v>
      </c>
      <c r="BX20">
        <v>0</v>
      </c>
      <c r="BY20">
        <v>0</v>
      </c>
      <c r="BZ20">
        <v>0</v>
      </c>
      <c r="CA20">
        <v>0</v>
      </c>
      <c r="CB20" s="1">
        <v>1307.31</v>
      </c>
      <c r="CC20" t="s">
        <v>152</v>
      </c>
    </row>
    <row r="21" spans="1:81" x14ac:dyDescent="0.25">
      <c r="A21">
        <v>345</v>
      </c>
      <c r="B21">
        <v>2</v>
      </c>
      <c r="C21">
        <v>59</v>
      </c>
      <c r="D21" t="s">
        <v>251</v>
      </c>
      <c r="E21" t="s">
        <v>121</v>
      </c>
      <c r="F21" t="s">
        <v>252</v>
      </c>
      <c r="G21" t="s">
        <v>253</v>
      </c>
      <c r="H21" t="s">
        <v>254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255</v>
      </c>
      <c r="O21" t="s">
        <v>131</v>
      </c>
      <c r="P21">
        <v>0</v>
      </c>
      <c r="Q21" t="s">
        <v>125</v>
      </c>
      <c r="R21">
        <v>6</v>
      </c>
      <c r="S21">
        <v>42</v>
      </c>
      <c r="T21" t="s">
        <v>132</v>
      </c>
      <c r="U21" t="s">
        <v>133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134</v>
      </c>
      <c r="AE21" t="s">
        <v>134</v>
      </c>
      <c r="AF21" s="2">
        <v>45518</v>
      </c>
      <c r="AG21" s="2">
        <v>46017</v>
      </c>
      <c r="AH21">
        <v>146.91999999999999</v>
      </c>
      <c r="AI21">
        <v>194.94</v>
      </c>
      <c r="AJ21" s="1">
        <v>1175.3800000000001</v>
      </c>
      <c r="AK21">
        <v>0</v>
      </c>
      <c r="AL21">
        <v>0</v>
      </c>
      <c r="AM21">
        <v>0</v>
      </c>
      <c r="AN21" t="s">
        <v>135</v>
      </c>
      <c r="AO21" t="s">
        <v>135</v>
      </c>
      <c r="AP21" t="s">
        <v>136</v>
      </c>
      <c r="AQ21" t="s">
        <v>137</v>
      </c>
      <c r="AR21" t="s">
        <v>138</v>
      </c>
      <c r="AS21" t="s">
        <v>139</v>
      </c>
      <c r="AT21" t="s">
        <v>140</v>
      </c>
      <c r="AU21">
        <v>102</v>
      </c>
      <c r="AV21">
        <v>10</v>
      </c>
      <c r="AW21">
        <v>1</v>
      </c>
      <c r="AX21" s="2">
        <v>45847</v>
      </c>
      <c r="AY21" t="s">
        <v>168</v>
      </c>
      <c r="AZ21" s="2">
        <v>46022</v>
      </c>
      <c r="BA21">
        <v>0</v>
      </c>
      <c r="BB21">
        <v>0</v>
      </c>
      <c r="BC21">
        <v>0</v>
      </c>
      <c r="BD21">
        <v>700</v>
      </c>
      <c r="BE21">
        <v>70</v>
      </c>
      <c r="BF21">
        <v>9</v>
      </c>
      <c r="BG21" s="2">
        <v>45536</v>
      </c>
      <c r="BH21" t="s">
        <v>142</v>
      </c>
      <c r="BI21" s="2">
        <v>46026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295.22000000000003</v>
      </c>
      <c r="BQ21">
        <v>295.22000000000003</v>
      </c>
      <c r="BR21">
        <v>0</v>
      </c>
      <c r="BS21">
        <v>0</v>
      </c>
      <c r="BT21">
        <v>0</v>
      </c>
      <c r="BU21">
        <v>0</v>
      </c>
      <c r="BV21">
        <v>355.8</v>
      </c>
      <c r="BW21">
        <v>355.8</v>
      </c>
      <c r="BX21">
        <v>0</v>
      </c>
      <c r="BY21">
        <v>0</v>
      </c>
      <c r="BZ21">
        <v>0</v>
      </c>
      <c r="CA21">
        <v>0</v>
      </c>
      <c r="CB21">
        <v>365.12</v>
      </c>
      <c r="CC21" t="s">
        <v>143</v>
      </c>
    </row>
    <row r="22" spans="1:81" x14ac:dyDescent="0.25">
      <c r="A22">
        <v>345</v>
      </c>
      <c r="B22">
        <v>2</v>
      </c>
      <c r="C22">
        <v>66</v>
      </c>
      <c r="D22" t="s">
        <v>256</v>
      </c>
      <c r="E22" t="s">
        <v>121</v>
      </c>
      <c r="F22" t="s">
        <v>257</v>
      </c>
      <c r="G22" t="s">
        <v>258</v>
      </c>
      <c r="H22" t="s">
        <v>259</v>
      </c>
      <c r="I22" t="s">
        <v>125</v>
      </c>
      <c r="J22" t="s">
        <v>157</v>
      </c>
      <c r="K22" t="s">
        <v>127</v>
      </c>
      <c r="L22" t="s">
        <v>128</v>
      </c>
      <c r="M22" t="s">
        <v>129</v>
      </c>
      <c r="N22" t="s">
        <v>260</v>
      </c>
      <c r="O22" t="s">
        <v>131</v>
      </c>
      <c r="P22">
        <v>0</v>
      </c>
      <c r="Q22" t="s">
        <v>125</v>
      </c>
      <c r="R22">
        <v>6</v>
      </c>
      <c r="S22">
        <v>39</v>
      </c>
      <c r="T22" t="s">
        <v>132</v>
      </c>
      <c r="U22" t="s">
        <v>133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134</v>
      </c>
      <c r="AE22" t="s">
        <v>134</v>
      </c>
      <c r="AF22" s="2">
        <v>45518</v>
      </c>
      <c r="AG22" s="2">
        <v>46020</v>
      </c>
      <c r="AH22">
        <v>358.99</v>
      </c>
      <c r="AI22">
        <v>832.79</v>
      </c>
      <c r="AJ22" s="1">
        <v>1794.98</v>
      </c>
      <c r="AK22">
        <v>0</v>
      </c>
      <c r="AL22">
        <v>0</v>
      </c>
      <c r="AM22">
        <v>0</v>
      </c>
      <c r="AN22" t="s">
        <v>135</v>
      </c>
      <c r="AO22" t="s">
        <v>135</v>
      </c>
      <c r="AP22" t="s">
        <v>136</v>
      </c>
      <c r="AQ22" t="s">
        <v>137</v>
      </c>
      <c r="AR22" t="s">
        <v>138</v>
      </c>
      <c r="AS22" t="s">
        <v>139</v>
      </c>
      <c r="AT22" t="s">
        <v>140</v>
      </c>
      <c r="AU22">
        <v>102</v>
      </c>
      <c r="AV22">
        <v>10</v>
      </c>
      <c r="AW22">
        <v>1</v>
      </c>
      <c r="AX22" s="2">
        <v>45842</v>
      </c>
      <c r="AY22" t="s">
        <v>151</v>
      </c>
      <c r="AZ22" s="2">
        <v>46024</v>
      </c>
      <c r="BA22">
        <v>0</v>
      </c>
      <c r="BB22">
        <v>0</v>
      </c>
      <c r="BC22">
        <v>0</v>
      </c>
      <c r="BD22">
        <v>700</v>
      </c>
      <c r="BE22">
        <v>70</v>
      </c>
      <c r="BF22">
        <v>9</v>
      </c>
      <c r="BG22" s="2">
        <v>45536</v>
      </c>
      <c r="BH22" t="s">
        <v>142</v>
      </c>
      <c r="BI22" s="2">
        <v>46026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455.15</v>
      </c>
      <c r="BQ22">
        <v>455.15</v>
      </c>
      <c r="BR22">
        <v>0</v>
      </c>
      <c r="BS22">
        <v>0</v>
      </c>
      <c r="BT22">
        <v>0</v>
      </c>
      <c r="BU22">
        <v>0</v>
      </c>
      <c r="BV22" s="1">
        <v>1076.6099999999999</v>
      </c>
      <c r="BW22" s="1">
        <v>1076.6099999999999</v>
      </c>
      <c r="BX22">
        <v>0</v>
      </c>
      <c r="BY22">
        <v>0</v>
      </c>
      <c r="BZ22">
        <v>0</v>
      </c>
      <c r="CA22">
        <v>0</v>
      </c>
      <c r="CB22">
        <v>296.39999999999998</v>
      </c>
      <c r="CC22" t="s">
        <v>143</v>
      </c>
    </row>
    <row r="23" spans="1:81" x14ac:dyDescent="0.25">
      <c r="A23">
        <v>345</v>
      </c>
      <c r="B23">
        <v>2</v>
      </c>
      <c r="C23">
        <v>68</v>
      </c>
      <c r="D23" t="s">
        <v>261</v>
      </c>
      <c r="E23" t="s">
        <v>121</v>
      </c>
      <c r="F23" t="s">
        <v>262</v>
      </c>
      <c r="G23" t="s">
        <v>263</v>
      </c>
      <c r="H23" t="s">
        <v>264</v>
      </c>
      <c r="I23" t="s">
        <v>125</v>
      </c>
      <c r="J23" t="s">
        <v>206</v>
      </c>
      <c r="K23" t="s">
        <v>127</v>
      </c>
      <c r="L23" t="s">
        <v>128</v>
      </c>
      <c r="M23" t="s">
        <v>129</v>
      </c>
      <c r="N23" t="s">
        <v>265</v>
      </c>
      <c r="O23" t="s">
        <v>149</v>
      </c>
      <c r="P23">
        <v>0</v>
      </c>
      <c r="Q23" t="s">
        <v>125</v>
      </c>
      <c r="R23">
        <v>6</v>
      </c>
      <c r="S23">
        <v>41</v>
      </c>
      <c r="T23" t="s">
        <v>132</v>
      </c>
      <c r="U23" t="s">
        <v>133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134</v>
      </c>
      <c r="AE23" t="s">
        <v>134</v>
      </c>
      <c r="AF23" s="2">
        <v>45518</v>
      </c>
      <c r="AG23" s="2">
        <v>46014</v>
      </c>
      <c r="AH23" s="1">
        <v>2203.3200000000002</v>
      </c>
      <c r="AI23" s="1">
        <v>5484</v>
      </c>
      <c r="AJ23" s="1">
        <v>24236.6</v>
      </c>
      <c r="AK23">
        <v>0</v>
      </c>
      <c r="AL23">
        <v>0</v>
      </c>
      <c r="AM23">
        <v>0</v>
      </c>
      <c r="AN23" t="s">
        <v>135</v>
      </c>
      <c r="AO23" t="s">
        <v>135</v>
      </c>
      <c r="AP23" t="s">
        <v>136</v>
      </c>
      <c r="AQ23" t="s">
        <v>137</v>
      </c>
      <c r="AR23" t="s">
        <v>138</v>
      </c>
      <c r="AS23" t="s">
        <v>139</v>
      </c>
      <c r="AT23" t="s">
        <v>140</v>
      </c>
      <c r="AU23">
        <v>102</v>
      </c>
      <c r="AV23">
        <v>10</v>
      </c>
      <c r="AW23">
        <v>1</v>
      </c>
      <c r="AX23" s="2">
        <v>45537</v>
      </c>
      <c r="AY23" t="s">
        <v>141</v>
      </c>
      <c r="AZ23" s="2">
        <v>46027</v>
      </c>
      <c r="BA23">
        <v>0</v>
      </c>
      <c r="BB23">
        <v>0</v>
      </c>
      <c r="BC23">
        <v>0</v>
      </c>
      <c r="BD23">
        <v>700</v>
      </c>
      <c r="BE23">
        <v>70</v>
      </c>
      <c r="BF23">
        <v>9</v>
      </c>
      <c r="BG23" s="2">
        <v>45536</v>
      </c>
      <c r="BH23" t="s">
        <v>142</v>
      </c>
      <c r="BI23" s="2">
        <v>46026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 s="1">
        <v>6798.38</v>
      </c>
      <c r="BQ23" s="1">
        <v>6798.38</v>
      </c>
      <c r="BR23">
        <v>0</v>
      </c>
      <c r="BS23">
        <v>0</v>
      </c>
      <c r="BT23">
        <v>0</v>
      </c>
      <c r="BU23">
        <v>0</v>
      </c>
      <c r="BV23" s="1">
        <v>12381.07</v>
      </c>
      <c r="BW23" s="1">
        <v>12381.07</v>
      </c>
      <c r="BX23">
        <v>0</v>
      </c>
      <c r="BY23">
        <v>0</v>
      </c>
      <c r="BZ23">
        <v>0</v>
      </c>
      <c r="CA23">
        <v>0</v>
      </c>
      <c r="CB23" s="1">
        <v>6739.19</v>
      </c>
      <c r="CC23" t="s">
        <v>152</v>
      </c>
    </row>
    <row r="24" spans="1:81" x14ac:dyDescent="0.25">
      <c r="A24">
        <v>345</v>
      </c>
      <c r="B24">
        <v>2</v>
      </c>
      <c r="C24">
        <v>69</v>
      </c>
      <c r="D24" t="s">
        <v>266</v>
      </c>
      <c r="E24" t="s">
        <v>121</v>
      </c>
      <c r="F24" t="s">
        <v>267</v>
      </c>
      <c r="G24" t="s">
        <v>268</v>
      </c>
      <c r="H24" t="s">
        <v>269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270</v>
      </c>
      <c r="O24" t="s">
        <v>149</v>
      </c>
      <c r="P24">
        <v>0</v>
      </c>
      <c r="Q24" t="s">
        <v>125</v>
      </c>
      <c r="R24">
        <v>6</v>
      </c>
      <c r="S24">
        <v>42</v>
      </c>
      <c r="T24" t="s">
        <v>132</v>
      </c>
      <c r="U24" t="s">
        <v>133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134</v>
      </c>
      <c r="AE24" t="s">
        <v>134</v>
      </c>
      <c r="AF24" s="2">
        <v>45518</v>
      </c>
      <c r="AG24" s="2">
        <v>46020</v>
      </c>
      <c r="AH24" s="1">
        <v>1103</v>
      </c>
      <c r="AI24" s="1">
        <v>3559.93</v>
      </c>
      <c r="AJ24" s="1">
        <v>15442.07</v>
      </c>
      <c r="AK24">
        <v>0</v>
      </c>
      <c r="AL24">
        <v>0</v>
      </c>
      <c r="AM24">
        <v>0</v>
      </c>
      <c r="AN24" t="s">
        <v>135</v>
      </c>
      <c r="AO24" t="s">
        <v>135</v>
      </c>
      <c r="AP24" t="s">
        <v>136</v>
      </c>
      <c r="AQ24" t="s">
        <v>137</v>
      </c>
      <c r="AR24" t="s">
        <v>138</v>
      </c>
      <c r="AS24" t="s">
        <v>139</v>
      </c>
      <c r="AT24" t="s">
        <v>140</v>
      </c>
      <c r="AU24">
        <v>102</v>
      </c>
      <c r="AV24">
        <v>10</v>
      </c>
      <c r="AW24">
        <v>1</v>
      </c>
      <c r="AX24" s="2">
        <v>45810</v>
      </c>
      <c r="AY24" t="s">
        <v>141</v>
      </c>
      <c r="AZ24" s="2">
        <v>46027</v>
      </c>
      <c r="BA24">
        <v>0</v>
      </c>
      <c r="BB24">
        <v>0</v>
      </c>
      <c r="BC24">
        <v>0</v>
      </c>
      <c r="BD24">
        <v>700</v>
      </c>
      <c r="BE24">
        <v>70</v>
      </c>
      <c r="BF24">
        <v>9</v>
      </c>
      <c r="BG24" s="2">
        <v>45536</v>
      </c>
      <c r="BH24" t="s">
        <v>142</v>
      </c>
      <c r="BI24" s="2">
        <v>46026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s="1">
        <v>6278.64</v>
      </c>
      <c r="BQ24" s="1">
        <v>6278.64</v>
      </c>
      <c r="BR24">
        <v>0</v>
      </c>
      <c r="BS24">
        <v>0</v>
      </c>
      <c r="BT24">
        <v>0</v>
      </c>
      <c r="BU24">
        <v>0</v>
      </c>
      <c r="BV24" s="1">
        <v>4965.45</v>
      </c>
      <c r="BW24" s="1">
        <v>4965.45</v>
      </c>
      <c r="BX24">
        <v>0</v>
      </c>
      <c r="BY24">
        <v>0</v>
      </c>
      <c r="BZ24">
        <v>0</v>
      </c>
      <c r="CA24">
        <v>0</v>
      </c>
      <c r="CB24" s="1">
        <v>6303.61</v>
      </c>
      <c r="CC24" t="s">
        <v>152</v>
      </c>
    </row>
    <row r="25" spans="1:81" x14ac:dyDescent="0.25">
      <c r="A25">
        <v>345</v>
      </c>
      <c r="B25">
        <v>2</v>
      </c>
      <c r="C25">
        <v>71</v>
      </c>
      <c r="D25" t="s">
        <v>271</v>
      </c>
      <c r="E25" t="s">
        <v>121</v>
      </c>
      <c r="F25" t="s">
        <v>272</v>
      </c>
      <c r="G25" t="s">
        <v>273</v>
      </c>
      <c r="H25" t="s">
        <v>274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275</v>
      </c>
      <c r="O25" t="s">
        <v>149</v>
      </c>
      <c r="P25">
        <v>0</v>
      </c>
      <c r="Q25" t="s">
        <v>125</v>
      </c>
      <c r="R25">
        <v>6</v>
      </c>
      <c r="S25">
        <v>42</v>
      </c>
      <c r="T25" t="s">
        <v>132</v>
      </c>
      <c r="U25" t="s">
        <v>133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134</v>
      </c>
      <c r="AE25" t="s">
        <v>134</v>
      </c>
      <c r="AF25" s="2">
        <v>45518</v>
      </c>
      <c r="AG25" s="2">
        <v>46020</v>
      </c>
      <c r="AH25" s="1">
        <v>3692.35</v>
      </c>
      <c r="AI25" s="1">
        <v>12661.16</v>
      </c>
      <c r="AJ25" s="1">
        <v>44308.26</v>
      </c>
      <c r="AK25">
        <v>0</v>
      </c>
      <c r="AL25">
        <v>0</v>
      </c>
      <c r="AM25">
        <v>0</v>
      </c>
      <c r="AN25" t="s">
        <v>135</v>
      </c>
      <c r="AO25" t="s">
        <v>135</v>
      </c>
      <c r="AP25" t="s">
        <v>136</v>
      </c>
      <c r="AQ25" t="s">
        <v>137</v>
      </c>
      <c r="AR25" t="s">
        <v>138</v>
      </c>
      <c r="AS25" t="s">
        <v>139</v>
      </c>
      <c r="AT25" t="s">
        <v>140</v>
      </c>
      <c r="AU25">
        <v>501</v>
      </c>
      <c r="AV25">
        <v>10</v>
      </c>
      <c r="AW25">
        <v>1</v>
      </c>
      <c r="AX25" s="2">
        <v>45856</v>
      </c>
      <c r="AY25" t="s">
        <v>151</v>
      </c>
      <c r="AZ25" s="2">
        <v>46024</v>
      </c>
      <c r="BA25">
        <v>0</v>
      </c>
      <c r="BB25">
        <v>0</v>
      </c>
      <c r="BC25">
        <v>0</v>
      </c>
      <c r="BD25">
        <v>700</v>
      </c>
      <c r="BE25">
        <v>70</v>
      </c>
      <c r="BF25">
        <v>9</v>
      </c>
      <c r="BG25" s="2">
        <v>45536</v>
      </c>
      <c r="BH25" t="s">
        <v>142</v>
      </c>
      <c r="BI25" s="2">
        <v>46026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 s="1">
        <v>21820.45</v>
      </c>
      <c r="BQ25" s="1">
        <v>21820.45</v>
      </c>
      <c r="BR25">
        <v>0</v>
      </c>
      <c r="BS25">
        <v>0</v>
      </c>
      <c r="BT25">
        <v>0</v>
      </c>
      <c r="BU25">
        <v>0</v>
      </c>
      <c r="BV25" s="1">
        <v>20553.61</v>
      </c>
      <c r="BW25" s="1">
        <v>20553.61</v>
      </c>
      <c r="BX25">
        <v>0</v>
      </c>
      <c r="BY25">
        <v>0</v>
      </c>
      <c r="BZ25">
        <v>0</v>
      </c>
      <c r="CA25">
        <v>0</v>
      </c>
      <c r="CB25" s="1">
        <v>20907.990000000002</v>
      </c>
      <c r="CC25" t="s">
        <v>152</v>
      </c>
    </row>
    <row r="26" spans="1:81" x14ac:dyDescent="0.25">
      <c r="A26">
        <v>345</v>
      </c>
      <c r="B26">
        <v>2</v>
      </c>
      <c r="C26">
        <v>75</v>
      </c>
      <c r="D26" t="s">
        <v>276</v>
      </c>
      <c r="E26" t="s">
        <v>121</v>
      </c>
      <c r="F26" t="s">
        <v>277</v>
      </c>
      <c r="G26" t="s">
        <v>278</v>
      </c>
      <c r="H26" t="s">
        <v>279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280</v>
      </c>
      <c r="O26" t="s">
        <v>195</v>
      </c>
      <c r="P26">
        <v>0</v>
      </c>
      <c r="Q26" t="s">
        <v>125</v>
      </c>
      <c r="R26">
        <v>3</v>
      </c>
      <c r="S26">
        <v>85</v>
      </c>
      <c r="T26" t="s">
        <v>132</v>
      </c>
      <c r="U26" t="s">
        <v>133</v>
      </c>
      <c r="V26" s="1">
        <v>1000</v>
      </c>
      <c r="W26">
        <v>0</v>
      </c>
      <c r="X26" s="1">
        <v>1000</v>
      </c>
      <c r="Y26">
        <v>7</v>
      </c>
      <c r="Z26">
        <v>0</v>
      </c>
      <c r="AA26">
        <v>0</v>
      </c>
      <c r="AB26">
        <v>0</v>
      </c>
      <c r="AC26">
        <v>0</v>
      </c>
      <c r="AD26" t="s">
        <v>134</v>
      </c>
      <c r="AE26" t="s">
        <v>134</v>
      </c>
      <c r="AF26" s="2">
        <v>45518</v>
      </c>
      <c r="AG26" s="2">
        <v>46009</v>
      </c>
      <c r="AH26">
        <v>302.64999999999998</v>
      </c>
      <c r="AI26">
        <v>711.6</v>
      </c>
      <c r="AJ26" s="1">
        <v>2421.25</v>
      </c>
      <c r="AK26">
        <v>0</v>
      </c>
      <c r="AL26">
        <v>0</v>
      </c>
      <c r="AM26">
        <v>0</v>
      </c>
      <c r="AN26" t="s">
        <v>135</v>
      </c>
      <c r="AO26" t="s">
        <v>135</v>
      </c>
      <c r="AP26" t="s">
        <v>136</v>
      </c>
      <c r="AQ26" t="s">
        <v>137</v>
      </c>
      <c r="AR26" t="s">
        <v>138</v>
      </c>
      <c r="AS26" t="s">
        <v>139</v>
      </c>
      <c r="AT26" t="s">
        <v>140</v>
      </c>
      <c r="AU26">
        <v>102</v>
      </c>
      <c r="AV26">
        <v>10</v>
      </c>
      <c r="AW26">
        <v>1</v>
      </c>
      <c r="AX26" s="2">
        <v>45847</v>
      </c>
      <c r="AY26" t="s">
        <v>168</v>
      </c>
      <c r="AZ26" s="2">
        <v>46022</v>
      </c>
      <c r="BA26">
        <v>0</v>
      </c>
      <c r="BB26">
        <v>0</v>
      </c>
      <c r="BC26">
        <v>0</v>
      </c>
      <c r="BD26">
        <v>700</v>
      </c>
      <c r="BE26">
        <v>70</v>
      </c>
      <c r="BF26">
        <v>9</v>
      </c>
      <c r="BG26" s="2">
        <v>45536</v>
      </c>
      <c r="BH26" t="s">
        <v>142</v>
      </c>
      <c r="BI26" s="2">
        <v>46026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177.9</v>
      </c>
      <c r="BQ26">
        <v>830.2</v>
      </c>
      <c r="BR26">
        <v>0</v>
      </c>
      <c r="BS26">
        <v>0</v>
      </c>
      <c r="BT26">
        <v>0</v>
      </c>
      <c r="BU26">
        <v>0</v>
      </c>
      <c r="BV26" s="1">
        <v>1005.59</v>
      </c>
      <c r="BW26" s="1">
        <v>1005.59</v>
      </c>
      <c r="BX26">
        <v>0</v>
      </c>
      <c r="BY26">
        <v>0</v>
      </c>
      <c r="BZ26">
        <v>0</v>
      </c>
      <c r="CA26">
        <v>0</v>
      </c>
      <c r="CB26">
        <v>642.25</v>
      </c>
      <c r="CC26" t="s">
        <v>161</v>
      </c>
    </row>
    <row r="27" spans="1:81" x14ac:dyDescent="0.25">
      <c r="A27">
        <v>345</v>
      </c>
      <c r="B27">
        <v>2</v>
      </c>
      <c r="C27">
        <v>78</v>
      </c>
      <c r="D27" t="s">
        <v>281</v>
      </c>
      <c r="E27" t="s">
        <v>121</v>
      </c>
      <c r="F27" t="s">
        <v>282</v>
      </c>
      <c r="G27" t="s">
        <v>283</v>
      </c>
      <c r="H27" t="s">
        <v>284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285</v>
      </c>
      <c r="O27" t="s">
        <v>167</v>
      </c>
      <c r="P27">
        <v>0</v>
      </c>
      <c r="Q27" t="s">
        <v>125</v>
      </c>
      <c r="R27">
        <v>6</v>
      </c>
      <c r="S27">
        <v>42</v>
      </c>
      <c r="T27" t="s">
        <v>132</v>
      </c>
      <c r="U27" t="s">
        <v>133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134</v>
      </c>
      <c r="AE27" t="s">
        <v>134</v>
      </c>
      <c r="AF27" s="2">
        <v>45518</v>
      </c>
      <c r="AG27" s="2">
        <v>46017</v>
      </c>
      <c r="AH27" s="1">
        <v>1052.8</v>
      </c>
      <c r="AI27" s="1">
        <v>1719</v>
      </c>
      <c r="AJ27" s="1">
        <v>12633.66</v>
      </c>
      <c r="AK27">
        <v>0</v>
      </c>
      <c r="AL27">
        <v>0</v>
      </c>
      <c r="AM27">
        <v>0</v>
      </c>
      <c r="AN27" t="s">
        <v>135</v>
      </c>
      <c r="AO27" t="s">
        <v>135</v>
      </c>
      <c r="AP27" t="s">
        <v>136</v>
      </c>
      <c r="AQ27" t="s">
        <v>137</v>
      </c>
      <c r="AR27" t="s">
        <v>138</v>
      </c>
      <c r="AS27" t="s">
        <v>150</v>
      </c>
      <c r="AT27" t="s">
        <v>140</v>
      </c>
      <c r="AU27">
        <v>102</v>
      </c>
      <c r="AV27">
        <v>10</v>
      </c>
      <c r="AW27">
        <v>1</v>
      </c>
      <c r="AX27" s="2">
        <v>45847</v>
      </c>
      <c r="AY27" t="s">
        <v>168</v>
      </c>
      <c r="AZ27" s="2">
        <v>46022</v>
      </c>
      <c r="BA27">
        <v>0</v>
      </c>
      <c r="BB27">
        <v>0</v>
      </c>
      <c r="BC27">
        <v>0</v>
      </c>
      <c r="BD27">
        <v>700</v>
      </c>
      <c r="BE27">
        <v>70</v>
      </c>
      <c r="BF27">
        <v>9</v>
      </c>
      <c r="BG27" s="2">
        <v>45536</v>
      </c>
      <c r="BH27" t="s">
        <v>142</v>
      </c>
      <c r="BI27" s="2">
        <v>46026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s="1">
        <v>3352.15</v>
      </c>
      <c r="BQ27" s="1">
        <v>3352.15</v>
      </c>
      <c r="BR27">
        <v>0</v>
      </c>
      <c r="BS27">
        <v>0</v>
      </c>
      <c r="BT27">
        <v>0</v>
      </c>
      <c r="BU27">
        <v>0</v>
      </c>
      <c r="BV27" s="1">
        <v>4129.68</v>
      </c>
      <c r="BW27" s="1">
        <v>4129.68</v>
      </c>
      <c r="BX27">
        <v>0</v>
      </c>
      <c r="BY27">
        <v>0</v>
      </c>
      <c r="BZ27">
        <v>0</v>
      </c>
      <c r="CA27">
        <v>0</v>
      </c>
      <c r="CB27" s="1">
        <v>5083.3900000000003</v>
      </c>
      <c r="CC27" t="s">
        <v>161</v>
      </c>
    </row>
    <row r="28" spans="1:81" x14ac:dyDescent="0.25">
      <c r="A28">
        <v>345</v>
      </c>
      <c r="B28">
        <v>2</v>
      </c>
      <c r="C28">
        <v>79</v>
      </c>
      <c r="D28" t="s">
        <v>286</v>
      </c>
      <c r="E28" t="s">
        <v>121</v>
      </c>
      <c r="F28" t="s">
        <v>287</v>
      </c>
      <c r="G28" t="s">
        <v>288</v>
      </c>
      <c r="H28" t="s">
        <v>289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290</v>
      </c>
      <c r="O28" t="s">
        <v>149</v>
      </c>
      <c r="P28">
        <v>0</v>
      </c>
      <c r="Q28" t="s">
        <v>125</v>
      </c>
      <c r="R28">
        <v>6</v>
      </c>
      <c r="S28">
        <v>42</v>
      </c>
      <c r="T28" t="s">
        <v>132</v>
      </c>
      <c r="U28" t="s">
        <v>133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134</v>
      </c>
      <c r="AE28" t="s">
        <v>134</v>
      </c>
      <c r="AF28" s="2">
        <v>45518</v>
      </c>
      <c r="AG28" s="2">
        <v>46014</v>
      </c>
      <c r="AH28" s="1">
        <v>5239.62</v>
      </c>
      <c r="AI28" s="1">
        <v>13046.41</v>
      </c>
      <c r="AJ28" s="1">
        <v>68115.12</v>
      </c>
      <c r="AK28">
        <v>0</v>
      </c>
      <c r="AL28">
        <v>0</v>
      </c>
      <c r="AM28">
        <v>0</v>
      </c>
      <c r="AN28" t="s">
        <v>135</v>
      </c>
      <c r="AO28" t="s">
        <v>135</v>
      </c>
      <c r="AP28" t="s">
        <v>136</v>
      </c>
      <c r="AQ28" t="s">
        <v>137</v>
      </c>
      <c r="AR28" t="s">
        <v>138</v>
      </c>
      <c r="AS28" t="s">
        <v>139</v>
      </c>
      <c r="AT28" t="s">
        <v>140</v>
      </c>
      <c r="AU28">
        <v>501</v>
      </c>
      <c r="AV28">
        <v>10</v>
      </c>
      <c r="AW28">
        <v>1</v>
      </c>
      <c r="AX28" s="2">
        <v>45856</v>
      </c>
      <c r="AY28" t="s">
        <v>151</v>
      </c>
      <c r="AZ28" s="2">
        <v>46024</v>
      </c>
      <c r="BA28">
        <v>0</v>
      </c>
      <c r="BB28">
        <v>0</v>
      </c>
      <c r="BC28">
        <v>0</v>
      </c>
      <c r="BD28">
        <v>700</v>
      </c>
      <c r="BE28">
        <v>70</v>
      </c>
      <c r="BF28">
        <v>9</v>
      </c>
      <c r="BG28" s="2">
        <v>45536</v>
      </c>
      <c r="BH28" t="s">
        <v>142</v>
      </c>
      <c r="BI28" s="2">
        <v>46026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s="1">
        <v>31077.22</v>
      </c>
      <c r="BQ28" s="1">
        <v>31077.22</v>
      </c>
      <c r="BR28">
        <v>0</v>
      </c>
      <c r="BS28">
        <v>0</v>
      </c>
      <c r="BT28">
        <v>0</v>
      </c>
      <c r="BU28">
        <v>0</v>
      </c>
      <c r="BV28" s="1">
        <v>22275.7</v>
      </c>
      <c r="BW28" s="1">
        <v>22275.7</v>
      </c>
      <c r="BX28">
        <v>0</v>
      </c>
      <c r="BY28">
        <v>0</v>
      </c>
      <c r="BZ28">
        <v>0</v>
      </c>
      <c r="CA28">
        <v>0</v>
      </c>
      <c r="CB28" s="1">
        <v>21111.22</v>
      </c>
      <c r="CC28" t="s">
        <v>152</v>
      </c>
    </row>
    <row r="29" spans="1:81" x14ac:dyDescent="0.25">
      <c r="A29">
        <v>345</v>
      </c>
      <c r="B29">
        <v>2</v>
      </c>
      <c r="C29">
        <v>80</v>
      </c>
      <c r="D29" t="s">
        <v>291</v>
      </c>
      <c r="E29" t="s">
        <v>121</v>
      </c>
      <c r="F29" t="s">
        <v>292</v>
      </c>
      <c r="G29" t="s">
        <v>293</v>
      </c>
      <c r="H29" t="s">
        <v>294</v>
      </c>
      <c r="I29" t="s">
        <v>125</v>
      </c>
      <c r="J29" t="s">
        <v>157</v>
      </c>
      <c r="K29" t="s">
        <v>127</v>
      </c>
      <c r="L29" t="s">
        <v>128</v>
      </c>
      <c r="M29" t="s">
        <v>129</v>
      </c>
      <c r="N29" t="s">
        <v>295</v>
      </c>
      <c r="O29" t="s">
        <v>296</v>
      </c>
      <c r="P29">
        <v>0</v>
      </c>
      <c r="Q29" t="s">
        <v>125</v>
      </c>
      <c r="R29">
        <v>6</v>
      </c>
      <c r="S29">
        <v>40</v>
      </c>
      <c r="T29" t="s">
        <v>132</v>
      </c>
      <c r="U29" t="s">
        <v>133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134</v>
      </c>
      <c r="AE29" t="s">
        <v>134</v>
      </c>
      <c r="AF29" s="2">
        <v>45518</v>
      </c>
      <c r="AG29" s="2">
        <v>46017</v>
      </c>
      <c r="AH29">
        <v>695.48</v>
      </c>
      <c r="AI29">
        <v>881.68</v>
      </c>
      <c r="AJ29" s="1">
        <v>8345.84</v>
      </c>
      <c r="AK29">
        <v>0</v>
      </c>
      <c r="AL29">
        <v>0</v>
      </c>
      <c r="AM29">
        <v>0</v>
      </c>
      <c r="AN29" t="s">
        <v>135</v>
      </c>
      <c r="AO29" t="s">
        <v>135</v>
      </c>
      <c r="AP29" t="s">
        <v>136</v>
      </c>
      <c r="AQ29" t="s">
        <v>137</v>
      </c>
      <c r="AR29" t="s">
        <v>138</v>
      </c>
      <c r="AS29" t="s">
        <v>139</v>
      </c>
      <c r="AT29" t="s">
        <v>140</v>
      </c>
      <c r="AU29">
        <v>102</v>
      </c>
      <c r="AV29">
        <v>10</v>
      </c>
      <c r="AW29">
        <v>1</v>
      </c>
      <c r="AX29" s="2">
        <v>45903</v>
      </c>
      <c r="AY29" t="s">
        <v>168</v>
      </c>
      <c r="AZ29" s="2">
        <v>46022</v>
      </c>
      <c r="BA29">
        <v>0</v>
      </c>
      <c r="BB29">
        <v>0</v>
      </c>
      <c r="BC29">
        <v>0</v>
      </c>
      <c r="BD29">
        <v>700</v>
      </c>
      <c r="BE29">
        <v>70</v>
      </c>
      <c r="BF29">
        <v>9</v>
      </c>
      <c r="BG29" s="2">
        <v>45536</v>
      </c>
      <c r="BH29" t="s">
        <v>142</v>
      </c>
      <c r="BI29" s="2">
        <v>46026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s="1">
        <v>2508.34</v>
      </c>
      <c r="BQ29" s="1">
        <v>2508.34</v>
      </c>
      <c r="BR29">
        <v>0</v>
      </c>
      <c r="BS29">
        <v>0</v>
      </c>
      <c r="BT29">
        <v>0</v>
      </c>
      <c r="BU29">
        <v>0</v>
      </c>
      <c r="BV29" s="1">
        <v>2979.02</v>
      </c>
      <c r="BW29" s="1">
        <v>2979.02</v>
      </c>
      <c r="BX29">
        <v>0</v>
      </c>
      <c r="BY29">
        <v>0</v>
      </c>
      <c r="BZ29">
        <v>0</v>
      </c>
      <c r="CA29">
        <v>0</v>
      </c>
      <c r="CB29" s="1">
        <v>2248.15</v>
      </c>
      <c r="CC29" t="s">
        <v>297</v>
      </c>
    </row>
    <row r="30" spans="1:81" x14ac:dyDescent="0.25">
      <c r="A30">
        <v>345</v>
      </c>
      <c r="B30">
        <v>2</v>
      </c>
      <c r="C30">
        <v>81</v>
      </c>
      <c r="D30" t="s">
        <v>298</v>
      </c>
      <c r="E30" t="s">
        <v>121</v>
      </c>
      <c r="F30" t="s">
        <v>299</v>
      </c>
      <c r="G30" t="s">
        <v>300</v>
      </c>
      <c r="H30" t="s">
        <v>301</v>
      </c>
      <c r="I30" t="s">
        <v>125</v>
      </c>
      <c r="J30" t="s">
        <v>173</v>
      </c>
      <c r="K30" t="s">
        <v>127</v>
      </c>
      <c r="L30" t="s">
        <v>128</v>
      </c>
      <c r="M30" t="s">
        <v>129</v>
      </c>
      <c r="N30" t="s">
        <v>302</v>
      </c>
      <c r="O30" t="s">
        <v>149</v>
      </c>
      <c r="P30">
        <v>0</v>
      </c>
      <c r="Q30" t="s">
        <v>125</v>
      </c>
      <c r="R30">
        <v>6</v>
      </c>
      <c r="S30">
        <v>41</v>
      </c>
      <c r="T30" t="s">
        <v>132</v>
      </c>
      <c r="U30" t="s">
        <v>133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134</v>
      </c>
      <c r="AE30" t="s">
        <v>134</v>
      </c>
      <c r="AF30" s="2">
        <v>45518</v>
      </c>
      <c r="AG30" s="2">
        <v>46013</v>
      </c>
      <c r="AH30" s="1">
        <v>1642.81</v>
      </c>
      <c r="AI30" s="1">
        <v>1991.2</v>
      </c>
      <c r="AJ30" s="1">
        <v>4928.43</v>
      </c>
      <c r="AK30">
        <v>0</v>
      </c>
      <c r="AL30">
        <v>0</v>
      </c>
      <c r="AM30">
        <v>0</v>
      </c>
      <c r="AN30" t="s">
        <v>135</v>
      </c>
      <c r="AO30" t="s">
        <v>135</v>
      </c>
      <c r="AP30" t="s">
        <v>136</v>
      </c>
      <c r="AQ30" t="s">
        <v>137</v>
      </c>
      <c r="AR30" t="s">
        <v>138</v>
      </c>
      <c r="AS30" t="s">
        <v>139</v>
      </c>
      <c r="AT30" t="s">
        <v>140</v>
      </c>
      <c r="AU30">
        <v>102</v>
      </c>
      <c r="AV30">
        <v>10</v>
      </c>
      <c r="AW30">
        <v>1</v>
      </c>
      <c r="AX30" s="2">
        <v>45850</v>
      </c>
      <c r="AY30" t="s">
        <v>160</v>
      </c>
      <c r="AZ30" s="2">
        <v>46025</v>
      </c>
      <c r="BA30">
        <v>0</v>
      </c>
      <c r="BB30">
        <v>0</v>
      </c>
      <c r="BC30">
        <v>0</v>
      </c>
      <c r="BD30">
        <v>700</v>
      </c>
      <c r="BE30">
        <v>70</v>
      </c>
      <c r="BF30">
        <v>9</v>
      </c>
      <c r="BG30" s="2">
        <v>45536</v>
      </c>
      <c r="BH30" t="s">
        <v>142</v>
      </c>
      <c r="BI30" s="2">
        <v>46026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s="1">
        <v>4928.43</v>
      </c>
      <c r="BW30" s="1">
        <v>4928.43</v>
      </c>
      <c r="BX30">
        <v>0</v>
      </c>
      <c r="BY30">
        <v>0</v>
      </c>
      <c r="BZ30">
        <v>0</v>
      </c>
      <c r="CA30">
        <v>0</v>
      </c>
      <c r="CB30">
        <v>0</v>
      </c>
      <c r="CC30" t="s">
        <v>152</v>
      </c>
    </row>
    <row r="31" spans="1:81" x14ac:dyDescent="0.25">
      <c r="A31">
        <v>345</v>
      </c>
      <c r="B31">
        <v>2</v>
      </c>
      <c r="C31">
        <v>82</v>
      </c>
      <c r="D31" t="s">
        <v>303</v>
      </c>
      <c r="E31" t="s">
        <v>121</v>
      </c>
      <c r="F31" t="s">
        <v>304</v>
      </c>
      <c r="G31" t="s">
        <v>305</v>
      </c>
      <c r="H31" t="s">
        <v>306</v>
      </c>
      <c r="I31" t="s">
        <v>125</v>
      </c>
      <c r="J31" t="s">
        <v>157</v>
      </c>
      <c r="K31" t="s">
        <v>127</v>
      </c>
      <c r="L31" t="s">
        <v>128</v>
      </c>
      <c r="M31" t="s">
        <v>129</v>
      </c>
      <c r="N31" t="s">
        <v>307</v>
      </c>
      <c r="O31" t="s">
        <v>131</v>
      </c>
      <c r="P31">
        <v>0</v>
      </c>
      <c r="Q31" t="s">
        <v>125</v>
      </c>
      <c r="R31">
        <v>3</v>
      </c>
      <c r="S31">
        <v>89</v>
      </c>
      <c r="T31" t="s">
        <v>132</v>
      </c>
      <c r="U31" t="s">
        <v>133</v>
      </c>
      <c r="V31" s="1">
        <v>4328</v>
      </c>
      <c r="W31">
        <v>0</v>
      </c>
      <c r="X31" s="1">
        <v>4328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134</v>
      </c>
      <c r="AE31" t="s">
        <v>134</v>
      </c>
      <c r="AF31" s="2">
        <v>45518</v>
      </c>
      <c r="AG31" s="2">
        <v>46018</v>
      </c>
      <c r="AH31" s="1">
        <v>2020.53</v>
      </c>
      <c r="AI31" s="1">
        <v>4186.29</v>
      </c>
      <c r="AJ31" s="1">
        <v>18184.849999999999</v>
      </c>
      <c r="AK31">
        <v>0</v>
      </c>
      <c r="AL31">
        <v>0</v>
      </c>
      <c r="AM31">
        <v>0</v>
      </c>
      <c r="AN31" t="s">
        <v>135</v>
      </c>
      <c r="AO31" t="s">
        <v>135</v>
      </c>
      <c r="AP31" t="s">
        <v>136</v>
      </c>
      <c r="AQ31" t="s">
        <v>137</v>
      </c>
      <c r="AR31" t="s">
        <v>138</v>
      </c>
      <c r="AS31" t="s">
        <v>139</v>
      </c>
      <c r="AT31" t="s">
        <v>140</v>
      </c>
      <c r="AU31">
        <v>102</v>
      </c>
      <c r="AV31">
        <v>10</v>
      </c>
      <c r="AW31">
        <v>1</v>
      </c>
      <c r="AX31" s="2">
        <v>45995</v>
      </c>
      <c r="AY31" t="s">
        <v>308</v>
      </c>
      <c r="AZ31" s="2">
        <v>46023</v>
      </c>
      <c r="BA31">
        <v>0</v>
      </c>
      <c r="BB31">
        <v>0</v>
      </c>
      <c r="BC31">
        <v>0</v>
      </c>
      <c r="BD31">
        <v>700</v>
      </c>
      <c r="BE31">
        <v>70</v>
      </c>
      <c r="BF31">
        <v>9</v>
      </c>
      <c r="BG31" s="2">
        <v>45536</v>
      </c>
      <c r="BH31" t="s">
        <v>142</v>
      </c>
      <c r="BI31" s="2">
        <v>46026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s="1">
        <v>10316.65</v>
      </c>
      <c r="BQ31" s="1">
        <v>10316.65</v>
      </c>
      <c r="BR31">
        <v>0</v>
      </c>
      <c r="BS31">
        <v>0</v>
      </c>
      <c r="BT31">
        <v>0</v>
      </c>
      <c r="BU31">
        <v>0</v>
      </c>
      <c r="BV31" s="1">
        <v>6939.2</v>
      </c>
      <c r="BW31" s="1">
        <v>6939.2</v>
      </c>
      <c r="BX31">
        <v>0</v>
      </c>
      <c r="BY31">
        <v>0</v>
      </c>
      <c r="BZ31">
        <v>0</v>
      </c>
      <c r="CA31">
        <v>0</v>
      </c>
      <c r="CB31" s="1">
        <v>7870.2</v>
      </c>
      <c r="CC31" t="s">
        <v>143</v>
      </c>
    </row>
    <row r="32" spans="1:81" x14ac:dyDescent="0.25">
      <c r="A32">
        <v>345</v>
      </c>
      <c r="B32">
        <v>2</v>
      </c>
      <c r="C32">
        <v>83</v>
      </c>
      <c r="D32" t="s">
        <v>309</v>
      </c>
      <c r="E32" t="s">
        <v>121</v>
      </c>
      <c r="F32" t="s">
        <v>310</v>
      </c>
      <c r="G32" t="s">
        <v>311</v>
      </c>
      <c r="H32" t="s">
        <v>312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313</v>
      </c>
      <c r="O32" t="s">
        <v>159</v>
      </c>
      <c r="P32">
        <v>0</v>
      </c>
      <c r="Q32" t="s">
        <v>125</v>
      </c>
      <c r="R32">
        <v>3</v>
      </c>
      <c r="S32">
        <v>83</v>
      </c>
      <c r="T32" t="s">
        <v>132</v>
      </c>
      <c r="U32" t="s">
        <v>133</v>
      </c>
      <c r="V32" s="1">
        <v>1000</v>
      </c>
      <c r="W32">
        <v>952.99</v>
      </c>
      <c r="X32">
        <v>47.01</v>
      </c>
      <c r="Y32">
        <v>0</v>
      </c>
      <c r="Z32">
        <v>0</v>
      </c>
      <c r="AA32">
        <v>9</v>
      </c>
      <c r="AB32">
        <v>3</v>
      </c>
      <c r="AC32">
        <v>0</v>
      </c>
      <c r="AD32" t="s">
        <v>134</v>
      </c>
      <c r="AE32" t="s">
        <v>134</v>
      </c>
      <c r="AF32" s="2">
        <v>45518</v>
      </c>
      <c r="AG32" s="2">
        <v>46018</v>
      </c>
      <c r="AH32">
        <v>317.62</v>
      </c>
      <c r="AI32">
        <v>762.46</v>
      </c>
      <c r="AJ32" s="1">
        <v>1588.12</v>
      </c>
      <c r="AK32">
        <v>762.46</v>
      </c>
      <c r="AL32">
        <v>190.53</v>
      </c>
      <c r="AM32">
        <v>0</v>
      </c>
      <c r="AN32" t="s">
        <v>135</v>
      </c>
      <c r="AO32" t="s">
        <v>135</v>
      </c>
      <c r="AP32" t="s">
        <v>136</v>
      </c>
      <c r="AQ32" t="s">
        <v>137</v>
      </c>
      <c r="AR32" t="s">
        <v>138</v>
      </c>
      <c r="AS32" t="s">
        <v>139</v>
      </c>
      <c r="AT32" t="s">
        <v>140</v>
      </c>
      <c r="AU32">
        <v>102</v>
      </c>
      <c r="AV32">
        <v>10</v>
      </c>
      <c r="AW32">
        <v>1</v>
      </c>
      <c r="AX32" s="2">
        <v>45973</v>
      </c>
      <c r="AY32" t="s">
        <v>168</v>
      </c>
      <c r="AZ32" s="2">
        <v>46022</v>
      </c>
      <c r="BA32">
        <v>0</v>
      </c>
      <c r="BB32">
        <v>0</v>
      </c>
      <c r="BC32">
        <v>0</v>
      </c>
      <c r="BD32">
        <v>999</v>
      </c>
      <c r="BE32">
        <v>99</v>
      </c>
      <c r="BF32">
        <v>9</v>
      </c>
      <c r="BG32" t="s">
        <v>135</v>
      </c>
      <c r="BH32" t="s">
        <v>250</v>
      </c>
      <c r="BI32" t="s">
        <v>135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418.15</v>
      </c>
      <c r="BQ32">
        <v>418.15</v>
      </c>
      <c r="BR32">
        <v>0</v>
      </c>
      <c r="BS32">
        <v>7.61</v>
      </c>
      <c r="BT32">
        <v>7.61</v>
      </c>
      <c r="BU32" s="1">
        <v>1169.97</v>
      </c>
      <c r="BV32">
        <v>0</v>
      </c>
      <c r="BW32" s="1">
        <v>1169.97</v>
      </c>
      <c r="BX32">
        <v>190.53</v>
      </c>
      <c r="BY32">
        <v>16.29</v>
      </c>
      <c r="BZ32">
        <v>0</v>
      </c>
      <c r="CA32">
        <v>0</v>
      </c>
      <c r="CB32">
        <v>139.38</v>
      </c>
      <c r="CC32" t="s">
        <v>161</v>
      </c>
    </row>
    <row r="33" spans="1:81" x14ac:dyDescent="0.25">
      <c r="A33">
        <v>345</v>
      </c>
      <c r="B33">
        <v>2</v>
      </c>
      <c r="C33">
        <v>89</v>
      </c>
      <c r="D33" t="s">
        <v>314</v>
      </c>
      <c r="E33" t="s">
        <v>121</v>
      </c>
      <c r="F33" t="s">
        <v>315</v>
      </c>
      <c r="G33" t="s">
        <v>316</v>
      </c>
      <c r="H33" t="s">
        <v>317</v>
      </c>
      <c r="I33" t="s">
        <v>125</v>
      </c>
      <c r="J33" t="s">
        <v>318</v>
      </c>
      <c r="K33" t="s">
        <v>127</v>
      </c>
      <c r="L33" t="s">
        <v>128</v>
      </c>
      <c r="M33" t="s">
        <v>129</v>
      </c>
      <c r="N33" t="s">
        <v>319</v>
      </c>
      <c r="O33" t="s">
        <v>131</v>
      </c>
      <c r="P33">
        <v>0</v>
      </c>
      <c r="Q33" t="s">
        <v>125</v>
      </c>
      <c r="R33">
        <v>3</v>
      </c>
      <c r="S33">
        <v>89</v>
      </c>
      <c r="T33" t="s">
        <v>132</v>
      </c>
      <c r="U33" t="s">
        <v>133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134</v>
      </c>
      <c r="AE33" t="s">
        <v>134</v>
      </c>
      <c r="AF33" s="2">
        <v>45518</v>
      </c>
      <c r="AG33" s="2">
        <v>46018</v>
      </c>
      <c r="AH33" s="1">
        <v>1403.85</v>
      </c>
      <c r="AI33" s="1">
        <v>2005.5</v>
      </c>
      <c r="AJ33" s="1">
        <v>2807.7</v>
      </c>
      <c r="AK33">
        <v>0</v>
      </c>
      <c r="AL33">
        <v>0</v>
      </c>
      <c r="AM33">
        <v>0</v>
      </c>
      <c r="AN33" t="s">
        <v>135</v>
      </c>
      <c r="AO33" t="s">
        <v>135</v>
      </c>
      <c r="AP33" t="s">
        <v>136</v>
      </c>
      <c r="AQ33" t="s">
        <v>137</v>
      </c>
      <c r="AR33" t="s">
        <v>138</v>
      </c>
      <c r="AS33" t="s">
        <v>139</v>
      </c>
      <c r="AT33" t="s">
        <v>140</v>
      </c>
      <c r="AU33">
        <v>102</v>
      </c>
      <c r="AV33">
        <v>10</v>
      </c>
      <c r="AW33">
        <v>1</v>
      </c>
      <c r="AX33" s="2">
        <v>45995</v>
      </c>
      <c r="AY33" t="s">
        <v>308</v>
      </c>
      <c r="AZ33" s="2">
        <v>46023</v>
      </c>
      <c r="BA33">
        <v>0</v>
      </c>
      <c r="BB33">
        <v>0</v>
      </c>
      <c r="BC33">
        <v>0</v>
      </c>
      <c r="BD33">
        <v>700</v>
      </c>
      <c r="BE33">
        <v>70</v>
      </c>
      <c r="BF33">
        <v>9</v>
      </c>
      <c r="BG33" s="2">
        <v>45536</v>
      </c>
      <c r="BH33" t="s">
        <v>142</v>
      </c>
      <c r="BI33" s="2">
        <v>46026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1">
        <v>2807.7</v>
      </c>
      <c r="BW33" s="1">
        <v>2807.7</v>
      </c>
      <c r="BX33">
        <v>0</v>
      </c>
      <c r="BY33">
        <v>0</v>
      </c>
      <c r="BZ33">
        <v>0</v>
      </c>
      <c r="CA33">
        <v>0</v>
      </c>
      <c r="CB33">
        <v>0</v>
      </c>
      <c r="CC33" t="s">
        <v>143</v>
      </c>
    </row>
    <row r="34" spans="1:81" x14ac:dyDescent="0.25">
      <c r="A34">
        <v>345</v>
      </c>
      <c r="B34">
        <v>2</v>
      </c>
      <c r="C34">
        <v>96</v>
      </c>
      <c r="D34" t="s">
        <v>320</v>
      </c>
      <c r="E34" t="s">
        <v>121</v>
      </c>
      <c r="F34" t="s">
        <v>321</v>
      </c>
      <c r="G34" t="s">
        <v>322</v>
      </c>
      <c r="H34" t="s">
        <v>323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324</v>
      </c>
      <c r="O34" t="s">
        <v>149</v>
      </c>
      <c r="P34">
        <v>0</v>
      </c>
      <c r="Q34" t="s">
        <v>125</v>
      </c>
      <c r="R34">
        <v>6</v>
      </c>
      <c r="S34">
        <v>40</v>
      </c>
      <c r="T34" t="s">
        <v>132</v>
      </c>
      <c r="U34" t="s">
        <v>133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134</v>
      </c>
      <c r="AE34" t="s">
        <v>134</v>
      </c>
      <c r="AF34" s="2">
        <v>45518</v>
      </c>
      <c r="AG34" s="2">
        <v>46014</v>
      </c>
      <c r="AH34">
        <v>909.74</v>
      </c>
      <c r="AI34" s="1">
        <v>2290.4</v>
      </c>
      <c r="AJ34" s="1">
        <v>5458.45</v>
      </c>
      <c r="AK34">
        <v>0</v>
      </c>
      <c r="AL34">
        <v>0</v>
      </c>
      <c r="AM34">
        <v>0</v>
      </c>
      <c r="AN34" t="s">
        <v>135</v>
      </c>
      <c r="AO34" t="s">
        <v>135</v>
      </c>
      <c r="AP34" t="s">
        <v>136</v>
      </c>
      <c r="AQ34" t="s">
        <v>137</v>
      </c>
      <c r="AR34" t="s">
        <v>138</v>
      </c>
      <c r="AS34" t="s">
        <v>139</v>
      </c>
      <c r="AT34" t="s">
        <v>140</v>
      </c>
      <c r="AU34">
        <v>102</v>
      </c>
      <c r="AV34">
        <v>10</v>
      </c>
      <c r="AW34">
        <v>1</v>
      </c>
      <c r="AX34" s="2">
        <v>45810</v>
      </c>
      <c r="AY34" t="s">
        <v>141</v>
      </c>
      <c r="AZ34" s="2">
        <v>46027</v>
      </c>
      <c r="BA34">
        <v>0</v>
      </c>
      <c r="BB34">
        <v>0</v>
      </c>
      <c r="BC34">
        <v>0</v>
      </c>
      <c r="BD34">
        <v>700</v>
      </c>
      <c r="BE34">
        <v>70</v>
      </c>
      <c r="BF34">
        <v>9</v>
      </c>
      <c r="BG34" s="2">
        <v>45536</v>
      </c>
      <c r="BH34" t="s">
        <v>142</v>
      </c>
      <c r="BI34" s="2">
        <v>46026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s="1">
        <v>1982.05</v>
      </c>
      <c r="BQ34" s="1">
        <v>1982.05</v>
      </c>
      <c r="BR34">
        <v>0</v>
      </c>
      <c r="BS34">
        <v>0</v>
      </c>
      <c r="BT34">
        <v>0</v>
      </c>
      <c r="BU34">
        <v>0</v>
      </c>
      <c r="BV34" s="1">
        <v>2883.4</v>
      </c>
      <c r="BW34" s="1">
        <v>2883.4</v>
      </c>
      <c r="BX34">
        <v>0</v>
      </c>
      <c r="BY34">
        <v>0</v>
      </c>
      <c r="BZ34">
        <v>0</v>
      </c>
      <c r="CA34">
        <v>0</v>
      </c>
      <c r="CB34" s="1">
        <v>1431.35</v>
      </c>
      <c r="CC34" t="s">
        <v>152</v>
      </c>
    </row>
    <row r="35" spans="1:81" x14ac:dyDescent="0.25">
      <c r="A35">
        <v>345</v>
      </c>
      <c r="B35">
        <v>2</v>
      </c>
      <c r="C35">
        <v>97</v>
      </c>
      <c r="D35" t="s">
        <v>325</v>
      </c>
      <c r="E35" t="s">
        <v>121</v>
      </c>
      <c r="F35" t="s">
        <v>326</v>
      </c>
      <c r="G35" t="s">
        <v>327</v>
      </c>
      <c r="H35" t="s">
        <v>328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329</v>
      </c>
      <c r="O35" t="s">
        <v>159</v>
      </c>
      <c r="P35">
        <v>0</v>
      </c>
      <c r="Q35" t="s">
        <v>125</v>
      </c>
      <c r="R35">
        <v>3</v>
      </c>
      <c r="S35">
        <v>85</v>
      </c>
      <c r="T35" t="s">
        <v>132</v>
      </c>
      <c r="U35" t="s">
        <v>133</v>
      </c>
      <c r="V35" s="1">
        <v>2262</v>
      </c>
      <c r="W35">
        <v>0</v>
      </c>
      <c r="X35" s="1">
        <v>2262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134</v>
      </c>
      <c r="AE35" t="s">
        <v>134</v>
      </c>
      <c r="AF35" s="2">
        <v>45518</v>
      </c>
      <c r="AG35" s="2">
        <v>46021</v>
      </c>
      <c r="AH35" s="1">
        <v>2008.85</v>
      </c>
      <c r="AI35" s="1">
        <v>4834.96</v>
      </c>
      <c r="AJ35" s="1">
        <v>16070.83</v>
      </c>
      <c r="AK35">
        <v>0</v>
      </c>
      <c r="AL35">
        <v>0</v>
      </c>
      <c r="AM35">
        <v>0</v>
      </c>
      <c r="AN35" t="s">
        <v>135</v>
      </c>
      <c r="AO35" t="s">
        <v>135</v>
      </c>
      <c r="AP35" t="s">
        <v>136</v>
      </c>
      <c r="AQ35" t="s">
        <v>137</v>
      </c>
      <c r="AR35" t="s">
        <v>138</v>
      </c>
      <c r="AS35" t="s">
        <v>139</v>
      </c>
      <c r="AT35" t="s">
        <v>140</v>
      </c>
      <c r="AU35">
        <v>102</v>
      </c>
      <c r="AV35">
        <v>10</v>
      </c>
      <c r="AW35">
        <v>1</v>
      </c>
      <c r="AX35" s="2">
        <v>45810</v>
      </c>
      <c r="AY35" t="s">
        <v>141</v>
      </c>
      <c r="AZ35" s="2">
        <v>46027</v>
      </c>
      <c r="BA35">
        <v>0</v>
      </c>
      <c r="BB35">
        <v>0</v>
      </c>
      <c r="BC35">
        <v>0</v>
      </c>
      <c r="BD35">
        <v>700</v>
      </c>
      <c r="BE35">
        <v>70</v>
      </c>
      <c r="BF35">
        <v>9</v>
      </c>
      <c r="BG35" s="2">
        <v>45536</v>
      </c>
      <c r="BH35" t="s">
        <v>142</v>
      </c>
      <c r="BI35" s="2">
        <v>46026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 s="1">
        <v>2511.91</v>
      </c>
      <c r="BQ35" s="1">
        <v>2511.91</v>
      </c>
      <c r="BR35">
        <v>0</v>
      </c>
      <c r="BS35">
        <v>0</v>
      </c>
      <c r="BT35">
        <v>0</v>
      </c>
      <c r="BU35">
        <v>0</v>
      </c>
      <c r="BV35" s="1">
        <v>9252.6299999999992</v>
      </c>
      <c r="BW35" s="1">
        <v>9252.6299999999992</v>
      </c>
      <c r="BX35">
        <v>0</v>
      </c>
      <c r="BY35">
        <v>0</v>
      </c>
      <c r="BZ35">
        <v>0</v>
      </c>
      <c r="CA35">
        <v>0</v>
      </c>
      <c r="CB35" s="1">
        <v>3655.87</v>
      </c>
      <c r="CC35" t="s">
        <v>152</v>
      </c>
    </row>
    <row r="36" spans="1:81" x14ac:dyDescent="0.25">
      <c r="A36">
        <v>345</v>
      </c>
      <c r="B36">
        <v>2</v>
      </c>
      <c r="C36">
        <v>102</v>
      </c>
      <c r="D36" t="s">
        <v>330</v>
      </c>
      <c r="E36" t="s">
        <v>121</v>
      </c>
      <c r="F36" t="s">
        <v>331</v>
      </c>
      <c r="G36" t="s">
        <v>332</v>
      </c>
      <c r="H36" t="s">
        <v>333</v>
      </c>
      <c r="I36" t="s">
        <v>334</v>
      </c>
      <c r="J36" t="s">
        <v>335</v>
      </c>
      <c r="K36" t="s">
        <v>336</v>
      </c>
      <c r="L36" t="s">
        <v>128</v>
      </c>
      <c r="M36" t="s">
        <v>337</v>
      </c>
      <c r="N36" t="s">
        <v>338</v>
      </c>
      <c r="O36" t="s">
        <v>131</v>
      </c>
      <c r="P36">
        <v>0</v>
      </c>
      <c r="Q36" t="s">
        <v>125</v>
      </c>
      <c r="R36">
        <v>6</v>
      </c>
      <c r="S36">
        <v>39</v>
      </c>
      <c r="T36" t="s">
        <v>132</v>
      </c>
      <c r="U36" t="s">
        <v>133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134</v>
      </c>
      <c r="AE36" t="s">
        <v>134</v>
      </c>
      <c r="AF36" s="2">
        <v>45518</v>
      </c>
      <c r="AG36" s="2">
        <v>46004</v>
      </c>
      <c r="AH36">
        <v>249.48</v>
      </c>
      <c r="AI36">
        <v>296</v>
      </c>
      <c r="AJ36" s="1">
        <v>1247.4000000000001</v>
      </c>
      <c r="AK36">
        <v>0</v>
      </c>
      <c r="AL36">
        <v>0</v>
      </c>
      <c r="AM36">
        <v>0</v>
      </c>
      <c r="AN36" t="s">
        <v>135</v>
      </c>
      <c r="AO36" t="s">
        <v>135</v>
      </c>
      <c r="AP36" t="s">
        <v>136</v>
      </c>
      <c r="AQ36" t="s">
        <v>137</v>
      </c>
      <c r="AR36" t="s">
        <v>138</v>
      </c>
      <c r="AS36" t="s">
        <v>139</v>
      </c>
      <c r="AT36" t="s">
        <v>140</v>
      </c>
      <c r="AU36">
        <v>101</v>
      </c>
      <c r="AV36">
        <v>10</v>
      </c>
      <c r="AW36">
        <v>1</v>
      </c>
      <c r="AX36" s="2">
        <v>45534</v>
      </c>
      <c r="AY36" t="s">
        <v>151</v>
      </c>
      <c r="AZ36" s="2">
        <v>46024</v>
      </c>
      <c r="BA36">
        <v>0</v>
      </c>
      <c r="BB36">
        <v>0</v>
      </c>
      <c r="BC36">
        <v>0</v>
      </c>
      <c r="BD36">
        <v>700</v>
      </c>
      <c r="BE36">
        <v>70</v>
      </c>
      <c r="BF36">
        <v>9</v>
      </c>
      <c r="BG36" s="2">
        <v>45536</v>
      </c>
      <c r="BH36" t="s">
        <v>142</v>
      </c>
      <c r="BI36" s="2">
        <v>46026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532.79999999999995</v>
      </c>
      <c r="BQ36">
        <v>532.79999999999995</v>
      </c>
      <c r="BR36">
        <v>0</v>
      </c>
      <c r="BS36">
        <v>0</v>
      </c>
      <c r="BT36">
        <v>0</v>
      </c>
      <c r="BU36">
        <v>0</v>
      </c>
      <c r="BV36">
        <v>236.8</v>
      </c>
      <c r="BW36">
        <v>236.8</v>
      </c>
      <c r="BX36">
        <v>0</v>
      </c>
      <c r="BY36">
        <v>0</v>
      </c>
      <c r="BZ36">
        <v>0</v>
      </c>
      <c r="CA36">
        <v>0</v>
      </c>
      <c r="CB36">
        <v>492.2</v>
      </c>
      <c r="CC36" t="s">
        <v>339</v>
      </c>
    </row>
    <row r="37" spans="1:81" x14ac:dyDescent="0.25">
      <c r="A37">
        <v>345</v>
      </c>
      <c r="B37">
        <v>2</v>
      </c>
      <c r="C37">
        <v>103</v>
      </c>
      <c r="D37" t="s">
        <v>340</v>
      </c>
      <c r="E37" t="s">
        <v>121</v>
      </c>
      <c r="F37" t="s">
        <v>341</v>
      </c>
      <c r="G37" t="s">
        <v>342</v>
      </c>
      <c r="H37" t="s">
        <v>343</v>
      </c>
      <c r="I37" t="s">
        <v>125</v>
      </c>
      <c r="J37" t="s">
        <v>157</v>
      </c>
      <c r="K37" t="s">
        <v>127</v>
      </c>
      <c r="L37" t="s">
        <v>128</v>
      </c>
      <c r="M37" t="s">
        <v>129</v>
      </c>
      <c r="N37" t="s">
        <v>344</v>
      </c>
      <c r="O37" t="s">
        <v>131</v>
      </c>
      <c r="P37">
        <v>0</v>
      </c>
      <c r="Q37" t="s">
        <v>125</v>
      </c>
      <c r="R37">
        <v>6</v>
      </c>
      <c r="S37">
        <v>44</v>
      </c>
      <c r="T37" t="s">
        <v>132</v>
      </c>
      <c r="U37" t="s">
        <v>133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134</v>
      </c>
      <c r="AE37" t="s">
        <v>134</v>
      </c>
      <c r="AF37" s="2">
        <v>45518</v>
      </c>
      <c r="AG37" s="2">
        <v>46020</v>
      </c>
      <c r="AH37" s="1">
        <v>1556.84</v>
      </c>
      <c r="AI37" s="1">
        <v>3848.02</v>
      </c>
      <c r="AJ37" s="1">
        <v>17125.240000000002</v>
      </c>
      <c r="AK37">
        <v>0</v>
      </c>
      <c r="AL37">
        <v>0</v>
      </c>
      <c r="AM37">
        <v>0</v>
      </c>
      <c r="AN37" t="s">
        <v>135</v>
      </c>
      <c r="AO37" t="s">
        <v>135</v>
      </c>
      <c r="AP37" t="s">
        <v>136</v>
      </c>
      <c r="AQ37" t="s">
        <v>137</v>
      </c>
      <c r="AR37" t="s">
        <v>138</v>
      </c>
      <c r="AS37" t="s">
        <v>150</v>
      </c>
      <c r="AT37" t="s">
        <v>140</v>
      </c>
      <c r="AU37">
        <v>501</v>
      </c>
      <c r="AV37">
        <v>10</v>
      </c>
      <c r="AW37">
        <v>1</v>
      </c>
      <c r="AX37" s="2">
        <v>45856</v>
      </c>
      <c r="AY37" t="s">
        <v>151</v>
      </c>
      <c r="AZ37" s="2">
        <v>46024</v>
      </c>
      <c r="BA37">
        <v>0</v>
      </c>
      <c r="BB37">
        <v>0</v>
      </c>
      <c r="BC37">
        <v>0</v>
      </c>
      <c r="BD37">
        <v>700</v>
      </c>
      <c r="BE37">
        <v>70</v>
      </c>
      <c r="BF37">
        <v>9</v>
      </c>
      <c r="BG37" s="2">
        <v>45536</v>
      </c>
      <c r="BH37" t="s">
        <v>142</v>
      </c>
      <c r="BI37" s="2">
        <v>46026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 s="1">
        <v>5707.18</v>
      </c>
      <c r="BQ37" s="1">
        <v>5707.18</v>
      </c>
      <c r="BR37">
        <v>0</v>
      </c>
      <c r="BS37">
        <v>0</v>
      </c>
      <c r="BT37">
        <v>0</v>
      </c>
      <c r="BU37">
        <v>0</v>
      </c>
      <c r="BV37" s="1">
        <v>9383.44</v>
      </c>
      <c r="BW37" s="1">
        <v>9383.44</v>
      </c>
      <c r="BX37">
        <v>0</v>
      </c>
      <c r="BY37">
        <v>0</v>
      </c>
      <c r="BZ37">
        <v>0</v>
      </c>
      <c r="CA37">
        <v>0</v>
      </c>
      <c r="CB37" s="1">
        <v>3719.51</v>
      </c>
      <c r="CC37" t="s">
        <v>143</v>
      </c>
    </row>
    <row r="38" spans="1:81" x14ac:dyDescent="0.25">
      <c r="A38">
        <v>345</v>
      </c>
      <c r="B38">
        <v>2</v>
      </c>
      <c r="C38">
        <v>105</v>
      </c>
      <c r="D38" t="s">
        <v>345</v>
      </c>
      <c r="E38" t="s">
        <v>121</v>
      </c>
      <c r="F38" t="s">
        <v>346</v>
      </c>
      <c r="G38" t="s">
        <v>347</v>
      </c>
      <c r="H38" t="s">
        <v>348</v>
      </c>
      <c r="I38" t="s">
        <v>125</v>
      </c>
      <c r="J38" t="s">
        <v>173</v>
      </c>
      <c r="K38" t="s">
        <v>127</v>
      </c>
      <c r="L38" t="s">
        <v>128</v>
      </c>
      <c r="M38" t="s">
        <v>129</v>
      </c>
      <c r="N38" t="s">
        <v>349</v>
      </c>
      <c r="O38" t="s">
        <v>195</v>
      </c>
      <c r="P38">
        <v>0</v>
      </c>
      <c r="Q38" t="s">
        <v>125</v>
      </c>
      <c r="R38">
        <v>6</v>
      </c>
      <c r="S38">
        <v>36</v>
      </c>
      <c r="T38" t="s">
        <v>132</v>
      </c>
      <c r="U38" t="s">
        <v>133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134</v>
      </c>
      <c r="AE38" t="s">
        <v>134</v>
      </c>
      <c r="AF38" s="2">
        <v>45518</v>
      </c>
      <c r="AG38" s="2">
        <v>46009</v>
      </c>
      <c r="AH38">
        <v>710.38</v>
      </c>
      <c r="AI38" s="1">
        <v>1300</v>
      </c>
      <c r="AJ38" s="1">
        <v>4262.28</v>
      </c>
      <c r="AK38">
        <v>0</v>
      </c>
      <c r="AL38">
        <v>0</v>
      </c>
      <c r="AM38">
        <v>0</v>
      </c>
      <c r="AN38" t="s">
        <v>135</v>
      </c>
      <c r="AO38" t="s">
        <v>135</v>
      </c>
      <c r="AP38" t="s">
        <v>136</v>
      </c>
      <c r="AQ38" t="s">
        <v>137</v>
      </c>
      <c r="AR38" t="s">
        <v>138</v>
      </c>
      <c r="AS38" t="s">
        <v>139</v>
      </c>
      <c r="AT38" t="s">
        <v>140</v>
      </c>
      <c r="AU38">
        <v>102</v>
      </c>
      <c r="AV38">
        <v>10</v>
      </c>
      <c r="AW38">
        <v>1</v>
      </c>
      <c r="AX38" s="2">
        <v>45847</v>
      </c>
      <c r="AY38" t="s">
        <v>168</v>
      </c>
      <c r="AZ38" s="2">
        <v>46022</v>
      </c>
      <c r="BA38">
        <v>0</v>
      </c>
      <c r="BB38">
        <v>0</v>
      </c>
      <c r="BC38">
        <v>0</v>
      </c>
      <c r="BD38">
        <v>700</v>
      </c>
      <c r="BE38">
        <v>70</v>
      </c>
      <c r="BF38">
        <v>9</v>
      </c>
      <c r="BG38" s="2">
        <v>45536</v>
      </c>
      <c r="BH38" t="s">
        <v>142</v>
      </c>
      <c r="BI38" s="2">
        <v>46026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 s="1">
        <v>1300</v>
      </c>
      <c r="BQ38" s="1">
        <v>1300</v>
      </c>
      <c r="BR38">
        <v>0</v>
      </c>
      <c r="BS38">
        <v>0</v>
      </c>
      <c r="BT38">
        <v>0</v>
      </c>
      <c r="BU38">
        <v>0</v>
      </c>
      <c r="BV38" s="1">
        <v>1318.48</v>
      </c>
      <c r="BW38" s="1">
        <v>1318.48</v>
      </c>
      <c r="BX38">
        <v>0</v>
      </c>
      <c r="BY38">
        <v>0</v>
      </c>
      <c r="BZ38">
        <v>0</v>
      </c>
      <c r="CA38">
        <v>0</v>
      </c>
      <c r="CB38" s="1">
        <v>1357.22</v>
      </c>
      <c r="CC38" t="s">
        <v>161</v>
      </c>
    </row>
    <row r="39" spans="1:81" x14ac:dyDescent="0.25">
      <c r="A39">
        <v>345</v>
      </c>
      <c r="B39">
        <v>2</v>
      </c>
      <c r="C39">
        <v>108</v>
      </c>
      <c r="D39" t="s">
        <v>350</v>
      </c>
      <c r="E39" t="s">
        <v>121</v>
      </c>
      <c r="F39" t="s">
        <v>351</v>
      </c>
      <c r="G39" t="s">
        <v>352</v>
      </c>
      <c r="H39" t="s">
        <v>353</v>
      </c>
      <c r="I39" t="s">
        <v>125</v>
      </c>
      <c r="J39" t="s">
        <v>173</v>
      </c>
      <c r="K39" t="s">
        <v>127</v>
      </c>
      <c r="L39" t="s">
        <v>128</v>
      </c>
      <c r="M39" t="s">
        <v>129</v>
      </c>
      <c r="N39" t="s">
        <v>354</v>
      </c>
      <c r="O39" t="s">
        <v>149</v>
      </c>
      <c r="P39">
        <v>0</v>
      </c>
      <c r="Q39" t="s">
        <v>125</v>
      </c>
      <c r="R39">
        <v>6</v>
      </c>
      <c r="S39">
        <v>42</v>
      </c>
      <c r="T39" t="s">
        <v>132</v>
      </c>
      <c r="U39" t="s">
        <v>133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134</v>
      </c>
      <c r="AE39" t="s">
        <v>134</v>
      </c>
      <c r="AF39" s="2">
        <v>45518</v>
      </c>
      <c r="AG39" s="2">
        <v>46019</v>
      </c>
      <c r="AH39" s="1">
        <v>5590</v>
      </c>
      <c r="AI39" s="1">
        <v>11370.15</v>
      </c>
      <c r="AJ39" s="1">
        <v>89440.06</v>
      </c>
      <c r="AK39">
        <v>0</v>
      </c>
      <c r="AL39">
        <v>0</v>
      </c>
      <c r="AM39">
        <v>0</v>
      </c>
      <c r="AN39" t="s">
        <v>135</v>
      </c>
      <c r="AO39" t="s">
        <v>135</v>
      </c>
      <c r="AP39" t="s">
        <v>136</v>
      </c>
      <c r="AQ39" t="s">
        <v>137</v>
      </c>
      <c r="AR39" t="s">
        <v>138</v>
      </c>
      <c r="AS39" t="s">
        <v>139</v>
      </c>
      <c r="AT39" t="s">
        <v>140</v>
      </c>
      <c r="AU39">
        <v>501</v>
      </c>
      <c r="AV39">
        <v>10</v>
      </c>
      <c r="AW39">
        <v>1</v>
      </c>
      <c r="AX39" s="2">
        <v>45856</v>
      </c>
      <c r="AY39" t="s">
        <v>151</v>
      </c>
      <c r="AZ39" s="2">
        <v>46024</v>
      </c>
      <c r="BA39">
        <v>0</v>
      </c>
      <c r="BB39">
        <v>0</v>
      </c>
      <c r="BC39">
        <v>0</v>
      </c>
      <c r="BD39">
        <v>700</v>
      </c>
      <c r="BE39">
        <v>70</v>
      </c>
      <c r="BF39">
        <v>9</v>
      </c>
      <c r="BG39" s="2">
        <v>45536</v>
      </c>
      <c r="BH39" t="s">
        <v>142</v>
      </c>
      <c r="BI39" s="2">
        <v>46026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s="1">
        <v>31297.62</v>
      </c>
      <c r="BQ39" s="1">
        <v>31297.62</v>
      </c>
      <c r="BR39">
        <v>0</v>
      </c>
      <c r="BS39">
        <v>0</v>
      </c>
      <c r="BT39">
        <v>0</v>
      </c>
      <c r="BU39">
        <v>0</v>
      </c>
      <c r="BV39" s="1">
        <v>36835.74</v>
      </c>
      <c r="BW39" s="1">
        <v>36835.74</v>
      </c>
      <c r="BX39">
        <v>0</v>
      </c>
      <c r="BY39">
        <v>0</v>
      </c>
      <c r="BZ39">
        <v>0</v>
      </c>
      <c r="CA39">
        <v>0</v>
      </c>
      <c r="CB39" s="1">
        <v>25719.79</v>
      </c>
      <c r="CC39" t="s">
        <v>152</v>
      </c>
    </row>
    <row r="40" spans="1:81" x14ac:dyDescent="0.25">
      <c r="A40">
        <v>345</v>
      </c>
      <c r="B40">
        <v>2</v>
      </c>
      <c r="C40">
        <v>109</v>
      </c>
      <c r="D40" t="s">
        <v>355</v>
      </c>
      <c r="E40" t="s">
        <v>121</v>
      </c>
      <c r="F40" t="s">
        <v>356</v>
      </c>
      <c r="G40" t="s">
        <v>357</v>
      </c>
      <c r="H40" t="s">
        <v>358</v>
      </c>
      <c r="I40" t="s">
        <v>125</v>
      </c>
      <c r="J40" t="s">
        <v>157</v>
      </c>
      <c r="K40" t="s">
        <v>127</v>
      </c>
      <c r="L40" t="s">
        <v>128</v>
      </c>
      <c r="M40" t="s">
        <v>129</v>
      </c>
      <c r="N40" t="s">
        <v>359</v>
      </c>
      <c r="O40" t="s">
        <v>131</v>
      </c>
      <c r="P40">
        <v>0</v>
      </c>
      <c r="Q40" t="s">
        <v>125</v>
      </c>
      <c r="R40">
        <v>6</v>
      </c>
      <c r="S40">
        <v>42</v>
      </c>
      <c r="T40" t="s">
        <v>132</v>
      </c>
      <c r="U40" t="s">
        <v>133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134</v>
      </c>
      <c r="AE40" t="s">
        <v>134</v>
      </c>
      <c r="AF40" s="2">
        <v>45518</v>
      </c>
      <c r="AG40" s="2">
        <v>46017</v>
      </c>
      <c r="AH40" s="1">
        <v>2626.08</v>
      </c>
      <c r="AI40" s="1">
        <v>3743.6</v>
      </c>
      <c r="AJ40" s="1">
        <v>34139.160000000003</v>
      </c>
      <c r="AK40">
        <v>0</v>
      </c>
      <c r="AL40">
        <v>0</v>
      </c>
      <c r="AM40">
        <v>0</v>
      </c>
      <c r="AN40" t="s">
        <v>135</v>
      </c>
      <c r="AO40" t="s">
        <v>135</v>
      </c>
      <c r="AP40" t="s">
        <v>136</v>
      </c>
      <c r="AQ40" t="s">
        <v>137</v>
      </c>
      <c r="AR40" t="s">
        <v>138</v>
      </c>
      <c r="AS40" t="s">
        <v>139</v>
      </c>
      <c r="AT40" t="s">
        <v>140</v>
      </c>
      <c r="AU40">
        <v>102</v>
      </c>
      <c r="AV40">
        <v>10</v>
      </c>
      <c r="AW40">
        <v>1</v>
      </c>
      <c r="AX40" s="2">
        <v>45842</v>
      </c>
      <c r="AY40" t="s">
        <v>151</v>
      </c>
      <c r="AZ40" s="2">
        <v>46024</v>
      </c>
      <c r="BA40">
        <v>0</v>
      </c>
      <c r="BB40">
        <v>0</v>
      </c>
      <c r="BC40">
        <v>0</v>
      </c>
      <c r="BD40">
        <v>700</v>
      </c>
      <c r="BE40">
        <v>70</v>
      </c>
      <c r="BF40">
        <v>9</v>
      </c>
      <c r="BG40" s="2">
        <v>45536</v>
      </c>
      <c r="BH40" t="s">
        <v>142</v>
      </c>
      <c r="BI40" s="2">
        <v>46026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s="1">
        <v>14360</v>
      </c>
      <c r="BQ40" s="1">
        <v>14360</v>
      </c>
      <c r="BR40">
        <v>0</v>
      </c>
      <c r="BS40">
        <v>0</v>
      </c>
      <c r="BT40">
        <v>0</v>
      </c>
      <c r="BU40">
        <v>0</v>
      </c>
      <c r="BV40" s="1">
        <v>10593.72</v>
      </c>
      <c r="BW40" s="1">
        <v>10593.72</v>
      </c>
      <c r="BX40">
        <v>0</v>
      </c>
      <c r="BY40">
        <v>0</v>
      </c>
      <c r="BZ40">
        <v>0</v>
      </c>
      <c r="CA40">
        <v>0</v>
      </c>
      <c r="CB40" s="1">
        <v>9844.1200000000008</v>
      </c>
      <c r="CC40" t="s">
        <v>143</v>
      </c>
    </row>
    <row r="41" spans="1:81" x14ac:dyDescent="0.25">
      <c r="A41">
        <v>345</v>
      </c>
      <c r="B41">
        <v>2</v>
      </c>
      <c r="C41">
        <v>117</v>
      </c>
      <c r="D41" t="s">
        <v>360</v>
      </c>
      <c r="E41" t="s">
        <v>121</v>
      </c>
      <c r="F41" t="s">
        <v>361</v>
      </c>
      <c r="G41" t="s">
        <v>362</v>
      </c>
      <c r="H41" t="s">
        <v>363</v>
      </c>
      <c r="I41" t="s">
        <v>125</v>
      </c>
      <c r="J41" t="s">
        <v>364</v>
      </c>
      <c r="K41" t="s">
        <v>127</v>
      </c>
      <c r="L41" t="s">
        <v>128</v>
      </c>
      <c r="M41" t="s">
        <v>129</v>
      </c>
      <c r="N41" t="s">
        <v>365</v>
      </c>
      <c r="O41" t="s">
        <v>131</v>
      </c>
      <c r="P41">
        <v>0</v>
      </c>
      <c r="Q41" t="s">
        <v>125</v>
      </c>
      <c r="R41">
        <v>6</v>
      </c>
      <c r="S41">
        <v>41</v>
      </c>
      <c r="T41" t="s">
        <v>132</v>
      </c>
      <c r="U41" t="s">
        <v>133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134</v>
      </c>
      <c r="AE41" t="s">
        <v>134</v>
      </c>
      <c r="AF41" s="2">
        <v>45518</v>
      </c>
      <c r="AG41" s="2">
        <v>46011</v>
      </c>
      <c r="AH41">
        <v>120.8</v>
      </c>
      <c r="AI41">
        <v>186</v>
      </c>
      <c r="AJ41">
        <v>483.21</v>
      </c>
      <c r="AK41">
        <v>0</v>
      </c>
      <c r="AL41">
        <v>0</v>
      </c>
      <c r="AM41">
        <v>0</v>
      </c>
      <c r="AN41" t="s">
        <v>135</v>
      </c>
      <c r="AO41" t="s">
        <v>135</v>
      </c>
      <c r="AP41" t="s">
        <v>136</v>
      </c>
      <c r="AQ41" t="s">
        <v>137</v>
      </c>
      <c r="AR41" t="s">
        <v>138</v>
      </c>
      <c r="AS41" t="s">
        <v>139</v>
      </c>
      <c r="AT41" t="s">
        <v>140</v>
      </c>
      <c r="AU41">
        <v>102</v>
      </c>
      <c r="AV41">
        <v>10</v>
      </c>
      <c r="AW41">
        <v>1</v>
      </c>
      <c r="AX41" s="2">
        <v>45848</v>
      </c>
      <c r="AY41" t="s">
        <v>308</v>
      </c>
      <c r="AZ41" s="2">
        <v>46023</v>
      </c>
      <c r="BA41">
        <v>0</v>
      </c>
      <c r="BB41">
        <v>0</v>
      </c>
      <c r="BC41">
        <v>0</v>
      </c>
      <c r="BD41">
        <v>700</v>
      </c>
      <c r="BE41">
        <v>70</v>
      </c>
      <c r="BF41">
        <v>9</v>
      </c>
      <c r="BG41" s="2">
        <v>45536</v>
      </c>
      <c r="BH41" t="s">
        <v>142</v>
      </c>
      <c r="BI41" s="2">
        <v>46026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111.21</v>
      </c>
      <c r="BQ41">
        <v>111.21</v>
      </c>
      <c r="BR41">
        <v>0</v>
      </c>
      <c r="BS41">
        <v>0</v>
      </c>
      <c r="BT41">
        <v>0</v>
      </c>
      <c r="BU41">
        <v>0</v>
      </c>
      <c r="BV41">
        <v>186</v>
      </c>
      <c r="BW41">
        <v>186</v>
      </c>
      <c r="BX41">
        <v>0</v>
      </c>
      <c r="BY41">
        <v>0</v>
      </c>
      <c r="BZ41">
        <v>0</v>
      </c>
      <c r="CA41">
        <v>0</v>
      </c>
      <c r="CB41">
        <v>122.6</v>
      </c>
      <c r="CC41" t="s">
        <v>143</v>
      </c>
    </row>
    <row r="42" spans="1:81" x14ac:dyDescent="0.25">
      <c r="A42">
        <v>345</v>
      </c>
      <c r="B42">
        <v>2</v>
      </c>
      <c r="C42">
        <v>118</v>
      </c>
      <c r="D42" t="s">
        <v>366</v>
      </c>
      <c r="E42" t="s">
        <v>121</v>
      </c>
      <c r="F42" t="s">
        <v>367</v>
      </c>
      <c r="G42" t="s">
        <v>368</v>
      </c>
      <c r="H42" t="s">
        <v>369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370</v>
      </c>
      <c r="O42" t="s">
        <v>131</v>
      </c>
      <c r="P42">
        <v>0</v>
      </c>
      <c r="Q42" t="s">
        <v>125</v>
      </c>
      <c r="R42">
        <v>6</v>
      </c>
      <c r="S42">
        <v>41</v>
      </c>
      <c r="T42" t="s">
        <v>132</v>
      </c>
      <c r="U42" t="s">
        <v>133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134</v>
      </c>
      <c r="AE42" t="s">
        <v>134</v>
      </c>
      <c r="AF42" s="2">
        <v>45518</v>
      </c>
      <c r="AG42" s="2">
        <v>46021</v>
      </c>
      <c r="AH42">
        <v>981.88</v>
      </c>
      <c r="AI42" s="1">
        <v>3512.09</v>
      </c>
      <c r="AJ42" s="1">
        <v>9818.81</v>
      </c>
      <c r="AK42">
        <v>0</v>
      </c>
      <c r="AL42">
        <v>0</v>
      </c>
      <c r="AM42">
        <v>0</v>
      </c>
      <c r="AN42" t="s">
        <v>135</v>
      </c>
      <c r="AO42" t="s">
        <v>135</v>
      </c>
      <c r="AP42" t="s">
        <v>136</v>
      </c>
      <c r="AQ42" t="s">
        <v>137</v>
      </c>
      <c r="AR42" t="s">
        <v>138</v>
      </c>
      <c r="AS42" t="s">
        <v>139</v>
      </c>
      <c r="AT42" t="s">
        <v>140</v>
      </c>
      <c r="AU42">
        <v>102</v>
      </c>
      <c r="AV42">
        <v>10</v>
      </c>
      <c r="AW42">
        <v>1</v>
      </c>
      <c r="AX42" s="2">
        <v>45847</v>
      </c>
      <c r="AY42" t="s">
        <v>168</v>
      </c>
      <c r="AZ42" s="2">
        <v>46022</v>
      </c>
      <c r="BA42">
        <v>0</v>
      </c>
      <c r="BB42">
        <v>0</v>
      </c>
      <c r="BC42">
        <v>0</v>
      </c>
      <c r="BD42">
        <v>700</v>
      </c>
      <c r="BE42">
        <v>70</v>
      </c>
      <c r="BF42">
        <v>9</v>
      </c>
      <c r="BG42" s="2">
        <v>45536</v>
      </c>
      <c r="BH42" t="s">
        <v>142</v>
      </c>
      <c r="BI42" s="2">
        <v>46026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528.27</v>
      </c>
      <c r="BQ42">
        <v>528.27</v>
      </c>
      <c r="BR42">
        <v>0</v>
      </c>
      <c r="BS42">
        <v>0</v>
      </c>
      <c r="BT42">
        <v>0</v>
      </c>
      <c r="BU42">
        <v>0</v>
      </c>
      <c r="BV42" s="1">
        <v>1411.63</v>
      </c>
      <c r="BW42" s="1">
        <v>1411.63</v>
      </c>
      <c r="BX42">
        <v>0</v>
      </c>
      <c r="BY42">
        <v>0</v>
      </c>
      <c r="BZ42">
        <v>0</v>
      </c>
      <c r="CA42">
        <v>0</v>
      </c>
      <c r="CB42" s="1">
        <v>5090</v>
      </c>
      <c r="CC42" t="s">
        <v>143</v>
      </c>
    </row>
    <row r="43" spans="1:81" x14ac:dyDescent="0.25">
      <c r="A43">
        <v>345</v>
      </c>
      <c r="B43">
        <v>2</v>
      </c>
      <c r="C43">
        <v>124</v>
      </c>
      <c r="D43" t="s">
        <v>371</v>
      </c>
      <c r="E43" t="s">
        <v>121</v>
      </c>
      <c r="F43" t="s">
        <v>372</v>
      </c>
      <c r="G43" t="s">
        <v>373</v>
      </c>
      <c r="H43" t="s">
        <v>374</v>
      </c>
      <c r="I43" t="s">
        <v>125</v>
      </c>
      <c r="J43" t="s">
        <v>375</v>
      </c>
      <c r="K43" t="s">
        <v>336</v>
      </c>
      <c r="L43" t="s">
        <v>128</v>
      </c>
      <c r="M43" t="s">
        <v>337</v>
      </c>
      <c r="N43" t="s">
        <v>376</v>
      </c>
      <c r="O43" t="s">
        <v>149</v>
      </c>
      <c r="P43">
        <v>0</v>
      </c>
      <c r="Q43" t="s">
        <v>125</v>
      </c>
      <c r="R43">
        <v>6</v>
      </c>
      <c r="S43">
        <v>40</v>
      </c>
      <c r="T43" t="s">
        <v>132</v>
      </c>
      <c r="U43" t="s">
        <v>133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134</v>
      </c>
      <c r="AE43" t="s">
        <v>134</v>
      </c>
      <c r="AF43" s="2">
        <v>45518</v>
      </c>
      <c r="AG43" s="2">
        <v>46008</v>
      </c>
      <c r="AH43">
        <v>742.27</v>
      </c>
      <c r="AI43" s="1">
        <v>1366.4</v>
      </c>
      <c r="AJ43" s="1">
        <v>6680.48</v>
      </c>
      <c r="AK43">
        <v>0</v>
      </c>
      <c r="AL43">
        <v>0</v>
      </c>
      <c r="AM43">
        <v>0</v>
      </c>
      <c r="AN43" t="s">
        <v>135</v>
      </c>
      <c r="AO43" t="s">
        <v>135</v>
      </c>
      <c r="AP43" t="s">
        <v>136</v>
      </c>
      <c r="AQ43" t="s">
        <v>137</v>
      </c>
      <c r="AR43" t="s">
        <v>138</v>
      </c>
      <c r="AS43" t="s">
        <v>139</v>
      </c>
      <c r="AT43" t="s">
        <v>140</v>
      </c>
      <c r="AU43">
        <v>101</v>
      </c>
      <c r="AV43">
        <v>10</v>
      </c>
      <c r="AW43">
        <v>1</v>
      </c>
      <c r="AX43" s="2">
        <v>45874</v>
      </c>
      <c r="AY43" t="s">
        <v>377</v>
      </c>
      <c r="AZ43" s="2">
        <v>46028</v>
      </c>
      <c r="BA43">
        <v>0</v>
      </c>
      <c r="BB43">
        <v>0</v>
      </c>
      <c r="BC43">
        <v>0</v>
      </c>
      <c r="BD43">
        <v>700</v>
      </c>
      <c r="BE43">
        <v>70</v>
      </c>
      <c r="BF43">
        <v>9</v>
      </c>
      <c r="BG43" s="2">
        <v>45536</v>
      </c>
      <c r="BH43" t="s">
        <v>142</v>
      </c>
      <c r="BI43" s="2">
        <v>46026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 s="1">
        <v>2079.48</v>
      </c>
      <c r="BQ43" s="1">
        <v>2079.48</v>
      </c>
      <c r="BR43">
        <v>0</v>
      </c>
      <c r="BS43">
        <v>0</v>
      </c>
      <c r="BT43">
        <v>0</v>
      </c>
      <c r="BU43">
        <v>0</v>
      </c>
      <c r="BV43" s="1">
        <v>1954.9</v>
      </c>
      <c r="BW43" s="1">
        <v>1954.9</v>
      </c>
      <c r="BX43">
        <v>0</v>
      </c>
      <c r="BY43">
        <v>0</v>
      </c>
      <c r="BZ43">
        <v>0</v>
      </c>
      <c r="CA43">
        <v>0</v>
      </c>
      <c r="CB43" s="1">
        <v>2396.63</v>
      </c>
      <c r="CC43" t="s">
        <v>152</v>
      </c>
    </row>
    <row r="44" spans="1:81" x14ac:dyDescent="0.25">
      <c r="A44">
        <v>345</v>
      </c>
      <c r="B44">
        <v>2</v>
      </c>
      <c r="C44">
        <v>132</v>
      </c>
      <c r="D44" t="s">
        <v>378</v>
      </c>
      <c r="E44" t="s">
        <v>121</v>
      </c>
      <c r="F44" t="s">
        <v>379</v>
      </c>
      <c r="G44" t="s">
        <v>380</v>
      </c>
      <c r="H44" t="s">
        <v>381</v>
      </c>
      <c r="I44" t="s">
        <v>382</v>
      </c>
      <c r="J44" t="s">
        <v>383</v>
      </c>
      <c r="K44" t="s">
        <v>127</v>
      </c>
      <c r="L44" t="s">
        <v>128</v>
      </c>
      <c r="M44" t="s">
        <v>129</v>
      </c>
      <c r="N44" t="s">
        <v>384</v>
      </c>
      <c r="O44" t="s">
        <v>149</v>
      </c>
      <c r="P44">
        <v>0</v>
      </c>
      <c r="Q44" t="s">
        <v>125</v>
      </c>
      <c r="R44">
        <v>6</v>
      </c>
      <c r="S44">
        <v>40</v>
      </c>
      <c r="T44" t="s">
        <v>132</v>
      </c>
      <c r="U44" t="s">
        <v>133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134</v>
      </c>
      <c r="AE44" t="s">
        <v>134</v>
      </c>
      <c r="AF44" s="2">
        <v>45518</v>
      </c>
      <c r="AG44" s="2">
        <v>46021</v>
      </c>
      <c r="AH44" s="1">
        <v>1900.78</v>
      </c>
      <c r="AI44" s="1">
        <v>2632.91</v>
      </c>
      <c r="AJ44" s="1">
        <v>5702.35</v>
      </c>
      <c r="AK44">
        <v>0</v>
      </c>
      <c r="AL44">
        <v>0</v>
      </c>
      <c r="AM44">
        <v>0</v>
      </c>
      <c r="AN44" t="s">
        <v>135</v>
      </c>
      <c r="AO44" t="s">
        <v>135</v>
      </c>
      <c r="AP44" t="s">
        <v>136</v>
      </c>
      <c r="AQ44" t="s">
        <v>137</v>
      </c>
      <c r="AR44" t="s">
        <v>138</v>
      </c>
      <c r="AS44" t="s">
        <v>139</v>
      </c>
      <c r="AT44" t="s">
        <v>140</v>
      </c>
      <c r="AU44">
        <v>102</v>
      </c>
      <c r="AV44">
        <v>10</v>
      </c>
      <c r="AW44">
        <v>1</v>
      </c>
      <c r="AX44" s="2">
        <v>45537</v>
      </c>
      <c r="AY44" t="s">
        <v>141</v>
      </c>
      <c r="AZ44" s="2">
        <v>46027</v>
      </c>
      <c r="BA44">
        <v>0</v>
      </c>
      <c r="BB44">
        <v>0</v>
      </c>
      <c r="BC44">
        <v>0</v>
      </c>
      <c r="BD44">
        <v>700</v>
      </c>
      <c r="BE44">
        <v>70</v>
      </c>
      <c r="BF44">
        <v>9</v>
      </c>
      <c r="BG44" s="2">
        <v>45536</v>
      </c>
      <c r="BH44" t="s">
        <v>142</v>
      </c>
      <c r="BI44" s="2">
        <v>46026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 s="1">
        <v>2632.91</v>
      </c>
      <c r="BQ44" s="1">
        <v>2632.91</v>
      </c>
      <c r="BR44">
        <v>0</v>
      </c>
      <c r="BS44">
        <v>0</v>
      </c>
      <c r="BT44">
        <v>0</v>
      </c>
      <c r="BU44">
        <v>0</v>
      </c>
      <c r="BV44" s="1">
        <v>3069.44</v>
      </c>
      <c r="BW44" s="1">
        <v>3069.44</v>
      </c>
      <c r="BX44">
        <v>0</v>
      </c>
      <c r="BY44">
        <v>0</v>
      </c>
      <c r="BZ44">
        <v>0</v>
      </c>
      <c r="CA44">
        <v>0</v>
      </c>
      <c r="CB44" s="1">
        <v>1608.43</v>
      </c>
      <c r="CC44" t="s">
        <v>152</v>
      </c>
    </row>
    <row r="45" spans="1:81" x14ac:dyDescent="0.25">
      <c r="A45">
        <v>345</v>
      </c>
      <c r="B45">
        <v>2</v>
      </c>
      <c r="C45">
        <v>135</v>
      </c>
      <c r="D45" t="s">
        <v>385</v>
      </c>
      <c r="E45" t="s">
        <v>121</v>
      </c>
      <c r="F45" t="s">
        <v>386</v>
      </c>
      <c r="G45" t="s">
        <v>387</v>
      </c>
      <c r="H45" t="s">
        <v>328</v>
      </c>
      <c r="I45" t="s">
        <v>125</v>
      </c>
      <c r="J45" t="s">
        <v>173</v>
      </c>
      <c r="K45" t="s">
        <v>127</v>
      </c>
      <c r="L45" t="s">
        <v>128</v>
      </c>
      <c r="M45" t="s">
        <v>129</v>
      </c>
      <c r="N45" t="s">
        <v>388</v>
      </c>
      <c r="O45" t="s">
        <v>149</v>
      </c>
      <c r="P45">
        <v>0</v>
      </c>
      <c r="Q45" t="s">
        <v>125</v>
      </c>
      <c r="R45">
        <v>6</v>
      </c>
      <c r="S45">
        <v>41</v>
      </c>
      <c r="T45" t="s">
        <v>132</v>
      </c>
      <c r="U45" t="s">
        <v>133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134</v>
      </c>
      <c r="AE45" t="s">
        <v>134</v>
      </c>
      <c r="AF45" s="2">
        <v>45518</v>
      </c>
      <c r="AG45" s="2">
        <v>46020</v>
      </c>
      <c r="AH45" s="1">
        <v>1467.61</v>
      </c>
      <c r="AI45" s="1">
        <v>4569.53</v>
      </c>
      <c r="AJ45" s="1">
        <v>17611.43</v>
      </c>
      <c r="AK45">
        <v>0</v>
      </c>
      <c r="AL45">
        <v>0</v>
      </c>
      <c r="AM45">
        <v>0</v>
      </c>
      <c r="AN45" t="s">
        <v>135</v>
      </c>
      <c r="AO45" t="s">
        <v>135</v>
      </c>
      <c r="AP45" t="s">
        <v>136</v>
      </c>
      <c r="AQ45" t="s">
        <v>137</v>
      </c>
      <c r="AR45" t="s">
        <v>138</v>
      </c>
      <c r="AS45" t="s">
        <v>139</v>
      </c>
      <c r="AT45" t="s">
        <v>140</v>
      </c>
      <c r="AU45">
        <v>501</v>
      </c>
      <c r="AV45">
        <v>10</v>
      </c>
      <c r="AW45">
        <v>1</v>
      </c>
      <c r="AX45" s="2">
        <v>45856</v>
      </c>
      <c r="AY45" t="s">
        <v>151</v>
      </c>
      <c r="AZ45" s="2">
        <v>46024</v>
      </c>
      <c r="BA45">
        <v>0</v>
      </c>
      <c r="BB45">
        <v>0</v>
      </c>
      <c r="BC45">
        <v>0</v>
      </c>
      <c r="BD45">
        <v>700</v>
      </c>
      <c r="BE45">
        <v>70</v>
      </c>
      <c r="BF45">
        <v>9</v>
      </c>
      <c r="BG45" s="2">
        <v>45536</v>
      </c>
      <c r="BH45" t="s">
        <v>142</v>
      </c>
      <c r="BI45" s="2">
        <v>46026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 s="1">
        <v>5384.38</v>
      </c>
      <c r="BQ45" s="1">
        <v>5384.38</v>
      </c>
      <c r="BR45">
        <v>0</v>
      </c>
      <c r="BS45">
        <v>0</v>
      </c>
      <c r="BT45">
        <v>0</v>
      </c>
      <c r="BU45">
        <v>0</v>
      </c>
      <c r="BV45" s="1">
        <v>8108.08</v>
      </c>
      <c r="BW45" s="1">
        <v>8108.08</v>
      </c>
      <c r="BX45">
        <v>0</v>
      </c>
      <c r="BY45">
        <v>0</v>
      </c>
      <c r="BZ45">
        <v>0</v>
      </c>
      <c r="CA45">
        <v>0</v>
      </c>
      <c r="CB45" s="1">
        <v>5129.29</v>
      </c>
      <c r="CC45" t="s">
        <v>152</v>
      </c>
    </row>
    <row r="46" spans="1:81" x14ac:dyDescent="0.25">
      <c r="A46">
        <v>345</v>
      </c>
      <c r="B46">
        <v>2</v>
      </c>
      <c r="C46">
        <v>147</v>
      </c>
      <c r="D46" t="s">
        <v>389</v>
      </c>
      <c r="E46" t="s">
        <v>121</v>
      </c>
      <c r="F46" t="s">
        <v>390</v>
      </c>
      <c r="G46" t="s">
        <v>391</v>
      </c>
      <c r="H46" t="s">
        <v>392</v>
      </c>
      <c r="I46" t="s">
        <v>382</v>
      </c>
      <c r="J46" t="s">
        <v>126</v>
      </c>
      <c r="K46" t="s">
        <v>127</v>
      </c>
      <c r="L46" t="s">
        <v>128</v>
      </c>
      <c r="M46" t="s">
        <v>129</v>
      </c>
      <c r="N46" t="s">
        <v>393</v>
      </c>
      <c r="O46" t="s">
        <v>131</v>
      </c>
      <c r="P46">
        <v>0</v>
      </c>
      <c r="Q46" t="s">
        <v>125</v>
      </c>
      <c r="R46">
        <v>6</v>
      </c>
      <c r="S46">
        <v>40</v>
      </c>
      <c r="T46" t="s">
        <v>132</v>
      </c>
      <c r="U46" t="s">
        <v>133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134</v>
      </c>
      <c r="AE46" t="s">
        <v>134</v>
      </c>
      <c r="AF46" s="2">
        <v>45518</v>
      </c>
      <c r="AG46" s="2">
        <v>46009</v>
      </c>
      <c r="AH46" s="1">
        <v>2175.9499999999998</v>
      </c>
      <c r="AI46" s="1">
        <v>2759.7</v>
      </c>
      <c r="AJ46" s="1">
        <v>6527.86</v>
      </c>
      <c r="AK46">
        <v>0</v>
      </c>
      <c r="AL46">
        <v>0</v>
      </c>
      <c r="AM46">
        <v>0</v>
      </c>
      <c r="AN46" t="s">
        <v>135</v>
      </c>
      <c r="AO46" t="s">
        <v>135</v>
      </c>
      <c r="AP46" t="s">
        <v>136</v>
      </c>
      <c r="AQ46" t="s">
        <v>137</v>
      </c>
      <c r="AR46" t="s">
        <v>138</v>
      </c>
      <c r="AS46" t="s">
        <v>139</v>
      </c>
      <c r="AT46" t="s">
        <v>140</v>
      </c>
      <c r="AU46">
        <v>102</v>
      </c>
      <c r="AV46">
        <v>10</v>
      </c>
      <c r="AW46">
        <v>1</v>
      </c>
      <c r="AX46" s="2">
        <v>45854</v>
      </c>
      <c r="AY46" t="s">
        <v>168</v>
      </c>
      <c r="AZ46" s="2">
        <v>46022</v>
      </c>
      <c r="BA46">
        <v>0</v>
      </c>
      <c r="BB46">
        <v>0</v>
      </c>
      <c r="BC46">
        <v>0</v>
      </c>
      <c r="BD46">
        <v>700</v>
      </c>
      <c r="BE46">
        <v>70</v>
      </c>
      <c r="BF46">
        <v>9</v>
      </c>
      <c r="BG46" s="2">
        <v>45536</v>
      </c>
      <c r="BH46" t="s">
        <v>142</v>
      </c>
      <c r="BI46" s="2">
        <v>46026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 s="1">
        <v>2107.7800000000002</v>
      </c>
      <c r="BQ46" s="1">
        <v>2107.7800000000002</v>
      </c>
      <c r="BR46">
        <v>0</v>
      </c>
      <c r="BS46">
        <v>0</v>
      </c>
      <c r="BT46">
        <v>0</v>
      </c>
      <c r="BU46">
        <v>0</v>
      </c>
      <c r="BV46" s="1">
        <v>1660.38</v>
      </c>
      <c r="BW46" s="1">
        <v>1660.38</v>
      </c>
      <c r="BX46">
        <v>0</v>
      </c>
      <c r="BY46">
        <v>0</v>
      </c>
      <c r="BZ46">
        <v>0</v>
      </c>
      <c r="CA46">
        <v>0</v>
      </c>
      <c r="CB46" s="1">
        <v>2541.87</v>
      </c>
      <c r="CC46" t="s">
        <v>143</v>
      </c>
    </row>
    <row r="47" spans="1:81" x14ac:dyDescent="0.25">
      <c r="A47">
        <v>345</v>
      </c>
      <c r="B47">
        <v>2</v>
      </c>
      <c r="C47">
        <v>148</v>
      </c>
      <c r="D47" t="s">
        <v>394</v>
      </c>
      <c r="E47" t="s">
        <v>121</v>
      </c>
      <c r="F47" t="s">
        <v>395</v>
      </c>
      <c r="G47" t="s">
        <v>396</v>
      </c>
      <c r="H47" t="s">
        <v>397</v>
      </c>
      <c r="I47" t="s">
        <v>398</v>
      </c>
      <c r="J47" t="s">
        <v>126</v>
      </c>
      <c r="K47" t="s">
        <v>127</v>
      </c>
      <c r="L47" t="s">
        <v>128</v>
      </c>
      <c r="M47" t="s">
        <v>129</v>
      </c>
      <c r="N47" t="s">
        <v>399</v>
      </c>
      <c r="O47" t="s">
        <v>149</v>
      </c>
      <c r="P47">
        <v>0</v>
      </c>
      <c r="Q47" t="s">
        <v>125</v>
      </c>
      <c r="R47">
        <v>6</v>
      </c>
      <c r="S47">
        <v>42</v>
      </c>
      <c r="T47" t="s">
        <v>132</v>
      </c>
      <c r="U47" t="s">
        <v>133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134</v>
      </c>
      <c r="AE47" t="s">
        <v>134</v>
      </c>
      <c r="AF47" s="2">
        <v>45518</v>
      </c>
      <c r="AG47" s="2">
        <v>46019</v>
      </c>
      <c r="AH47" s="1">
        <v>4369.6499999999996</v>
      </c>
      <c r="AI47" s="1">
        <v>14506.68</v>
      </c>
      <c r="AJ47" s="1">
        <v>61175.23</v>
      </c>
      <c r="AK47">
        <v>0</v>
      </c>
      <c r="AL47">
        <v>0</v>
      </c>
      <c r="AM47">
        <v>0</v>
      </c>
      <c r="AN47" t="s">
        <v>135</v>
      </c>
      <c r="AO47" t="s">
        <v>135</v>
      </c>
      <c r="AP47" t="s">
        <v>136</v>
      </c>
      <c r="AQ47" t="s">
        <v>137</v>
      </c>
      <c r="AR47" t="s">
        <v>138</v>
      </c>
      <c r="AS47" t="s">
        <v>139</v>
      </c>
      <c r="AT47" t="s">
        <v>140</v>
      </c>
      <c r="AU47">
        <v>501</v>
      </c>
      <c r="AV47">
        <v>10</v>
      </c>
      <c r="AW47">
        <v>1</v>
      </c>
      <c r="AX47" s="2">
        <v>45856</v>
      </c>
      <c r="AY47" t="s">
        <v>151</v>
      </c>
      <c r="AZ47" s="2">
        <v>46024</v>
      </c>
      <c r="BA47">
        <v>0</v>
      </c>
      <c r="BB47">
        <v>0</v>
      </c>
      <c r="BC47">
        <v>0</v>
      </c>
      <c r="BD47">
        <v>700</v>
      </c>
      <c r="BE47">
        <v>70</v>
      </c>
      <c r="BF47">
        <v>9</v>
      </c>
      <c r="BG47" s="2">
        <v>45536</v>
      </c>
      <c r="BH47" t="s">
        <v>142</v>
      </c>
      <c r="BI47" s="2">
        <v>46026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 s="1">
        <v>18767.13</v>
      </c>
      <c r="BQ47" s="1">
        <v>18767.13</v>
      </c>
      <c r="BR47">
        <v>0</v>
      </c>
      <c r="BS47">
        <v>0</v>
      </c>
      <c r="BT47">
        <v>0</v>
      </c>
      <c r="BU47">
        <v>0</v>
      </c>
      <c r="BV47" s="1">
        <v>29037.65</v>
      </c>
      <c r="BW47" s="1">
        <v>29037.65</v>
      </c>
      <c r="BX47">
        <v>0</v>
      </c>
      <c r="BY47">
        <v>0</v>
      </c>
      <c r="BZ47">
        <v>0</v>
      </c>
      <c r="CA47">
        <v>0</v>
      </c>
      <c r="CB47" s="1">
        <v>16120.59</v>
      </c>
      <c r="CC47" t="s">
        <v>152</v>
      </c>
    </row>
    <row r="48" spans="1:81" x14ac:dyDescent="0.25">
      <c r="A48">
        <v>345</v>
      </c>
      <c r="B48">
        <v>2</v>
      </c>
      <c r="C48">
        <v>150</v>
      </c>
      <c r="D48" t="s">
        <v>400</v>
      </c>
      <c r="E48" t="s">
        <v>121</v>
      </c>
      <c r="F48" t="s">
        <v>401</v>
      </c>
      <c r="G48" t="s">
        <v>402</v>
      </c>
      <c r="H48" t="s">
        <v>403</v>
      </c>
      <c r="I48" t="s">
        <v>125</v>
      </c>
      <c r="J48" t="s">
        <v>157</v>
      </c>
      <c r="K48" t="s">
        <v>127</v>
      </c>
      <c r="L48" t="s">
        <v>128</v>
      </c>
      <c r="M48" t="s">
        <v>129</v>
      </c>
      <c r="N48" t="s">
        <v>404</v>
      </c>
      <c r="O48" t="s">
        <v>131</v>
      </c>
      <c r="P48">
        <v>0</v>
      </c>
      <c r="Q48" t="s">
        <v>125</v>
      </c>
      <c r="R48">
        <v>6</v>
      </c>
      <c r="S48">
        <v>39</v>
      </c>
      <c r="T48" t="s">
        <v>132</v>
      </c>
      <c r="U48" t="s">
        <v>133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134</v>
      </c>
      <c r="AE48" t="s">
        <v>134</v>
      </c>
      <c r="AF48" s="2">
        <v>45518</v>
      </c>
      <c r="AG48" s="2">
        <v>46013</v>
      </c>
      <c r="AH48" s="1">
        <v>1165.3900000000001</v>
      </c>
      <c r="AI48" s="1">
        <v>1808.42</v>
      </c>
      <c r="AJ48" s="1">
        <v>5826.99</v>
      </c>
      <c r="AK48">
        <v>0</v>
      </c>
      <c r="AL48">
        <v>0</v>
      </c>
      <c r="AM48">
        <v>0</v>
      </c>
      <c r="AN48" t="s">
        <v>135</v>
      </c>
      <c r="AO48" t="s">
        <v>135</v>
      </c>
      <c r="AP48" t="s">
        <v>136</v>
      </c>
      <c r="AQ48" t="s">
        <v>137</v>
      </c>
      <c r="AR48" t="s">
        <v>138</v>
      </c>
      <c r="AS48" t="s">
        <v>139</v>
      </c>
      <c r="AT48" t="s">
        <v>140</v>
      </c>
      <c r="AU48">
        <v>102</v>
      </c>
      <c r="AV48">
        <v>10</v>
      </c>
      <c r="AW48">
        <v>1</v>
      </c>
      <c r="AX48" s="2">
        <v>45815</v>
      </c>
      <c r="AY48" t="s">
        <v>160</v>
      </c>
      <c r="AZ48" s="2">
        <v>46025</v>
      </c>
      <c r="BA48">
        <v>0</v>
      </c>
      <c r="BB48">
        <v>0</v>
      </c>
      <c r="BC48">
        <v>0</v>
      </c>
      <c r="BD48">
        <v>700</v>
      </c>
      <c r="BE48">
        <v>70</v>
      </c>
      <c r="BF48">
        <v>9</v>
      </c>
      <c r="BG48" s="2">
        <v>45536</v>
      </c>
      <c r="BH48" t="s">
        <v>142</v>
      </c>
      <c r="BI48" s="2">
        <v>46026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 s="1">
        <v>1808.42</v>
      </c>
      <c r="BQ48" s="1">
        <v>1808.42</v>
      </c>
      <c r="BR48">
        <v>0</v>
      </c>
      <c r="BS48">
        <v>0</v>
      </c>
      <c r="BT48">
        <v>0</v>
      </c>
      <c r="BU48">
        <v>0</v>
      </c>
      <c r="BV48" s="1">
        <v>2943.89</v>
      </c>
      <c r="BW48" s="1">
        <v>2943.89</v>
      </c>
      <c r="BX48">
        <v>0</v>
      </c>
      <c r="BY48">
        <v>0</v>
      </c>
      <c r="BZ48">
        <v>0</v>
      </c>
      <c r="CA48">
        <v>0</v>
      </c>
      <c r="CB48" s="1">
        <v>1664.49</v>
      </c>
      <c r="CC48" t="s">
        <v>143</v>
      </c>
    </row>
    <row r="49" spans="1:81" x14ac:dyDescent="0.25">
      <c r="A49">
        <v>345</v>
      </c>
      <c r="B49">
        <v>2</v>
      </c>
      <c r="C49">
        <v>152</v>
      </c>
      <c r="D49" t="s">
        <v>405</v>
      </c>
      <c r="E49" t="s">
        <v>121</v>
      </c>
      <c r="F49" t="s">
        <v>406</v>
      </c>
      <c r="G49" t="s">
        <v>407</v>
      </c>
      <c r="H49" t="s">
        <v>408</v>
      </c>
      <c r="I49" t="s">
        <v>409</v>
      </c>
      <c r="J49" t="s">
        <v>126</v>
      </c>
      <c r="K49" t="s">
        <v>127</v>
      </c>
      <c r="L49" t="s">
        <v>128</v>
      </c>
      <c r="M49" t="s">
        <v>129</v>
      </c>
      <c r="N49" t="s">
        <v>410</v>
      </c>
      <c r="O49" t="s">
        <v>149</v>
      </c>
      <c r="P49">
        <v>0</v>
      </c>
      <c r="Q49" t="s">
        <v>125</v>
      </c>
      <c r="R49">
        <v>6</v>
      </c>
      <c r="S49">
        <v>45</v>
      </c>
      <c r="T49" t="s">
        <v>132</v>
      </c>
      <c r="U49" t="s">
        <v>133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134</v>
      </c>
      <c r="AE49" t="s">
        <v>134</v>
      </c>
      <c r="AF49" s="2">
        <v>45518</v>
      </c>
      <c r="AG49" s="2">
        <v>46021</v>
      </c>
      <c r="AH49" s="1">
        <v>1436.54</v>
      </c>
      <c r="AI49" s="1">
        <v>2344.6</v>
      </c>
      <c r="AJ49" s="1">
        <v>14365.41</v>
      </c>
      <c r="AK49">
        <v>0</v>
      </c>
      <c r="AL49">
        <v>0</v>
      </c>
      <c r="AM49">
        <v>0</v>
      </c>
      <c r="AN49" t="s">
        <v>135</v>
      </c>
      <c r="AO49" t="s">
        <v>135</v>
      </c>
      <c r="AP49" t="s">
        <v>136</v>
      </c>
      <c r="AQ49" t="s">
        <v>137</v>
      </c>
      <c r="AR49" t="s">
        <v>138</v>
      </c>
      <c r="AS49" t="s">
        <v>150</v>
      </c>
      <c r="AT49" t="s">
        <v>140</v>
      </c>
      <c r="AU49">
        <v>102</v>
      </c>
      <c r="AV49">
        <v>10</v>
      </c>
      <c r="AW49">
        <v>1</v>
      </c>
      <c r="AX49" s="2">
        <v>45810</v>
      </c>
      <c r="AY49" t="s">
        <v>141</v>
      </c>
      <c r="AZ49" s="2">
        <v>46027</v>
      </c>
      <c r="BA49">
        <v>0</v>
      </c>
      <c r="BB49">
        <v>0</v>
      </c>
      <c r="BC49">
        <v>0</v>
      </c>
      <c r="BD49">
        <v>700</v>
      </c>
      <c r="BE49">
        <v>70</v>
      </c>
      <c r="BF49">
        <v>9</v>
      </c>
      <c r="BG49" s="2">
        <v>45536</v>
      </c>
      <c r="BH49" t="s">
        <v>142</v>
      </c>
      <c r="BI49" s="2">
        <v>46026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s="1">
        <v>3693.02</v>
      </c>
      <c r="BQ49" s="1">
        <v>3693.02</v>
      </c>
      <c r="BR49">
        <v>0</v>
      </c>
      <c r="BS49">
        <v>0</v>
      </c>
      <c r="BT49">
        <v>0</v>
      </c>
      <c r="BU49">
        <v>0</v>
      </c>
      <c r="BV49" s="1">
        <v>6618.24</v>
      </c>
      <c r="BW49" s="1">
        <v>6618.24</v>
      </c>
      <c r="BX49">
        <v>0</v>
      </c>
      <c r="BY49">
        <v>0</v>
      </c>
      <c r="BZ49">
        <v>0</v>
      </c>
      <c r="CA49">
        <v>0</v>
      </c>
      <c r="CB49" s="1">
        <v>3764.14</v>
      </c>
      <c r="CC49" t="s">
        <v>152</v>
      </c>
    </row>
    <row r="50" spans="1:81" x14ac:dyDescent="0.25">
      <c r="A50">
        <v>345</v>
      </c>
      <c r="B50">
        <v>2</v>
      </c>
      <c r="C50">
        <v>154</v>
      </c>
      <c r="D50" t="s">
        <v>411</v>
      </c>
      <c r="E50" t="s">
        <v>121</v>
      </c>
      <c r="F50" t="s">
        <v>412</v>
      </c>
      <c r="G50" t="s">
        <v>413</v>
      </c>
      <c r="H50" t="s">
        <v>414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415</v>
      </c>
      <c r="O50" t="s">
        <v>159</v>
      </c>
      <c r="P50">
        <v>0</v>
      </c>
      <c r="Q50" t="s">
        <v>125</v>
      </c>
      <c r="R50">
        <v>6</v>
      </c>
      <c r="S50">
        <v>36</v>
      </c>
      <c r="T50" t="s">
        <v>132</v>
      </c>
      <c r="U50" t="s">
        <v>133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134</v>
      </c>
      <c r="AE50" t="s">
        <v>134</v>
      </c>
      <c r="AF50" s="2">
        <v>45518</v>
      </c>
      <c r="AG50" s="2">
        <v>46009</v>
      </c>
      <c r="AH50" s="1">
        <v>1332.62</v>
      </c>
      <c r="AI50" s="1">
        <v>2414.8200000000002</v>
      </c>
      <c r="AJ50" s="1">
        <v>5330.49</v>
      </c>
      <c r="AK50">
        <v>0</v>
      </c>
      <c r="AL50">
        <v>0</v>
      </c>
      <c r="AM50">
        <v>0</v>
      </c>
      <c r="AN50" t="s">
        <v>135</v>
      </c>
      <c r="AO50" t="s">
        <v>135</v>
      </c>
      <c r="AP50" t="s">
        <v>136</v>
      </c>
      <c r="AQ50" t="s">
        <v>137</v>
      </c>
      <c r="AR50" t="s">
        <v>138</v>
      </c>
      <c r="AS50" t="s">
        <v>139</v>
      </c>
      <c r="AT50" t="s">
        <v>140</v>
      </c>
      <c r="AU50">
        <v>102</v>
      </c>
      <c r="AV50">
        <v>10</v>
      </c>
      <c r="AW50">
        <v>1</v>
      </c>
      <c r="AX50" s="2">
        <v>45847</v>
      </c>
      <c r="AY50" t="s">
        <v>168</v>
      </c>
      <c r="AZ50" s="2">
        <v>46022</v>
      </c>
      <c r="BA50">
        <v>0</v>
      </c>
      <c r="BB50">
        <v>0</v>
      </c>
      <c r="BC50">
        <v>0</v>
      </c>
      <c r="BD50">
        <v>700</v>
      </c>
      <c r="BE50">
        <v>70</v>
      </c>
      <c r="BF50">
        <v>9</v>
      </c>
      <c r="BG50" s="2">
        <v>45536</v>
      </c>
      <c r="BH50" t="s">
        <v>142</v>
      </c>
      <c r="BI50" s="2">
        <v>46026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s="1">
        <v>2316.38</v>
      </c>
      <c r="BQ50" s="1">
        <v>2316.38</v>
      </c>
      <c r="BR50">
        <v>0</v>
      </c>
      <c r="BS50">
        <v>0</v>
      </c>
      <c r="BT50">
        <v>0</v>
      </c>
      <c r="BU50">
        <v>0</v>
      </c>
      <c r="BV50">
        <v>42.63</v>
      </c>
      <c r="BW50">
        <v>42.63</v>
      </c>
      <c r="BX50">
        <v>0</v>
      </c>
      <c r="BY50">
        <v>0</v>
      </c>
      <c r="BZ50">
        <v>0</v>
      </c>
      <c r="CA50">
        <v>0</v>
      </c>
      <c r="CB50" s="1">
        <v>2209.0700000000002</v>
      </c>
      <c r="CC50" t="s">
        <v>161</v>
      </c>
    </row>
    <row r="51" spans="1:81" x14ac:dyDescent="0.25">
      <c r="A51">
        <v>345</v>
      </c>
      <c r="B51">
        <v>2</v>
      </c>
      <c r="C51">
        <v>156</v>
      </c>
      <c r="D51" t="s">
        <v>416</v>
      </c>
      <c r="E51" t="s">
        <v>121</v>
      </c>
      <c r="F51" t="s">
        <v>417</v>
      </c>
      <c r="G51" t="s">
        <v>418</v>
      </c>
      <c r="H51" t="s">
        <v>419</v>
      </c>
      <c r="I51" t="s">
        <v>420</v>
      </c>
      <c r="J51" t="s">
        <v>157</v>
      </c>
      <c r="K51" t="s">
        <v>127</v>
      </c>
      <c r="L51" t="s">
        <v>128</v>
      </c>
      <c r="M51" t="s">
        <v>129</v>
      </c>
      <c r="N51" t="s">
        <v>421</v>
      </c>
      <c r="O51" t="s">
        <v>167</v>
      </c>
      <c r="P51">
        <v>0</v>
      </c>
      <c r="Q51" t="s">
        <v>125</v>
      </c>
      <c r="R51">
        <v>6</v>
      </c>
      <c r="S51">
        <v>38</v>
      </c>
      <c r="T51" t="s">
        <v>132</v>
      </c>
      <c r="U51" t="s">
        <v>133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134</v>
      </c>
      <c r="AE51" t="s">
        <v>134</v>
      </c>
      <c r="AF51" s="2">
        <v>45518</v>
      </c>
      <c r="AG51" s="2">
        <v>46020</v>
      </c>
      <c r="AH51" s="1">
        <v>1318.87</v>
      </c>
      <c r="AI51" s="1">
        <v>1661.8</v>
      </c>
      <c r="AJ51" s="1">
        <v>17145.32</v>
      </c>
      <c r="AK51">
        <v>0</v>
      </c>
      <c r="AL51">
        <v>0</v>
      </c>
      <c r="AM51">
        <v>0</v>
      </c>
      <c r="AN51" t="s">
        <v>135</v>
      </c>
      <c r="AO51" t="s">
        <v>135</v>
      </c>
      <c r="AP51" t="s">
        <v>136</v>
      </c>
      <c r="AQ51" t="s">
        <v>137</v>
      </c>
      <c r="AR51" t="s">
        <v>138</v>
      </c>
      <c r="AS51" t="s">
        <v>139</v>
      </c>
      <c r="AT51" t="s">
        <v>140</v>
      </c>
      <c r="AU51">
        <v>102</v>
      </c>
      <c r="AV51">
        <v>10</v>
      </c>
      <c r="AW51">
        <v>1</v>
      </c>
      <c r="AX51" s="2">
        <v>45815</v>
      </c>
      <c r="AY51" t="s">
        <v>160</v>
      </c>
      <c r="AZ51" s="2">
        <v>46025</v>
      </c>
      <c r="BA51">
        <v>0</v>
      </c>
      <c r="BB51">
        <v>0</v>
      </c>
      <c r="BC51">
        <v>0</v>
      </c>
      <c r="BD51">
        <v>700</v>
      </c>
      <c r="BE51">
        <v>70</v>
      </c>
      <c r="BF51">
        <v>9</v>
      </c>
      <c r="BG51" s="2">
        <v>45536</v>
      </c>
      <c r="BH51" t="s">
        <v>142</v>
      </c>
      <c r="BI51" s="2">
        <v>46026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 s="1">
        <v>4710.41</v>
      </c>
      <c r="BQ51" s="1">
        <v>4710.41</v>
      </c>
      <c r="BR51">
        <v>0</v>
      </c>
      <c r="BS51">
        <v>0</v>
      </c>
      <c r="BT51">
        <v>0</v>
      </c>
      <c r="BU51">
        <v>0</v>
      </c>
      <c r="BV51" s="1">
        <v>7309.66</v>
      </c>
      <c r="BW51" s="1">
        <v>7309.66</v>
      </c>
      <c r="BX51">
        <v>0</v>
      </c>
      <c r="BY51">
        <v>0</v>
      </c>
      <c r="BZ51">
        <v>0</v>
      </c>
      <c r="CA51">
        <v>0</v>
      </c>
      <c r="CB51" s="1">
        <v>4754.92</v>
      </c>
      <c r="CC51" t="s">
        <v>161</v>
      </c>
    </row>
    <row r="52" spans="1:81" x14ac:dyDescent="0.25">
      <c r="A52">
        <v>345</v>
      </c>
      <c r="B52">
        <v>2</v>
      </c>
      <c r="C52">
        <v>163</v>
      </c>
      <c r="D52" t="s">
        <v>422</v>
      </c>
      <c r="E52" t="s">
        <v>121</v>
      </c>
      <c r="F52" t="s">
        <v>423</v>
      </c>
      <c r="G52" t="s">
        <v>424</v>
      </c>
      <c r="H52" t="s">
        <v>425</v>
      </c>
      <c r="I52" t="s">
        <v>426</v>
      </c>
      <c r="J52" t="s">
        <v>157</v>
      </c>
      <c r="K52" t="s">
        <v>127</v>
      </c>
      <c r="L52" t="s">
        <v>128</v>
      </c>
      <c r="M52" t="s">
        <v>129</v>
      </c>
      <c r="N52" t="s">
        <v>427</v>
      </c>
      <c r="O52" t="s">
        <v>149</v>
      </c>
      <c r="P52">
        <v>0</v>
      </c>
      <c r="Q52" t="s">
        <v>125</v>
      </c>
      <c r="R52">
        <v>3</v>
      </c>
      <c r="S52">
        <v>89</v>
      </c>
      <c r="T52" t="s">
        <v>132</v>
      </c>
      <c r="U52" t="s">
        <v>133</v>
      </c>
      <c r="V52" s="1">
        <v>1980</v>
      </c>
      <c r="W52">
        <v>0</v>
      </c>
      <c r="X52" s="1">
        <v>1980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134</v>
      </c>
      <c r="AE52" t="s">
        <v>134</v>
      </c>
      <c r="AF52" s="2">
        <v>45518</v>
      </c>
      <c r="AG52" s="2">
        <v>46018</v>
      </c>
      <c r="AH52" s="1">
        <v>1305.1400000000001</v>
      </c>
      <c r="AI52" s="1">
        <v>1805.14</v>
      </c>
      <c r="AJ52" s="1">
        <v>15661.69</v>
      </c>
      <c r="AK52">
        <v>0</v>
      </c>
      <c r="AL52">
        <v>0</v>
      </c>
      <c r="AM52">
        <v>0</v>
      </c>
      <c r="AN52" t="s">
        <v>135</v>
      </c>
      <c r="AO52" t="s">
        <v>135</v>
      </c>
      <c r="AP52" t="s">
        <v>136</v>
      </c>
      <c r="AQ52" t="s">
        <v>137</v>
      </c>
      <c r="AR52" t="s">
        <v>138</v>
      </c>
      <c r="AS52" t="s">
        <v>139</v>
      </c>
      <c r="AT52" t="s">
        <v>140</v>
      </c>
      <c r="AU52">
        <v>102</v>
      </c>
      <c r="AV52">
        <v>10</v>
      </c>
      <c r="AW52">
        <v>1</v>
      </c>
      <c r="AX52" s="2">
        <v>45995</v>
      </c>
      <c r="AY52" t="s">
        <v>308</v>
      </c>
      <c r="AZ52" s="2">
        <v>46023</v>
      </c>
      <c r="BA52">
        <v>0</v>
      </c>
      <c r="BB52">
        <v>0</v>
      </c>
      <c r="BC52">
        <v>0</v>
      </c>
      <c r="BD52">
        <v>700</v>
      </c>
      <c r="BE52">
        <v>70</v>
      </c>
      <c r="BF52">
        <v>9</v>
      </c>
      <c r="BG52" s="2">
        <v>45536</v>
      </c>
      <c r="BH52" t="s">
        <v>142</v>
      </c>
      <c r="BI52" s="2">
        <v>46026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 s="1">
        <v>5811.57</v>
      </c>
      <c r="BQ52" s="1">
        <v>5811.57</v>
      </c>
      <c r="BR52">
        <v>0</v>
      </c>
      <c r="BS52">
        <v>0</v>
      </c>
      <c r="BT52">
        <v>0</v>
      </c>
      <c r="BU52">
        <v>0</v>
      </c>
      <c r="BV52" s="1">
        <v>5472.78</v>
      </c>
      <c r="BW52" s="1">
        <v>5472.78</v>
      </c>
      <c r="BX52">
        <v>0</v>
      </c>
      <c r="BY52">
        <v>0</v>
      </c>
      <c r="BZ52">
        <v>0</v>
      </c>
      <c r="CA52">
        <v>0</v>
      </c>
      <c r="CB52" s="1">
        <v>4265.99</v>
      </c>
      <c r="CC52" t="s">
        <v>152</v>
      </c>
    </row>
    <row r="53" spans="1:81" x14ac:dyDescent="0.25">
      <c r="A53">
        <v>345</v>
      </c>
      <c r="B53">
        <v>2</v>
      </c>
      <c r="C53">
        <v>165</v>
      </c>
      <c r="D53" t="s">
        <v>428</v>
      </c>
      <c r="E53" t="s">
        <v>121</v>
      </c>
      <c r="F53" t="s">
        <v>429</v>
      </c>
      <c r="G53" t="s">
        <v>430</v>
      </c>
      <c r="H53" t="s">
        <v>431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432</v>
      </c>
      <c r="O53" t="s">
        <v>131</v>
      </c>
      <c r="P53">
        <v>0</v>
      </c>
      <c r="Q53" t="s">
        <v>125</v>
      </c>
      <c r="R53">
        <v>6</v>
      </c>
      <c r="S53">
        <v>40</v>
      </c>
      <c r="T53" t="s">
        <v>132</v>
      </c>
      <c r="U53" t="s">
        <v>133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134</v>
      </c>
      <c r="AE53" t="s">
        <v>134</v>
      </c>
      <c r="AF53" s="2">
        <v>45518</v>
      </c>
      <c r="AG53" s="2">
        <v>46009</v>
      </c>
      <c r="AH53">
        <v>279.99</v>
      </c>
      <c r="AI53">
        <v>415.22</v>
      </c>
      <c r="AJ53" s="1">
        <v>2799.99</v>
      </c>
      <c r="AK53">
        <v>0</v>
      </c>
      <c r="AL53">
        <v>0</v>
      </c>
      <c r="AM53">
        <v>0</v>
      </c>
      <c r="AN53" t="s">
        <v>135</v>
      </c>
      <c r="AO53" t="s">
        <v>135</v>
      </c>
      <c r="AP53" t="s">
        <v>136</v>
      </c>
      <c r="AQ53" t="s">
        <v>137</v>
      </c>
      <c r="AR53" t="s">
        <v>138</v>
      </c>
      <c r="AS53" t="s">
        <v>139</v>
      </c>
      <c r="AT53" t="s">
        <v>140</v>
      </c>
      <c r="AU53">
        <v>102</v>
      </c>
      <c r="AV53">
        <v>10</v>
      </c>
      <c r="AW53">
        <v>1</v>
      </c>
      <c r="AX53" s="2">
        <v>45847</v>
      </c>
      <c r="AY53" t="s">
        <v>168</v>
      </c>
      <c r="AZ53" s="2">
        <v>46022</v>
      </c>
      <c r="BA53">
        <v>0</v>
      </c>
      <c r="BB53">
        <v>0</v>
      </c>
      <c r="BC53">
        <v>0</v>
      </c>
      <c r="BD53">
        <v>700</v>
      </c>
      <c r="BE53">
        <v>70</v>
      </c>
      <c r="BF53">
        <v>9</v>
      </c>
      <c r="BG53" s="2">
        <v>45536</v>
      </c>
      <c r="BH53" t="s">
        <v>142</v>
      </c>
      <c r="BI53" s="2">
        <v>46026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s="1">
        <v>1060.8499999999999</v>
      </c>
      <c r="BQ53" s="1">
        <v>1060.8499999999999</v>
      </c>
      <c r="BR53">
        <v>0</v>
      </c>
      <c r="BS53">
        <v>0</v>
      </c>
      <c r="BT53">
        <v>0</v>
      </c>
      <c r="BU53">
        <v>0</v>
      </c>
      <c r="BV53">
        <v>909.08</v>
      </c>
      <c r="BW53">
        <v>909.08</v>
      </c>
      <c r="BX53">
        <v>0</v>
      </c>
      <c r="BY53">
        <v>0</v>
      </c>
      <c r="BZ53">
        <v>0</v>
      </c>
      <c r="CA53">
        <v>0</v>
      </c>
      <c r="CB53">
        <v>742.78</v>
      </c>
      <c r="CC53" t="s">
        <v>143</v>
      </c>
    </row>
    <row r="54" spans="1:81" x14ac:dyDescent="0.25">
      <c r="A54">
        <v>345</v>
      </c>
      <c r="B54">
        <v>2</v>
      </c>
      <c r="C54">
        <v>167</v>
      </c>
      <c r="D54" t="s">
        <v>433</v>
      </c>
      <c r="E54" t="s">
        <v>121</v>
      </c>
      <c r="F54" t="s">
        <v>434</v>
      </c>
      <c r="G54" t="s">
        <v>435</v>
      </c>
      <c r="H54" t="s">
        <v>436</v>
      </c>
      <c r="I54" t="s">
        <v>437</v>
      </c>
      <c r="J54" t="s">
        <v>157</v>
      </c>
      <c r="K54" t="s">
        <v>127</v>
      </c>
      <c r="L54" t="s">
        <v>128</v>
      </c>
      <c r="M54" t="s">
        <v>129</v>
      </c>
      <c r="N54" t="s">
        <v>438</v>
      </c>
      <c r="O54" t="s">
        <v>159</v>
      </c>
      <c r="P54">
        <v>0</v>
      </c>
      <c r="Q54" t="s">
        <v>125</v>
      </c>
      <c r="R54">
        <v>6</v>
      </c>
      <c r="S54">
        <v>36</v>
      </c>
      <c r="T54" t="s">
        <v>132</v>
      </c>
      <c r="U54" t="s">
        <v>133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134</v>
      </c>
      <c r="AE54" t="s">
        <v>134</v>
      </c>
      <c r="AF54" s="2">
        <v>45518</v>
      </c>
      <c r="AG54" s="2">
        <v>46011</v>
      </c>
      <c r="AH54">
        <v>206.8</v>
      </c>
      <c r="AI54">
        <v>279.04000000000002</v>
      </c>
      <c r="AJ54" s="1">
        <v>1447.66</v>
      </c>
      <c r="AK54">
        <v>0</v>
      </c>
      <c r="AL54">
        <v>0</v>
      </c>
      <c r="AM54">
        <v>0</v>
      </c>
      <c r="AN54" t="s">
        <v>135</v>
      </c>
      <c r="AO54" t="s">
        <v>135</v>
      </c>
      <c r="AP54" t="s">
        <v>136</v>
      </c>
      <c r="AQ54" t="s">
        <v>137</v>
      </c>
      <c r="AR54" t="s">
        <v>138</v>
      </c>
      <c r="AS54" t="s">
        <v>139</v>
      </c>
      <c r="AT54" t="s">
        <v>140</v>
      </c>
      <c r="AU54">
        <v>102</v>
      </c>
      <c r="AV54">
        <v>10</v>
      </c>
      <c r="AW54">
        <v>1</v>
      </c>
      <c r="AX54" s="2">
        <v>45814</v>
      </c>
      <c r="AY54" t="s">
        <v>151</v>
      </c>
      <c r="AZ54" s="2">
        <v>46024</v>
      </c>
      <c r="BA54">
        <v>0</v>
      </c>
      <c r="BB54">
        <v>0</v>
      </c>
      <c r="BC54">
        <v>0</v>
      </c>
      <c r="BD54">
        <v>700</v>
      </c>
      <c r="BE54">
        <v>70</v>
      </c>
      <c r="BF54">
        <v>9</v>
      </c>
      <c r="BG54" s="2">
        <v>45536</v>
      </c>
      <c r="BH54" t="s">
        <v>142</v>
      </c>
      <c r="BI54" s="2">
        <v>46026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628.38</v>
      </c>
      <c r="BQ54">
        <v>628.38</v>
      </c>
      <c r="BR54">
        <v>0</v>
      </c>
      <c r="BS54">
        <v>0</v>
      </c>
      <c r="BT54">
        <v>0</v>
      </c>
      <c r="BU54">
        <v>0</v>
      </c>
      <c r="BV54">
        <v>201.84</v>
      </c>
      <c r="BW54">
        <v>201.84</v>
      </c>
      <c r="BX54">
        <v>0</v>
      </c>
      <c r="BY54">
        <v>0</v>
      </c>
      <c r="BZ54">
        <v>0</v>
      </c>
      <c r="CA54">
        <v>0</v>
      </c>
      <c r="CB54">
        <v>705.93</v>
      </c>
      <c r="CC54" t="s">
        <v>161</v>
      </c>
    </row>
    <row r="55" spans="1:81" x14ac:dyDescent="0.25">
      <c r="A55">
        <v>345</v>
      </c>
      <c r="B55">
        <v>2</v>
      </c>
      <c r="C55">
        <v>170</v>
      </c>
      <c r="D55" t="s">
        <v>439</v>
      </c>
      <c r="E55" t="s">
        <v>121</v>
      </c>
      <c r="F55" t="s">
        <v>440</v>
      </c>
      <c r="G55" t="s">
        <v>441</v>
      </c>
      <c r="H55" t="s">
        <v>442</v>
      </c>
      <c r="I55" t="s">
        <v>125</v>
      </c>
      <c r="J55" t="s">
        <v>206</v>
      </c>
      <c r="K55" t="s">
        <v>127</v>
      </c>
      <c r="L55" t="s">
        <v>128</v>
      </c>
      <c r="M55" t="s">
        <v>129</v>
      </c>
      <c r="N55" t="s">
        <v>443</v>
      </c>
      <c r="O55" t="s">
        <v>159</v>
      </c>
      <c r="P55">
        <v>0</v>
      </c>
      <c r="Q55" t="s">
        <v>125</v>
      </c>
      <c r="R55">
        <v>6</v>
      </c>
      <c r="S55">
        <v>36</v>
      </c>
      <c r="T55" t="s">
        <v>132</v>
      </c>
      <c r="U55" t="s">
        <v>133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134</v>
      </c>
      <c r="AE55" t="s">
        <v>134</v>
      </c>
      <c r="AF55" s="2">
        <v>45518</v>
      </c>
      <c r="AG55" s="2">
        <v>46021</v>
      </c>
      <c r="AH55">
        <v>907.47</v>
      </c>
      <c r="AI55" s="1">
        <v>1918.8</v>
      </c>
      <c r="AJ55" s="1">
        <v>11797.23</v>
      </c>
      <c r="AK55">
        <v>0</v>
      </c>
      <c r="AL55">
        <v>0</v>
      </c>
      <c r="AM55">
        <v>0</v>
      </c>
      <c r="AN55" t="s">
        <v>135</v>
      </c>
      <c r="AO55" t="s">
        <v>135</v>
      </c>
      <c r="AP55" t="s">
        <v>136</v>
      </c>
      <c r="AQ55" t="s">
        <v>137</v>
      </c>
      <c r="AR55" t="s">
        <v>138</v>
      </c>
      <c r="AS55" t="s">
        <v>139</v>
      </c>
      <c r="AT55" t="s">
        <v>140</v>
      </c>
      <c r="AU55">
        <v>102</v>
      </c>
      <c r="AV55">
        <v>10</v>
      </c>
      <c r="AW55">
        <v>1</v>
      </c>
      <c r="AX55" s="2">
        <v>45537</v>
      </c>
      <c r="AY55" t="s">
        <v>141</v>
      </c>
      <c r="AZ55" s="2">
        <v>46027</v>
      </c>
      <c r="BA55">
        <v>0</v>
      </c>
      <c r="BB55">
        <v>0</v>
      </c>
      <c r="BC55">
        <v>0</v>
      </c>
      <c r="BD55">
        <v>700</v>
      </c>
      <c r="BE55">
        <v>70</v>
      </c>
      <c r="BF55">
        <v>9</v>
      </c>
      <c r="BG55" s="2">
        <v>45536</v>
      </c>
      <c r="BH55" t="s">
        <v>142</v>
      </c>
      <c r="BI55" s="2">
        <v>46026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 s="1">
        <v>3773.45</v>
      </c>
      <c r="BQ55" s="1">
        <v>3773.45</v>
      </c>
      <c r="BR55">
        <v>0</v>
      </c>
      <c r="BS55">
        <v>0</v>
      </c>
      <c r="BT55">
        <v>0</v>
      </c>
      <c r="BU55">
        <v>0</v>
      </c>
      <c r="BV55" s="1">
        <v>5343.52</v>
      </c>
      <c r="BW55" s="1">
        <v>5343.52</v>
      </c>
      <c r="BX55">
        <v>0</v>
      </c>
      <c r="BY55">
        <v>0</v>
      </c>
      <c r="BZ55">
        <v>0</v>
      </c>
      <c r="CA55">
        <v>0</v>
      </c>
      <c r="CB55" s="1">
        <v>3527.29</v>
      </c>
      <c r="CC55" t="s">
        <v>161</v>
      </c>
    </row>
    <row r="56" spans="1:81" x14ac:dyDescent="0.25">
      <c r="A56">
        <v>345</v>
      </c>
      <c r="B56">
        <v>2</v>
      </c>
      <c r="C56">
        <v>176</v>
      </c>
      <c r="D56" t="s">
        <v>444</v>
      </c>
      <c r="E56" t="s">
        <v>121</v>
      </c>
      <c r="F56" t="s">
        <v>445</v>
      </c>
      <c r="G56" t="s">
        <v>446</v>
      </c>
      <c r="H56" t="s">
        <v>447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448</v>
      </c>
      <c r="O56" t="s">
        <v>149</v>
      </c>
      <c r="P56">
        <v>0</v>
      </c>
      <c r="Q56" t="s">
        <v>125</v>
      </c>
      <c r="R56">
        <v>6</v>
      </c>
      <c r="S56">
        <v>44</v>
      </c>
      <c r="T56" t="s">
        <v>132</v>
      </c>
      <c r="U56" t="s">
        <v>133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134</v>
      </c>
      <c r="AE56" t="s">
        <v>134</v>
      </c>
      <c r="AF56" s="2">
        <v>45518</v>
      </c>
      <c r="AG56" s="2">
        <v>46020</v>
      </c>
      <c r="AH56" s="1">
        <v>26291.19</v>
      </c>
      <c r="AI56" s="1">
        <v>125888.43</v>
      </c>
      <c r="AJ56" s="1">
        <v>736153.53</v>
      </c>
      <c r="AK56">
        <v>0</v>
      </c>
      <c r="AL56">
        <v>0</v>
      </c>
      <c r="AM56">
        <v>0</v>
      </c>
      <c r="AN56" t="s">
        <v>135</v>
      </c>
      <c r="AO56" t="s">
        <v>135</v>
      </c>
      <c r="AP56" t="s">
        <v>136</v>
      </c>
      <c r="AQ56" t="s">
        <v>137</v>
      </c>
      <c r="AR56" t="s">
        <v>138</v>
      </c>
      <c r="AS56" t="s">
        <v>139</v>
      </c>
      <c r="AT56" t="s">
        <v>140</v>
      </c>
      <c r="AU56">
        <v>501</v>
      </c>
      <c r="AV56">
        <v>10</v>
      </c>
      <c r="AW56">
        <v>1</v>
      </c>
      <c r="AX56" s="2">
        <v>45856</v>
      </c>
      <c r="AY56" t="s">
        <v>151</v>
      </c>
      <c r="AZ56" s="2">
        <v>46024</v>
      </c>
      <c r="BA56">
        <v>0</v>
      </c>
      <c r="BB56">
        <v>0</v>
      </c>
      <c r="BC56">
        <v>0</v>
      </c>
      <c r="BD56">
        <v>700</v>
      </c>
      <c r="BE56">
        <v>70</v>
      </c>
      <c r="BF56">
        <v>9</v>
      </c>
      <c r="BG56" s="2">
        <v>45536</v>
      </c>
      <c r="BH56" t="s">
        <v>142</v>
      </c>
      <c r="BI56" s="2">
        <v>46026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 s="1">
        <v>256778.03</v>
      </c>
      <c r="BQ56" s="1">
        <v>256778.03</v>
      </c>
      <c r="BR56">
        <v>0</v>
      </c>
      <c r="BS56">
        <v>0</v>
      </c>
      <c r="BT56">
        <v>0</v>
      </c>
      <c r="BU56">
        <v>0</v>
      </c>
      <c r="BV56" s="1">
        <v>414650.83</v>
      </c>
      <c r="BW56" s="1">
        <v>414650.83</v>
      </c>
      <c r="BX56">
        <v>0</v>
      </c>
      <c r="BY56">
        <v>0</v>
      </c>
      <c r="BZ56">
        <v>0</v>
      </c>
      <c r="CA56">
        <v>0</v>
      </c>
      <c r="CB56" s="1">
        <v>165679.69</v>
      </c>
      <c r="CC56" t="s">
        <v>152</v>
      </c>
    </row>
    <row r="57" spans="1:81" x14ac:dyDescent="0.25">
      <c r="A57">
        <v>345</v>
      </c>
      <c r="B57">
        <v>2</v>
      </c>
      <c r="C57">
        <v>183</v>
      </c>
      <c r="D57" t="s">
        <v>449</v>
      </c>
      <c r="E57" t="s">
        <v>121</v>
      </c>
      <c r="F57" t="s">
        <v>450</v>
      </c>
      <c r="G57" t="s">
        <v>451</v>
      </c>
      <c r="H57" t="s">
        <v>452</v>
      </c>
      <c r="I57" t="s">
        <v>453</v>
      </c>
      <c r="J57" t="s">
        <v>206</v>
      </c>
      <c r="K57" t="s">
        <v>127</v>
      </c>
      <c r="L57" t="s">
        <v>128</v>
      </c>
      <c r="M57" t="s">
        <v>129</v>
      </c>
      <c r="N57" t="s">
        <v>454</v>
      </c>
      <c r="O57" t="s">
        <v>149</v>
      </c>
      <c r="P57">
        <v>0</v>
      </c>
      <c r="Q57" t="s">
        <v>125</v>
      </c>
      <c r="R57">
        <v>6</v>
      </c>
      <c r="S57">
        <v>44</v>
      </c>
      <c r="T57" t="s">
        <v>132</v>
      </c>
      <c r="U57" t="s">
        <v>133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134</v>
      </c>
      <c r="AE57" t="s">
        <v>134</v>
      </c>
      <c r="AF57" s="2">
        <v>45518</v>
      </c>
      <c r="AG57" s="2">
        <v>46006</v>
      </c>
      <c r="AH57" s="1">
        <v>1172.68</v>
      </c>
      <c r="AI57" s="1">
        <v>1655.6</v>
      </c>
      <c r="AJ57" s="1">
        <v>10554.18</v>
      </c>
      <c r="AK57">
        <v>0</v>
      </c>
      <c r="AL57">
        <v>0</v>
      </c>
      <c r="AM57">
        <v>0</v>
      </c>
      <c r="AN57" t="s">
        <v>135</v>
      </c>
      <c r="AO57" t="s">
        <v>135</v>
      </c>
      <c r="AP57" t="s">
        <v>136</v>
      </c>
      <c r="AQ57" t="s">
        <v>137</v>
      </c>
      <c r="AR57" t="s">
        <v>138</v>
      </c>
      <c r="AS57" t="s">
        <v>150</v>
      </c>
      <c r="AT57" t="s">
        <v>140</v>
      </c>
      <c r="AU57">
        <v>501</v>
      </c>
      <c r="AV57">
        <v>10</v>
      </c>
      <c r="AW57">
        <v>1</v>
      </c>
      <c r="AX57" s="2">
        <v>45856</v>
      </c>
      <c r="AY57" t="s">
        <v>151</v>
      </c>
      <c r="AZ57" s="2">
        <v>46024</v>
      </c>
      <c r="BA57">
        <v>0</v>
      </c>
      <c r="BB57">
        <v>0</v>
      </c>
      <c r="BC57">
        <v>0</v>
      </c>
      <c r="BD57">
        <v>700</v>
      </c>
      <c r="BE57">
        <v>70</v>
      </c>
      <c r="BF57">
        <v>9</v>
      </c>
      <c r="BG57" s="2">
        <v>45536</v>
      </c>
      <c r="BH57" t="s">
        <v>142</v>
      </c>
      <c r="BI57" s="2">
        <v>46026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 s="1">
        <v>3060.84</v>
      </c>
      <c r="BQ57" s="1">
        <v>3060.84</v>
      </c>
      <c r="BR57">
        <v>0</v>
      </c>
      <c r="BS57">
        <v>0</v>
      </c>
      <c r="BT57">
        <v>0</v>
      </c>
      <c r="BU57">
        <v>0</v>
      </c>
      <c r="BV57" s="1">
        <v>4379.74</v>
      </c>
      <c r="BW57" s="1">
        <v>4379.74</v>
      </c>
      <c r="BX57">
        <v>0</v>
      </c>
      <c r="BY57">
        <v>0</v>
      </c>
      <c r="BZ57">
        <v>0</v>
      </c>
      <c r="CA57">
        <v>0</v>
      </c>
      <c r="CB57" s="1">
        <v>2993.08</v>
      </c>
      <c r="CC57" t="s">
        <v>152</v>
      </c>
    </row>
    <row r="58" spans="1:81" x14ac:dyDescent="0.25">
      <c r="A58">
        <v>345</v>
      </c>
      <c r="B58">
        <v>2</v>
      </c>
      <c r="C58">
        <v>185</v>
      </c>
      <c r="D58" t="s">
        <v>455</v>
      </c>
      <c r="E58" t="s">
        <v>121</v>
      </c>
      <c r="F58" t="s">
        <v>456</v>
      </c>
      <c r="G58" t="s">
        <v>457</v>
      </c>
      <c r="H58" t="s">
        <v>458</v>
      </c>
      <c r="I58" t="s">
        <v>125</v>
      </c>
      <c r="J58" t="s">
        <v>459</v>
      </c>
      <c r="K58" t="s">
        <v>336</v>
      </c>
      <c r="L58" t="s">
        <v>128</v>
      </c>
      <c r="M58" t="s">
        <v>337</v>
      </c>
      <c r="N58" t="s">
        <v>460</v>
      </c>
      <c r="O58" t="s">
        <v>149</v>
      </c>
      <c r="P58">
        <v>0</v>
      </c>
      <c r="Q58" t="s">
        <v>125</v>
      </c>
      <c r="R58">
        <v>6</v>
      </c>
      <c r="S58">
        <v>42</v>
      </c>
      <c r="T58" t="s">
        <v>132</v>
      </c>
      <c r="U58" t="s">
        <v>133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134</v>
      </c>
      <c r="AE58" t="s">
        <v>134</v>
      </c>
      <c r="AF58" s="2">
        <v>45518</v>
      </c>
      <c r="AG58" s="2">
        <v>46015</v>
      </c>
      <c r="AH58" s="1">
        <v>2032.52</v>
      </c>
      <c r="AI58" s="1">
        <v>3841.45</v>
      </c>
      <c r="AJ58" s="1">
        <v>28455.360000000001</v>
      </c>
      <c r="AK58">
        <v>0</v>
      </c>
      <c r="AL58" s="1">
        <v>1720.8</v>
      </c>
      <c r="AM58">
        <v>0</v>
      </c>
      <c r="AN58" t="s">
        <v>135</v>
      </c>
      <c r="AO58" t="s">
        <v>135</v>
      </c>
      <c r="AP58" t="s">
        <v>136</v>
      </c>
      <c r="AQ58" t="s">
        <v>137</v>
      </c>
      <c r="AR58" t="s">
        <v>138</v>
      </c>
      <c r="AS58" t="s">
        <v>139</v>
      </c>
      <c r="AT58" t="s">
        <v>140</v>
      </c>
      <c r="AU58">
        <v>100</v>
      </c>
      <c r="AV58">
        <v>10</v>
      </c>
      <c r="AW58">
        <v>1</v>
      </c>
      <c r="AX58" s="2">
        <v>45824</v>
      </c>
      <c r="AY58" t="s">
        <v>141</v>
      </c>
      <c r="AZ58" s="2">
        <v>46027</v>
      </c>
      <c r="BA58">
        <v>0</v>
      </c>
      <c r="BB58">
        <v>0</v>
      </c>
      <c r="BC58">
        <v>0</v>
      </c>
      <c r="BD58">
        <v>700</v>
      </c>
      <c r="BE58">
        <v>70</v>
      </c>
      <c r="BF58">
        <v>9</v>
      </c>
      <c r="BG58" s="2">
        <v>45536</v>
      </c>
      <c r="BH58" t="s">
        <v>142</v>
      </c>
      <c r="BI58" s="2">
        <v>46026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s="1">
        <v>10816.89</v>
      </c>
      <c r="BQ58" s="1">
        <v>10816.89</v>
      </c>
      <c r="BR58">
        <v>0</v>
      </c>
      <c r="BS58">
        <v>0</v>
      </c>
      <c r="BT58">
        <v>0</v>
      </c>
      <c r="BU58">
        <v>0</v>
      </c>
      <c r="BV58" s="1">
        <v>10693.99</v>
      </c>
      <c r="BW58" s="1">
        <v>10693.99</v>
      </c>
      <c r="BX58">
        <v>0</v>
      </c>
      <c r="BY58">
        <v>0</v>
      </c>
      <c r="BZ58">
        <v>0</v>
      </c>
      <c r="CA58">
        <v>0</v>
      </c>
      <c r="CB58" s="1">
        <v>8400.91</v>
      </c>
      <c r="CC58" t="s">
        <v>152</v>
      </c>
    </row>
    <row r="59" spans="1:81" x14ac:dyDescent="0.25">
      <c r="A59">
        <v>345</v>
      </c>
      <c r="B59">
        <v>2</v>
      </c>
      <c r="C59">
        <v>186</v>
      </c>
      <c r="D59" t="s">
        <v>461</v>
      </c>
      <c r="E59" t="s">
        <v>121</v>
      </c>
      <c r="F59" t="s">
        <v>462</v>
      </c>
      <c r="G59" t="s">
        <v>463</v>
      </c>
      <c r="H59" t="s">
        <v>464</v>
      </c>
      <c r="I59" t="s">
        <v>465</v>
      </c>
      <c r="J59" t="s">
        <v>126</v>
      </c>
      <c r="K59" t="s">
        <v>466</v>
      </c>
      <c r="L59" t="s">
        <v>128</v>
      </c>
      <c r="M59" t="s">
        <v>467</v>
      </c>
      <c r="N59" t="s">
        <v>468</v>
      </c>
      <c r="O59" t="s">
        <v>131</v>
      </c>
      <c r="P59">
        <v>0</v>
      </c>
      <c r="Q59" t="s">
        <v>125</v>
      </c>
      <c r="R59">
        <v>6</v>
      </c>
      <c r="S59">
        <v>46</v>
      </c>
      <c r="T59" t="s">
        <v>132</v>
      </c>
      <c r="U59" t="s">
        <v>133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134</v>
      </c>
      <c r="AE59" t="s">
        <v>134</v>
      </c>
      <c r="AF59" s="2">
        <v>45518</v>
      </c>
      <c r="AG59" s="2">
        <v>46020</v>
      </c>
      <c r="AH59" s="1">
        <v>3028.69</v>
      </c>
      <c r="AI59" s="1">
        <v>5046.5</v>
      </c>
      <c r="AJ59" s="1">
        <v>36344.379999999997</v>
      </c>
      <c r="AK59">
        <v>0</v>
      </c>
      <c r="AL59">
        <v>0</v>
      </c>
      <c r="AM59">
        <v>0</v>
      </c>
      <c r="AN59" t="s">
        <v>135</v>
      </c>
      <c r="AO59" t="s">
        <v>135</v>
      </c>
      <c r="AP59" t="s">
        <v>136</v>
      </c>
      <c r="AQ59" t="s">
        <v>137</v>
      </c>
      <c r="AR59" t="s">
        <v>138</v>
      </c>
      <c r="AS59" t="s">
        <v>150</v>
      </c>
      <c r="AT59" t="s">
        <v>140</v>
      </c>
      <c r="AU59">
        <v>501</v>
      </c>
      <c r="AV59">
        <v>10</v>
      </c>
      <c r="AW59">
        <v>1</v>
      </c>
      <c r="AX59" s="2">
        <v>45854</v>
      </c>
      <c r="AY59" t="s">
        <v>168</v>
      </c>
      <c r="AZ59" s="2">
        <v>46022</v>
      </c>
      <c r="BA59">
        <v>0</v>
      </c>
      <c r="BB59">
        <v>0</v>
      </c>
      <c r="BC59">
        <v>0</v>
      </c>
      <c r="BD59">
        <v>700</v>
      </c>
      <c r="BE59">
        <v>70</v>
      </c>
      <c r="BF59">
        <v>9</v>
      </c>
      <c r="BG59" s="2">
        <v>45536</v>
      </c>
      <c r="BH59" t="s">
        <v>142</v>
      </c>
      <c r="BI59" s="2">
        <v>46026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 s="1">
        <v>10431.34</v>
      </c>
      <c r="BQ59" s="1">
        <v>10431.34</v>
      </c>
      <c r="BR59">
        <v>0</v>
      </c>
      <c r="BS59">
        <v>0</v>
      </c>
      <c r="BT59">
        <v>0</v>
      </c>
      <c r="BU59">
        <v>0</v>
      </c>
      <c r="BV59" s="1">
        <v>8980.93</v>
      </c>
      <c r="BW59" s="1">
        <v>8980.93</v>
      </c>
      <c r="BX59">
        <v>0</v>
      </c>
      <c r="BY59">
        <v>0</v>
      </c>
      <c r="BZ59">
        <v>0</v>
      </c>
      <c r="CA59">
        <v>0</v>
      </c>
      <c r="CB59" s="1">
        <v>12321.41</v>
      </c>
      <c r="CC59" t="s">
        <v>143</v>
      </c>
    </row>
    <row r="60" spans="1:81" x14ac:dyDescent="0.25">
      <c r="A60">
        <v>345</v>
      </c>
      <c r="B60">
        <v>2</v>
      </c>
      <c r="C60">
        <v>187</v>
      </c>
      <c r="D60" t="s">
        <v>469</v>
      </c>
      <c r="E60" t="s">
        <v>121</v>
      </c>
      <c r="F60" t="s">
        <v>470</v>
      </c>
      <c r="G60" t="s">
        <v>471</v>
      </c>
      <c r="H60" t="s">
        <v>472</v>
      </c>
      <c r="I60" t="s">
        <v>125</v>
      </c>
      <c r="J60" t="s">
        <v>126</v>
      </c>
      <c r="K60" t="s">
        <v>473</v>
      </c>
      <c r="L60" t="s">
        <v>128</v>
      </c>
      <c r="M60" t="s">
        <v>474</v>
      </c>
      <c r="N60" t="s">
        <v>475</v>
      </c>
      <c r="O60" t="s">
        <v>149</v>
      </c>
      <c r="P60">
        <v>0</v>
      </c>
      <c r="Q60" t="s">
        <v>125</v>
      </c>
      <c r="R60">
        <v>6</v>
      </c>
      <c r="S60">
        <v>45</v>
      </c>
      <c r="T60" t="s">
        <v>132</v>
      </c>
      <c r="U60" t="s">
        <v>133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134</v>
      </c>
      <c r="AE60" t="s">
        <v>134</v>
      </c>
      <c r="AF60" s="2">
        <v>45518</v>
      </c>
      <c r="AG60" s="2">
        <v>46020</v>
      </c>
      <c r="AH60" s="1">
        <v>5347.76</v>
      </c>
      <c r="AI60" s="1">
        <v>26267.21</v>
      </c>
      <c r="AJ60" s="1">
        <v>48129.91</v>
      </c>
      <c r="AK60">
        <v>0</v>
      </c>
      <c r="AL60">
        <v>0</v>
      </c>
      <c r="AM60">
        <v>0</v>
      </c>
      <c r="AN60" t="s">
        <v>135</v>
      </c>
      <c r="AO60" t="s">
        <v>135</v>
      </c>
      <c r="AP60" t="s">
        <v>136</v>
      </c>
      <c r="AQ60" t="s">
        <v>137</v>
      </c>
      <c r="AR60" t="s">
        <v>138</v>
      </c>
      <c r="AS60" t="s">
        <v>150</v>
      </c>
      <c r="AT60" t="s">
        <v>140</v>
      </c>
      <c r="AU60">
        <v>501</v>
      </c>
      <c r="AV60">
        <v>10</v>
      </c>
      <c r="AW60">
        <v>1</v>
      </c>
      <c r="AX60" s="2">
        <v>45856</v>
      </c>
      <c r="AY60" t="s">
        <v>151</v>
      </c>
      <c r="AZ60" s="2">
        <v>46024</v>
      </c>
      <c r="BA60">
        <v>0</v>
      </c>
      <c r="BB60">
        <v>0</v>
      </c>
      <c r="BC60">
        <v>0</v>
      </c>
      <c r="BD60">
        <v>700</v>
      </c>
      <c r="BE60">
        <v>70</v>
      </c>
      <c r="BF60">
        <v>9</v>
      </c>
      <c r="BG60" s="2">
        <v>45536</v>
      </c>
      <c r="BH60" t="s">
        <v>142</v>
      </c>
      <c r="BI60" s="2">
        <v>46026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584.13</v>
      </c>
      <c r="BQ60">
        <v>584.13</v>
      </c>
      <c r="BR60">
        <v>0</v>
      </c>
      <c r="BS60">
        <v>0</v>
      </c>
      <c r="BT60">
        <v>0</v>
      </c>
      <c r="BU60">
        <v>0</v>
      </c>
      <c r="BV60" s="1">
        <v>41792.86</v>
      </c>
      <c r="BW60" s="1">
        <v>41792.86</v>
      </c>
      <c r="BX60">
        <v>0</v>
      </c>
      <c r="BY60">
        <v>0</v>
      </c>
      <c r="BZ60">
        <v>0</v>
      </c>
      <c r="CA60">
        <v>0</v>
      </c>
      <c r="CB60" s="1">
        <v>12329.84</v>
      </c>
      <c r="CC60" t="s">
        <v>152</v>
      </c>
    </row>
    <row r="61" spans="1:81" x14ac:dyDescent="0.25">
      <c r="A61">
        <v>345</v>
      </c>
      <c r="B61">
        <v>2</v>
      </c>
      <c r="C61">
        <v>188</v>
      </c>
      <c r="D61" t="s">
        <v>476</v>
      </c>
      <c r="E61" t="s">
        <v>121</v>
      </c>
      <c r="F61" t="s">
        <v>477</v>
      </c>
      <c r="G61" t="s">
        <v>478</v>
      </c>
      <c r="H61" t="s">
        <v>479</v>
      </c>
      <c r="I61" t="s">
        <v>125</v>
      </c>
      <c r="J61" t="s">
        <v>126</v>
      </c>
      <c r="K61" t="s">
        <v>336</v>
      </c>
      <c r="L61" t="s">
        <v>128</v>
      </c>
      <c r="M61" t="s">
        <v>337</v>
      </c>
      <c r="N61" t="s">
        <v>480</v>
      </c>
      <c r="O61" t="s">
        <v>131</v>
      </c>
      <c r="P61">
        <v>0</v>
      </c>
      <c r="Q61" t="s">
        <v>125</v>
      </c>
      <c r="R61">
        <v>6</v>
      </c>
      <c r="S61">
        <v>43</v>
      </c>
      <c r="T61" t="s">
        <v>132</v>
      </c>
      <c r="U61" t="s">
        <v>133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134</v>
      </c>
      <c r="AE61" t="s">
        <v>134</v>
      </c>
      <c r="AF61" s="2">
        <v>45518</v>
      </c>
      <c r="AG61" s="2">
        <v>46003</v>
      </c>
      <c r="AH61">
        <v>283.64</v>
      </c>
      <c r="AI61">
        <v>335.28</v>
      </c>
      <c r="AJ61" s="1">
        <v>1134.5899999999999</v>
      </c>
      <c r="AK61">
        <v>0</v>
      </c>
      <c r="AL61">
        <v>0</v>
      </c>
      <c r="AM61">
        <v>0</v>
      </c>
      <c r="AN61" t="s">
        <v>135</v>
      </c>
      <c r="AO61" t="s">
        <v>135</v>
      </c>
      <c r="AP61" t="s">
        <v>136</v>
      </c>
      <c r="AQ61" t="s">
        <v>137</v>
      </c>
      <c r="AR61" t="s">
        <v>138</v>
      </c>
      <c r="AS61" t="s">
        <v>150</v>
      </c>
      <c r="AT61" t="s">
        <v>140</v>
      </c>
      <c r="AU61">
        <v>101</v>
      </c>
      <c r="AV61">
        <v>10</v>
      </c>
      <c r="AW61">
        <v>1</v>
      </c>
      <c r="AX61" s="2">
        <v>45967</v>
      </c>
      <c r="AY61" t="s">
        <v>308</v>
      </c>
      <c r="AZ61" s="2">
        <v>46023</v>
      </c>
      <c r="BA61">
        <v>0</v>
      </c>
      <c r="BB61">
        <v>0</v>
      </c>
      <c r="BC61">
        <v>0</v>
      </c>
      <c r="BD61">
        <v>700</v>
      </c>
      <c r="BE61">
        <v>70</v>
      </c>
      <c r="BF61">
        <v>9</v>
      </c>
      <c r="BG61" s="2">
        <v>45536</v>
      </c>
      <c r="BH61" t="s">
        <v>142</v>
      </c>
      <c r="BI61" s="2">
        <v>46026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319.22000000000003</v>
      </c>
      <c r="BQ61">
        <v>319.22000000000003</v>
      </c>
      <c r="BR61">
        <v>0</v>
      </c>
      <c r="BS61">
        <v>0</v>
      </c>
      <c r="BT61">
        <v>0</v>
      </c>
      <c r="BU61">
        <v>0</v>
      </c>
      <c r="BV61">
        <v>214.13</v>
      </c>
      <c r="BW61">
        <v>214.13</v>
      </c>
      <c r="BX61">
        <v>0</v>
      </c>
      <c r="BY61">
        <v>0</v>
      </c>
      <c r="BZ61">
        <v>0</v>
      </c>
      <c r="CA61">
        <v>0</v>
      </c>
      <c r="CB61">
        <v>490.82</v>
      </c>
      <c r="CC61" t="s">
        <v>143</v>
      </c>
    </row>
    <row r="62" spans="1:81" x14ac:dyDescent="0.25">
      <c r="A62">
        <v>345</v>
      </c>
      <c r="B62">
        <v>2</v>
      </c>
      <c r="C62">
        <v>189</v>
      </c>
      <c r="D62" t="s">
        <v>481</v>
      </c>
      <c r="E62" t="s">
        <v>121</v>
      </c>
      <c r="F62" t="s">
        <v>482</v>
      </c>
      <c r="G62" t="s">
        <v>483</v>
      </c>
      <c r="H62" t="s">
        <v>484</v>
      </c>
      <c r="I62" t="s">
        <v>485</v>
      </c>
      <c r="J62" t="s">
        <v>126</v>
      </c>
      <c r="K62" t="s">
        <v>336</v>
      </c>
      <c r="L62" t="s">
        <v>128</v>
      </c>
      <c r="M62" t="s">
        <v>337</v>
      </c>
      <c r="N62" t="s">
        <v>486</v>
      </c>
      <c r="O62" t="s">
        <v>167</v>
      </c>
      <c r="P62">
        <v>0</v>
      </c>
      <c r="Q62" t="s">
        <v>125</v>
      </c>
      <c r="R62">
        <v>6</v>
      </c>
      <c r="S62">
        <v>36</v>
      </c>
      <c r="T62" t="s">
        <v>132</v>
      </c>
      <c r="U62" t="s">
        <v>133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134</v>
      </c>
      <c r="AE62" t="s">
        <v>134</v>
      </c>
      <c r="AF62" s="2">
        <v>45518</v>
      </c>
      <c r="AG62" s="2">
        <v>46015</v>
      </c>
      <c r="AH62">
        <v>580.66</v>
      </c>
      <c r="AI62" s="1">
        <v>1216.2</v>
      </c>
      <c r="AJ62" s="1">
        <v>6968.02</v>
      </c>
      <c r="AK62">
        <v>0</v>
      </c>
      <c r="AL62">
        <v>0</v>
      </c>
      <c r="AM62">
        <v>0</v>
      </c>
      <c r="AN62" t="s">
        <v>135</v>
      </c>
      <c r="AO62" t="s">
        <v>135</v>
      </c>
      <c r="AP62" t="s">
        <v>136</v>
      </c>
      <c r="AQ62" t="s">
        <v>137</v>
      </c>
      <c r="AR62" t="s">
        <v>138</v>
      </c>
      <c r="AS62" t="s">
        <v>139</v>
      </c>
      <c r="AT62" t="s">
        <v>140</v>
      </c>
      <c r="AU62">
        <v>101</v>
      </c>
      <c r="AV62">
        <v>10</v>
      </c>
      <c r="AW62">
        <v>1</v>
      </c>
      <c r="AX62" s="2">
        <v>45874</v>
      </c>
      <c r="AY62" t="s">
        <v>377</v>
      </c>
      <c r="AZ62" s="2">
        <v>46028</v>
      </c>
      <c r="BA62">
        <v>0</v>
      </c>
      <c r="BB62">
        <v>0</v>
      </c>
      <c r="BC62">
        <v>0</v>
      </c>
      <c r="BD62">
        <v>700</v>
      </c>
      <c r="BE62">
        <v>70</v>
      </c>
      <c r="BF62">
        <v>9</v>
      </c>
      <c r="BG62" s="2">
        <v>45536</v>
      </c>
      <c r="BH62" t="s">
        <v>142</v>
      </c>
      <c r="BI62" s="2">
        <v>46026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 s="1">
        <v>1605</v>
      </c>
      <c r="BQ62" s="1">
        <v>1605</v>
      </c>
      <c r="BR62">
        <v>0</v>
      </c>
      <c r="BS62">
        <v>0</v>
      </c>
      <c r="BT62">
        <v>0</v>
      </c>
      <c r="BU62">
        <v>0</v>
      </c>
      <c r="BV62" s="1">
        <v>1791.01</v>
      </c>
      <c r="BW62" s="1">
        <v>1791.01</v>
      </c>
      <c r="BX62">
        <v>0</v>
      </c>
      <c r="BY62">
        <v>0</v>
      </c>
      <c r="BZ62">
        <v>0</v>
      </c>
      <c r="CA62">
        <v>0</v>
      </c>
      <c r="CB62" s="1">
        <v>2622.41</v>
      </c>
      <c r="CC62" t="s">
        <v>161</v>
      </c>
    </row>
    <row r="63" spans="1:81" x14ac:dyDescent="0.25">
      <c r="A63">
        <v>345</v>
      </c>
      <c r="B63">
        <v>2</v>
      </c>
      <c r="C63">
        <v>190</v>
      </c>
      <c r="D63" t="s">
        <v>487</v>
      </c>
      <c r="E63" t="s">
        <v>121</v>
      </c>
      <c r="F63" t="s">
        <v>488</v>
      </c>
      <c r="G63" t="s">
        <v>489</v>
      </c>
      <c r="H63" t="s">
        <v>490</v>
      </c>
      <c r="I63" t="s">
        <v>491</v>
      </c>
      <c r="J63" t="s">
        <v>492</v>
      </c>
      <c r="K63" t="s">
        <v>466</v>
      </c>
      <c r="L63" t="s">
        <v>128</v>
      </c>
      <c r="M63" t="s">
        <v>467</v>
      </c>
      <c r="N63" t="s">
        <v>493</v>
      </c>
      <c r="O63" t="s">
        <v>167</v>
      </c>
      <c r="P63">
        <v>0</v>
      </c>
      <c r="Q63" t="s">
        <v>125</v>
      </c>
      <c r="R63">
        <v>6</v>
      </c>
      <c r="S63">
        <v>37</v>
      </c>
      <c r="T63" t="s">
        <v>132</v>
      </c>
      <c r="U63" t="s">
        <v>133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134</v>
      </c>
      <c r="AE63" t="s">
        <v>134</v>
      </c>
      <c r="AF63" s="2">
        <v>45518</v>
      </c>
      <c r="AG63" s="2">
        <v>46021</v>
      </c>
      <c r="AH63" s="1">
        <v>1212.48</v>
      </c>
      <c r="AI63" s="1">
        <v>2436.4899999999998</v>
      </c>
      <c r="AJ63" s="1">
        <v>13337.31</v>
      </c>
      <c r="AK63">
        <v>0</v>
      </c>
      <c r="AL63">
        <v>0</v>
      </c>
      <c r="AM63">
        <v>0</v>
      </c>
      <c r="AN63" t="s">
        <v>135</v>
      </c>
      <c r="AO63" t="s">
        <v>135</v>
      </c>
      <c r="AP63" t="s">
        <v>136</v>
      </c>
      <c r="AQ63" t="s">
        <v>137</v>
      </c>
      <c r="AR63" t="s">
        <v>138</v>
      </c>
      <c r="AS63" t="s">
        <v>139</v>
      </c>
      <c r="AT63" t="s">
        <v>140</v>
      </c>
      <c r="AU63">
        <v>105</v>
      </c>
      <c r="AV63">
        <v>10</v>
      </c>
      <c r="AW63">
        <v>1</v>
      </c>
      <c r="AX63" s="2">
        <v>45810</v>
      </c>
      <c r="AY63" t="s">
        <v>141</v>
      </c>
      <c r="AZ63" s="2">
        <v>46027</v>
      </c>
      <c r="BA63">
        <v>0</v>
      </c>
      <c r="BB63">
        <v>0</v>
      </c>
      <c r="BC63">
        <v>0</v>
      </c>
      <c r="BD63">
        <v>700</v>
      </c>
      <c r="BE63">
        <v>70</v>
      </c>
      <c r="BF63">
        <v>9</v>
      </c>
      <c r="BG63" s="2">
        <v>45536</v>
      </c>
      <c r="BH63" t="s">
        <v>142</v>
      </c>
      <c r="BI63" s="2">
        <v>46026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s="1">
        <v>3775.41</v>
      </c>
      <c r="BQ63" s="1">
        <v>3775.41</v>
      </c>
      <c r="BR63">
        <v>0</v>
      </c>
      <c r="BS63">
        <v>0</v>
      </c>
      <c r="BT63">
        <v>0</v>
      </c>
      <c r="BU63">
        <v>0</v>
      </c>
      <c r="BV63" s="1">
        <v>6046.49</v>
      </c>
      <c r="BW63" s="1">
        <v>6046.49</v>
      </c>
      <c r="BX63">
        <v>0</v>
      </c>
      <c r="BY63">
        <v>0</v>
      </c>
      <c r="BZ63">
        <v>0</v>
      </c>
      <c r="CA63">
        <v>0</v>
      </c>
      <c r="CB63" s="1">
        <v>3564.97</v>
      </c>
      <c r="CC63" t="s">
        <v>161</v>
      </c>
    </row>
    <row r="64" spans="1:81" x14ac:dyDescent="0.25">
      <c r="A64">
        <v>345</v>
      </c>
      <c r="B64">
        <v>2</v>
      </c>
      <c r="C64">
        <v>192</v>
      </c>
      <c r="D64" t="s">
        <v>494</v>
      </c>
      <c r="E64" t="s">
        <v>121</v>
      </c>
      <c r="F64" t="s">
        <v>495</v>
      </c>
      <c r="G64" t="s">
        <v>496</v>
      </c>
      <c r="H64" t="s">
        <v>497</v>
      </c>
      <c r="I64" t="s">
        <v>498</v>
      </c>
      <c r="J64" t="s">
        <v>499</v>
      </c>
      <c r="K64" t="s">
        <v>336</v>
      </c>
      <c r="L64" t="s">
        <v>128</v>
      </c>
      <c r="M64" t="s">
        <v>337</v>
      </c>
      <c r="N64" t="s">
        <v>500</v>
      </c>
      <c r="O64" t="s">
        <v>167</v>
      </c>
      <c r="P64">
        <v>0</v>
      </c>
      <c r="Q64" t="s">
        <v>125</v>
      </c>
      <c r="R64">
        <v>6</v>
      </c>
      <c r="S64">
        <v>36</v>
      </c>
      <c r="T64" t="s">
        <v>132</v>
      </c>
      <c r="U64" t="s">
        <v>133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134</v>
      </c>
      <c r="AE64" t="s">
        <v>134</v>
      </c>
      <c r="AF64" s="2">
        <v>45518</v>
      </c>
      <c r="AG64" s="2">
        <v>46017</v>
      </c>
      <c r="AH64">
        <v>330.19</v>
      </c>
      <c r="AI64">
        <v>441.92</v>
      </c>
      <c r="AJ64" s="1">
        <v>2971.79</v>
      </c>
      <c r="AK64">
        <v>0</v>
      </c>
      <c r="AL64">
        <v>0</v>
      </c>
      <c r="AM64">
        <v>0</v>
      </c>
      <c r="AN64" t="s">
        <v>135</v>
      </c>
      <c r="AO64" t="s">
        <v>135</v>
      </c>
      <c r="AP64" t="s">
        <v>136</v>
      </c>
      <c r="AQ64" t="s">
        <v>137</v>
      </c>
      <c r="AR64" t="s">
        <v>138</v>
      </c>
      <c r="AS64" t="s">
        <v>139</v>
      </c>
      <c r="AT64" t="s">
        <v>140</v>
      </c>
      <c r="AU64">
        <v>101</v>
      </c>
      <c r="AV64">
        <v>10</v>
      </c>
      <c r="AW64">
        <v>1</v>
      </c>
      <c r="AX64" s="2">
        <v>45854</v>
      </c>
      <c r="AY64" t="s">
        <v>168</v>
      </c>
      <c r="AZ64" s="2">
        <v>46022</v>
      </c>
      <c r="BA64">
        <v>0</v>
      </c>
      <c r="BB64">
        <v>0</v>
      </c>
      <c r="BC64">
        <v>0</v>
      </c>
      <c r="BD64">
        <v>700</v>
      </c>
      <c r="BE64">
        <v>70</v>
      </c>
      <c r="BF64">
        <v>9</v>
      </c>
      <c r="BG64" s="2">
        <v>45536</v>
      </c>
      <c r="BH64" t="s">
        <v>142</v>
      </c>
      <c r="BI64" s="2">
        <v>46026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s="1">
        <v>1130.76</v>
      </c>
      <c r="BQ64" s="1">
        <v>1130.76</v>
      </c>
      <c r="BR64">
        <v>0</v>
      </c>
      <c r="BS64">
        <v>0</v>
      </c>
      <c r="BT64">
        <v>0</v>
      </c>
      <c r="BU64">
        <v>0</v>
      </c>
      <c r="BV64" s="1">
        <v>1580.15</v>
      </c>
      <c r="BW64" s="1">
        <v>1580.15</v>
      </c>
      <c r="BX64">
        <v>0</v>
      </c>
      <c r="BY64">
        <v>0</v>
      </c>
      <c r="BZ64">
        <v>0</v>
      </c>
      <c r="CA64">
        <v>0</v>
      </c>
      <c r="CB64">
        <v>643.42999999999995</v>
      </c>
      <c r="CC64" t="s">
        <v>161</v>
      </c>
    </row>
    <row r="65" spans="1:81" x14ac:dyDescent="0.25">
      <c r="A65">
        <v>345</v>
      </c>
      <c r="B65">
        <v>2</v>
      </c>
      <c r="C65">
        <v>193</v>
      </c>
      <c r="D65" t="s">
        <v>501</v>
      </c>
      <c r="E65" t="s">
        <v>121</v>
      </c>
      <c r="F65" t="s">
        <v>502</v>
      </c>
      <c r="G65" t="s">
        <v>503</v>
      </c>
      <c r="H65" t="s">
        <v>504</v>
      </c>
      <c r="I65" t="s">
        <v>125</v>
      </c>
      <c r="J65" t="s">
        <v>505</v>
      </c>
      <c r="K65" t="s">
        <v>336</v>
      </c>
      <c r="L65" t="s">
        <v>128</v>
      </c>
      <c r="M65" t="s">
        <v>337</v>
      </c>
      <c r="N65" t="s">
        <v>506</v>
      </c>
      <c r="O65" t="s">
        <v>131</v>
      </c>
      <c r="P65">
        <v>0</v>
      </c>
      <c r="Q65" t="s">
        <v>125</v>
      </c>
      <c r="R65">
        <v>6</v>
      </c>
      <c r="S65">
        <v>41</v>
      </c>
      <c r="T65" t="s">
        <v>132</v>
      </c>
      <c r="U65" t="s">
        <v>133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134</v>
      </c>
      <c r="AE65" t="s">
        <v>134</v>
      </c>
      <c r="AF65" s="2">
        <v>45518</v>
      </c>
      <c r="AG65" s="2">
        <v>45999</v>
      </c>
      <c r="AH65">
        <v>286.5</v>
      </c>
      <c r="AI65">
        <v>286.5</v>
      </c>
      <c r="AJ65">
        <v>286.5</v>
      </c>
      <c r="AK65">
        <v>0</v>
      </c>
      <c r="AL65">
        <v>0</v>
      </c>
      <c r="AM65">
        <v>0</v>
      </c>
      <c r="AN65" t="s">
        <v>135</v>
      </c>
      <c r="AO65" t="s">
        <v>135</v>
      </c>
      <c r="AP65" t="s">
        <v>136</v>
      </c>
      <c r="AQ65" t="s">
        <v>137</v>
      </c>
      <c r="AR65" t="s">
        <v>138</v>
      </c>
      <c r="AS65" t="s">
        <v>139</v>
      </c>
      <c r="AT65" t="s">
        <v>140</v>
      </c>
      <c r="AU65">
        <v>100</v>
      </c>
      <c r="AV65">
        <v>10</v>
      </c>
      <c r="AW65">
        <v>1</v>
      </c>
      <c r="AX65" s="2">
        <v>45815</v>
      </c>
      <c r="AY65" t="s">
        <v>160</v>
      </c>
      <c r="AZ65" s="2">
        <v>46025</v>
      </c>
      <c r="BA65">
        <v>0</v>
      </c>
      <c r="BB65">
        <v>0</v>
      </c>
      <c r="BC65">
        <v>0</v>
      </c>
      <c r="BD65">
        <v>700</v>
      </c>
      <c r="BE65">
        <v>70</v>
      </c>
      <c r="BF65">
        <v>9</v>
      </c>
      <c r="BG65" s="2">
        <v>45536</v>
      </c>
      <c r="BH65" t="s">
        <v>142</v>
      </c>
      <c r="BI65" s="2">
        <v>46026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286.5</v>
      </c>
      <c r="BW65">
        <v>286.5</v>
      </c>
      <c r="BX65">
        <v>0</v>
      </c>
      <c r="BY65">
        <v>0</v>
      </c>
      <c r="BZ65">
        <v>0</v>
      </c>
      <c r="CA65">
        <v>0</v>
      </c>
      <c r="CB65">
        <v>48.76</v>
      </c>
      <c r="CC65" t="s">
        <v>143</v>
      </c>
    </row>
    <row r="66" spans="1:81" x14ac:dyDescent="0.25">
      <c r="A66">
        <v>345</v>
      </c>
      <c r="B66">
        <v>2</v>
      </c>
      <c r="C66">
        <v>194</v>
      </c>
      <c r="D66" t="s">
        <v>507</v>
      </c>
      <c r="E66" t="s">
        <v>121</v>
      </c>
      <c r="F66" t="s">
        <v>508</v>
      </c>
      <c r="G66" t="s">
        <v>509</v>
      </c>
      <c r="H66" t="s">
        <v>510</v>
      </c>
      <c r="I66" t="s">
        <v>125</v>
      </c>
      <c r="J66" t="s">
        <v>126</v>
      </c>
      <c r="K66" t="s">
        <v>336</v>
      </c>
      <c r="L66" t="s">
        <v>128</v>
      </c>
      <c r="M66" t="s">
        <v>337</v>
      </c>
      <c r="N66" t="s">
        <v>511</v>
      </c>
      <c r="O66" t="s">
        <v>131</v>
      </c>
      <c r="P66">
        <v>0</v>
      </c>
      <c r="Q66" t="s">
        <v>125</v>
      </c>
      <c r="R66">
        <v>6</v>
      </c>
      <c r="S66">
        <v>43</v>
      </c>
      <c r="T66" t="s">
        <v>132</v>
      </c>
      <c r="U66" t="s">
        <v>133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134</v>
      </c>
      <c r="AE66" t="s">
        <v>134</v>
      </c>
      <c r="AF66" s="2">
        <v>45518</v>
      </c>
      <c r="AG66" s="2">
        <v>46003</v>
      </c>
      <c r="AH66">
        <v>222.95</v>
      </c>
      <c r="AI66">
        <v>309.37</v>
      </c>
      <c r="AJ66" s="1">
        <v>1337.73</v>
      </c>
      <c r="AK66">
        <v>0</v>
      </c>
      <c r="AL66">
        <v>0</v>
      </c>
      <c r="AM66">
        <v>0</v>
      </c>
      <c r="AN66" t="s">
        <v>135</v>
      </c>
      <c r="AO66" t="s">
        <v>135</v>
      </c>
      <c r="AP66" t="s">
        <v>136</v>
      </c>
      <c r="AQ66" t="s">
        <v>137</v>
      </c>
      <c r="AR66" t="s">
        <v>138</v>
      </c>
      <c r="AS66" t="s">
        <v>150</v>
      </c>
      <c r="AT66" t="s">
        <v>140</v>
      </c>
      <c r="AU66">
        <v>101</v>
      </c>
      <c r="AV66">
        <v>10</v>
      </c>
      <c r="AW66">
        <v>1</v>
      </c>
      <c r="AX66" s="2">
        <v>45841</v>
      </c>
      <c r="AY66" t="s">
        <v>308</v>
      </c>
      <c r="AZ66" s="2">
        <v>46023</v>
      </c>
      <c r="BA66">
        <v>0</v>
      </c>
      <c r="BB66">
        <v>0</v>
      </c>
      <c r="BC66">
        <v>0</v>
      </c>
      <c r="BD66">
        <v>700</v>
      </c>
      <c r="BE66">
        <v>70</v>
      </c>
      <c r="BF66">
        <v>9</v>
      </c>
      <c r="BG66" s="2">
        <v>45536</v>
      </c>
      <c r="BH66" t="s">
        <v>142</v>
      </c>
      <c r="BI66" s="2">
        <v>46026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452.6</v>
      </c>
      <c r="BQ66">
        <v>452.6</v>
      </c>
      <c r="BR66">
        <v>0</v>
      </c>
      <c r="BS66">
        <v>0</v>
      </c>
      <c r="BT66">
        <v>0</v>
      </c>
      <c r="BU66">
        <v>0</v>
      </c>
      <c r="BV66">
        <v>325.51</v>
      </c>
      <c r="BW66">
        <v>325.51</v>
      </c>
      <c r="BX66">
        <v>0</v>
      </c>
      <c r="BY66">
        <v>0</v>
      </c>
      <c r="BZ66">
        <v>0</v>
      </c>
      <c r="CA66">
        <v>0</v>
      </c>
      <c r="CB66">
        <v>553.67999999999995</v>
      </c>
      <c r="CC66" t="s">
        <v>143</v>
      </c>
    </row>
    <row r="67" spans="1:81" x14ac:dyDescent="0.25">
      <c r="A67">
        <v>345</v>
      </c>
      <c r="B67">
        <v>2</v>
      </c>
      <c r="C67">
        <v>197</v>
      </c>
      <c r="D67" t="s">
        <v>512</v>
      </c>
      <c r="E67" t="s">
        <v>121</v>
      </c>
      <c r="F67" t="s">
        <v>513</v>
      </c>
      <c r="G67" t="s">
        <v>514</v>
      </c>
      <c r="H67" t="s">
        <v>515</v>
      </c>
      <c r="I67" t="s">
        <v>125</v>
      </c>
      <c r="J67" t="s">
        <v>126</v>
      </c>
      <c r="K67" t="s">
        <v>336</v>
      </c>
      <c r="L67" t="s">
        <v>128</v>
      </c>
      <c r="M67" t="s">
        <v>337</v>
      </c>
      <c r="N67" t="s">
        <v>516</v>
      </c>
      <c r="O67" t="s">
        <v>296</v>
      </c>
      <c r="P67">
        <v>0</v>
      </c>
      <c r="Q67" t="s">
        <v>125</v>
      </c>
      <c r="R67">
        <v>3</v>
      </c>
      <c r="S67">
        <v>86</v>
      </c>
      <c r="T67" t="s">
        <v>132</v>
      </c>
      <c r="U67" t="s">
        <v>133</v>
      </c>
      <c r="V67" s="1">
        <v>19000</v>
      </c>
      <c r="W67">
        <v>0</v>
      </c>
      <c r="X67" s="1">
        <v>19000</v>
      </c>
      <c r="Y67">
        <v>7</v>
      </c>
      <c r="Z67">
        <v>0</v>
      </c>
      <c r="AA67">
        <v>4</v>
      </c>
      <c r="AB67">
        <v>0</v>
      </c>
      <c r="AC67">
        <v>5</v>
      </c>
      <c r="AD67" t="s">
        <v>234</v>
      </c>
      <c r="AE67" t="s">
        <v>134</v>
      </c>
      <c r="AF67" s="2">
        <v>45518</v>
      </c>
      <c r="AG67" s="2">
        <v>45995</v>
      </c>
      <c r="AH67" s="1">
        <v>1365.83</v>
      </c>
      <c r="AI67" s="1">
        <v>3116.25</v>
      </c>
      <c r="AJ67" s="1">
        <v>12292.53</v>
      </c>
      <c r="AK67">
        <v>0</v>
      </c>
      <c r="AL67">
        <v>0</v>
      </c>
      <c r="AM67">
        <v>0</v>
      </c>
      <c r="AN67" t="s">
        <v>135</v>
      </c>
      <c r="AO67" t="s">
        <v>135</v>
      </c>
      <c r="AP67" t="s">
        <v>136</v>
      </c>
      <c r="AQ67" t="s">
        <v>137</v>
      </c>
      <c r="AR67" t="s">
        <v>138</v>
      </c>
      <c r="AS67" t="s">
        <v>150</v>
      </c>
      <c r="AT67" t="s">
        <v>140</v>
      </c>
      <c r="AU67">
        <v>501</v>
      </c>
      <c r="AV67">
        <v>10</v>
      </c>
      <c r="AW67">
        <v>1</v>
      </c>
      <c r="AX67" s="2">
        <v>45860</v>
      </c>
      <c r="AY67" t="s">
        <v>517</v>
      </c>
      <c r="AZ67" s="2">
        <v>46023</v>
      </c>
      <c r="BA67">
        <v>0</v>
      </c>
      <c r="BB67">
        <v>0</v>
      </c>
      <c r="BC67">
        <v>0</v>
      </c>
      <c r="BD67">
        <v>700</v>
      </c>
      <c r="BE67">
        <v>70</v>
      </c>
      <c r="BF67">
        <v>9</v>
      </c>
      <c r="BG67" s="2">
        <v>45536</v>
      </c>
      <c r="BH67" t="s">
        <v>142</v>
      </c>
      <c r="BI67" s="2">
        <v>46026</v>
      </c>
      <c r="BJ67">
        <v>0</v>
      </c>
      <c r="BK67">
        <v>0</v>
      </c>
      <c r="BL67">
        <v>0</v>
      </c>
      <c r="BM67">
        <v>3.44</v>
      </c>
      <c r="BN67">
        <v>3.44</v>
      </c>
      <c r="BO67" s="1">
        <v>5252.51</v>
      </c>
      <c r="BP67">
        <v>0</v>
      </c>
      <c r="BQ67" s="1">
        <v>5252.51</v>
      </c>
      <c r="BR67">
        <v>0</v>
      </c>
      <c r="BS67">
        <v>4</v>
      </c>
      <c r="BT67">
        <v>4</v>
      </c>
      <c r="BU67" s="1">
        <v>3116.25</v>
      </c>
      <c r="BV67">
        <v>0</v>
      </c>
      <c r="BW67" s="1">
        <v>3116.25</v>
      </c>
      <c r="BX67">
        <v>0</v>
      </c>
      <c r="BY67">
        <v>0</v>
      </c>
      <c r="BZ67">
        <v>0</v>
      </c>
      <c r="CA67">
        <v>0</v>
      </c>
      <c r="CB67" s="1">
        <v>6176.47</v>
      </c>
      <c r="CC67" t="s">
        <v>297</v>
      </c>
    </row>
    <row r="68" spans="1:81" x14ac:dyDescent="0.25">
      <c r="A68">
        <v>345</v>
      </c>
      <c r="B68">
        <v>2</v>
      </c>
      <c r="C68">
        <v>198</v>
      </c>
      <c r="D68" t="s">
        <v>518</v>
      </c>
      <c r="E68" t="s">
        <v>121</v>
      </c>
      <c r="F68" t="s">
        <v>519</v>
      </c>
      <c r="G68" t="s">
        <v>520</v>
      </c>
      <c r="H68" t="s">
        <v>521</v>
      </c>
      <c r="I68" t="s">
        <v>125</v>
      </c>
      <c r="J68" t="s">
        <v>126</v>
      </c>
      <c r="K68" t="s">
        <v>336</v>
      </c>
      <c r="L68" t="s">
        <v>128</v>
      </c>
      <c r="M68" t="s">
        <v>337</v>
      </c>
      <c r="N68" t="s">
        <v>522</v>
      </c>
      <c r="O68" t="s">
        <v>159</v>
      </c>
      <c r="P68">
        <v>0</v>
      </c>
      <c r="Q68" t="s">
        <v>125</v>
      </c>
      <c r="R68">
        <v>6</v>
      </c>
      <c r="S68">
        <v>39</v>
      </c>
      <c r="T68" t="s">
        <v>132</v>
      </c>
      <c r="U68" t="s">
        <v>133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134</v>
      </c>
      <c r="AE68" t="s">
        <v>134</v>
      </c>
      <c r="AF68" s="2">
        <v>45518</v>
      </c>
      <c r="AG68" s="2">
        <v>46008</v>
      </c>
      <c r="AH68">
        <v>460.43</v>
      </c>
      <c r="AI68">
        <v>514.46</v>
      </c>
      <c r="AJ68" s="1">
        <v>1381.3</v>
      </c>
      <c r="AK68">
        <v>0</v>
      </c>
      <c r="AL68">
        <v>0</v>
      </c>
      <c r="AM68">
        <v>0</v>
      </c>
      <c r="AN68" t="s">
        <v>135</v>
      </c>
      <c r="AO68" t="s">
        <v>135</v>
      </c>
      <c r="AP68" t="s">
        <v>136</v>
      </c>
      <c r="AQ68" t="s">
        <v>137</v>
      </c>
      <c r="AR68" t="s">
        <v>138</v>
      </c>
      <c r="AS68" t="s">
        <v>150</v>
      </c>
      <c r="AT68" t="s">
        <v>140</v>
      </c>
      <c r="AU68">
        <v>101</v>
      </c>
      <c r="AV68">
        <v>10</v>
      </c>
      <c r="AW68">
        <v>1</v>
      </c>
      <c r="AX68" s="2">
        <v>45860</v>
      </c>
      <c r="AY68" t="s">
        <v>377</v>
      </c>
      <c r="AZ68" s="2">
        <v>46028</v>
      </c>
      <c r="BA68">
        <v>0</v>
      </c>
      <c r="BB68">
        <v>0</v>
      </c>
      <c r="BC68">
        <v>0</v>
      </c>
      <c r="BD68">
        <v>700</v>
      </c>
      <c r="BE68">
        <v>70</v>
      </c>
      <c r="BF68">
        <v>9</v>
      </c>
      <c r="BG68" s="2">
        <v>45536</v>
      </c>
      <c r="BH68" t="s">
        <v>142</v>
      </c>
      <c r="BI68" s="2">
        <v>46026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436.48</v>
      </c>
      <c r="BQ68">
        <v>436.48</v>
      </c>
      <c r="BR68">
        <v>0</v>
      </c>
      <c r="BS68">
        <v>0</v>
      </c>
      <c r="BT68">
        <v>0</v>
      </c>
      <c r="BU68">
        <v>0</v>
      </c>
      <c r="BV68">
        <v>514.46</v>
      </c>
      <c r="BW68">
        <v>514.46</v>
      </c>
      <c r="BX68">
        <v>0</v>
      </c>
      <c r="BY68">
        <v>0</v>
      </c>
      <c r="BZ68">
        <v>0</v>
      </c>
      <c r="CA68">
        <v>0</v>
      </c>
      <c r="CB68">
        <v>288.94</v>
      </c>
      <c r="CC68" t="s">
        <v>161</v>
      </c>
    </row>
    <row r="69" spans="1:81" x14ac:dyDescent="0.25">
      <c r="A69">
        <v>345</v>
      </c>
      <c r="B69">
        <v>2</v>
      </c>
      <c r="C69">
        <v>199</v>
      </c>
      <c r="D69" t="s">
        <v>523</v>
      </c>
      <c r="E69" t="s">
        <v>121</v>
      </c>
      <c r="F69" t="s">
        <v>524</v>
      </c>
      <c r="G69" t="s">
        <v>525</v>
      </c>
      <c r="H69" t="s">
        <v>526</v>
      </c>
      <c r="I69" t="s">
        <v>125</v>
      </c>
      <c r="J69" t="s">
        <v>527</v>
      </c>
      <c r="K69" t="s">
        <v>466</v>
      </c>
      <c r="L69" t="s">
        <v>128</v>
      </c>
      <c r="M69" t="s">
        <v>467</v>
      </c>
      <c r="N69" t="s">
        <v>528</v>
      </c>
      <c r="O69" t="s">
        <v>131</v>
      </c>
      <c r="P69">
        <v>0</v>
      </c>
      <c r="Q69" t="s">
        <v>125</v>
      </c>
      <c r="R69">
        <v>6</v>
      </c>
      <c r="S69">
        <v>39</v>
      </c>
      <c r="T69" t="s">
        <v>132</v>
      </c>
      <c r="U69" t="s">
        <v>133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134</v>
      </c>
      <c r="AE69" t="s">
        <v>134</v>
      </c>
      <c r="AF69" s="2">
        <v>45518</v>
      </c>
      <c r="AG69" s="2">
        <v>46013</v>
      </c>
      <c r="AH69">
        <v>19.440000000000001</v>
      </c>
      <c r="AI69">
        <v>19.440000000000001</v>
      </c>
      <c r="AJ69">
        <v>19.440000000000001</v>
      </c>
      <c r="AK69">
        <v>0</v>
      </c>
      <c r="AL69">
        <v>0</v>
      </c>
      <c r="AM69">
        <v>0</v>
      </c>
      <c r="AN69" t="s">
        <v>135</v>
      </c>
      <c r="AO69" t="s">
        <v>135</v>
      </c>
      <c r="AP69" t="s">
        <v>136</v>
      </c>
      <c r="AQ69" t="s">
        <v>137</v>
      </c>
      <c r="AR69" t="s">
        <v>138</v>
      </c>
      <c r="AS69" t="s">
        <v>139</v>
      </c>
      <c r="AT69" t="s">
        <v>140</v>
      </c>
      <c r="AU69">
        <v>105</v>
      </c>
      <c r="AV69">
        <v>10</v>
      </c>
      <c r="AW69">
        <v>1</v>
      </c>
      <c r="AX69" s="2">
        <v>45814</v>
      </c>
      <c r="AY69" t="s">
        <v>151</v>
      </c>
      <c r="AZ69" s="2">
        <v>46024</v>
      </c>
      <c r="BA69">
        <v>0</v>
      </c>
      <c r="BB69">
        <v>0</v>
      </c>
      <c r="BC69">
        <v>0</v>
      </c>
      <c r="BD69">
        <v>700</v>
      </c>
      <c r="BE69">
        <v>70</v>
      </c>
      <c r="BF69">
        <v>9</v>
      </c>
      <c r="BG69" s="2">
        <v>45536</v>
      </c>
      <c r="BH69" t="s">
        <v>142</v>
      </c>
      <c r="BI69" s="2">
        <v>46026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19.440000000000001</v>
      </c>
      <c r="BW69">
        <v>19.440000000000001</v>
      </c>
      <c r="BX69">
        <v>0</v>
      </c>
      <c r="BY69">
        <v>0</v>
      </c>
      <c r="BZ69">
        <v>0</v>
      </c>
      <c r="CA69">
        <v>0</v>
      </c>
      <c r="CB69">
        <v>87.18</v>
      </c>
      <c r="CC69" t="s">
        <v>143</v>
      </c>
    </row>
    <row r="70" spans="1:81" x14ac:dyDescent="0.25">
      <c r="A70">
        <v>345</v>
      </c>
      <c r="B70">
        <v>2</v>
      </c>
      <c r="C70">
        <v>200</v>
      </c>
      <c r="D70" t="s">
        <v>529</v>
      </c>
      <c r="E70" t="s">
        <v>121</v>
      </c>
      <c r="F70" t="s">
        <v>530</v>
      </c>
      <c r="G70" t="s">
        <v>531</v>
      </c>
      <c r="H70" t="s">
        <v>532</v>
      </c>
      <c r="I70" t="s">
        <v>125</v>
      </c>
      <c r="J70" t="s">
        <v>126</v>
      </c>
      <c r="K70" t="s">
        <v>466</v>
      </c>
      <c r="L70" t="s">
        <v>128</v>
      </c>
      <c r="M70" t="s">
        <v>467</v>
      </c>
      <c r="N70" t="s">
        <v>533</v>
      </c>
      <c r="O70" t="s">
        <v>131</v>
      </c>
      <c r="P70">
        <v>0</v>
      </c>
      <c r="Q70" t="s">
        <v>125</v>
      </c>
      <c r="R70">
        <v>6</v>
      </c>
      <c r="S70">
        <v>44</v>
      </c>
      <c r="T70" t="s">
        <v>132</v>
      </c>
      <c r="U70" t="s">
        <v>133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134</v>
      </c>
      <c r="AE70" t="s">
        <v>134</v>
      </c>
      <c r="AF70" s="2">
        <v>45518</v>
      </c>
      <c r="AG70" s="2">
        <v>46013</v>
      </c>
      <c r="AH70">
        <v>687.47</v>
      </c>
      <c r="AI70" s="1">
        <v>1107.73</v>
      </c>
      <c r="AJ70" s="1">
        <v>5499.76</v>
      </c>
      <c r="AK70">
        <v>0</v>
      </c>
      <c r="AL70">
        <v>0</v>
      </c>
      <c r="AM70">
        <v>0</v>
      </c>
      <c r="AN70" t="s">
        <v>135</v>
      </c>
      <c r="AO70" t="s">
        <v>135</v>
      </c>
      <c r="AP70" t="s">
        <v>136</v>
      </c>
      <c r="AQ70" t="s">
        <v>137</v>
      </c>
      <c r="AR70" t="s">
        <v>138</v>
      </c>
      <c r="AS70" t="s">
        <v>150</v>
      </c>
      <c r="AT70" t="s">
        <v>140</v>
      </c>
      <c r="AU70">
        <v>105</v>
      </c>
      <c r="AV70">
        <v>10</v>
      </c>
      <c r="AW70">
        <v>1</v>
      </c>
      <c r="AX70" s="2">
        <v>45849</v>
      </c>
      <c r="AY70" t="s">
        <v>151</v>
      </c>
      <c r="AZ70" s="2">
        <v>46024</v>
      </c>
      <c r="BA70">
        <v>0</v>
      </c>
      <c r="BB70">
        <v>0</v>
      </c>
      <c r="BC70">
        <v>0</v>
      </c>
      <c r="BD70">
        <v>700</v>
      </c>
      <c r="BE70">
        <v>70</v>
      </c>
      <c r="BF70">
        <v>9</v>
      </c>
      <c r="BG70" s="2">
        <v>45536</v>
      </c>
      <c r="BH70" t="s">
        <v>142</v>
      </c>
      <c r="BI70" s="2">
        <v>46026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s="1">
        <v>1785.22</v>
      </c>
      <c r="BQ70" s="1">
        <v>1785.22</v>
      </c>
      <c r="BR70">
        <v>0</v>
      </c>
      <c r="BS70">
        <v>0</v>
      </c>
      <c r="BT70">
        <v>0</v>
      </c>
      <c r="BU70">
        <v>0</v>
      </c>
      <c r="BV70" s="1">
        <v>2553.7199999999998</v>
      </c>
      <c r="BW70" s="1">
        <v>2553.7199999999998</v>
      </c>
      <c r="BX70">
        <v>0</v>
      </c>
      <c r="BY70">
        <v>0</v>
      </c>
      <c r="BZ70">
        <v>0</v>
      </c>
      <c r="CA70">
        <v>0</v>
      </c>
      <c r="CB70" s="1">
        <v>1574.73</v>
      </c>
      <c r="CC70" t="s">
        <v>143</v>
      </c>
    </row>
    <row r="71" spans="1:81" x14ac:dyDescent="0.25">
      <c r="A71">
        <v>345</v>
      </c>
      <c r="B71">
        <v>2</v>
      </c>
      <c r="C71">
        <v>201</v>
      </c>
      <c r="D71" t="s">
        <v>534</v>
      </c>
      <c r="E71" t="s">
        <v>121</v>
      </c>
      <c r="F71" t="s">
        <v>535</v>
      </c>
      <c r="G71" t="s">
        <v>536</v>
      </c>
      <c r="H71" t="s">
        <v>537</v>
      </c>
      <c r="I71" t="s">
        <v>125</v>
      </c>
      <c r="J71" t="s">
        <v>126</v>
      </c>
      <c r="K71" t="s">
        <v>466</v>
      </c>
      <c r="L71" t="s">
        <v>128</v>
      </c>
      <c r="M71" t="s">
        <v>467</v>
      </c>
      <c r="N71" t="s">
        <v>538</v>
      </c>
      <c r="O71" t="s">
        <v>131</v>
      </c>
      <c r="P71">
        <v>0</v>
      </c>
      <c r="Q71" t="s">
        <v>125</v>
      </c>
      <c r="R71">
        <v>6</v>
      </c>
      <c r="S71">
        <v>45</v>
      </c>
      <c r="T71" t="s">
        <v>132</v>
      </c>
      <c r="U71" t="s">
        <v>133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134</v>
      </c>
      <c r="AE71" t="s">
        <v>134</v>
      </c>
      <c r="AF71" s="2">
        <v>45518</v>
      </c>
      <c r="AG71" s="2">
        <v>45990</v>
      </c>
      <c r="AH71">
        <v>52.73</v>
      </c>
      <c r="AI71">
        <v>53.28</v>
      </c>
      <c r="AJ71">
        <v>105.47</v>
      </c>
      <c r="AK71">
        <v>0</v>
      </c>
      <c r="AL71">
        <v>0</v>
      </c>
      <c r="AM71">
        <v>0</v>
      </c>
      <c r="AN71" t="s">
        <v>135</v>
      </c>
      <c r="AO71" t="s">
        <v>135</v>
      </c>
      <c r="AP71" t="s">
        <v>136</v>
      </c>
      <c r="AQ71" t="s">
        <v>137</v>
      </c>
      <c r="AR71" t="s">
        <v>138</v>
      </c>
      <c r="AS71" t="s">
        <v>150</v>
      </c>
      <c r="AT71" t="s">
        <v>140</v>
      </c>
      <c r="AU71">
        <v>105</v>
      </c>
      <c r="AV71">
        <v>10</v>
      </c>
      <c r="AW71">
        <v>1</v>
      </c>
      <c r="AX71" s="2">
        <v>45849</v>
      </c>
      <c r="AY71" t="s">
        <v>151</v>
      </c>
      <c r="AZ71" s="2">
        <v>46024</v>
      </c>
      <c r="BA71">
        <v>0</v>
      </c>
      <c r="BB71">
        <v>0</v>
      </c>
      <c r="BC71">
        <v>0</v>
      </c>
      <c r="BD71">
        <v>700</v>
      </c>
      <c r="BE71">
        <v>70</v>
      </c>
      <c r="BF71">
        <v>9</v>
      </c>
      <c r="BG71" s="2">
        <v>45536</v>
      </c>
      <c r="BH71" t="s">
        <v>142</v>
      </c>
      <c r="BI71" s="2">
        <v>46026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53.28</v>
      </c>
      <c r="BQ71">
        <v>53.28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45.15</v>
      </c>
      <c r="CC71" t="s">
        <v>143</v>
      </c>
    </row>
    <row r="72" spans="1:81" x14ac:dyDescent="0.25">
      <c r="A72">
        <v>345</v>
      </c>
      <c r="B72">
        <v>2</v>
      </c>
      <c r="C72">
        <v>202</v>
      </c>
      <c r="D72" t="s">
        <v>539</v>
      </c>
      <c r="E72" t="s">
        <v>121</v>
      </c>
      <c r="F72" t="s">
        <v>540</v>
      </c>
      <c r="G72" t="s">
        <v>541</v>
      </c>
      <c r="H72" t="s">
        <v>542</v>
      </c>
      <c r="I72" t="s">
        <v>125</v>
      </c>
      <c r="J72" t="s">
        <v>543</v>
      </c>
      <c r="K72" t="s">
        <v>336</v>
      </c>
      <c r="L72" t="s">
        <v>128</v>
      </c>
      <c r="M72" t="s">
        <v>337</v>
      </c>
      <c r="N72" t="s">
        <v>544</v>
      </c>
      <c r="O72" t="s">
        <v>131</v>
      </c>
      <c r="P72">
        <v>0</v>
      </c>
      <c r="Q72" t="s">
        <v>125</v>
      </c>
      <c r="R72">
        <v>6</v>
      </c>
      <c r="S72">
        <v>39</v>
      </c>
      <c r="T72" t="s">
        <v>132</v>
      </c>
      <c r="U72" t="s">
        <v>133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134</v>
      </c>
      <c r="AE72" t="s">
        <v>134</v>
      </c>
      <c r="AF72" s="2">
        <v>45518</v>
      </c>
      <c r="AG72" s="2">
        <v>46021</v>
      </c>
      <c r="AH72">
        <v>138.25</v>
      </c>
      <c r="AI72">
        <v>177.9</v>
      </c>
      <c r="AJ72">
        <v>691.27</v>
      </c>
      <c r="AK72">
        <v>0</v>
      </c>
      <c r="AL72">
        <v>0</v>
      </c>
      <c r="AM72">
        <v>0</v>
      </c>
      <c r="AN72" t="s">
        <v>135</v>
      </c>
      <c r="AO72" t="s">
        <v>135</v>
      </c>
      <c r="AP72" t="s">
        <v>136</v>
      </c>
      <c r="AQ72" t="s">
        <v>137</v>
      </c>
      <c r="AR72" t="s">
        <v>138</v>
      </c>
      <c r="AS72" t="s">
        <v>139</v>
      </c>
      <c r="AT72" t="s">
        <v>140</v>
      </c>
      <c r="AU72">
        <v>101</v>
      </c>
      <c r="AV72">
        <v>10</v>
      </c>
      <c r="AW72">
        <v>1</v>
      </c>
      <c r="AX72" s="2">
        <v>45859</v>
      </c>
      <c r="AY72" t="s">
        <v>141</v>
      </c>
      <c r="AZ72" s="2">
        <v>46027</v>
      </c>
      <c r="BA72">
        <v>0</v>
      </c>
      <c r="BB72">
        <v>0</v>
      </c>
      <c r="BC72">
        <v>0</v>
      </c>
      <c r="BD72">
        <v>700</v>
      </c>
      <c r="BE72">
        <v>70</v>
      </c>
      <c r="BF72">
        <v>9</v>
      </c>
      <c r="BG72" s="2">
        <v>45536</v>
      </c>
      <c r="BH72" t="s">
        <v>142</v>
      </c>
      <c r="BI72" s="2">
        <v>46026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229.98</v>
      </c>
      <c r="BQ72">
        <v>229.98</v>
      </c>
      <c r="BR72">
        <v>0</v>
      </c>
      <c r="BS72">
        <v>0</v>
      </c>
      <c r="BT72">
        <v>0</v>
      </c>
      <c r="BU72">
        <v>0</v>
      </c>
      <c r="BV72">
        <v>283.39</v>
      </c>
      <c r="BW72">
        <v>283.39</v>
      </c>
      <c r="BX72">
        <v>0</v>
      </c>
      <c r="BY72">
        <v>0</v>
      </c>
      <c r="BZ72">
        <v>0</v>
      </c>
      <c r="CA72">
        <v>0</v>
      </c>
      <c r="CB72">
        <v>203.98</v>
      </c>
      <c r="CC72" t="s">
        <v>143</v>
      </c>
    </row>
    <row r="73" spans="1:81" x14ac:dyDescent="0.25">
      <c r="A73">
        <v>345</v>
      </c>
      <c r="B73">
        <v>2</v>
      </c>
      <c r="C73">
        <v>204</v>
      </c>
      <c r="D73" t="s">
        <v>545</v>
      </c>
      <c r="E73" t="s">
        <v>121</v>
      </c>
      <c r="F73" t="s">
        <v>546</v>
      </c>
      <c r="G73" t="s">
        <v>547</v>
      </c>
      <c r="H73" t="s">
        <v>548</v>
      </c>
      <c r="I73" t="s">
        <v>125</v>
      </c>
      <c r="J73" t="s">
        <v>126</v>
      </c>
      <c r="K73" t="s">
        <v>466</v>
      </c>
      <c r="L73" t="s">
        <v>128</v>
      </c>
      <c r="M73" t="s">
        <v>467</v>
      </c>
      <c r="N73" t="s">
        <v>549</v>
      </c>
      <c r="O73" t="s">
        <v>131</v>
      </c>
      <c r="P73">
        <v>0</v>
      </c>
      <c r="Q73" t="s">
        <v>125</v>
      </c>
      <c r="R73">
        <v>6</v>
      </c>
      <c r="S73">
        <v>43</v>
      </c>
      <c r="T73" t="s">
        <v>132</v>
      </c>
      <c r="U73" t="s">
        <v>133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134</v>
      </c>
      <c r="AE73" t="s">
        <v>134</v>
      </c>
      <c r="AF73" s="2">
        <v>45518</v>
      </c>
      <c r="AG73" s="2">
        <v>45990</v>
      </c>
      <c r="AH73">
        <v>539.48</v>
      </c>
      <c r="AI73">
        <v>649.26</v>
      </c>
      <c r="AJ73" s="1">
        <v>1078.96</v>
      </c>
      <c r="AK73">
        <v>0</v>
      </c>
      <c r="AL73">
        <v>0</v>
      </c>
      <c r="AM73">
        <v>0</v>
      </c>
      <c r="AN73" t="s">
        <v>135</v>
      </c>
      <c r="AO73" t="s">
        <v>135</v>
      </c>
      <c r="AP73" t="s">
        <v>136</v>
      </c>
      <c r="AQ73" t="s">
        <v>137</v>
      </c>
      <c r="AR73" t="s">
        <v>138</v>
      </c>
      <c r="AS73" t="s">
        <v>150</v>
      </c>
      <c r="AT73" t="s">
        <v>140</v>
      </c>
      <c r="AU73">
        <v>105</v>
      </c>
      <c r="AV73">
        <v>10</v>
      </c>
      <c r="AW73">
        <v>1</v>
      </c>
      <c r="AX73" s="2">
        <v>45849</v>
      </c>
      <c r="AY73" t="s">
        <v>151</v>
      </c>
      <c r="AZ73" s="2">
        <v>46024</v>
      </c>
      <c r="BA73">
        <v>0</v>
      </c>
      <c r="BB73">
        <v>0</v>
      </c>
      <c r="BC73">
        <v>0</v>
      </c>
      <c r="BD73">
        <v>700</v>
      </c>
      <c r="BE73">
        <v>70</v>
      </c>
      <c r="BF73">
        <v>9</v>
      </c>
      <c r="BG73" s="2">
        <v>45536</v>
      </c>
      <c r="BH73" t="s">
        <v>142</v>
      </c>
      <c r="BI73" s="2">
        <v>46026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649.26</v>
      </c>
      <c r="BQ73">
        <v>649.26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512.15</v>
      </c>
      <c r="CC73" t="s">
        <v>143</v>
      </c>
    </row>
    <row r="74" spans="1:81" x14ac:dyDescent="0.25">
      <c r="A74">
        <v>345</v>
      </c>
      <c r="B74">
        <v>2</v>
      </c>
      <c r="C74">
        <v>205</v>
      </c>
      <c r="D74" t="s">
        <v>550</v>
      </c>
      <c r="E74" t="s">
        <v>121</v>
      </c>
      <c r="F74" t="s">
        <v>551</v>
      </c>
      <c r="G74" t="s">
        <v>552</v>
      </c>
      <c r="H74" t="s">
        <v>553</v>
      </c>
      <c r="I74" t="s">
        <v>125</v>
      </c>
      <c r="J74" t="s">
        <v>554</v>
      </c>
      <c r="K74" t="s">
        <v>336</v>
      </c>
      <c r="L74" t="s">
        <v>128</v>
      </c>
      <c r="M74" t="s">
        <v>337</v>
      </c>
      <c r="N74" t="s">
        <v>555</v>
      </c>
      <c r="O74" t="s">
        <v>131</v>
      </c>
      <c r="P74">
        <v>0</v>
      </c>
      <c r="Q74" t="s">
        <v>125</v>
      </c>
      <c r="R74">
        <v>6</v>
      </c>
      <c r="S74">
        <v>40</v>
      </c>
      <c r="T74" t="s">
        <v>132</v>
      </c>
      <c r="U74" t="s">
        <v>133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134</v>
      </c>
      <c r="AE74" t="s">
        <v>134</v>
      </c>
      <c r="AF74" s="2">
        <v>45518</v>
      </c>
      <c r="AG74" s="2">
        <v>46010</v>
      </c>
      <c r="AH74">
        <v>355.11</v>
      </c>
      <c r="AI74">
        <v>466.81</v>
      </c>
      <c r="AJ74" s="1">
        <v>2840.95</v>
      </c>
      <c r="AK74">
        <v>0</v>
      </c>
      <c r="AL74">
        <v>0</v>
      </c>
      <c r="AM74">
        <v>0</v>
      </c>
      <c r="AN74" t="s">
        <v>135</v>
      </c>
      <c r="AO74" t="s">
        <v>135</v>
      </c>
      <c r="AP74" t="s">
        <v>136</v>
      </c>
      <c r="AQ74" t="s">
        <v>137</v>
      </c>
      <c r="AR74" t="s">
        <v>138</v>
      </c>
      <c r="AS74" t="s">
        <v>139</v>
      </c>
      <c r="AT74" t="s">
        <v>140</v>
      </c>
      <c r="AU74">
        <v>101</v>
      </c>
      <c r="AV74">
        <v>10</v>
      </c>
      <c r="AW74">
        <v>1</v>
      </c>
      <c r="AX74" s="2">
        <v>45841</v>
      </c>
      <c r="AY74" t="s">
        <v>308</v>
      </c>
      <c r="AZ74" s="2">
        <v>46023</v>
      </c>
      <c r="BA74">
        <v>0</v>
      </c>
      <c r="BB74">
        <v>0</v>
      </c>
      <c r="BC74">
        <v>0</v>
      </c>
      <c r="BD74">
        <v>700</v>
      </c>
      <c r="BE74">
        <v>70</v>
      </c>
      <c r="BF74">
        <v>9</v>
      </c>
      <c r="BG74" s="2">
        <v>45536</v>
      </c>
      <c r="BH74" t="s">
        <v>142</v>
      </c>
      <c r="BI74" s="2">
        <v>46026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s="1">
        <v>1060.3900000000001</v>
      </c>
      <c r="BQ74" s="1">
        <v>1060.3900000000001</v>
      </c>
      <c r="BR74">
        <v>0</v>
      </c>
      <c r="BS74">
        <v>0</v>
      </c>
      <c r="BT74">
        <v>0</v>
      </c>
      <c r="BU74">
        <v>0</v>
      </c>
      <c r="BV74">
        <v>791.66</v>
      </c>
      <c r="BW74">
        <v>791.66</v>
      </c>
      <c r="BX74">
        <v>0</v>
      </c>
      <c r="BY74">
        <v>0</v>
      </c>
      <c r="BZ74">
        <v>0</v>
      </c>
      <c r="CA74">
        <v>0</v>
      </c>
      <c r="CB74">
        <v>847.86</v>
      </c>
      <c r="CC74" t="s">
        <v>143</v>
      </c>
    </row>
    <row r="75" spans="1:81" x14ac:dyDescent="0.25">
      <c r="A75">
        <v>345</v>
      </c>
      <c r="B75">
        <v>2</v>
      </c>
      <c r="C75">
        <v>206</v>
      </c>
      <c r="D75" t="s">
        <v>556</v>
      </c>
      <c r="E75" t="s">
        <v>121</v>
      </c>
      <c r="F75" t="s">
        <v>557</v>
      </c>
      <c r="G75" t="s">
        <v>558</v>
      </c>
      <c r="H75" t="s">
        <v>526</v>
      </c>
      <c r="I75" t="s">
        <v>125</v>
      </c>
      <c r="J75" t="s">
        <v>527</v>
      </c>
      <c r="K75" t="s">
        <v>466</v>
      </c>
      <c r="L75" t="s">
        <v>128</v>
      </c>
      <c r="M75" t="s">
        <v>467</v>
      </c>
      <c r="N75" t="s">
        <v>559</v>
      </c>
      <c r="O75" t="s">
        <v>131</v>
      </c>
      <c r="P75">
        <v>0</v>
      </c>
      <c r="Q75" t="s">
        <v>125</v>
      </c>
      <c r="R75">
        <v>6</v>
      </c>
      <c r="S75">
        <v>41</v>
      </c>
      <c r="T75" t="s">
        <v>132</v>
      </c>
      <c r="U75" t="s">
        <v>133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134</v>
      </c>
      <c r="AE75" t="s">
        <v>134</v>
      </c>
      <c r="AF75" s="2">
        <v>45518</v>
      </c>
      <c r="AG75" s="2">
        <v>46013</v>
      </c>
      <c r="AH75">
        <v>101.42</v>
      </c>
      <c r="AI75">
        <v>101.42</v>
      </c>
      <c r="AJ75">
        <v>101.42</v>
      </c>
      <c r="AK75">
        <v>0</v>
      </c>
      <c r="AL75">
        <v>0</v>
      </c>
      <c r="AM75">
        <v>0</v>
      </c>
      <c r="AN75" t="s">
        <v>135</v>
      </c>
      <c r="AO75" t="s">
        <v>135</v>
      </c>
      <c r="AP75" t="s">
        <v>136</v>
      </c>
      <c r="AQ75" t="s">
        <v>137</v>
      </c>
      <c r="AR75" t="s">
        <v>138</v>
      </c>
      <c r="AS75" t="s">
        <v>139</v>
      </c>
      <c r="AT75" t="s">
        <v>140</v>
      </c>
      <c r="AU75">
        <v>105</v>
      </c>
      <c r="AV75">
        <v>10</v>
      </c>
      <c r="AW75">
        <v>1</v>
      </c>
      <c r="AX75" s="2">
        <v>45815</v>
      </c>
      <c r="AY75" t="s">
        <v>160</v>
      </c>
      <c r="AZ75" s="2">
        <v>46025</v>
      </c>
      <c r="BA75">
        <v>0</v>
      </c>
      <c r="BB75">
        <v>0</v>
      </c>
      <c r="BC75">
        <v>0</v>
      </c>
      <c r="BD75">
        <v>700</v>
      </c>
      <c r="BE75">
        <v>70</v>
      </c>
      <c r="BF75">
        <v>9</v>
      </c>
      <c r="BG75" s="2">
        <v>45536</v>
      </c>
      <c r="BH75" t="s">
        <v>142</v>
      </c>
      <c r="BI75" s="2">
        <v>46026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101.42</v>
      </c>
      <c r="BW75">
        <v>101.42</v>
      </c>
      <c r="BX75">
        <v>0</v>
      </c>
      <c r="BY75">
        <v>0</v>
      </c>
      <c r="BZ75">
        <v>0</v>
      </c>
      <c r="CA75">
        <v>0</v>
      </c>
      <c r="CB75">
        <v>35.46</v>
      </c>
      <c r="CC75" t="s">
        <v>143</v>
      </c>
    </row>
    <row r="76" spans="1:81" x14ac:dyDescent="0.25">
      <c r="A76">
        <v>345</v>
      </c>
      <c r="B76">
        <v>2</v>
      </c>
      <c r="C76">
        <v>208</v>
      </c>
      <c r="D76" t="s">
        <v>560</v>
      </c>
      <c r="E76" t="s">
        <v>121</v>
      </c>
      <c r="F76" t="s">
        <v>561</v>
      </c>
      <c r="G76" t="s">
        <v>562</v>
      </c>
      <c r="H76" t="s">
        <v>563</v>
      </c>
      <c r="I76" t="s">
        <v>564</v>
      </c>
      <c r="J76" t="s">
        <v>565</v>
      </c>
      <c r="K76" t="s">
        <v>336</v>
      </c>
      <c r="L76" t="s">
        <v>128</v>
      </c>
      <c r="M76" t="s">
        <v>337</v>
      </c>
      <c r="N76" t="s">
        <v>566</v>
      </c>
      <c r="O76" t="s">
        <v>131</v>
      </c>
      <c r="P76">
        <v>0</v>
      </c>
      <c r="Q76" t="s">
        <v>125</v>
      </c>
      <c r="R76">
        <v>6</v>
      </c>
      <c r="S76">
        <v>40</v>
      </c>
      <c r="T76" t="s">
        <v>132</v>
      </c>
      <c r="U76" t="s">
        <v>133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134</v>
      </c>
      <c r="AE76" t="s">
        <v>134</v>
      </c>
      <c r="AF76" s="2">
        <v>45518</v>
      </c>
      <c r="AG76" s="2">
        <v>46014</v>
      </c>
      <c r="AH76">
        <v>532.48</v>
      </c>
      <c r="AI76">
        <v>926.68</v>
      </c>
      <c r="AJ76" s="1">
        <v>2129.9499999999998</v>
      </c>
      <c r="AK76">
        <v>0</v>
      </c>
      <c r="AL76">
        <v>379.45</v>
      </c>
      <c r="AM76">
        <v>0</v>
      </c>
      <c r="AN76" t="s">
        <v>135</v>
      </c>
      <c r="AO76" t="s">
        <v>135</v>
      </c>
      <c r="AP76" t="s">
        <v>136</v>
      </c>
      <c r="AQ76" t="s">
        <v>137</v>
      </c>
      <c r="AR76" t="s">
        <v>138</v>
      </c>
      <c r="AS76" t="s">
        <v>139</v>
      </c>
      <c r="AT76" t="s">
        <v>140</v>
      </c>
      <c r="AU76">
        <v>104</v>
      </c>
      <c r="AV76">
        <v>10</v>
      </c>
      <c r="AW76">
        <v>1</v>
      </c>
      <c r="AX76" s="2">
        <v>45859</v>
      </c>
      <c r="AY76" t="s">
        <v>141</v>
      </c>
      <c r="AZ76" s="2">
        <v>46027</v>
      </c>
      <c r="BA76">
        <v>0</v>
      </c>
      <c r="BB76">
        <v>0</v>
      </c>
      <c r="BC76">
        <v>0</v>
      </c>
      <c r="BD76">
        <v>700</v>
      </c>
      <c r="BE76">
        <v>70</v>
      </c>
      <c r="BF76">
        <v>9</v>
      </c>
      <c r="BG76" s="2">
        <v>45536</v>
      </c>
      <c r="BH76" t="s">
        <v>142</v>
      </c>
      <c r="BI76" s="2">
        <v>46026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926.68</v>
      </c>
      <c r="BQ76">
        <v>926.68</v>
      </c>
      <c r="BR76">
        <v>0</v>
      </c>
      <c r="BS76">
        <v>0</v>
      </c>
      <c r="BT76">
        <v>0</v>
      </c>
      <c r="BU76">
        <v>0</v>
      </c>
      <c r="BV76" s="1">
        <v>1203.27</v>
      </c>
      <c r="BW76" s="1">
        <v>1203.27</v>
      </c>
      <c r="BX76">
        <v>0</v>
      </c>
      <c r="BY76">
        <v>0</v>
      </c>
      <c r="BZ76">
        <v>0</v>
      </c>
      <c r="CA76">
        <v>0</v>
      </c>
      <c r="CB76">
        <v>786.34</v>
      </c>
      <c r="CC76" t="s">
        <v>143</v>
      </c>
    </row>
    <row r="77" spans="1:81" x14ac:dyDescent="0.25">
      <c r="A77">
        <v>345</v>
      </c>
      <c r="B77">
        <v>2</v>
      </c>
      <c r="C77">
        <v>210</v>
      </c>
      <c r="D77" t="s">
        <v>567</v>
      </c>
      <c r="E77" t="s">
        <v>121</v>
      </c>
      <c r="F77" t="s">
        <v>568</v>
      </c>
      <c r="G77" t="s">
        <v>569</v>
      </c>
      <c r="H77" t="s">
        <v>570</v>
      </c>
      <c r="I77" t="s">
        <v>571</v>
      </c>
      <c r="J77" t="s">
        <v>572</v>
      </c>
      <c r="K77" t="s">
        <v>466</v>
      </c>
      <c r="L77" t="s">
        <v>128</v>
      </c>
      <c r="M77" t="s">
        <v>467</v>
      </c>
      <c r="N77" t="s">
        <v>573</v>
      </c>
      <c r="O77" t="s">
        <v>167</v>
      </c>
      <c r="P77">
        <v>0</v>
      </c>
      <c r="Q77" t="s">
        <v>125</v>
      </c>
      <c r="R77">
        <v>6</v>
      </c>
      <c r="S77">
        <v>35</v>
      </c>
      <c r="T77" t="s">
        <v>132</v>
      </c>
      <c r="U77" t="s">
        <v>133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134</v>
      </c>
      <c r="AE77" t="s">
        <v>134</v>
      </c>
      <c r="AF77" s="2">
        <v>45518</v>
      </c>
      <c r="AG77" s="2">
        <v>46004</v>
      </c>
      <c r="AH77">
        <v>138.08000000000001</v>
      </c>
      <c r="AI77">
        <v>153.78</v>
      </c>
      <c r="AJ77">
        <v>276.16000000000003</v>
      </c>
      <c r="AK77">
        <v>0</v>
      </c>
      <c r="AL77">
        <v>0</v>
      </c>
      <c r="AM77">
        <v>0</v>
      </c>
      <c r="AN77" t="s">
        <v>135</v>
      </c>
      <c r="AO77" t="s">
        <v>135</v>
      </c>
      <c r="AP77" t="s">
        <v>136</v>
      </c>
      <c r="AQ77" t="s">
        <v>137</v>
      </c>
      <c r="AR77" t="s">
        <v>138</v>
      </c>
      <c r="AS77" t="s">
        <v>139</v>
      </c>
      <c r="AT77" t="s">
        <v>140</v>
      </c>
      <c r="AU77">
        <v>100</v>
      </c>
      <c r="AV77">
        <v>10</v>
      </c>
      <c r="AW77">
        <v>1</v>
      </c>
      <c r="AX77" s="2">
        <v>45856</v>
      </c>
      <c r="AY77" t="s">
        <v>151</v>
      </c>
      <c r="AZ77" s="2">
        <v>46024</v>
      </c>
      <c r="BA77">
        <v>0</v>
      </c>
      <c r="BB77">
        <v>0</v>
      </c>
      <c r="BC77">
        <v>0</v>
      </c>
      <c r="BD77">
        <v>700</v>
      </c>
      <c r="BE77">
        <v>70</v>
      </c>
      <c r="BF77">
        <v>9</v>
      </c>
      <c r="BG77" s="2">
        <v>45536</v>
      </c>
      <c r="BH77" t="s">
        <v>142</v>
      </c>
      <c r="BI77" s="2">
        <v>46026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122.38</v>
      </c>
      <c r="BQ77">
        <v>122.38</v>
      </c>
      <c r="BR77">
        <v>0</v>
      </c>
      <c r="BS77">
        <v>0</v>
      </c>
      <c r="BT77">
        <v>0</v>
      </c>
      <c r="BU77">
        <v>0</v>
      </c>
      <c r="BV77">
        <v>153.78</v>
      </c>
      <c r="BW77">
        <v>153.78</v>
      </c>
      <c r="BX77">
        <v>0</v>
      </c>
      <c r="BY77">
        <v>0</v>
      </c>
      <c r="BZ77">
        <v>0</v>
      </c>
      <c r="CA77">
        <v>0</v>
      </c>
      <c r="CB77">
        <v>40.79</v>
      </c>
      <c r="CC77" t="s">
        <v>161</v>
      </c>
    </row>
    <row r="78" spans="1:81" x14ac:dyDescent="0.25">
      <c r="A78">
        <v>345</v>
      </c>
      <c r="B78">
        <v>2</v>
      </c>
      <c r="C78">
        <v>211</v>
      </c>
      <c r="D78" t="s">
        <v>574</v>
      </c>
      <c r="E78" t="s">
        <v>121</v>
      </c>
      <c r="F78" t="s">
        <v>575</v>
      </c>
      <c r="G78" t="s">
        <v>576</v>
      </c>
      <c r="H78" t="s">
        <v>577</v>
      </c>
      <c r="I78" t="s">
        <v>498</v>
      </c>
      <c r="J78" t="s">
        <v>505</v>
      </c>
      <c r="K78" t="s">
        <v>336</v>
      </c>
      <c r="L78" t="s">
        <v>128</v>
      </c>
      <c r="M78" t="s">
        <v>337</v>
      </c>
      <c r="N78" t="s">
        <v>578</v>
      </c>
      <c r="O78" t="s">
        <v>131</v>
      </c>
      <c r="P78">
        <v>0</v>
      </c>
      <c r="Q78" t="s">
        <v>125</v>
      </c>
      <c r="R78">
        <v>6</v>
      </c>
      <c r="S78">
        <v>40</v>
      </c>
      <c r="T78" t="s">
        <v>132</v>
      </c>
      <c r="U78" t="s">
        <v>133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134</v>
      </c>
      <c r="AE78" t="s">
        <v>134</v>
      </c>
      <c r="AF78" s="2">
        <v>45518</v>
      </c>
      <c r="AG78" s="2">
        <v>46020</v>
      </c>
      <c r="AH78">
        <v>496.67</v>
      </c>
      <c r="AI78">
        <v>845.37</v>
      </c>
      <c r="AJ78" s="1">
        <v>4966.75</v>
      </c>
      <c r="AK78">
        <v>0</v>
      </c>
      <c r="AL78">
        <v>0</v>
      </c>
      <c r="AM78">
        <v>0</v>
      </c>
      <c r="AN78" t="s">
        <v>135</v>
      </c>
      <c r="AO78" t="s">
        <v>135</v>
      </c>
      <c r="AP78" t="s">
        <v>136</v>
      </c>
      <c r="AQ78" t="s">
        <v>137</v>
      </c>
      <c r="AR78" t="s">
        <v>138</v>
      </c>
      <c r="AS78" t="s">
        <v>139</v>
      </c>
      <c r="AT78" t="s">
        <v>140</v>
      </c>
      <c r="AU78">
        <v>100</v>
      </c>
      <c r="AV78">
        <v>10</v>
      </c>
      <c r="AW78">
        <v>1</v>
      </c>
      <c r="AX78" s="2">
        <v>45815</v>
      </c>
      <c r="AY78" t="s">
        <v>160</v>
      </c>
      <c r="AZ78" s="2">
        <v>46025</v>
      </c>
      <c r="BA78">
        <v>0</v>
      </c>
      <c r="BB78">
        <v>0</v>
      </c>
      <c r="BC78">
        <v>0</v>
      </c>
      <c r="BD78">
        <v>700</v>
      </c>
      <c r="BE78">
        <v>70</v>
      </c>
      <c r="BF78">
        <v>9</v>
      </c>
      <c r="BG78" s="2">
        <v>45536</v>
      </c>
      <c r="BH78" t="s">
        <v>142</v>
      </c>
      <c r="BI78" s="2">
        <v>46026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s="1">
        <v>1238.76</v>
      </c>
      <c r="BQ78" s="1">
        <v>1238.76</v>
      </c>
      <c r="BR78">
        <v>0</v>
      </c>
      <c r="BS78">
        <v>0</v>
      </c>
      <c r="BT78">
        <v>0</v>
      </c>
      <c r="BU78">
        <v>0</v>
      </c>
      <c r="BV78" s="1">
        <v>2310.4699999999998</v>
      </c>
      <c r="BW78" s="1">
        <v>2310.4699999999998</v>
      </c>
      <c r="BX78">
        <v>0</v>
      </c>
      <c r="BY78">
        <v>0</v>
      </c>
      <c r="BZ78">
        <v>0</v>
      </c>
      <c r="CA78">
        <v>0</v>
      </c>
      <c r="CB78" s="1">
        <v>1251.25</v>
      </c>
      <c r="CC78" t="s">
        <v>143</v>
      </c>
    </row>
    <row r="79" spans="1:81" x14ac:dyDescent="0.25">
      <c r="A79">
        <v>345</v>
      </c>
      <c r="B79">
        <v>2</v>
      </c>
      <c r="C79">
        <v>212</v>
      </c>
      <c r="D79" t="s">
        <v>579</v>
      </c>
      <c r="E79" t="s">
        <v>121</v>
      </c>
      <c r="F79" t="s">
        <v>580</v>
      </c>
      <c r="G79" t="s">
        <v>581</v>
      </c>
      <c r="H79" t="s">
        <v>582</v>
      </c>
      <c r="I79" t="s">
        <v>498</v>
      </c>
      <c r="J79" t="s">
        <v>583</v>
      </c>
      <c r="K79" t="s">
        <v>466</v>
      </c>
      <c r="L79" t="s">
        <v>128</v>
      </c>
      <c r="M79" t="s">
        <v>467</v>
      </c>
      <c r="N79" t="s">
        <v>584</v>
      </c>
      <c r="O79" t="s">
        <v>131</v>
      </c>
      <c r="P79">
        <v>0</v>
      </c>
      <c r="Q79" t="s">
        <v>125</v>
      </c>
      <c r="R79">
        <v>6</v>
      </c>
      <c r="S79">
        <v>39</v>
      </c>
      <c r="T79" t="s">
        <v>132</v>
      </c>
      <c r="U79" t="s">
        <v>133</v>
      </c>
      <c r="V79">
        <v>0</v>
      </c>
      <c r="W79">
        <v>0</v>
      </c>
      <c r="X79">
        <v>0</v>
      </c>
      <c r="Y79">
        <v>7</v>
      </c>
      <c r="Z79">
        <v>0</v>
      </c>
      <c r="AA79">
        <v>0</v>
      </c>
      <c r="AB79">
        <v>0</v>
      </c>
      <c r="AC79">
        <v>0</v>
      </c>
      <c r="AD79" t="s">
        <v>234</v>
      </c>
      <c r="AE79" t="s">
        <v>134</v>
      </c>
      <c r="AF79" s="2">
        <v>45518</v>
      </c>
      <c r="AG79" s="2">
        <v>46020</v>
      </c>
      <c r="AH79" s="1">
        <v>2255.2600000000002</v>
      </c>
      <c r="AI79" s="1">
        <v>3755.1</v>
      </c>
      <c r="AJ79" s="1">
        <v>29318.43</v>
      </c>
      <c r="AK79">
        <v>0</v>
      </c>
      <c r="AL79">
        <v>0</v>
      </c>
      <c r="AM79">
        <v>0</v>
      </c>
      <c r="AN79" t="s">
        <v>135</v>
      </c>
      <c r="AO79" t="s">
        <v>135</v>
      </c>
      <c r="AP79" t="s">
        <v>136</v>
      </c>
      <c r="AQ79" t="s">
        <v>137</v>
      </c>
      <c r="AR79" t="s">
        <v>138</v>
      </c>
      <c r="AS79" t="s">
        <v>139</v>
      </c>
      <c r="AT79" t="s">
        <v>140</v>
      </c>
      <c r="AU79">
        <v>100</v>
      </c>
      <c r="AV79">
        <v>10</v>
      </c>
      <c r="AW79">
        <v>1</v>
      </c>
      <c r="AX79" s="2">
        <v>45815</v>
      </c>
      <c r="AY79" t="s">
        <v>160</v>
      </c>
      <c r="AZ79" s="2">
        <v>46025</v>
      </c>
      <c r="BA79">
        <v>0</v>
      </c>
      <c r="BB79">
        <v>0</v>
      </c>
      <c r="BC79">
        <v>0</v>
      </c>
      <c r="BD79">
        <v>700</v>
      </c>
      <c r="BE79">
        <v>70</v>
      </c>
      <c r="BF79">
        <v>9</v>
      </c>
      <c r="BG79" s="2">
        <v>45536</v>
      </c>
      <c r="BH79" t="s">
        <v>142</v>
      </c>
      <c r="BI79" s="2">
        <v>46026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s="1">
        <v>8341.77</v>
      </c>
      <c r="BQ79" s="1">
        <v>8341.77</v>
      </c>
      <c r="BR79">
        <v>0</v>
      </c>
      <c r="BS79">
        <v>0</v>
      </c>
      <c r="BT79">
        <v>0</v>
      </c>
      <c r="BU79">
        <v>0</v>
      </c>
      <c r="BV79" s="1">
        <v>13314.56</v>
      </c>
      <c r="BW79" s="1">
        <v>13314.56</v>
      </c>
      <c r="BX79">
        <v>0</v>
      </c>
      <c r="BY79">
        <v>0</v>
      </c>
      <c r="BZ79">
        <v>0</v>
      </c>
      <c r="CA79">
        <v>0</v>
      </c>
      <c r="CB79" s="1">
        <v>9228.66</v>
      </c>
      <c r="CC79" t="s">
        <v>143</v>
      </c>
    </row>
    <row r="80" spans="1:81" x14ac:dyDescent="0.25">
      <c r="A80">
        <v>345</v>
      </c>
      <c r="B80">
        <v>2</v>
      </c>
      <c r="C80">
        <v>213</v>
      </c>
      <c r="D80" t="s">
        <v>585</v>
      </c>
      <c r="E80" t="s">
        <v>121</v>
      </c>
      <c r="F80" t="s">
        <v>586</v>
      </c>
      <c r="G80" t="s">
        <v>587</v>
      </c>
      <c r="H80" t="s">
        <v>588</v>
      </c>
      <c r="I80" t="s">
        <v>498</v>
      </c>
      <c r="J80" t="s">
        <v>589</v>
      </c>
      <c r="K80" t="s">
        <v>336</v>
      </c>
      <c r="L80" t="s">
        <v>128</v>
      </c>
      <c r="M80" t="s">
        <v>337</v>
      </c>
      <c r="N80" t="s">
        <v>590</v>
      </c>
      <c r="O80" t="s">
        <v>131</v>
      </c>
      <c r="P80">
        <v>0</v>
      </c>
      <c r="Q80" t="s">
        <v>125</v>
      </c>
      <c r="R80">
        <v>6</v>
      </c>
      <c r="S80">
        <v>39</v>
      </c>
      <c r="T80" t="s">
        <v>132</v>
      </c>
      <c r="U80" t="s">
        <v>133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134</v>
      </c>
      <c r="AE80" t="s">
        <v>134</v>
      </c>
      <c r="AF80" s="2">
        <v>45518</v>
      </c>
      <c r="AG80" s="2">
        <v>46020</v>
      </c>
      <c r="AH80">
        <v>255.16</v>
      </c>
      <c r="AI80">
        <v>321.63</v>
      </c>
      <c r="AJ80" s="1">
        <v>1275.8</v>
      </c>
      <c r="AK80">
        <v>0</v>
      </c>
      <c r="AL80">
        <v>0</v>
      </c>
      <c r="AM80">
        <v>0</v>
      </c>
      <c r="AN80" t="s">
        <v>135</v>
      </c>
      <c r="AO80" t="s">
        <v>135</v>
      </c>
      <c r="AP80" t="s">
        <v>136</v>
      </c>
      <c r="AQ80" t="s">
        <v>137</v>
      </c>
      <c r="AR80" t="s">
        <v>138</v>
      </c>
      <c r="AS80" t="s">
        <v>139</v>
      </c>
      <c r="AT80" t="s">
        <v>140</v>
      </c>
      <c r="AU80">
        <v>101</v>
      </c>
      <c r="AV80">
        <v>10</v>
      </c>
      <c r="AW80">
        <v>1</v>
      </c>
      <c r="AX80" s="2">
        <v>45535</v>
      </c>
      <c r="AY80" t="s">
        <v>160</v>
      </c>
      <c r="AZ80" s="2">
        <v>46025</v>
      </c>
      <c r="BA80">
        <v>0</v>
      </c>
      <c r="BB80">
        <v>0</v>
      </c>
      <c r="BC80">
        <v>0</v>
      </c>
      <c r="BD80">
        <v>700</v>
      </c>
      <c r="BE80">
        <v>70</v>
      </c>
      <c r="BF80">
        <v>9</v>
      </c>
      <c r="BG80" s="2">
        <v>45536</v>
      </c>
      <c r="BH80" t="s">
        <v>142</v>
      </c>
      <c r="BI80" s="2">
        <v>46026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288.26</v>
      </c>
      <c r="BQ80">
        <v>288.26</v>
      </c>
      <c r="BR80">
        <v>0</v>
      </c>
      <c r="BS80">
        <v>0</v>
      </c>
      <c r="BT80">
        <v>0</v>
      </c>
      <c r="BU80">
        <v>0</v>
      </c>
      <c r="BV80">
        <v>828.02</v>
      </c>
      <c r="BW80">
        <v>828.02</v>
      </c>
      <c r="BX80">
        <v>0</v>
      </c>
      <c r="BY80">
        <v>0</v>
      </c>
      <c r="BZ80">
        <v>0</v>
      </c>
      <c r="CA80">
        <v>0</v>
      </c>
      <c r="CB80">
        <v>512.20000000000005</v>
      </c>
      <c r="CC80" t="s">
        <v>143</v>
      </c>
    </row>
    <row r="81" spans="1:81" x14ac:dyDescent="0.25">
      <c r="A81">
        <v>345</v>
      </c>
      <c r="B81">
        <v>2</v>
      </c>
      <c r="C81">
        <v>215</v>
      </c>
      <c r="D81" t="s">
        <v>591</v>
      </c>
      <c r="E81" t="s">
        <v>121</v>
      </c>
      <c r="F81" t="s">
        <v>592</v>
      </c>
      <c r="G81" t="s">
        <v>593</v>
      </c>
      <c r="H81" t="s">
        <v>594</v>
      </c>
      <c r="I81" t="s">
        <v>125</v>
      </c>
      <c r="J81" t="s">
        <v>565</v>
      </c>
      <c r="K81" t="s">
        <v>336</v>
      </c>
      <c r="L81" t="s">
        <v>128</v>
      </c>
      <c r="M81" t="s">
        <v>337</v>
      </c>
      <c r="N81" t="s">
        <v>595</v>
      </c>
      <c r="O81" t="s">
        <v>131</v>
      </c>
      <c r="P81">
        <v>0</v>
      </c>
      <c r="Q81" t="s">
        <v>125</v>
      </c>
      <c r="R81">
        <v>6</v>
      </c>
      <c r="S81">
        <v>41</v>
      </c>
      <c r="T81" t="s">
        <v>132</v>
      </c>
      <c r="U81" t="s">
        <v>133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134</v>
      </c>
      <c r="AE81" t="s">
        <v>134</v>
      </c>
      <c r="AF81" s="2">
        <v>45518</v>
      </c>
      <c r="AG81" s="2">
        <v>46014</v>
      </c>
      <c r="AH81" s="1">
        <v>1036.6400000000001</v>
      </c>
      <c r="AI81" s="1">
        <v>6507</v>
      </c>
      <c r="AJ81" s="1">
        <v>9329.7900000000009</v>
      </c>
      <c r="AK81">
        <v>0</v>
      </c>
      <c r="AL81" s="1">
        <v>1146</v>
      </c>
      <c r="AM81">
        <v>0</v>
      </c>
      <c r="AN81" t="s">
        <v>135</v>
      </c>
      <c r="AO81" t="s">
        <v>135</v>
      </c>
      <c r="AP81" t="s">
        <v>136</v>
      </c>
      <c r="AQ81" t="s">
        <v>137</v>
      </c>
      <c r="AR81" t="s">
        <v>138</v>
      </c>
      <c r="AS81" t="s">
        <v>139</v>
      </c>
      <c r="AT81" t="s">
        <v>140</v>
      </c>
      <c r="AU81">
        <v>104</v>
      </c>
      <c r="AV81">
        <v>10</v>
      </c>
      <c r="AW81">
        <v>1</v>
      </c>
      <c r="AX81" s="2">
        <v>45859</v>
      </c>
      <c r="AY81" t="s">
        <v>141</v>
      </c>
      <c r="AZ81" s="2">
        <v>46027</v>
      </c>
      <c r="BA81">
        <v>0</v>
      </c>
      <c r="BB81">
        <v>0</v>
      </c>
      <c r="BC81">
        <v>0</v>
      </c>
      <c r="BD81">
        <v>700</v>
      </c>
      <c r="BE81">
        <v>70</v>
      </c>
      <c r="BF81">
        <v>9</v>
      </c>
      <c r="BG81" s="2">
        <v>45536</v>
      </c>
      <c r="BH81" t="s">
        <v>142</v>
      </c>
      <c r="BI81" s="2">
        <v>46026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834.57</v>
      </c>
      <c r="BQ81">
        <v>834.57</v>
      </c>
      <c r="BR81">
        <v>0</v>
      </c>
      <c r="BS81">
        <v>0</v>
      </c>
      <c r="BT81">
        <v>0</v>
      </c>
      <c r="BU81">
        <v>0</v>
      </c>
      <c r="BV81" s="1">
        <v>1729.94</v>
      </c>
      <c r="BW81" s="1">
        <v>1729.94</v>
      </c>
      <c r="BX81">
        <v>0</v>
      </c>
      <c r="BY81">
        <v>0</v>
      </c>
      <c r="BZ81">
        <v>0</v>
      </c>
      <c r="CA81">
        <v>0</v>
      </c>
      <c r="CB81" s="1">
        <v>4253.63</v>
      </c>
      <c r="CC81" t="s">
        <v>143</v>
      </c>
    </row>
    <row r="82" spans="1:81" x14ac:dyDescent="0.25">
      <c r="A82">
        <v>345</v>
      </c>
      <c r="B82">
        <v>2</v>
      </c>
      <c r="C82">
        <v>219</v>
      </c>
      <c r="D82" t="s">
        <v>596</v>
      </c>
      <c r="E82" t="s">
        <v>121</v>
      </c>
      <c r="F82" t="s">
        <v>597</v>
      </c>
      <c r="G82" t="s">
        <v>598</v>
      </c>
      <c r="H82" t="s">
        <v>599</v>
      </c>
      <c r="I82" t="s">
        <v>125</v>
      </c>
      <c r="J82" t="s">
        <v>600</v>
      </c>
      <c r="K82" t="s">
        <v>336</v>
      </c>
      <c r="L82" t="s">
        <v>128</v>
      </c>
      <c r="M82" t="s">
        <v>337</v>
      </c>
      <c r="N82" t="s">
        <v>601</v>
      </c>
      <c r="O82" t="s">
        <v>195</v>
      </c>
      <c r="P82">
        <v>0</v>
      </c>
      <c r="Q82" t="s">
        <v>125</v>
      </c>
      <c r="R82">
        <v>6</v>
      </c>
      <c r="S82">
        <v>37</v>
      </c>
      <c r="T82" t="s">
        <v>132</v>
      </c>
      <c r="U82" t="s">
        <v>133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134</v>
      </c>
      <c r="AE82" t="s">
        <v>134</v>
      </c>
      <c r="AF82" s="2">
        <v>45518</v>
      </c>
      <c r="AG82" s="2">
        <v>46011</v>
      </c>
      <c r="AH82">
        <v>404.38</v>
      </c>
      <c r="AI82">
        <v>842.73</v>
      </c>
      <c r="AJ82" s="1">
        <v>2426.2800000000002</v>
      </c>
      <c r="AK82">
        <v>0</v>
      </c>
      <c r="AL82">
        <v>0</v>
      </c>
      <c r="AM82">
        <v>0</v>
      </c>
      <c r="AN82" t="s">
        <v>135</v>
      </c>
      <c r="AO82" t="s">
        <v>135</v>
      </c>
      <c r="AP82" t="s">
        <v>136</v>
      </c>
      <c r="AQ82" t="s">
        <v>137</v>
      </c>
      <c r="AR82" t="s">
        <v>138</v>
      </c>
      <c r="AS82" t="s">
        <v>139</v>
      </c>
      <c r="AT82" t="s">
        <v>140</v>
      </c>
      <c r="AU82">
        <v>102</v>
      </c>
      <c r="AV82">
        <v>10</v>
      </c>
      <c r="AW82">
        <v>1</v>
      </c>
      <c r="AX82" s="2">
        <v>45842</v>
      </c>
      <c r="AY82" t="s">
        <v>151</v>
      </c>
      <c r="AZ82" s="2">
        <v>46024</v>
      </c>
      <c r="BA82">
        <v>0</v>
      </c>
      <c r="BB82">
        <v>0</v>
      </c>
      <c r="BC82">
        <v>0</v>
      </c>
      <c r="BD82">
        <v>700</v>
      </c>
      <c r="BE82">
        <v>70</v>
      </c>
      <c r="BF82">
        <v>9</v>
      </c>
      <c r="BG82" s="2">
        <v>45536</v>
      </c>
      <c r="BH82" t="s">
        <v>142</v>
      </c>
      <c r="BI82" s="2">
        <v>46026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779.68</v>
      </c>
      <c r="BQ82">
        <v>779.68</v>
      </c>
      <c r="BR82">
        <v>0</v>
      </c>
      <c r="BS82">
        <v>0</v>
      </c>
      <c r="BT82">
        <v>0</v>
      </c>
      <c r="BU82">
        <v>0</v>
      </c>
      <c r="BV82">
        <v>842.73</v>
      </c>
      <c r="BW82">
        <v>842.73</v>
      </c>
      <c r="BX82">
        <v>0</v>
      </c>
      <c r="BY82">
        <v>0</v>
      </c>
      <c r="BZ82">
        <v>0</v>
      </c>
      <c r="CA82">
        <v>0</v>
      </c>
      <c r="CB82">
        <v>728.12</v>
      </c>
      <c r="CC82" t="s">
        <v>161</v>
      </c>
    </row>
    <row r="83" spans="1:81" x14ac:dyDescent="0.25">
      <c r="A83">
        <v>345</v>
      </c>
      <c r="B83">
        <v>2</v>
      </c>
      <c r="C83">
        <v>220</v>
      </c>
      <c r="D83" t="s">
        <v>602</v>
      </c>
      <c r="E83" t="s">
        <v>121</v>
      </c>
      <c r="F83" t="s">
        <v>603</v>
      </c>
      <c r="G83" t="s">
        <v>604</v>
      </c>
      <c r="H83" t="s">
        <v>605</v>
      </c>
      <c r="I83" t="s">
        <v>125</v>
      </c>
      <c r="J83" t="s">
        <v>606</v>
      </c>
      <c r="K83" t="s">
        <v>336</v>
      </c>
      <c r="L83" t="s">
        <v>128</v>
      </c>
      <c r="M83" t="s">
        <v>337</v>
      </c>
      <c r="N83" t="s">
        <v>607</v>
      </c>
      <c r="O83" t="s">
        <v>131</v>
      </c>
      <c r="P83">
        <v>0</v>
      </c>
      <c r="Q83" t="s">
        <v>125</v>
      </c>
      <c r="R83">
        <v>6</v>
      </c>
      <c r="S83">
        <v>43</v>
      </c>
      <c r="T83" t="s">
        <v>132</v>
      </c>
      <c r="U83" t="s">
        <v>133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134</v>
      </c>
      <c r="AE83" t="s">
        <v>134</v>
      </c>
      <c r="AF83" s="2">
        <v>45518</v>
      </c>
      <c r="AG83" s="2">
        <v>46018</v>
      </c>
      <c r="AH83">
        <v>234.55</v>
      </c>
      <c r="AI83">
        <v>352.72</v>
      </c>
      <c r="AJ83" s="1">
        <v>1876.43</v>
      </c>
      <c r="AK83">
        <v>0</v>
      </c>
      <c r="AL83">
        <v>0</v>
      </c>
      <c r="AM83">
        <v>0</v>
      </c>
      <c r="AN83" t="s">
        <v>135</v>
      </c>
      <c r="AO83" t="s">
        <v>135</v>
      </c>
      <c r="AP83" t="s">
        <v>136</v>
      </c>
      <c r="AQ83" t="s">
        <v>137</v>
      </c>
      <c r="AR83" t="s">
        <v>138</v>
      </c>
      <c r="AS83" t="s">
        <v>150</v>
      </c>
      <c r="AT83" t="s">
        <v>140</v>
      </c>
      <c r="AU83">
        <v>101</v>
      </c>
      <c r="AV83">
        <v>10</v>
      </c>
      <c r="AW83">
        <v>1</v>
      </c>
      <c r="AX83" s="2">
        <v>45812</v>
      </c>
      <c r="AY83" t="s">
        <v>168</v>
      </c>
      <c r="AZ83" s="2">
        <v>46022</v>
      </c>
      <c r="BA83">
        <v>0</v>
      </c>
      <c r="BB83">
        <v>0</v>
      </c>
      <c r="BC83">
        <v>0</v>
      </c>
      <c r="BD83">
        <v>700</v>
      </c>
      <c r="BE83">
        <v>70</v>
      </c>
      <c r="BF83">
        <v>9</v>
      </c>
      <c r="BG83" s="2">
        <v>45536</v>
      </c>
      <c r="BH83" t="s">
        <v>142</v>
      </c>
      <c r="BI83" s="2">
        <v>46026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516.37</v>
      </c>
      <c r="BQ83">
        <v>516.37</v>
      </c>
      <c r="BR83">
        <v>0</v>
      </c>
      <c r="BS83">
        <v>0</v>
      </c>
      <c r="BT83">
        <v>0</v>
      </c>
      <c r="BU83">
        <v>0</v>
      </c>
      <c r="BV83" s="1">
        <v>1043.97</v>
      </c>
      <c r="BW83" s="1">
        <v>1043.97</v>
      </c>
      <c r="BX83">
        <v>0</v>
      </c>
      <c r="BY83">
        <v>0</v>
      </c>
      <c r="BZ83">
        <v>0</v>
      </c>
      <c r="CA83">
        <v>0</v>
      </c>
      <c r="CB83">
        <v>347.08</v>
      </c>
      <c r="CC83" t="s">
        <v>143</v>
      </c>
    </row>
    <row r="84" spans="1:81" x14ac:dyDescent="0.25">
      <c r="A84">
        <v>345</v>
      </c>
      <c r="B84">
        <v>2</v>
      </c>
      <c r="C84">
        <v>221</v>
      </c>
      <c r="D84" t="s">
        <v>608</v>
      </c>
      <c r="E84" t="s">
        <v>121</v>
      </c>
      <c r="F84" t="s">
        <v>609</v>
      </c>
      <c r="G84" t="s">
        <v>610</v>
      </c>
      <c r="H84" t="s">
        <v>611</v>
      </c>
      <c r="I84" t="s">
        <v>125</v>
      </c>
      <c r="J84" t="s">
        <v>612</v>
      </c>
      <c r="K84" t="s">
        <v>473</v>
      </c>
      <c r="L84" t="s">
        <v>128</v>
      </c>
      <c r="M84" t="s">
        <v>474</v>
      </c>
      <c r="N84" t="s">
        <v>613</v>
      </c>
      <c r="O84" t="s">
        <v>167</v>
      </c>
      <c r="P84">
        <v>0</v>
      </c>
      <c r="Q84" t="s">
        <v>125</v>
      </c>
      <c r="R84">
        <v>6</v>
      </c>
      <c r="S84">
        <v>36</v>
      </c>
      <c r="T84" t="s">
        <v>132</v>
      </c>
      <c r="U84" t="s">
        <v>133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234</v>
      </c>
      <c r="AE84" t="s">
        <v>134</v>
      </c>
      <c r="AF84" s="2">
        <v>45518</v>
      </c>
      <c r="AG84" s="2">
        <v>46017</v>
      </c>
      <c r="AH84">
        <v>325.39999999999998</v>
      </c>
      <c r="AI84">
        <v>481.93</v>
      </c>
      <c r="AJ84" s="1">
        <v>4230.3</v>
      </c>
      <c r="AK84">
        <v>0</v>
      </c>
      <c r="AL84">
        <v>0</v>
      </c>
      <c r="AM84">
        <v>0</v>
      </c>
      <c r="AN84" t="s">
        <v>135</v>
      </c>
      <c r="AO84" t="s">
        <v>135</v>
      </c>
      <c r="AP84" t="s">
        <v>136</v>
      </c>
      <c r="AQ84" t="s">
        <v>137</v>
      </c>
      <c r="AR84" t="s">
        <v>138</v>
      </c>
      <c r="AS84" t="s">
        <v>139</v>
      </c>
      <c r="AT84" t="s">
        <v>140</v>
      </c>
      <c r="AU84">
        <v>102</v>
      </c>
      <c r="AV84">
        <v>10</v>
      </c>
      <c r="AW84">
        <v>1</v>
      </c>
      <c r="AX84" s="2">
        <v>45832</v>
      </c>
      <c r="AY84" t="s">
        <v>377</v>
      </c>
      <c r="AZ84" s="2">
        <v>46028</v>
      </c>
      <c r="BA84">
        <v>0</v>
      </c>
      <c r="BB84">
        <v>0</v>
      </c>
      <c r="BC84">
        <v>0</v>
      </c>
      <c r="BD84">
        <v>700</v>
      </c>
      <c r="BE84">
        <v>70</v>
      </c>
      <c r="BF84">
        <v>9</v>
      </c>
      <c r="BG84" s="2">
        <v>45536</v>
      </c>
      <c r="BH84" t="s">
        <v>142</v>
      </c>
      <c r="BI84" s="2">
        <v>46026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s="1">
        <v>1100.77</v>
      </c>
      <c r="BQ84" s="1">
        <v>1100.77</v>
      </c>
      <c r="BR84">
        <v>0</v>
      </c>
      <c r="BS84">
        <v>0</v>
      </c>
      <c r="BT84">
        <v>0</v>
      </c>
      <c r="BU84">
        <v>0</v>
      </c>
      <c r="BV84" s="1">
        <v>1532.65</v>
      </c>
      <c r="BW84" s="1">
        <v>1532.65</v>
      </c>
      <c r="BX84">
        <v>0</v>
      </c>
      <c r="BY84">
        <v>0</v>
      </c>
      <c r="BZ84">
        <v>0</v>
      </c>
      <c r="CA84">
        <v>0</v>
      </c>
      <c r="CB84" s="1">
        <v>1199.3800000000001</v>
      </c>
      <c r="CC84" t="s">
        <v>161</v>
      </c>
    </row>
    <row r="85" spans="1:81" x14ac:dyDescent="0.25">
      <c r="A85">
        <v>345</v>
      </c>
      <c r="B85">
        <v>2</v>
      </c>
      <c r="C85">
        <v>222</v>
      </c>
      <c r="D85" t="s">
        <v>614</v>
      </c>
      <c r="E85" t="s">
        <v>121</v>
      </c>
      <c r="F85" t="s">
        <v>615</v>
      </c>
      <c r="G85" t="s">
        <v>616</v>
      </c>
      <c r="H85" t="s">
        <v>617</v>
      </c>
      <c r="I85" t="s">
        <v>125</v>
      </c>
      <c r="J85" t="s">
        <v>612</v>
      </c>
      <c r="K85" t="s">
        <v>473</v>
      </c>
      <c r="L85" t="s">
        <v>128</v>
      </c>
      <c r="M85" t="s">
        <v>474</v>
      </c>
      <c r="N85" t="s">
        <v>618</v>
      </c>
      <c r="O85" t="s">
        <v>619</v>
      </c>
      <c r="P85">
        <v>0</v>
      </c>
      <c r="Q85" t="s">
        <v>125</v>
      </c>
      <c r="R85">
        <v>6</v>
      </c>
      <c r="S85">
        <v>29</v>
      </c>
      <c r="T85" t="s">
        <v>132</v>
      </c>
      <c r="U85" t="s">
        <v>133</v>
      </c>
      <c r="V85" s="1">
        <v>1000</v>
      </c>
      <c r="W85">
        <v>302.12</v>
      </c>
      <c r="X85">
        <v>697.88</v>
      </c>
      <c r="Y85">
        <v>7</v>
      </c>
      <c r="Z85">
        <v>0</v>
      </c>
      <c r="AA85">
        <v>7</v>
      </c>
      <c r="AB85">
        <v>1</v>
      </c>
      <c r="AC85">
        <v>25</v>
      </c>
      <c r="AD85" t="s">
        <v>134</v>
      </c>
      <c r="AE85" t="s">
        <v>134</v>
      </c>
      <c r="AF85" s="2">
        <v>45518</v>
      </c>
      <c r="AG85" s="2">
        <v>46017</v>
      </c>
      <c r="AH85">
        <v>266.08999999999997</v>
      </c>
      <c r="AI85">
        <v>349.47</v>
      </c>
      <c r="AJ85" s="1">
        <v>2128.75</v>
      </c>
      <c r="AK85">
        <v>0</v>
      </c>
      <c r="AL85">
        <v>302.12</v>
      </c>
      <c r="AM85">
        <v>0</v>
      </c>
      <c r="AN85" t="s">
        <v>135</v>
      </c>
      <c r="AO85" t="s">
        <v>135</v>
      </c>
      <c r="AP85" t="s">
        <v>136</v>
      </c>
      <c r="AQ85" t="s">
        <v>137</v>
      </c>
      <c r="AR85" t="s">
        <v>138</v>
      </c>
      <c r="AS85" t="s">
        <v>139</v>
      </c>
      <c r="AT85" t="s">
        <v>140</v>
      </c>
      <c r="AU85">
        <v>102</v>
      </c>
      <c r="AV85">
        <v>10</v>
      </c>
      <c r="AW85">
        <v>1</v>
      </c>
      <c r="AX85" s="2">
        <v>45811</v>
      </c>
      <c r="AY85" t="s">
        <v>377</v>
      </c>
      <c r="AZ85" s="2">
        <v>46028</v>
      </c>
      <c r="BA85">
        <v>0</v>
      </c>
      <c r="BB85">
        <v>0</v>
      </c>
      <c r="BC85">
        <v>0</v>
      </c>
      <c r="BD85">
        <v>700</v>
      </c>
      <c r="BE85">
        <v>70</v>
      </c>
      <c r="BF85">
        <v>9</v>
      </c>
      <c r="BG85" s="2">
        <v>45536</v>
      </c>
      <c r="BH85" t="s">
        <v>142</v>
      </c>
      <c r="BI85" s="2">
        <v>46026</v>
      </c>
      <c r="BJ85">
        <v>0</v>
      </c>
      <c r="BK85">
        <v>0</v>
      </c>
      <c r="BL85">
        <v>0</v>
      </c>
      <c r="BM85">
        <v>7</v>
      </c>
      <c r="BN85">
        <v>7</v>
      </c>
      <c r="BO85">
        <v>475.33</v>
      </c>
      <c r="BP85">
        <v>0</v>
      </c>
      <c r="BQ85">
        <v>475.33</v>
      </c>
      <c r="BR85">
        <v>0</v>
      </c>
      <c r="BS85">
        <v>6.07</v>
      </c>
      <c r="BT85">
        <v>3.31</v>
      </c>
      <c r="BU85">
        <v>651.59</v>
      </c>
      <c r="BV85">
        <v>544.99</v>
      </c>
      <c r="BW85" s="1">
        <v>1196.58</v>
      </c>
      <c r="BX85">
        <v>0</v>
      </c>
      <c r="BY85">
        <v>0</v>
      </c>
      <c r="BZ85">
        <v>0</v>
      </c>
      <c r="CA85">
        <v>0</v>
      </c>
      <c r="CB85">
        <v>345.47</v>
      </c>
      <c r="CC85" t="s">
        <v>143</v>
      </c>
    </row>
    <row r="86" spans="1:81" x14ac:dyDescent="0.25">
      <c r="A86">
        <v>345</v>
      </c>
      <c r="B86">
        <v>2</v>
      </c>
      <c r="C86">
        <v>223</v>
      </c>
      <c r="D86" t="s">
        <v>620</v>
      </c>
      <c r="E86" t="s">
        <v>121</v>
      </c>
      <c r="F86" t="s">
        <v>621</v>
      </c>
      <c r="G86" t="s">
        <v>622</v>
      </c>
      <c r="H86" t="s">
        <v>623</v>
      </c>
      <c r="I86" t="s">
        <v>624</v>
      </c>
      <c r="J86" t="s">
        <v>600</v>
      </c>
      <c r="K86" t="s">
        <v>336</v>
      </c>
      <c r="L86" t="s">
        <v>128</v>
      </c>
      <c r="M86" t="s">
        <v>337</v>
      </c>
      <c r="N86" t="s">
        <v>625</v>
      </c>
      <c r="O86" t="s">
        <v>131</v>
      </c>
      <c r="P86">
        <v>0</v>
      </c>
      <c r="Q86" t="s">
        <v>125</v>
      </c>
      <c r="R86">
        <v>6</v>
      </c>
      <c r="S86">
        <v>40</v>
      </c>
      <c r="T86" t="s">
        <v>132</v>
      </c>
      <c r="U86" t="s">
        <v>133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134</v>
      </c>
      <c r="AE86" t="s">
        <v>134</v>
      </c>
      <c r="AF86" s="2">
        <v>45518</v>
      </c>
      <c r="AG86" s="2">
        <v>46020</v>
      </c>
      <c r="AH86" s="1">
        <v>1395.37</v>
      </c>
      <c r="AI86" s="1">
        <v>2199.5</v>
      </c>
      <c r="AJ86" s="1">
        <v>8372.27</v>
      </c>
      <c r="AK86">
        <v>0</v>
      </c>
      <c r="AL86">
        <v>0</v>
      </c>
      <c r="AM86">
        <v>0</v>
      </c>
      <c r="AN86" t="s">
        <v>135</v>
      </c>
      <c r="AO86" t="s">
        <v>135</v>
      </c>
      <c r="AP86" t="s">
        <v>136</v>
      </c>
      <c r="AQ86" t="s">
        <v>137</v>
      </c>
      <c r="AR86" t="s">
        <v>138</v>
      </c>
      <c r="AS86" t="s">
        <v>139</v>
      </c>
      <c r="AT86" t="s">
        <v>140</v>
      </c>
      <c r="AU86">
        <v>102</v>
      </c>
      <c r="AV86">
        <v>10</v>
      </c>
      <c r="AW86">
        <v>1</v>
      </c>
      <c r="AX86" s="2">
        <v>45842</v>
      </c>
      <c r="AY86" t="s">
        <v>151</v>
      </c>
      <c r="AZ86" s="2">
        <v>46024</v>
      </c>
      <c r="BA86">
        <v>0</v>
      </c>
      <c r="BB86">
        <v>0</v>
      </c>
      <c r="BC86">
        <v>0</v>
      </c>
      <c r="BD86">
        <v>700</v>
      </c>
      <c r="BE86">
        <v>70</v>
      </c>
      <c r="BF86">
        <v>9</v>
      </c>
      <c r="BG86" s="2">
        <v>45536</v>
      </c>
      <c r="BH86" t="s">
        <v>142</v>
      </c>
      <c r="BI86" s="2">
        <v>46026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s="1">
        <v>3303.7</v>
      </c>
      <c r="BQ86" s="1">
        <v>3303.7</v>
      </c>
      <c r="BR86">
        <v>0</v>
      </c>
      <c r="BS86">
        <v>0</v>
      </c>
      <c r="BT86">
        <v>0</v>
      </c>
      <c r="BU86">
        <v>0</v>
      </c>
      <c r="BV86" s="1">
        <v>4079.09</v>
      </c>
      <c r="BW86" s="1">
        <v>4079.09</v>
      </c>
      <c r="BX86">
        <v>0</v>
      </c>
      <c r="BY86">
        <v>0</v>
      </c>
      <c r="BZ86">
        <v>0</v>
      </c>
      <c r="CA86">
        <v>0</v>
      </c>
      <c r="CB86" s="1">
        <v>2480.42</v>
      </c>
      <c r="CC86" t="s">
        <v>143</v>
      </c>
    </row>
    <row r="87" spans="1:81" x14ac:dyDescent="0.25">
      <c r="A87">
        <v>345</v>
      </c>
      <c r="B87">
        <v>2</v>
      </c>
      <c r="C87">
        <v>225</v>
      </c>
      <c r="D87" t="s">
        <v>626</v>
      </c>
      <c r="E87" t="s">
        <v>121</v>
      </c>
      <c r="F87" t="s">
        <v>627</v>
      </c>
      <c r="G87" t="s">
        <v>628</v>
      </c>
      <c r="H87" t="s">
        <v>629</v>
      </c>
      <c r="I87" t="s">
        <v>125</v>
      </c>
      <c r="J87" t="s">
        <v>630</v>
      </c>
      <c r="K87" t="s">
        <v>336</v>
      </c>
      <c r="L87" t="s">
        <v>128</v>
      </c>
      <c r="M87" t="s">
        <v>337</v>
      </c>
      <c r="N87" t="s">
        <v>631</v>
      </c>
      <c r="O87" t="s">
        <v>131</v>
      </c>
      <c r="P87">
        <v>0</v>
      </c>
      <c r="Q87" t="s">
        <v>125</v>
      </c>
      <c r="R87">
        <v>6</v>
      </c>
      <c r="S87">
        <v>40</v>
      </c>
      <c r="T87" t="s">
        <v>132</v>
      </c>
      <c r="U87" t="s">
        <v>133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134</v>
      </c>
      <c r="AE87" t="s">
        <v>134</v>
      </c>
      <c r="AF87" s="2">
        <v>45518</v>
      </c>
      <c r="AG87" s="2">
        <v>46007</v>
      </c>
      <c r="AH87">
        <v>717.56</v>
      </c>
      <c r="AI87" s="1">
        <v>1034.3399999999999</v>
      </c>
      <c r="AJ87" s="1">
        <v>7175.61</v>
      </c>
      <c r="AK87">
        <v>0</v>
      </c>
      <c r="AL87">
        <v>553.29</v>
      </c>
      <c r="AM87">
        <v>0</v>
      </c>
      <c r="AN87" t="s">
        <v>135</v>
      </c>
      <c r="AO87" t="s">
        <v>135</v>
      </c>
      <c r="AP87" t="s">
        <v>136</v>
      </c>
      <c r="AQ87" t="s">
        <v>137</v>
      </c>
      <c r="AR87" t="s">
        <v>138</v>
      </c>
      <c r="AS87" t="s">
        <v>139</v>
      </c>
      <c r="AT87" t="s">
        <v>140</v>
      </c>
      <c r="AU87">
        <v>104</v>
      </c>
      <c r="AV87">
        <v>10</v>
      </c>
      <c r="AW87">
        <v>1</v>
      </c>
      <c r="AX87" s="2">
        <v>45537</v>
      </c>
      <c r="AY87" t="s">
        <v>141</v>
      </c>
      <c r="AZ87" s="2">
        <v>46027</v>
      </c>
      <c r="BA87">
        <v>0</v>
      </c>
      <c r="BB87">
        <v>0</v>
      </c>
      <c r="BC87">
        <v>0</v>
      </c>
      <c r="BD87">
        <v>700</v>
      </c>
      <c r="BE87">
        <v>70</v>
      </c>
      <c r="BF87">
        <v>9</v>
      </c>
      <c r="BG87" s="2">
        <v>45536</v>
      </c>
      <c r="BH87" t="s">
        <v>142</v>
      </c>
      <c r="BI87" s="2">
        <v>46026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s="1">
        <v>2380.8000000000002</v>
      </c>
      <c r="BQ87" s="1">
        <v>2380.8000000000002</v>
      </c>
      <c r="BR87">
        <v>0</v>
      </c>
      <c r="BS87">
        <v>0</v>
      </c>
      <c r="BT87">
        <v>0</v>
      </c>
      <c r="BU87">
        <v>0</v>
      </c>
      <c r="BV87" s="1">
        <v>2698.23</v>
      </c>
      <c r="BW87" s="1">
        <v>2698.23</v>
      </c>
      <c r="BX87">
        <v>0</v>
      </c>
      <c r="BY87">
        <v>0</v>
      </c>
      <c r="BZ87">
        <v>0</v>
      </c>
      <c r="CA87">
        <v>0</v>
      </c>
      <c r="CB87" s="1">
        <v>2205.86</v>
      </c>
      <c r="CC87" t="s">
        <v>143</v>
      </c>
    </row>
    <row r="88" spans="1:81" x14ac:dyDescent="0.25">
      <c r="A88">
        <v>345</v>
      </c>
      <c r="B88">
        <v>2</v>
      </c>
      <c r="C88">
        <v>226</v>
      </c>
      <c r="D88" t="s">
        <v>632</v>
      </c>
      <c r="E88" t="s">
        <v>121</v>
      </c>
      <c r="F88" t="s">
        <v>633</v>
      </c>
      <c r="G88" t="s">
        <v>634</v>
      </c>
      <c r="H88" t="s">
        <v>635</v>
      </c>
      <c r="I88" t="s">
        <v>125</v>
      </c>
      <c r="J88" t="s">
        <v>600</v>
      </c>
      <c r="K88" t="s">
        <v>336</v>
      </c>
      <c r="L88" t="s">
        <v>128</v>
      </c>
      <c r="M88" t="s">
        <v>337</v>
      </c>
      <c r="N88" t="s">
        <v>636</v>
      </c>
      <c r="O88" t="s">
        <v>131</v>
      </c>
      <c r="P88">
        <v>0</v>
      </c>
      <c r="Q88" t="s">
        <v>125</v>
      </c>
      <c r="R88">
        <v>6</v>
      </c>
      <c r="S88">
        <v>40</v>
      </c>
      <c r="T88" t="s">
        <v>132</v>
      </c>
      <c r="U88" t="s">
        <v>133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134</v>
      </c>
      <c r="AE88" t="s">
        <v>134</v>
      </c>
      <c r="AF88" s="2">
        <v>45518</v>
      </c>
      <c r="AG88" s="2">
        <v>46020</v>
      </c>
      <c r="AH88">
        <v>769.9</v>
      </c>
      <c r="AI88" s="1">
        <v>1451.15</v>
      </c>
      <c r="AJ88" s="1">
        <v>8468.9599999999991</v>
      </c>
      <c r="AK88">
        <v>0</v>
      </c>
      <c r="AL88">
        <v>0</v>
      </c>
      <c r="AM88">
        <v>0</v>
      </c>
      <c r="AN88" t="s">
        <v>135</v>
      </c>
      <c r="AO88" t="s">
        <v>135</v>
      </c>
      <c r="AP88" t="s">
        <v>136</v>
      </c>
      <c r="AQ88" t="s">
        <v>137</v>
      </c>
      <c r="AR88" t="s">
        <v>138</v>
      </c>
      <c r="AS88" t="s">
        <v>139</v>
      </c>
      <c r="AT88" t="s">
        <v>140</v>
      </c>
      <c r="AU88">
        <v>102</v>
      </c>
      <c r="AV88">
        <v>10</v>
      </c>
      <c r="AW88">
        <v>1</v>
      </c>
      <c r="AX88" s="2">
        <v>45849</v>
      </c>
      <c r="AY88" t="s">
        <v>151</v>
      </c>
      <c r="AZ88" s="2">
        <v>46024</v>
      </c>
      <c r="BA88">
        <v>0</v>
      </c>
      <c r="BB88">
        <v>0</v>
      </c>
      <c r="BC88">
        <v>0</v>
      </c>
      <c r="BD88">
        <v>700</v>
      </c>
      <c r="BE88">
        <v>70</v>
      </c>
      <c r="BF88">
        <v>9</v>
      </c>
      <c r="BG88" s="2">
        <v>45536</v>
      </c>
      <c r="BH88" t="s">
        <v>142</v>
      </c>
      <c r="BI88" s="2">
        <v>46026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s="1">
        <v>3342.68</v>
      </c>
      <c r="BQ88" s="1">
        <v>3342.68</v>
      </c>
      <c r="BR88">
        <v>0</v>
      </c>
      <c r="BS88">
        <v>0</v>
      </c>
      <c r="BT88">
        <v>0</v>
      </c>
      <c r="BU88">
        <v>0</v>
      </c>
      <c r="BV88" s="1">
        <v>3469.75</v>
      </c>
      <c r="BW88" s="1">
        <v>3469.75</v>
      </c>
      <c r="BX88">
        <v>0</v>
      </c>
      <c r="BY88">
        <v>0</v>
      </c>
      <c r="BZ88">
        <v>0</v>
      </c>
      <c r="CA88">
        <v>0</v>
      </c>
      <c r="CB88" s="1">
        <v>2064.4</v>
      </c>
      <c r="CC88" t="s">
        <v>143</v>
      </c>
    </row>
    <row r="89" spans="1:81" x14ac:dyDescent="0.25">
      <c r="A89">
        <v>345</v>
      </c>
      <c r="B89">
        <v>2</v>
      </c>
      <c r="C89">
        <v>227</v>
      </c>
      <c r="D89" t="s">
        <v>637</v>
      </c>
      <c r="E89" t="s">
        <v>121</v>
      </c>
      <c r="F89" t="s">
        <v>638</v>
      </c>
      <c r="G89" t="s">
        <v>639</v>
      </c>
      <c r="H89" t="s">
        <v>640</v>
      </c>
      <c r="I89" t="s">
        <v>641</v>
      </c>
      <c r="J89" t="s">
        <v>642</v>
      </c>
      <c r="K89" t="s">
        <v>336</v>
      </c>
      <c r="L89" t="s">
        <v>128</v>
      </c>
      <c r="M89" t="s">
        <v>337</v>
      </c>
      <c r="N89" t="s">
        <v>643</v>
      </c>
      <c r="O89" t="s">
        <v>167</v>
      </c>
      <c r="P89">
        <v>0</v>
      </c>
      <c r="Q89" t="s">
        <v>125</v>
      </c>
      <c r="R89">
        <v>6</v>
      </c>
      <c r="S89">
        <v>36</v>
      </c>
      <c r="T89" t="s">
        <v>132</v>
      </c>
      <c r="U89" t="s">
        <v>133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134</v>
      </c>
      <c r="AE89" t="s">
        <v>134</v>
      </c>
      <c r="AF89" s="2">
        <v>45518</v>
      </c>
      <c r="AG89" s="2">
        <v>46020</v>
      </c>
      <c r="AH89">
        <v>460.35</v>
      </c>
      <c r="AI89">
        <v>919.32</v>
      </c>
      <c r="AJ89" s="1">
        <v>6444.96</v>
      </c>
      <c r="AK89">
        <v>0</v>
      </c>
      <c r="AL89">
        <v>0</v>
      </c>
      <c r="AM89">
        <v>0</v>
      </c>
      <c r="AN89" t="s">
        <v>135</v>
      </c>
      <c r="AO89" t="s">
        <v>135</v>
      </c>
      <c r="AP89" t="s">
        <v>136</v>
      </c>
      <c r="AQ89" t="s">
        <v>137</v>
      </c>
      <c r="AR89" t="s">
        <v>138</v>
      </c>
      <c r="AS89" t="s">
        <v>139</v>
      </c>
      <c r="AT89" t="s">
        <v>140</v>
      </c>
      <c r="AU89">
        <v>101</v>
      </c>
      <c r="AV89">
        <v>10</v>
      </c>
      <c r="AW89">
        <v>1</v>
      </c>
      <c r="AX89" s="2">
        <v>45842</v>
      </c>
      <c r="AY89" t="s">
        <v>151</v>
      </c>
      <c r="AZ89" s="2">
        <v>46024</v>
      </c>
      <c r="BA89">
        <v>0</v>
      </c>
      <c r="BB89">
        <v>0</v>
      </c>
      <c r="BC89">
        <v>0</v>
      </c>
      <c r="BD89">
        <v>700</v>
      </c>
      <c r="BE89">
        <v>70</v>
      </c>
      <c r="BF89">
        <v>9</v>
      </c>
      <c r="BG89" s="2">
        <v>45536</v>
      </c>
      <c r="BH89" t="s">
        <v>142</v>
      </c>
      <c r="BI89" s="2">
        <v>46026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s="1">
        <v>2673.6</v>
      </c>
      <c r="BQ89" s="1">
        <v>2673.6</v>
      </c>
      <c r="BR89">
        <v>0</v>
      </c>
      <c r="BS89">
        <v>0</v>
      </c>
      <c r="BT89">
        <v>0</v>
      </c>
      <c r="BU89">
        <v>0</v>
      </c>
      <c r="BV89" s="1">
        <v>2052.35</v>
      </c>
      <c r="BW89" s="1">
        <v>2052.35</v>
      </c>
      <c r="BX89">
        <v>0</v>
      </c>
      <c r="BY89">
        <v>0</v>
      </c>
      <c r="BZ89">
        <v>0</v>
      </c>
      <c r="CA89">
        <v>0</v>
      </c>
      <c r="CB89" s="1">
        <v>1876.97</v>
      </c>
      <c r="CC89" t="s">
        <v>161</v>
      </c>
    </row>
    <row r="90" spans="1:81" x14ac:dyDescent="0.25">
      <c r="A90">
        <v>345</v>
      </c>
      <c r="B90">
        <v>2</v>
      </c>
      <c r="C90">
        <v>228</v>
      </c>
      <c r="D90" t="s">
        <v>644</v>
      </c>
      <c r="E90" t="s">
        <v>121</v>
      </c>
      <c r="F90" t="s">
        <v>645</v>
      </c>
      <c r="G90" t="s">
        <v>646</v>
      </c>
      <c r="H90" t="s">
        <v>647</v>
      </c>
      <c r="I90" t="s">
        <v>125</v>
      </c>
      <c r="J90" t="s">
        <v>554</v>
      </c>
      <c r="K90" t="s">
        <v>336</v>
      </c>
      <c r="L90" t="s">
        <v>128</v>
      </c>
      <c r="M90" t="s">
        <v>337</v>
      </c>
      <c r="N90" t="s">
        <v>648</v>
      </c>
      <c r="O90" t="s">
        <v>149</v>
      </c>
      <c r="P90">
        <v>0</v>
      </c>
      <c r="Q90" t="s">
        <v>125</v>
      </c>
      <c r="R90">
        <v>6</v>
      </c>
      <c r="S90">
        <v>39</v>
      </c>
      <c r="T90" t="s">
        <v>132</v>
      </c>
      <c r="U90" t="s">
        <v>133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134</v>
      </c>
      <c r="AE90" t="s">
        <v>134</v>
      </c>
      <c r="AF90" s="2">
        <v>45518</v>
      </c>
      <c r="AG90" s="2">
        <v>46010</v>
      </c>
      <c r="AH90">
        <v>152.91</v>
      </c>
      <c r="AI90">
        <v>190.01</v>
      </c>
      <c r="AJ90">
        <v>305.83</v>
      </c>
      <c r="AK90">
        <v>0</v>
      </c>
      <c r="AL90">
        <v>0</v>
      </c>
      <c r="AM90">
        <v>0</v>
      </c>
      <c r="AN90" t="s">
        <v>135</v>
      </c>
      <c r="AO90" t="s">
        <v>135</v>
      </c>
      <c r="AP90" t="s">
        <v>136</v>
      </c>
      <c r="AQ90" t="s">
        <v>137</v>
      </c>
      <c r="AR90" t="s">
        <v>138</v>
      </c>
      <c r="AS90" t="s">
        <v>139</v>
      </c>
      <c r="AT90" t="s">
        <v>140</v>
      </c>
      <c r="AU90">
        <v>101</v>
      </c>
      <c r="AV90">
        <v>10</v>
      </c>
      <c r="AW90">
        <v>1</v>
      </c>
      <c r="AX90" s="2">
        <v>45813</v>
      </c>
      <c r="AY90" t="s">
        <v>308</v>
      </c>
      <c r="AZ90" s="2">
        <v>46023</v>
      </c>
      <c r="BA90">
        <v>0</v>
      </c>
      <c r="BB90">
        <v>0</v>
      </c>
      <c r="BC90">
        <v>0</v>
      </c>
      <c r="BD90">
        <v>700</v>
      </c>
      <c r="BE90">
        <v>70</v>
      </c>
      <c r="BF90">
        <v>9</v>
      </c>
      <c r="BG90" s="2">
        <v>45536</v>
      </c>
      <c r="BH90" t="s">
        <v>142</v>
      </c>
      <c r="BI90" s="2">
        <v>46026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115.82</v>
      </c>
      <c r="BQ90">
        <v>115.82</v>
      </c>
      <c r="BR90">
        <v>0</v>
      </c>
      <c r="BS90">
        <v>0</v>
      </c>
      <c r="BT90">
        <v>0</v>
      </c>
      <c r="BU90">
        <v>0</v>
      </c>
      <c r="BV90">
        <v>190.01</v>
      </c>
      <c r="BW90">
        <v>190.01</v>
      </c>
      <c r="BX90">
        <v>0</v>
      </c>
      <c r="BY90">
        <v>0</v>
      </c>
      <c r="BZ90">
        <v>0</v>
      </c>
      <c r="CA90">
        <v>0</v>
      </c>
      <c r="CB90">
        <v>119.21</v>
      </c>
      <c r="CC90" t="s">
        <v>152</v>
      </c>
    </row>
    <row r="91" spans="1:81" x14ac:dyDescent="0.25">
      <c r="A91">
        <v>345</v>
      </c>
      <c r="B91">
        <v>2</v>
      </c>
      <c r="C91">
        <v>229</v>
      </c>
      <c r="D91" t="s">
        <v>649</v>
      </c>
      <c r="E91" t="s">
        <v>121</v>
      </c>
      <c r="F91" t="s">
        <v>650</v>
      </c>
      <c r="G91" t="s">
        <v>651</v>
      </c>
      <c r="H91" t="s">
        <v>652</v>
      </c>
      <c r="I91" t="s">
        <v>125</v>
      </c>
      <c r="J91" t="s">
        <v>600</v>
      </c>
      <c r="K91" t="s">
        <v>336</v>
      </c>
      <c r="L91" t="s">
        <v>128</v>
      </c>
      <c r="M91" t="s">
        <v>337</v>
      </c>
      <c r="N91" t="s">
        <v>653</v>
      </c>
      <c r="O91" t="s">
        <v>131</v>
      </c>
      <c r="P91">
        <v>0</v>
      </c>
      <c r="Q91" t="s">
        <v>125</v>
      </c>
      <c r="R91">
        <v>6</v>
      </c>
      <c r="S91">
        <v>40</v>
      </c>
      <c r="T91" t="s">
        <v>132</v>
      </c>
      <c r="U91" t="s">
        <v>133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134</v>
      </c>
      <c r="AE91" t="s">
        <v>134</v>
      </c>
      <c r="AF91" s="2">
        <v>45518</v>
      </c>
      <c r="AG91" s="2">
        <v>46019</v>
      </c>
      <c r="AH91" s="1">
        <v>1962.57</v>
      </c>
      <c r="AI91" s="1">
        <v>3008.23</v>
      </c>
      <c r="AJ91" s="1">
        <v>15700.61</v>
      </c>
      <c r="AK91">
        <v>0</v>
      </c>
      <c r="AL91">
        <v>0</v>
      </c>
      <c r="AM91">
        <v>0</v>
      </c>
      <c r="AN91" t="s">
        <v>135</v>
      </c>
      <c r="AO91" t="s">
        <v>135</v>
      </c>
      <c r="AP91" t="s">
        <v>136</v>
      </c>
      <c r="AQ91" t="s">
        <v>137</v>
      </c>
      <c r="AR91" t="s">
        <v>138</v>
      </c>
      <c r="AS91" t="s">
        <v>139</v>
      </c>
      <c r="AT91" t="s">
        <v>140</v>
      </c>
      <c r="AU91">
        <v>102</v>
      </c>
      <c r="AV91">
        <v>10</v>
      </c>
      <c r="AW91">
        <v>1</v>
      </c>
      <c r="AX91" s="2">
        <v>45842</v>
      </c>
      <c r="AY91" t="s">
        <v>151</v>
      </c>
      <c r="AZ91" s="2">
        <v>46024</v>
      </c>
      <c r="BA91">
        <v>0</v>
      </c>
      <c r="BB91">
        <v>0</v>
      </c>
      <c r="BC91">
        <v>0</v>
      </c>
      <c r="BD91">
        <v>700</v>
      </c>
      <c r="BE91">
        <v>70</v>
      </c>
      <c r="BF91">
        <v>9</v>
      </c>
      <c r="BG91" s="2">
        <v>45536</v>
      </c>
      <c r="BH91" t="s">
        <v>142</v>
      </c>
      <c r="BI91" s="2">
        <v>46026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s="1">
        <v>5867.22</v>
      </c>
      <c r="BQ91" s="1">
        <v>5867.22</v>
      </c>
      <c r="BR91">
        <v>0</v>
      </c>
      <c r="BS91">
        <v>0</v>
      </c>
      <c r="BT91">
        <v>0</v>
      </c>
      <c r="BU91">
        <v>0</v>
      </c>
      <c r="BV91" s="1">
        <v>4771.96</v>
      </c>
      <c r="BW91" s="1">
        <v>4771.96</v>
      </c>
      <c r="BX91">
        <v>0</v>
      </c>
      <c r="BY91">
        <v>0</v>
      </c>
      <c r="BZ91">
        <v>0</v>
      </c>
      <c r="CA91">
        <v>0</v>
      </c>
      <c r="CB91" s="1">
        <v>5310.71</v>
      </c>
      <c r="CC91" t="s">
        <v>143</v>
      </c>
    </row>
    <row r="92" spans="1:81" x14ac:dyDescent="0.25">
      <c r="A92">
        <v>345</v>
      </c>
      <c r="B92">
        <v>2</v>
      </c>
      <c r="C92">
        <v>230</v>
      </c>
      <c r="D92" t="s">
        <v>654</v>
      </c>
      <c r="E92" t="s">
        <v>121</v>
      </c>
      <c r="F92" t="s">
        <v>655</v>
      </c>
      <c r="G92" t="s">
        <v>656</v>
      </c>
      <c r="H92" t="s">
        <v>599</v>
      </c>
      <c r="I92" t="s">
        <v>125</v>
      </c>
      <c r="J92" t="s">
        <v>600</v>
      </c>
      <c r="K92" t="s">
        <v>336</v>
      </c>
      <c r="L92" t="s">
        <v>128</v>
      </c>
      <c r="M92" t="s">
        <v>337</v>
      </c>
      <c r="N92" t="s">
        <v>657</v>
      </c>
      <c r="O92" t="s">
        <v>131</v>
      </c>
      <c r="P92">
        <v>0</v>
      </c>
      <c r="Q92" t="s">
        <v>125</v>
      </c>
      <c r="R92">
        <v>6</v>
      </c>
      <c r="S92">
        <v>40</v>
      </c>
      <c r="T92" t="s">
        <v>132</v>
      </c>
      <c r="U92" t="s">
        <v>133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134</v>
      </c>
      <c r="AE92" t="s">
        <v>134</v>
      </c>
      <c r="AF92" s="2">
        <v>45518</v>
      </c>
      <c r="AG92" s="2">
        <v>46020</v>
      </c>
      <c r="AH92">
        <v>556.09</v>
      </c>
      <c r="AI92" s="1">
        <v>1308.48</v>
      </c>
      <c r="AJ92" s="1">
        <v>4448.75</v>
      </c>
      <c r="AK92">
        <v>0</v>
      </c>
      <c r="AL92">
        <v>0</v>
      </c>
      <c r="AM92">
        <v>0</v>
      </c>
      <c r="AN92" t="s">
        <v>135</v>
      </c>
      <c r="AO92" t="s">
        <v>135</v>
      </c>
      <c r="AP92" t="s">
        <v>136</v>
      </c>
      <c r="AQ92" t="s">
        <v>137</v>
      </c>
      <c r="AR92" t="s">
        <v>138</v>
      </c>
      <c r="AS92" t="s">
        <v>139</v>
      </c>
      <c r="AT92" t="s">
        <v>140</v>
      </c>
      <c r="AU92">
        <v>102</v>
      </c>
      <c r="AV92">
        <v>10</v>
      </c>
      <c r="AW92">
        <v>1</v>
      </c>
      <c r="AX92" s="2">
        <v>45814</v>
      </c>
      <c r="AY92" t="s">
        <v>151</v>
      </c>
      <c r="AZ92" s="2">
        <v>46024</v>
      </c>
      <c r="BA92">
        <v>0</v>
      </c>
      <c r="BB92">
        <v>0</v>
      </c>
      <c r="BC92">
        <v>0</v>
      </c>
      <c r="BD92">
        <v>700</v>
      </c>
      <c r="BE92">
        <v>70</v>
      </c>
      <c r="BF92">
        <v>9</v>
      </c>
      <c r="BG92" s="2">
        <v>45536</v>
      </c>
      <c r="BH92" t="s">
        <v>142</v>
      </c>
      <c r="BI92" s="2">
        <v>46026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s="1">
        <v>2063.63</v>
      </c>
      <c r="BQ92" s="1">
        <v>2063.63</v>
      </c>
      <c r="BR92">
        <v>0</v>
      </c>
      <c r="BS92">
        <v>0</v>
      </c>
      <c r="BT92">
        <v>0</v>
      </c>
      <c r="BU92">
        <v>0</v>
      </c>
      <c r="BV92" s="1">
        <v>1766.84</v>
      </c>
      <c r="BW92" s="1">
        <v>1766.84</v>
      </c>
      <c r="BX92">
        <v>0</v>
      </c>
      <c r="BY92">
        <v>0</v>
      </c>
      <c r="BZ92">
        <v>0</v>
      </c>
      <c r="CA92">
        <v>0</v>
      </c>
      <c r="CB92" s="1">
        <v>1245.92</v>
      </c>
      <c r="CC92" t="s">
        <v>143</v>
      </c>
    </row>
    <row r="93" spans="1:81" x14ac:dyDescent="0.25">
      <c r="A93">
        <v>345</v>
      </c>
      <c r="B93">
        <v>2</v>
      </c>
      <c r="C93">
        <v>231</v>
      </c>
      <c r="D93" t="s">
        <v>658</v>
      </c>
      <c r="E93" t="s">
        <v>121</v>
      </c>
      <c r="F93" t="s">
        <v>659</v>
      </c>
      <c r="G93" t="s">
        <v>660</v>
      </c>
      <c r="H93" t="s">
        <v>661</v>
      </c>
      <c r="I93" t="s">
        <v>125</v>
      </c>
      <c r="J93" t="s">
        <v>600</v>
      </c>
      <c r="K93" t="s">
        <v>336</v>
      </c>
      <c r="L93" t="s">
        <v>128</v>
      </c>
      <c r="M93" t="s">
        <v>337</v>
      </c>
      <c r="N93" t="s">
        <v>662</v>
      </c>
      <c r="O93" t="s">
        <v>131</v>
      </c>
      <c r="P93">
        <v>0</v>
      </c>
      <c r="Q93" t="s">
        <v>125</v>
      </c>
      <c r="R93">
        <v>6</v>
      </c>
      <c r="S93">
        <v>40</v>
      </c>
      <c r="T93" t="s">
        <v>132</v>
      </c>
      <c r="U93" t="s">
        <v>133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134</v>
      </c>
      <c r="AE93" t="s">
        <v>134</v>
      </c>
      <c r="AF93" s="2">
        <v>45518</v>
      </c>
      <c r="AG93" s="2">
        <v>46020</v>
      </c>
      <c r="AH93">
        <v>392.99</v>
      </c>
      <c r="AI93">
        <v>521.26</v>
      </c>
      <c r="AJ93" s="1">
        <v>4322.96</v>
      </c>
      <c r="AK93">
        <v>0</v>
      </c>
      <c r="AL93">
        <v>0</v>
      </c>
      <c r="AM93">
        <v>0</v>
      </c>
      <c r="AN93" t="s">
        <v>135</v>
      </c>
      <c r="AO93" t="s">
        <v>135</v>
      </c>
      <c r="AP93" t="s">
        <v>136</v>
      </c>
      <c r="AQ93" t="s">
        <v>137</v>
      </c>
      <c r="AR93" t="s">
        <v>138</v>
      </c>
      <c r="AS93" t="s">
        <v>139</v>
      </c>
      <c r="AT93" t="s">
        <v>140</v>
      </c>
      <c r="AU93">
        <v>102</v>
      </c>
      <c r="AV93">
        <v>10</v>
      </c>
      <c r="AW93">
        <v>1</v>
      </c>
      <c r="AX93" s="2">
        <v>45842</v>
      </c>
      <c r="AY93" t="s">
        <v>151</v>
      </c>
      <c r="AZ93" s="2">
        <v>46024</v>
      </c>
      <c r="BA93">
        <v>0</v>
      </c>
      <c r="BB93">
        <v>0</v>
      </c>
      <c r="BC93">
        <v>0</v>
      </c>
      <c r="BD93">
        <v>700</v>
      </c>
      <c r="BE93">
        <v>70</v>
      </c>
      <c r="BF93">
        <v>9</v>
      </c>
      <c r="BG93" s="2">
        <v>45536</v>
      </c>
      <c r="BH93" t="s">
        <v>142</v>
      </c>
      <c r="BI93" s="2">
        <v>46026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s="1">
        <v>1608.47</v>
      </c>
      <c r="BQ93" s="1">
        <v>1608.47</v>
      </c>
      <c r="BR93">
        <v>0</v>
      </c>
      <c r="BS93">
        <v>0</v>
      </c>
      <c r="BT93">
        <v>0</v>
      </c>
      <c r="BU93">
        <v>0</v>
      </c>
      <c r="BV93" s="1">
        <v>1329.63</v>
      </c>
      <c r="BW93" s="1">
        <v>1329.63</v>
      </c>
      <c r="BX93">
        <v>0</v>
      </c>
      <c r="BY93">
        <v>0</v>
      </c>
      <c r="BZ93">
        <v>0</v>
      </c>
      <c r="CA93">
        <v>0</v>
      </c>
      <c r="CB93" s="1">
        <v>1343.36</v>
      </c>
      <c r="CC93" t="s">
        <v>143</v>
      </c>
    </row>
    <row r="94" spans="1:81" x14ac:dyDescent="0.25">
      <c r="A94">
        <v>345</v>
      </c>
      <c r="B94">
        <v>2</v>
      </c>
      <c r="C94">
        <v>233</v>
      </c>
      <c r="D94" t="s">
        <v>663</v>
      </c>
      <c r="E94" t="s">
        <v>121</v>
      </c>
      <c r="F94" t="s">
        <v>664</v>
      </c>
      <c r="G94" t="s">
        <v>665</v>
      </c>
      <c r="H94" t="s">
        <v>666</v>
      </c>
      <c r="I94" t="s">
        <v>125</v>
      </c>
      <c r="J94" t="s">
        <v>667</v>
      </c>
      <c r="K94" t="s">
        <v>336</v>
      </c>
      <c r="L94" t="s">
        <v>128</v>
      </c>
      <c r="M94" t="s">
        <v>337</v>
      </c>
      <c r="N94" t="s">
        <v>668</v>
      </c>
      <c r="O94" t="s">
        <v>167</v>
      </c>
      <c r="P94">
        <v>0</v>
      </c>
      <c r="Q94" t="s">
        <v>125</v>
      </c>
      <c r="R94">
        <v>6</v>
      </c>
      <c r="S94">
        <v>36</v>
      </c>
      <c r="T94" t="s">
        <v>132</v>
      </c>
      <c r="U94" t="s">
        <v>133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134</v>
      </c>
      <c r="AE94" t="s">
        <v>134</v>
      </c>
      <c r="AF94" s="2">
        <v>45518</v>
      </c>
      <c r="AG94" s="2">
        <v>46020</v>
      </c>
      <c r="AH94">
        <v>518.52</v>
      </c>
      <c r="AI94">
        <v>808.13</v>
      </c>
      <c r="AJ94" s="1">
        <v>5703.73</v>
      </c>
      <c r="AK94">
        <v>0</v>
      </c>
      <c r="AL94">
        <v>0</v>
      </c>
      <c r="AM94">
        <v>0</v>
      </c>
      <c r="AN94" t="s">
        <v>135</v>
      </c>
      <c r="AO94" t="s">
        <v>135</v>
      </c>
      <c r="AP94" t="s">
        <v>136</v>
      </c>
      <c r="AQ94" t="s">
        <v>137</v>
      </c>
      <c r="AR94" t="s">
        <v>138</v>
      </c>
      <c r="AS94" t="s">
        <v>139</v>
      </c>
      <c r="AT94" t="s">
        <v>140</v>
      </c>
      <c r="AU94">
        <v>101</v>
      </c>
      <c r="AV94">
        <v>10</v>
      </c>
      <c r="AW94">
        <v>1</v>
      </c>
      <c r="AX94" s="2">
        <v>45842</v>
      </c>
      <c r="AY94" t="s">
        <v>151</v>
      </c>
      <c r="AZ94" s="2">
        <v>46024</v>
      </c>
      <c r="BA94">
        <v>0</v>
      </c>
      <c r="BB94">
        <v>0</v>
      </c>
      <c r="BC94">
        <v>0</v>
      </c>
      <c r="BD94">
        <v>700</v>
      </c>
      <c r="BE94">
        <v>70</v>
      </c>
      <c r="BF94">
        <v>9</v>
      </c>
      <c r="BG94" s="2">
        <v>45536</v>
      </c>
      <c r="BH94" t="s">
        <v>142</v>
      </c>
      <c r="BI94" s="2">
        <v>46026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s="1">
        <v>2311.38</v>
      </c>
      <c r="BQ94" s="1">
        <v>2311.38</v>
      </c>
      <c r="BR94">
        <v>0</v>
      </c>
      <c r="BS94">
        <v>0</v>
      </c>
      <c r="BT94">
        <v>0</v>
      </c>
      <c r="BU94">
        <v>0</v>
      </c>
      <c r="BV94" s="1">
        <v>1994.24</v>
      </c>
      <c r="BW94" s="1">
        <v>1994.24</v>
      </c>
      <c r="BX94">
        <v>0</v>
      </c>
      <c r="BY94">
        <v>0</v>
      </c>
      <c r="BZ94">
        <v>0</v>
      </c>
      <c r="CA94">
        <v>0</v>
      </c>
      <c r="CB94" s="1">
        <v>1973.71</v>
      </c>
      <c r="CC94" t="s">
        <v>161</v>
      </c>
    </row>
    <row r="95" spans="1:81" x14ac:dyDescent="0.25">
      <c r="A95">
        <v>345</v>
      </c>
      <c r="B95">
        <v>2</v>
      </c>
      <c r="C95">
        <v>234</v>
      </c>
      <c r="D95" t="s">
        <v>669</v>
      </c>
      <c r="E95" t="s">
        <v>121</v>
      </c>
      <c r="F95" t="s">
        <v>670</v>
      </c>
      <c r="G95" t="s">
        <v>671</v>
      </c>
      <c r="H95" t="s">
        <v>672</v>
      </c>
      <c r="I95" t="s">
        <v>125</v>
      </c>
      <c r="J95" t="s">
        <v>335</v>
      </c>
      <c r="K95" t="s">
        <v>336</v>
      </c>
      <c r="L95" t="s">
        <v>128</v>
      </c>
      <c r="M95" t="s">
        <v>337</v>
      </c>
      <c r="N95" t="s">
        <v>673</v>
      </c>
      <c r="O95" t="s">
        <v>131</v>
      </c>
      <c r="P95">
        <v>0</v>
      </c>
      <c r="Q95" t="s">
        <v>125</v>
      </c>
      <c r="R95">
        <v>6</v>
      </c>
      <c r="S95">
        <v>44</v>
      </c>
      <c r="T95" t="s">
        <v>132</v>
      </c>
      <c r="U95" t="s">
        <v>133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134</v>
      </c>
      <c r="AE95" t="s">
        <v>134</v>
      </c>
      <c r="AF95" s="2">
        <v>45518</v>
      </c>
      <c r="AG95" s="2">
        <v>46020</v>
      </c>
      <c r="AH95">
        <v>414.36</v>
      </c>
      <c r="AI95">
        <v>581.1</v>
      </c>
      <c r="AJ95" s="1">
        <v>4972.32</v>
      </c>
      <c r="AK95">
        <v>0</v>
      </c>
      <c r="AL95">
        <v>0</v>
      </c>
      <c r="AM95">
        <v>0</v>
      </c>
      <c r="AN95" t="s">
        <v>135</v>
      </c>
      <c r="AO95" t="s">
        <v>135</v>
      </c>
      <c r="AP95" t="s">
        <v>136</v>
      </c>
      <c r="AQ95" t="s">
        <v>137</v>
      </c>
      <c r="AR95" t="s">
        <v>138</v>
      </c>
      <c r="AS95" t="s">
        <v>150</v>
      </c>
      <c r="AT95" t="s">
        <v>140</v>
      </c>
      <c r="AU95">
        <v>101</v>
      </c>
      <c r="AV95">
        <v>10</v>
      </c>
      <c r="AW95">
        <v>1</v>
      </c>
      <c r="AX95" s="2">
        <v>45842</v>
      </c>
      <c r="AY95" t="s">
        <v>151</v>
      </c>
      <c r="AZ95" s="2">
        <v>46024</v>
      </c>
      <c r="BA95">
        <v>0</v>
      </c>
      <c r="BB95">
        <v>0</v>
      </c>
      <c r="BC95">
        <v>0</v>
      </c>
      <c r="BD95">
        <v>700</v>
      </c>
      <c r="BE95">
        <v>70</v>
      </c>
      <c r="BF95">
        <v>9</v>
      </c>
      <c r="BG95" s="2">
        <v>45536</v>
      </c>
      <c r="BH95" t="s">
        <v>142</v>
      </c>
      <c r="BI95" s="2">
        <v>46026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s="1">
        <v>2124.4899999999998</v>
      </c>
      <c r="BQ95" s="1">
        <v>2124.4899999999998</v>
      </c>
      <c r="BR95">
        <v>0</v>
      </c>
      <c r="BS95">
        <v>0</v>
      </c>
      <c r="BT95">
        <v>0</v>
      </c>
      <c r="BU95">
        <v>0</v>
      </c>
      <c r="BV95" s="1">
        <v>1789.73</v>
      </c>
      <c r="BW95" s="1">
        <v>1789.73</v>
      </c>
      <c r="BX95">
        <v>0</v>
      </c>
      <c r="BY95">
        <v>0</v>
      </c>
      <c r="BZ95">
        <v>0</v>
      </c>
      <c r="CA95">
        <v>0</v>
      </c>
      <c r="CB95" s="1">
        <v>1267.07</v>
      </c>
      <c r="CC95" t="s">
        <v>339</v>
      </c>
    </row>
    <row r="96" spans="1:81" x14ac:dyDescent="0.25">
      <c r="A96">
        <v>345</v>
      </c>
      <c r="B96">
        <v>2</v>
      </c>
      <c r="C96">
        <v>235</v>
      </c>
      <c r="D96" t="s">
        <v>674</v>
      </c>
      <c r="E96" t="s">
        <v>121</v>
      </c>
      <c r="F96" t="s">
        <v>675</v>
      </c>
      <c r="G96" t="s">
        <v>676</v>
      </c>
      <c r="H96" t="s">
        <v>582</v>
      </c>
      <c r="I96" t="s">
        <v>125</v>
      </c>
      <c r="J96" t="s">
        <v>583</v>
      </c>
      <c r="K96" t="s">
        <v>466</v>
      </c>
      <c r="L96" t="s">
        <v>128</v>
      </c>
      <c r="M96" t="s">
        <v>467</v>
      </c>
      <c r="N96" t="s">
        <v>677</v>
      </c>
      <c r="O96" t="s">
        <v>149</v>
      </c>
      <c r="P96">
        <v>0</v>
      </c>
      <c r="Q96" t="s">
        <v>125</v>
      </c>
      <c r="R96">
        <v>2</v>
      </c>
      <c r="S96">
        <v>92</v>
      </c>
      <c r="T96" t="s">
        <v>132</v>
      </c>
      <c r="U96" t="s">
        <v>133</v>
      </c>
      <c r="V96" s="1">
        <v>4163</v>
      </c>
      <c r="W96">
        <v>0</v>
      </c>
      <c r="X96" s="1">
        <v>4163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134</v>
      </c>
      <c r="AE96" t="s">
        <v>134</v>
      </c>
      <c r="AF96" s="2">
        <v>45518</v>
      </c>
      <c r="AG96" s="2">
        <v>46020</v>
      </c>
      <c r="AH96" s="1">
        <v>2692.2</v>
      </c>
      <c r="AI96" s="1">
        <v>10596.68</v>
      </c>
      <c r="AJ96" s="1">
        <v>37690.85</v>
      </c>
      <c r="AK96">
        <v>0</v>
      </c>
      <c r="AL96" s="1">
        <v>1507.3</v>
      </c>
      <c r="AM96">
        <v>0</v>
      </c>
      <c r="AN96" t="s">
        <v>135</v>
      </c>
      <c r="AO96" t="s">
        <v>135</v>
      </c>
      <c r="AP96" t="s">
        <v>136</v>
      </c>
      <c r="AQ96" t="s">
        <v>137</v>
      </c>
      <c r="AR96" t="s">
        <v>138</v>
      </c>
      <c r="AS96" t="s">
        <v>139</v>
      </c>
      <c r="AT96" t="s">
        <v>140</v>
      </c>
      <c r="AU96">
        <v>100</v>
      </c>
      <c r="AV96">
        <v>10</v>
      </c>
      <c r="AW96">
        <v>1</v>
      </c>
      <c r="AX96" s="2">
        <v>45842</v>
      </c>
      <c r="AY96" t="s">
        <v>151</v>
      </c>
      <c r="AZ96" s="2">
        <v>46024</v>
      </c>
      <c r="BA96">
        <v>0</v>
      </c>
      <c r="BB96">
        <v>0</v>
      </c>
      <c r="BC96">
        <v>0</v>
      </c>
      <c r="BD96">
        <v>700</v>
      </c>
      <c r="BE96">
        <v>70</v>
      </c>
      <c r="BF96">
        <v>9</v>
      </c>
      <c r="BG96" s="2">
        <v>45536</v>
      </c>
      <c r="BH96" t="s">
        <v>142</v>
      </c>
      <c r="BI96" s="2">
        <v>46026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s="1">
        <v>13959.13</v>
      </c>
      <c r="BQ96" s="1">
        <v>16654.11</v>
      </c>
      <c r="BR96">
        <v>0</v>
      </c>
      <c r="BS96">
        <v>0</v>
      </c>
      <c r="BT96">
        <v>0</v>
      </c>
      <c r="BU96">
        <v>0</v>
      </c>
      <c r="BV96" s="1">
        <v>8503.08</v>
      </c>
      <c r="BW96" s="1">
        <v>8828.08</v>
      </c>
      <c r="BX96">
        <v>0</v>
      </c>
      <c r="BY96">
        <v>0</v>
      </c>
      <c r="BZ96">
        <v>0</v>
      </c>
      <c r="CA96">
        <v>0</v>
      </c>
      <c r="CB96" s="1">
        <v>10580.61</v>
      </c>
      <c r="CC96" t="s">
        <v>152</v>
      </c>
    </row>
    <row r="97" spans="1:81" x14ac:dyDescent="0.25">
      <c r="A97">
        <v>345</v>
      </c>
      <c r="B97">
        <v>2</v>
      </c>
      <c r="C97">
        <v>236</v>
      </c>
      <c r="D97" t="s">
        <v>678</v>
      </c>
      <c r="E97" t="s">
        <v>121</v>
      </c>
      <c r="F97" t="s">
        <v>679</v>
      </c>
      <c r="G97" t="s">
        <v>680</v>
      </c>
      <c r="H97" t="s">
        <v>681</v>
      </c>
      <c r="I97" t="s">
        <v>125</v>
      </c>
      <c r="J97" t="s">
        <v>126</v>
      </c>
      <c r="K97" t="s">
        <v>466</v>
      </c>
      <c r="L97" t="s">
        <v>128</v>
      </c>
      <c r="M97" t="s">
        <v>467</v>
      </c>
      <c r="N97" t="s">
        <v>682</v>
      </c>
      <c r="O97" t="s">
        <v>131</v>
      </c>
      <c r="P97">
        <v>0</v>
      </c>
      <c r="Q97" t="s">
        <v>125</v>
      </c>
      <c r="R97">
        <v>2</v>
      </c>
      <c r="S97">
        <v>90</v>
      </c>
      <c r="T97" t="s">
        <v>132</v>
      </c>
      <c r="U97" t="s">
        <v>133</v>
      </c>
      <c r="V97" s="1">
        <v>5000</v>
      </c>
      <c r="W97">
        <v>0</v>
      </c>
      <c r="X97" s="1">
        <v>5000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134</v>
      </c>
      <c r="AE97" t="s">
        <v>134</v>
      </c>
      <c r="AF97" s="2">
        <v>45518</v>
      </c>
      <c r="AG97" s="2">
        <v>46019</v>
      </c>
      <c r="AH97" s="1">
        <v>3714.57</v>
      </c>
      <c r="AI97" s="1">
        <v>5810.5</v>
      </c>
      <c r="AJ97" s="1">
        <v>48289.41</v>
      </c>
      <c r="AK97">
        <v>0</v>
      </c>
      <c r="AL97">
        <v>0</v>
      </c>
      <c r="AM97">
        <v>0</v>
      </c>
      <c r="AN97" t="s">
        <v>135</v>
      </c>
      <c r="AO97" t="s">
        <v>135</v>
      </c>
      <c r="AP97" t="s">
        <v>136</v>
      </c>
      <c r="AQ97" t="s">
        <v>137</v>
      </c>
      <c r="AR97" t="s">
        <v>138</v>
      </c>
      <c r="AS97" t="s">
        <v>139</v>
      </c>
      <c r="AT97" t="s">
        <v>140</v>
      </c>
      <c r="AU97">
        <v>105</v>
      </c>
      <c r="AV97">
        <v>10</v>
      </c>
      <c r="AW97">
        <v>1</v>
      </c>
      <c r="AX97" s="2">
        <v>45842</v>
      </c>
      <c r="AY97" t="s">
        <v>151</v>
      </c>
      <c r="AZ97" s="2">
        <v>46024</v>
      </c>
      <c r="BA97">
        <v>0</v>
      </c>
      <c r="BB97">
        <v>0</v>
      </c>
      <c r="BC97">
        <v>0</v>
      </c>
      <c r="BD97">
        <v>700</v>
      </c>
      <c r="BE97">
        <v>70</v>
      </c>
      <c r="BF97">
        <v>9</v>
      </c>
      <c r="BG97" s="2">
        <v>45536</v>
      </c>
      <c r="BH97" t="s">
        <v>142</v>
      </c>
      <c r="BI97" s="2">
        <v>46026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s="1">
        <v>17552.66</v>
      </c>
      <c r="BQ97" s="1">
        <v>17552.66</v>
      </c>
      <c r="BR97">
        <v>0</v>
      </c>
      <c r="BS97">
        <v>0</v>
      </c>
      <c r="BT97">
        <v>0</v>
      </c>
      <c r="BU97">
        <v>0</v>
      </c>
      <c r="BV97" s="1">
        <v>15373.13</v>
      </c>
      <c r="BW97" s="1">
        <v>15373.13</v>
      </c>
      <c r="BX97">
        <v>0</v>
      </c>
      <c r="BY97">
        <v>0</v>
      </c>
      <c r="BZ97">
        <v>0</v>
      </c>
      <c r="CA97">
        <v>0</v>
      </c>
      <c r="CB97" s="1">
        <v>16748.57</v>
      </c>
      <c r="CC97" t="s">
        <v>143</v>
      </c>
    </row>
    <row r="98" spans="1:81" x14ac:dyDescent="0.25">
      <c r="A98">
        <v>345</v>
      </c>
      <c r="B98">
        <v>2</v>
      </c>
      <c r="C98">
        <v>237</v>
      </c>
      <c r="D98" t="s">
        <v>683</v>
      </c>
      <c r="E98" t="s">
        <v>121</v>
      </c>
      <c r="F98" t="s">
        <v>684</v>
      </c>
      <c r="G98" t="s">
        <v>685</v>
      </c>
      <c r="H98" t="s">
        <v>686</v>
      </c>
      <c r="I98" t="s">
        <v>687</v>
      </c>
      <c r="J98" t="s">
        <v>688</v>
      </c>
      <c r="K98" t="s">
        <v>336</v>
      </c>
      <c r="L98" t="s">
        <v>128</v>
      </c>
      <c r="M98" t="s">
        <v>337</v>
      </c>
      <c r="N98" t="s">
        <v>689</v>
      </c>
      <c r="O98" t="s">
        <v>131</v>
      </c>
      <c r="P98">
        <v>0</v>
      </c>
      <c r="Q98" t="s">
        <v>125</v>
      </c>
      <c r="R98">
        <v>6</v>
      </c>
      <c r="S98">
        <v>40</v>
      </c>
      <c r="T98" t="s">
        <v>132</v>
      </c>
      <c r="U98" t="s">
        <v>133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134</v>
      </c>
      <c r="AE98" t="s">
        <v>134</v>
      </c>
      <c r="AF98" s="2">
        <v>45518</v>
      </c>
      <c r="AG98" s="2">
        <v>46019</v>
      </c>
      <c r="AH98">
        <v>506.81</v>
      </c>
      <c r="AI98" s="1">
        <v>1564.62</v>
      </c>
      <c r="AJ98" s="1">
        <v>6081.78</v>
      </c>
      <c r="AK98">
        <v>0</v>
      </c>
      <c r="AL98">
        <v>0</v>
      </c>
      <c r="AM98">
        <v>0</v>
      </c>
      <c r="AN98" t="s">
        <v>135</v>
      </c>
      <c r="AO98" t="s">
        <v>135</v>
      </c>
      <c r="AP98" t="s">
        <v>136</v>
      </c>
      <c r="AQ98" t="s">
        <v>137</v>
      </c>
      <c r="AR98" t="s">
        <v>138</v>
      </c>
      <c r="AS98" t="s">
        <v>139</v>
      </c>
      <c r="AT98" t="s">
        <v>140</v>
      </c>
      <c r="AU98">
        <v>102</v>
      </c>
      <c r="AV98">
        <v>10</v>
      </c>
      <c r="AW98">
        <v>1</v>
      </c>
      <c r="AX98" s="2">
        <v>45849</v>
      </c>
      <c r="AY98" t="s">
        <v>151</v>
      </c>
      <c r="AZ98" s="2">
        <v>46024</v>
      </c>
      <c r="BA98">
        <v>0</v>
      </c>
      <c r="BB98">
        <v>0</v>
      </c>
      <c r="BC98">
        <v>0</v>
      </c>
      <c r="BD98">
        <v>700</v>
      </c>
      <c r="BE98">
        <v>70</v>
      </c>
      <c r="BF98">
        <v>9</v>
      </c>
      <c r="BG98" s="2">
        <v>45536</v>
      </c>
      <c r="BH98" t="s">
        <v>142</v>
      </c>
      <c r="BI98" s="2">
        <v>46026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s="1">
        <v>2459.42</v>
      </c>
      <c r="BQ98" s="1">
        <v>2459.42</v>
      </c>
      <c r="BR98">
        <v>0</v>
      </c>
      <c r="BS98">
        <v>0</v>
      </c>
      <c r="BT98">
        <v>0</v>
      </c>
      <c r="BU98">
        <v>0</v>
      </c>
      <c r="BV98" s="1">
        <v>3008.49</v>
      </c>
      <c r="BW98" s="1">
        <v>3008.49</v>
      </c>
      <c r="BX98">
        <v>0</v>
      </c>
      <c r="BY98">
        <v>0</v>
      </c>
      <c r="BZ98">
        <v>0</v>
      </c>
      <c r="CA98">
        <v>0</v>
      </c>
      <c r="CB98" s="1">
        <v>1724.72</v>
      </c>
      <c r="CC98" t="s">
        <v>143</v>
      </c>
    </row>
    <row r="99" spans="1:81" x14ac:dyDescent="0.25">
      <c r="A99">
        <v>345</v>
      </c>
      <c r="B99">
        <v>2</v>
      </c>
      <c r="C99">
        <v>238</v>
      </c>
      <c r="D99" t="s">
        <v>690</v>
      </c>
      <c r="E99" t="s">
        <v>121</v>
      </c>
      <c r="F99" t="s">
        <v>691</v>
      </c>
      <c r="G99" t="s">
        <v>692</v>
      </c>
      <c r="H99" t="s">
        <v>693</v>
      </c>
      <c r="I99" t="s">
        <v>694</v>
      </c>
      <c r="J99" t="s">
        <v>695</v>
      </c>
      <c r="K99" t="s">
        <v>336</v>
      </c>
      <c r="L99" t="s">
        <v>128</v>
      </c>
      <c r="M99" t="s">
        <v>337</v>
      </c>
      <c r="N99" t="s">
        <v>696</v>
      </c>
      <c r="O99" t="s">
        <v>131</v>
      </c>
      <c r="P99">
        <v>0</v>
      </c>
      <c r="Q99" t="s">
        <v>125</v>
      </c>
      <c r="R99">
        <v>6</v>
      </c>
      <c r="S99">
        <v>41</v>
      </c>
      <c r="T99" t="s">
        <v>132</v>
      </c>
      <c r="U99" t="s">
        <v>133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134</v>
      </c>
      <c r="AE99" t="s">
        <v>134</v>
      </c>
      <c r="AF99" s="2">
        <v>45518</v>
      </c>
      <c r="AG99" s="2">
        <v>46020</v>
      </c>
      <c r="AH99" s="1">
        <v>1198.71</v>
      </c>
      <c r="AI99" s="1">
        <v>2039.87</v>
      </c>
      <c r="AJ99" s="1">
        <v>9589.68</v>
      </c>
      <c r="AK99">
        <v>0</v>
      </c>
      <c r="AL99">
        <v>0</v>
      </c>
      <c r="AM99">
        <v>0</v>
      </c>
      <c r="AN99" t="s">
        <v>135</v>
      </c>
      <c r="AO99" t="s">
        <v>135</v>
      </c>
      <c r="AP99" t="s">
        <v>136</v>
      </c>
      <c r="AQ99" t="s">
        <v>137</v>
      </c>
      <c r="AR99" t="s">
        <v>138</v>
      </c>
      <c r="AS99" t="s">
        <v>139</v>
      </c>
      <c r="AT99" t="s">
        <v>140</v>
      </c>
      <c r="AU99">
        <v>101</v>
      </c>
      <c r="AV99">
        <v>10</v>
      </c>
      <c r="AW99">
        <v>1</v>
      </c>
      <c r="AX99" s="2">
        <v>45842</v>
      </c>
      <c r="AY99" t="s">
        <v>151</v>
      </c>
      <c r="AZ99" s="2">
        <v>46024</v>
      </c>
      <c r="BA99">
        <v>0</v>
      </c>
      <c r="BB99">
        <v>0</v>
      </c>
      <c r="BC99">
        <v>0</v>
      </c>
      <c r="BD99">
        <v>700</v>
      </c>
      <c r="BE99">
        <v>70</v>
      </c>
      <c r="BF99">
        <v>9</v>
      </c>
      <c r="BG99" s="2">
        <v>45536</v>
      </c>
      <c r="BH99" t="s">
        <v>142</v>
      </c>
      <c r="BI99" s="2">
        <v>46026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s="1">
        <v>4869.3999999999996</v>
      </c>
      <c r="BQ99" s="1">
        <v>4869.3999999999996</v>
      </c>
      <c r="BR99">
        <v>0</v>
      </c>
      <c r="BS99">
        <v>0</v>
      </c>
      <c r="BT99">
        <v>0</v>
      </c>
      <c r="BU99">
        <v>0</v>
      </c>
      <c r="BV99" s="1">
        <v>2758.82</v>
      </c>
      <c r="BW99" s="1">
        <v>2758.82</v>
      </c>
      <c r="BX99">
        <v>0</v>
      </c>
      <c r="BY99">
        <v>0</v>
      </c>
      <c r="BZ99">
        <v>0</v>
      </c>
      <c r="CA99">
        <v>0</v>
      </c>
      <c r="CB99" s="1">
        <v>3705.71</v>
      </c>
      <c r="CC99" t="s">
        <v>339</v>
      </c>
    </row>
    <row r="100" spans="1:81" x14ac:dyDescent="0.25">
      <c r="A100">
        <v>345</v>
      </c>
      <c r="B100">
        <v>2</v>
      </c>
      <c r="C100">
        <v>239</v>
      </c>
      <c r="D100" t="s">
        <v>697</v>
      </c>
      <c r="E100" t="s">
        <v>121</v>
      </c>
      <c r="F100" t="s">
        <v>698</v>
      </c>
      <c r="G100" t="s">
        <v>699</v>
      </c>
      <c r="H100" t="s">
        <v>700</v>
      </c>
      <c r="I100" t="s">
        <v>125</v>
      </c>
      <c r="J100" t="s">
        <v>606</v>
      </c>
      <c r="K100" t="s">
        <v>336</v>
      </c>
      <c r="L100" t="s">
        <v>128</v>
      </c>
      <c r="M100" t="s">
        <v>337</v>
      </c>
      <c r="N100" t="s">
        <v>701</v>
      </c>
      <c r="O100" t="s">
        <v>167</v>
      </c>
      <c r="P100">
        <v>0</v>
      </c>
      <c r="Q100" t="s">
        <v>125</v>
      </c>
      <c r="R100">
        <v>6</v>
      </c>
      <c r="S100">
        <v>40</v>
      </c>
      <c r="T100" t="s">
        <v>132</v>
      </c>
      <c r="U100" t="s">
        <v>133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134</v>
      </c>
      <c r="AE100" t="s">
        <v>134</v>
      </c>
      <c r="AF100" s="2">
        <v>45518</v>
      </c>
      <c r="AG100" s="2">
        <v>46009</v>
      </c>
      <c r="AH100">
        <v>526.22</v>
      </c>
      <c r="AI100" s="1">
        <v>1013.83</v>
      </c>
      <c r="AJ100" s="1">
        <v>4736</v>
      </c>
      <c r="AK100">
        <v>0</v>
      </c>
      <c r="AL100">
        <v>0</v>
      </c>
      <c r="AM100">
        <v>0</v>
      </c>
      <c r="AN100" t="s">
        <v>135</v>
      </c>
      <c r="AO100" t="s">
        <v>135</v>
      </c>
      <c r="AP100" t="s">
        <v>136</v>
      </c>
      <c r="AQ100" t="s">
        <v>137</v>
      </c>
      <c r="AR100" t="s">
        <v>138</v>
      </c>
      <c r="AS100" t="s">
        <v>150</v>
      </c>
      <c r="AT100" t="s">
        <v>140</v>
      </c>
      <c r="AU100">
        <v>101</v>
      </c>
      <c r="AV100">
        <v>10</v>
      </c>
      <c r="AW100">
        <v>1</v>
      </c>
      <c r="AX100" s="2">
        <v>45812</v>
      </c>
      <c r="AY100" t="s">
        <v>168</v>
      </c>
      <c r="AZ100" s="2">
        <v>46022</v>
      </c>
      <c r="BA100">
        <v>0</v>
      </c>
      <c r="BB100">
        <v>0</v>
      </c>
      <c r="BC100">
        <v>0</v>
      </c>
      <c r="BD100">
        <v>700</v>
      </c>
      <c r="BE100">
        <v>70</v>
      </c>
      <c r="BF100">
        <v>9</v>
      </c>
      <c r="BG100" s="2">
        <v>45536</v>
      </c>
      <c r="BH100" t="s">
        <v>142</v>
      </c>
      <c r="BI100" s="2">
        <v>46026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s="1">
        <v>1889.33</v>
      </c>
      <c r="BQ100" s="1">
        <v>1889.33</v>
      </c>
      <c r="BR100">
        <v>0</v>
      </c>
      <c r="BS100">
        <v>0</v>
      </c>
      <c r="BT100">
        <v>0</v>
      </c>
      <c r="BU100">
        <v>0</v>
      </c>
      <c r="BV100" s="1">
        <v>1079.67</v>
      </c>
      <c r="BW100" s="1">
        <v>1079.67</v>
      </c>
      <c r="BX100">
        <v>0</v>
      </c>
      <c r="BY100">
        <v>0</v>
      </c>
      <c r="BZ100">
        <v>0</v>
      </c>
      <c r="CA100">
        <v>0</v>
      </c>
      <c r="CB100" s="1">
        <v>1699.18</v>
      </c>
      <c r="CC100" t="s">
        <v>161</v>
      </c>
    </row>
    <row r="101" spans="1:81" x14ac:dyDescent="0.25">
      <c r="A101">
        <v>345</v>
      </c>
      <c r="B101">
        <v>2</v>
      </c>
      <c r="C101">
        <v>242</v>
      </c>
      <c r="D101" t="s">
        <v>702</v>
      </c>
      <c r="E101" t="s">
        <v>121</v>
      </c>
      <c r="F101" t="s">
        <v>703</v>
      </c>
      <c r="G101" t="s">
        <v>704</v>
      </c>
      <c r="H101" t="s">
        <v>705</v>
      </c>
      <c r="I101" t="s">
        <v>706</v>
      </c>
      <c r="J101" t="s">
        <v>695</v>
      </c>
      <c r="K101" t="s">
        <v>336</v>
      </c>
      <c r="L101" t="s">
        <v>128</v>
      </c>
      <c r="M101" t="s">
        <v>337</v>
      </c>
      <c r="N101" t="s">
        <v>707</v>
      </c>
      <c r="O101" t="s">
        <v>131</v>
      </c>
      <c r="P101">
        <v>0</v>
      </c>
      <c r="Q101" t="s">
        <v>125</v>
      </c>
      <c r="R101">
        <v>6</v>
      </c>
      <c r="S101">
        <v>41</v>
      </c>
      <c r="T101" t="s">
        <v>132</v>
      </c>
      <c r="U101" t="s">
        <v>133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134</v>
      </c>
      <c r="AE101" t="s">
        <v>134</v>
      </c>
      <c r="AF101" s="2">
        <v>45518</v>
      </c>
      <c r="AG101" s="2">
        <v>46020</v>
      </c>
      <c r="AH101" s="1">
        <v>1393.96</v>
      </c>
      <c r="AI101" s="1">
        <v>3452.4</v>
      </c>
      <c r="AJ101" s="1">
        <v>15333.57</v>
      </c>
      <c r="AK101">
        <v>0</v>
      </c>
      <c r="AL101">
        <v>0</v>
      </c>
      <c r="AM101">
        <v>0</v>
      </c>
      <c r="AN101" t="s">
        <v>135</v>
      </c>
      <c r="AO101" t="s">
        <v>135</v>
      </c>
      <c r="AP101" t="s">
        <v>136</v>
      </c>
      <c r="AQ101" t="s">
        <v>137</v>
      </c>
      <c r="AR101" t="s">
        <v>138</v>
      </c>
      <c r="AS101" t="s">
        <v>139</v>
      </c>
      <c r="AT101" t="s">
        <v>140</v>
      </c>
      <c r="AU101">
        <v>101</v>
      </c>
      <c r="AV101">
        <v>10</v>
      </c>
      <c r="AW101">
        <v>1</v>
      </c>
      <c r="AX101" s="2">
        <v>45534</v>
      </c>
      <c r="AY101" t="s">
        <v>151</v>
      </c>
      <c r="AZ101" s="2">
        <v>46024</v>
      </c>
      <c r="BA101">
        <v>0</v>
      </c>
      <c r="BB101">
        <v>0</v>
      </c>
      <c r="BC101">
        <v>0</v>
      </c>
      <c r="BD101">
        <v>700</v>
      </c>
      <c r="BE101">
        <v>70</v>
      </c>
      <c r="BF101">
        <v>9</v>
      </c>
      <c r="BG101" s="2">
        <v>45536</v>
      </c>
      <c r="BH101" t="s">
        <v>142</v>
      </c>
      <c r="BI101" s="2">
        <v>46026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s="1">
        <v>7357.67</v>
      </c>
      <c r="BQ101" s="1">
        <v>7357.67</v>
      </c>
      <c r="BR101">
        <v>0</v>
      </c>
      <c r="BS101">
        <v>0</v>
      </c>
      <c r="BT101">
        <v>0</v>
      </c>
      <c r="BU101">
        <v>0</v>
      </c>
      <c r="BV101" s="1">
        <v>4502.49</v>
      </c>
      <c r="BW101" s="1">
        <v>4502.49</v>
      </c>
      <c r="BX101">
        <v>0</v>
      </c>
      <c r="BY101">
        <v>0</v>
      </c>
      <c r="BZ101">
        <v>0</v>
      </c>
      <c r="CA101">
        <v>0</v>
      </c>
      <c r="CB101" s="1">
        <v>3862.54</v>
      </c>
      <c r="CC101" t="s">
        <v>143</v>
      </c>
    </row>
    <row r="102" spans="1:81" x14ac:dyDescent="0.25">
      <c r="A102">
        <v>345</v>
      </c>
      <c r="B102">
        <v>2</v>
      </c>
      <c r="C102">
        <v>243</v>
      </c>
      <c r="D102" t="s">
        <v>708</v>
      </c>
      <c r="E102" t="s">
        <v>121</v>
      </c>
      <c r="F102" t="s">
        <v>709</v>
      </c>
      <c r="G102" t="s">
        <v>710</v>
      </c>
      <c r="H102" t="s">
        <v>711</v>
      </c>
      <c r="I102" t="s">
        <v>125</v>
      </c>
      <c r="J102" t="s">
        <v>712</v>
      </c>
      <c r="K102" t="s">
        <v>466</v>
      </c>
      <c r="L102" t="s">
        <v>128</v>
      </c>
      <c r="M102" t="s">
        <v>467</v>
      </c>
      <c r="N102" t="s">
        <v>713</v>
      </c>
      <c r="O102" t="s">
        <v>131</v>
      </c>
      <c r="P102">
        <v>0</v>
      </c>
      <c r="Q102" t="s">
        <v>125</v>
      </c>
      <c r="R102">
        <v>6</v>
      </c>
      <c r="S102">
        <v>40</v>
      </c>
      <c r="T102" t="s">
        <v>132</v>
      </c>
      <c r="U102" t="s">
        <v>133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134</v>
      </c>
      <c r="AE102" t="s">
        <v>134</v>
      </c>
      <c r="AF102" s="2">
        <v>45518</v>
      </c>
      <c r="AG102" s="2">
        <v>46020</v>
      </c>
      <c r="AH102" s="1">
        <v>1168.03</v>
      </c>
      <c r="AI102" s="1">
        <v>2742</v>
      </c>
      <c r="AJ102" s="1">
        <v>11680.33</v>
      </c>
      <c r="AK102">
        <v>0</v>
      </c>
      <c r="AL102">
        <v>0</v>
      </c>
      <c r="AM102">
        <v>0</v>
      </c>
      <c r="AN102" t="s">
        <v>135</v>
      </c>
      <c r="AO102" t="s">
        <v>135</v>
      </c>
      <c r="AP102" t="s">
        <v>136</v>
      </c>
      <c r="AQ102" t="s">
        <v>137</v>
      </c>
      <c r="AR102" t="s">
        <v>138</v>
      </c>
      <c r="AS102" t="s">
        <v>139</v>
      </c>
      <c r="AT102" t="s">
        <v>140</v>
      </c>
      <c r="AU102">
        <v>100</v>
      </c>
      <c r="AV102">
        <v>10</v>
      </c>
      <c r="AW102">
        <v>1</v>
      </c>
      <c r="AX102" s="2">
        <v>45842</v>
      </c>
      <c r="AY102" t="s">
        <v>151</v>
      </c>
      <c r="AZ102" s="2">
        <v>46024</v>
      </c>
      <c r="BA102">
        <v>0</v>
      </c>
      <c r="BB102">
        <v>0</v>
      </c>
      <c r="BC102">
        <v>0</v>
      </c>
      <c r="BD102">
        <v>700</v>
      </c>
      <c r="BE102">
        <v>70</v>
      </c>
      <c r="BF102">
        <v>9</v>
      </c>
      <c r="BG102" s="2">
        <v>45536</v>
      </c>
      <c r="BH102" t="s">
        <v>142</v>
      </c>
      <c r="BI102" s="2">
        <v>46026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s="1">
        <v>6705.64</v>
      </c>
      <c r="BQ102" s="1">
        <v>6705.64</v>
      </c>
      <c r="BR102">
        <v>0</v>
      </c>
      <c r="BS102">
        <v>0</v>
      </c>
      <c r="BT102">
        <v>0</v>
      </c>
      <c r="BU102">
        <v>0</v>
      </c>
      <c r="BV102" s="1">
        <v>4111.1899999999996</v>
      </c>
      <c r="BW102" s="1">
        <v>4111.1899999999996</v>
      </c>
      <c r="BX102">
        <v>0</v>
      </c>
      <c r="BY102">
        <v>0</v>
      </c>
      <c r="BZ102">
        <v>0</v>
      </c>
      <c r="CA102">
        <v>0</v>
      </c>
      <c r="CB102" s="1">
        <v>2771.34</v>
      </c>
      <c r="CC102" t="s">
        <v>143</v>
      </c>
    </row>
    <row r="103" spans="1:81" x14ac:dyDescent="0.25">
      <c r="A103">
        <v>345</v>
      </c>
      <c r="B103">
        <v>2</v>
      </c>
      <c r="C103">
        <v>245</v>
      </c>
      <c r="D103" t="s">
        <v>714</v>
      </c>
      <c r="E103" t="s">
        <v>121</v>
      </c>
      <c r="F103" t="s">
        <v>715</v>
      </c>
      <c r="G103" t="s">
        <v>716</v>
      </c>
      <c r="H103" t="s">
        <v>717</v>
      </c>
      <c r="I103" t="s">
        <v>125</v>
      </c>
      <c r="J103" t="s">
        <v>589</v>
      </c>
      <c r="K103" t="s">
        <v>336</v>
      </c>
      <c r="L103" t="s">
        <v>128</v>
      </c>
      <c r="M103" t="s">
        <v>337</v>
      </c>
      <c r="N103" t="s">
        <v>718</v>
      </c>
      <c r="O103" t="s">
        <v>131</v>
      </c>
      <c r="P103">
        <v>0</v>
      </c>
      <c r="Q103" t="s">
        <v>125</v>
      </c>
      <c r="R103">
        <v>6</v>
      </c>
      <c r="S103">
        <v>39</v>
      </c>
      <c r="T103" t="s">
        <v>132</v>
      </c>
      <c r="U103" t="s">
        <v>133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134</v>
      </c>
      <c r="AE103" t="s">
        <v>134</v>
      </c>
      <c r="AF103" s="2">
        <v>45518</v>
      </c>
      <c r="AG103" s="2">
        <v>46020</v>
      </c>
      <c r="AH103">
        <v>578.37</v>
      </c>
      <c r="AI103" s="1">
        <v>1034.7</v>
      </c>
      <c r="AJ103" s="1">
        <v>2891.86</v>
      </c>
      <c r="AK103">
        <v>0</v>
      </c>
      <c r="AL103">
        <v>0</v>
      </c>
      <c r="AM103">
        <v>0</v>
      </c>
      <c r="AN103" t="s">
        <v>135</v>
      </c>
      <c r="AO103" t="s">
        <v>135</v>
      </c>
      <c r="AP103" t="s">
        <v>136</v>
      </c>
      <c r="AQ103" t="s">
        <v>137</v>
      </c>
      <c r="AR103" t="s">
        <v>138</v>
      </c>
      <c r="AS103" t="s">
        <v>139</v>
      </c>
      <c r="AT103" t="s">
        <v>140</v>
      </c>
      <c r="AU103">
        <v>101</v>
      </c>
      <c r="AV103">
        <v>10</v>
      </c>
      <c r="AW103">
        <v>1</v>
      </c>
      <c r="AX103" s="2">
        <v>45535</v>
      </c>
      <c r="AY103" t="s">
        <v>160</v>
      </c>
      <c r="AZ103" s="2">
        <v>46025</v>
      </c>
      <c r="BA103">
        <v>0</v>
      </c>
      <c r="BB103">
        <v>0</v>
      </c>
      <c r="BC103">
        <v>0</v>
      </c>
      <c r="BD103">
        <v>700</v>
      </c>
      <c r="BE103">
        <v>70</v>
      </c>
      <c r="BF103">
        <v>9</v>
      </c>
      <c r="BG103" s="2">
        <v>45536</v>
      </c>
      <c r="BH103" t="s">
        <v>142</v>
      </c>
      <c r="BI103" s="2">
        <v>46026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s="1">
        <v>1125.52</v>
      </c>
      <c r="BQ103" s="1">
        <v>1125.52</v>
      </c>
      <c r="BR103">
        <v>0</v>
      </c>
      <c r="BS103">
        <v>0</v>
      </c>
      <c r="BT103">
        <v>0</v>
      </c>
      <c r="BU103">
        <v>0</v>
      </c>
      <c r="BV103">
        <v>731.64</v>
      </c>
      <c r="BW103">
        <v>731.64</v>
      </c>
      <c r="BX103">
        <v>0</v>
      </c>
      <c r="BY103">
        <v>0</v>
      </c>
      <c r="BZ103">
        <v>0</v>
      </c>
      <c r="CA103">
        <v>0</v>
      </c>
      <c r="CB103">
        <v>839.18</v>
      </c>
      <c r="CC103" t="s">
        <v>143</v>
      </c>
    </row>
    <row r="104" spans="1:81" x14ac:dyDescent="0.25">
      <c r="A104">
        <v>345</v>
      </c>
      <c r="B104">
        <v>2</v>
      </c>
      <c r="C104">
        <v>246</v>
      </c>
      <c r="D104" t="s">
        <v>719</v>
      </c>
      <c r="E104" t="s">
        <v>121</v>
      </c>
      <c r="F104" t="s">
        <v>720</v>
      </c>
      <c r="G104" t="s">
        <v>721</v>
      </c>
      <c r="H104" t="s">
        <v>722</v>
      </c>
      <c r="I104" t="s">
        <v>125</v>
      </c>
      <c r="J104" t="s">
        <v>723</v>
      </c>
      <c r="K104" t="s">
        <v>336</v>
      </c>
      <c r="L104" t="s">
        <v>128</v>
      </c>
      <c r="M104" t="s">
        <v>337</v>
      </c>
      <c r="N104" t="s">
        <v>724</v>
      </c>
      <c r="O104" t="s">
        <v>131</v>
      </c>
      <c r="P104">
        <v>0</v>
      </c>
      <c r="Q104" t="s">
        <v>125</v>
      </c>
      <c r="R104">
        <v>6</v>
      </c>
      <c r="S104">
        <v>44</v>
      </c>
      <c r="T104" t="s">
        <v>132</v>
      </c>
      <c r="U104" t="s">
        <v>133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134</v>
      </c>
      <c r="AE104" t="s">
        <v>134</v>
      </c>
      <c r="AF104" s="2">
        <v>45518</v>
      </c>
      <c r="AG104" s="2">
        <v>46010</v>
      </c>
      <c r="AH104">
        <v>372.17</v>
      </c>
      <c r="AI104">
        <v>514.44000000000005</v>
      </c>
      <c r="AJ104" s="1">
        <v>2605.1999999999998</v>
      </c>
      <c r="AK104">
        <v>0</v>
      </c>
      <c r="AL104">
        <v>0</v>
      </c>
      <c r="AM104">
        <v>0</v>
      </c>
      <c r="AN104" t="s">
        <v>135</v>
      </c>
      <c r="AO104" t="s">
        <v>135</v>
      </c>
      <c r="AP104" t="s">
        <v>136</v>
      </c>
      <c r="AQ104" t="s">
        <v>137</v>
      </c>
      <c r="AR104" t="s">
        <v>138</v>
      </c>
      <c r="AS104" t="s">
        <v>150</v>
      </c>
      <c r="AT104" t="s">
        <v>140</v>
      </c>
      <c r="AU104">
        <v>101</v>
      </c>
      <c r="AV104">
        <v>10</v>
      </c>
      <c r="AW104">
        <v>1</v>
      </c>
      <c r="AX104" s="2">
        <v>45967</v>
      </c>
      <c r="AY104" t="s">
        <v>308</v>
      </c>
      <c r="AZ104" s="2">
        <v>46023</v>
      </c>
      <c r="BA104">
        <v>0</v>
      </c>
      <c r="BB104">
        <v>0</v>
      </c>
      <c r="BC104">
        <v>0</v>
      </c>
      <c r="BD104">
        <v>700</v>
      </c>
      <c r="BE104">
        <v>70</v>
      </c>
      <c r="BF104">
        <v>9</v>
      </c>
      <c r="BG104" s="2">
        <v>45536</v>
      </c>
      <c r="BH104" t="s">
        <v>142</v>
      </c>
      <c r="BI104" s="2">
        <v>46026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834.84</v>
      </c>
      <c r="BQ104">
        <v>834.84</v>
      </c>
      <c r="BR104">
        <v>0</v>
      </c>
      <c r="BS104">
        <v>0</v>
      </c>
      <c r="BT104">
        <v>0</v>
      </c>
      <c r="BU104">
        <v>0</v>
      </c>
      <c r="BV104">
        <v>964.06</v>
      </c>
      <c r="BW104">
        <v>964.06</v>
      </c>
      <c r="BX104">
        <v>0</v>
      </c>
      <c r="BY104">
        <v>0</v>
      </c>
      <c r="BZ104">
        <v>0</v>
      </c>
      <c r="CA104">
        <v>0</v>
      </c>
      <c r="CB104">
        <v>752.72</v>
      </c>
      <c r="CC104" t="s">
        <v>143</v>
      </c>
    </row>
    <row r="105" spans="1:81" x14ac:dyDescent="0.25">
      <c r="A105">
        <v>345</v>
      </c>
      <c r="B105">
        <v>2</v>
      </c>
      <c r="C105">
        <v>247</v>
      </c>
      <c r="D105" t="s">
        <v>725</v>
      </c>
      <c r="E105" t="s">
        <v>121</v>
      </c>
      <c r="F105" t="s">
        <v>726</v>
      </c>
      <c r="G105" t="s">
        <v>727</v>
      </c>
      <c r="H105" t="s">
        <v>728</v>
      </c>
      <c r="I105" t="s">
        <v>125</v>
      </c>
      <c r="J105" t="s">
        <v>729</v>
      </c>
      <c r="K105" t="s">
        <v>473</v>
      </c>
      <c r="L105" t="s">
        <v>128</v>
      </c>
      <c r="M105" t="s">
        <v>474</v>
      </c>
      <c r="N105" t="s">
        <v>730</v>
      </c>
      <c r="O105" t="s">
        <v>167</v>
      </c>
      <c r="P105">
        <v>0</v>
      </c>
      <c r="Q105" t="s">
        <v>125</v>
      </c>
      <c r="R105">
        <v>6</v>
      </c>
      <c r="S105">
        <v>36</v>
      </c>
      <c r="T105" t="s">
        <v>132</v>
      </c>
      <c r="U105" t="s">
        <v>133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134</v>
      </c>
      <c r="AE105" t="s">
        <v>134</v>
      </c>
      <c r="AF105" s="2">
        <v>45518</v>
      </c>
      <c r="AG105" s="2">
        <v>46014</v>
      </c>
      <c r="AH105">
        <v>356.28</v>
      </c>
      <c r="AI105">
        <v>634.66</v>
      </c>
      <c r="AJ105" s="1">
        <v>2493.96</v>
      </c>
      <c r="AK105">
        <v>0</v>
      </c>
      <c r="AL105">
        <v>0</v>
      </c>
      <c r="AM105">
        <v>0</v>
      </c>
      <c r="AN105" t="s">
        <v>135</v>
      </c>
      <c r="AO105" t="s">
        <v>135</v>
      </c>
      <c r="AP105" t="s">
        <v>136</v>
      </c>
      <c r="AQ105" t="s">
        <v>137</v>
      </c>
      <c r="AR105" t="s">
        <v>138</v>
      </c>
      <c r="AS105" t="s">
        <v>139</v>
      </c>
      <c r="AT105" t="s">
        <v>140</v>
      </c>
      <c r="AU105">
        <v>105</v>
      </c>
      <c r="AV105">
        <v>10</v>
      </c>
      <c r="AW105">
        <v>1</v>
      </c>
      <c r="AX105" s="2">
        <v>45831</v>
      </c>
      <c r="AY105" t="s">
        <v>141</v>
      </c>
      <c r="AZ105" s="2">
        <v>46027</v>
      </c>
      <c r="BA105">
        <v>0</v>
      </c>
      <c r="BB105">
        <v>0</v>
      </c>
      <c r="BC105">
        <v>0</v>
      </c>
      <c r="BD105">
        <v>700</v>
      </c>
      <c r="BE105">
        <v>70</v>
      </c>
      <c r="BF105">
        <v>9</v>
      </c>
      <c r="BG105" s="2">
        <v>45536</v>
      </c>
      <c r="BH105" t="s">
        <v>142</v>
      </c>
      <c r="BI105" s="2">
        <v>46026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251.6</v>
      </c>
      <c r="BQ105">
        <v>251.6</v>
      </c>
      <c r="BR105">
        <v>0</v>
      </c>
      <c r="BS105">
        <v>0</v>
      </c>
      <c r="BT105">
        <v>0</v>
      </c>
      <c r="BU105">
        <v>0</v>
      </c>
      <c r="BV105">
        <v>957.88</v>
      </c>
      <c r="BW105">
        <v>957.88</v>
      </c>
      <c r="BX105">
        <v>0</v>
      </c>
      <c r="BY105">
        <v>0</v>
      </c>
      <c r="BZ105">
        <v>0</v>
      </c>
      <c r="CA105">
        <v>0</v>
      </c>
      <c r="CB105">
        <v>773.45</v>
      </c>
      <c r="CC105" t="s">
        <v>161</v>
      </c>
    </row>
    <row r="106" spans="1:81" x14ac:dyDescent="0.25">
      <c r="A106">
        <v>345</v>
      </c>
      <c r="B106">
        <v>2</v>
      </c>
      <c r="C106">
        <v>248</v>
      </c>
      <c r="D106" t="s">
        <v>731</v>
      </c>
      <c r="E106" t="s">
        <v>121</v>
      </c>
      <c r="F106" t="s">
        <v>732</v>
      </c>
      <c r="G106" t="s">
        <v>733</v>
      </c>
      <c r="H106" t="s">
        <v>734</v>
      </c>
      <c r="I106" t="s">
        <v>125</v>
      </c>
      <c r="J106" t="s">
        <v>735</v>
      </c>
      <c r="K106" t="s">
        <v>336</v>
      </c>
      <c r="L106" t="s">
        <v>128</v>
      </c>
      <c r="M106" t="s">
        <v>337</v>
      </c>
      <c r="N106" t="s">
        <v>736</v>
      </c>
      <c r="O106" t="s">
        <v>167</v>
      </c>
      <c r="P106">
        <v>0</v>
      </c>
      <c r="Q106" t="s">
        <v>125</v>
      </c>
      <c r="R106">
        <v>6</v>
      </c>
      <c r="S106">
        <v>35</v>
      </c>
      <c r="T106" t="s">
        <v>132</v>
      </c>
      <c r="U106" t="s">
        <v>133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134</v>
      </c>
      <c r="AE106" t="s">
        <v>134</v>
      </c>
      <c r="AF106" s="2">
        <v>45518</v>
      </c>
      <c r="AG106" s="2">
        <v>46006</v>
      </c>
      <c r="AH106">
        <v>187.33</v>
      </c>
      <c r="AI106">
        <v>240.86</v>
      </c>
      <c r="AJ106">
        <v>936.66</v>
      </c>
      <c r="AK106">
        <v>0</v>
      </c>
      <c r="AL106">
        <v>0</v>
      </c>
      <c r="AM106">
        <v>0</v>
      </c>
      <c r="AN106" t="s">
        <v>135</v>
      </c>
      <c r="AO106" t="s">
        <v>135</v>
      </c>
      <c r="AP106" t="s">
        <v>136</v>
      </c>
      <c r="AQ106" t="s">
        <v>137</v>
      </c>
      <c r="AR106" t="s">
        <v>138</v>
      </c>
      <c r="AS106" t="s">
        <v>139</v>
      </c>
      <c r="AT106" t="s">
        <v>140</v>
      </c>
      <c r="AU106">
        <v>104</v>
      </c>
      <c r="AV106">
        <v>10</v>
      </c>
      <c r="AW106">
        <v>1</v>
      </c>
      <c r="AX106" s="2">
        <v>45857</v>
      </c>
      <c r="AY106" t="s">
        <v>160</v>
      </c>
      <c r="AZ106" s="2">
        <v>46025</v>
      </c>
      <c r="BA106">
        <v>0</v>
      </c>
      <c r="BB106">
        <v>0</v>
      </c>
      <c r="BC106">
        <v>0</v>
      </c>
      <c r="BD106">
        <v>700</v>
      </c>
      <c r="BE106">
        <v>70</v>
      </c>
      <c r="BF106">
        <v>9</v>
      </c>
      <c r="BG106" s="2">
        <v>45536</v>
      </c>
      <c r="BH106" t="s">
        <v>142</v>
      </c>
      <c r="BI106" s="2">
        <v>46026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214.02</v>
      </c>
      <c r="BQ106">
        <v>214.02</v>
      </c>
      <c r="BR106">
        <v>0</v>
      </c>
      <c r="BS106">
        <v>0</v>
      </c>
      <c r="BT106">
        <v>0</v>
      </c>
      <c r="BU106">
        <v>0</v>
      </c>
      <c r="BV106">
        <v>277.86</v>
      </c>
      <c r="BW106">
        <v>277.86</v>
      </c>
      <c r="BX106">
        <v>0</v>
      </c>
      <c r="BY106">
        <v>0</v>
      </c>
      <c r="BZ106">
        <v>0</v>
      </c>
      <c r="CA106">
        <v>0</v>
      </c>
      <c r="CB106">
        <v>452.49</v>
      </c>
      <c r="CC106" t="s">
        <v>161</v>
      </c>
    </row>
    <row r="107" spans="1:81" x14ac:dyDescent="0.25">
      <c r="A107">
        <v>345</v>
      </c>
      <c r="B107">
        <v>2</v>
      </c>
      <c r="C107">
        <v>249</v>
      </c>
      <c r="D107" t="s">
        <v>737</v>
      </c>
      <c r="E107" t="s">
        <v>121</v>
      </c>
      <c r="F107" t="s">
        <v>738</v>
      </c>
      <c r="G107" t="s">
        <v>739</v>
      </c>
      <c r="H107" t="s">
        <v>740</v>
      </c>
      <c r="I107" t="s">
        <v>125</v>
      </c>
      <c r="J107" t="s">
        <v>735</v>
      </c>
      <c r="K107" t="s">
        <v>336</v>
      </c>
      <c r="L107" t="s">
        <v>128</v>
      </c>
      <c r="M107" t="s">
        <v>337</v>
      </c>
      <c r="N107" t="s">
        <v>741</v>
      </c>
      <c r="O107" t="s">
        <v>149</v>
      </c>
      <c r="P107">
        <v>0</v>
      </c>
      <c r="Q107" t="s">
        <v>125</v>
      </c>
      <c r="R107">
        <v>6</v>
      </c>
      <c r="S107">
        <v>39</v>
      </c>
      <c r="T107" t="s">
        <v>132</v>
      </c>
      <c r="U107" t="s">
        <v>133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134</v>
      </c>
      <c r="AE107" t="s">
        <v>134</v>
      </c>
      <c r="AF107" s="2">
        <v>45518</v>
      </c>
      <c r="AG107" s="2">
        <v>46020</v>
      </c>
      <c r="AH107">
        <v>412.29</v>
      </c>
      <c r="AI107">
        <v>544.9</v>
      </c>
      <c r="AJ107" s="1">
        <v>1236.8699999999999</v>
      </c>
      <c r="AK107">
        <v>0</v>
      </c>
      <c r="AL107">
        <v>0</v>
      </c>
      <c r="AM107">
        <v>0</v>
      </c>
      <c r="AN107" t="s">
        <v>135</v>
      </c>
      <c r="AO107" t="s">
        <v>135</v>
      </c>
      <c r="AP107" t="s">
        <v>136</v>
      </c>
      <c r="AQ107" t="s">
        <v>137</v>
      </c>
      <c r="AR107" t="s">
        <v>138</v>
      </c>
      <c r="AS107" t="s">
        <v>139</v>
      </c>
      <c r="AT107" t="s">
        <v>140</v>
      </c>
      <c r="AU107">
        <v>104</v>
      </c>
      <c r="AV107">
        <v>10</v>
      </c>
      <c r="AW107">
        <v>1</v>
      </c>
      <c r="AX107" s="2">
        <v>45857</v>
      </c>
      <c r="AY107" t="s">
        <v>160</v>
      </c>
      <c r="AZ107" s="2">
        <v>46025</v>
      </c>
      <c r="BA107">
        <v>0</v>
      </c>
      <c r="BB107">
        <v>0</v>
      </c>
      <c r="BC107">
        <v>0</v>
      </c>
      <c r="BD107">
        <v>700</v>
      </c>
      <c r="BE107">
        <v>70</v>
      </c>
      <c r="BF107">
        <v>9</v>
      </c>
      <c r="BG107" s="2">
        <v>45536</v>
      </c>
      <c r="BH107" t="s">
        <v>142</v>
      </c>
      <c r="BI107" s="2">
        <v>46026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s="1">
        <v>1236.8699999999999</v>
      </c>
      <c r="BW107" s="1">
        <v>1236.8699999999999</v>
      </c>
      <c r="BX107">
        <v>0</v>
      </c>
      <c r="BY107">
        <v>0</v>
      </c>
      <c r="BZ107">
        <v>0</v>
      </c>
      <c r="CA107">
        <v>0</v>
      </c>
      <c r="CB107">
        <v>137.93</v>
      </c>
      <c r="CC107" t="s">
        <v>152</v>
      </c>
    </row>
    <row r="108" spans="1:81" x14ac:dyDescent="0.25">
      <c r="A108">
        <v>345</v>
      </c>
      <c r="B108">
        <v>2</v>
      </c>
      <c r="C108">
        <v>251</v>
      </c>
      <c r="D108" t="s">
        <v>742</v>
      </c>
      <c r="E108" t="s">
        <v>121</v>
      </c>
      <c r="F108" t="s">
        <v>743</v>
      </c>
      <c r="G108" t="s">
        <v>744</v>
      </c>
      <c r="H108" t="s">
        <v>745</v>
      </c>
      <c r="I108" t="s">
        <v>125</v>
      </c>
      <c r="J108" t="s">
        <v>126</v>
      </c>
      <c r="K108" t="s">
        <v>466</v>
      </c>
      <c r="L108" t="s">
        <v>128</v>
      </c>
      <c r="M108" t="s">
        <v>467</v>
      </c>
      <c r="N108" t="s">
        <v>746</v>
      </c>
      <c r="O108" t="s">
        <v>159</v>
      </c>
      <c r="P108">
        <v>0</v>
      </c>
      <c r="Q108" t="s">
        <v>125</v>
      </c>
      <c r="R108">
        <v>6</v>
      </c>
      <c r="S108">
        <v>34</v>
      </c>
      <c r="T108" t="s">
        <v>132</v>
      </c>
      <c r="U108" t="s">
        <v>133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134</v>
      </c>
      <c r="AE108" t="s">
        <v>134</v>
      </c>
      <c r="AF108" s="2">
        <v>45518</v>
      </c>
      <c r="AG108" s="2">
        <v>46020</v>
      </c>
      <c r="AH108">
        <v>490.14</v>
      </c>
      <c r="AI108">
        <v>860.39</v>
      </c>
      <c r="AJ108" s="1">
        <v>5391.61</v>
      </c>
      <c r="AK108">
        <v>0</v>
      </c>
      <c r="AL108">
        <v>0</v>
      </c>
      <c r="AM108">
        <v>0</v>
      </c>
      <c r="AN108" t="s">
        <v>135</v>
      </c>
      <c r="AO108" t="s">
        <v>135</v>
      </c>
      <c r="AP108" t="s">
        <v>136</v>
      </c>
      <c r="AQ108" t="s">
        <v>137</v>
      </c>
      <c r="AR108" t="s">
        <v>138</v>
      </c>
      <c r="AS108" t="s">
        <v>139</v>
      </c>
      <c r="AT108" t="s">
        <v>140</v>
      </c>
      <c r="AU108">
        <v>105</v>
      </c>
      <c r="AV108">
        <v>10</v>
      </c>
      <c r="AW108">
        <v>1</v>
      </c>
      <c r="AX108" s="2">
        <v>45849</v>
      </c>
      <c r="AY108" t="s">
        <v>151</v>
      </c>
      <c r="AZ108" s="2">
        <v>46024</v>
      </c>
      <c r="BA108">
        <v>0</v>
      </c>
      <c r="BB108">
        <v>0</v>
      </c>
      <c r="BC108">
        <v>0</v>
      </c>
      <c r="BD108">
        <v>700</v>
      </c>
      <c r="BE108">
        <v>70</v>
      </c>
      <c r="BF108">
        <v>9</v>
      </c>
      <c r="BG108" s="2">
        <v>45536</v>
      </c>
      <c r="BH108" t="s">
        <v>142</v>
      </c>
      <c r="BI108" s="2">
        <v>46026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s="1">
        <v>1859.83</v>
      </c>
      <c r="BQ108" s="1">
        <v>1859.83</v>
      </c>
      <c r="BR108">
        <v>0</v>
      </c>
      <c r="BS108">
        <v>0</v>
      </c>
      <c r="BT108">
        <v>0</v>
      </c>
      <c r="BU108">
        <v>0</v>
      </c>
      <c r="BV108" s="1">
        <v>1869.74</v>
      </c>
      <c r="BW108" s="1">
        <v>1869.74</v>
      </c>
      <c r="BX108">
        <v>0</v>
      </c>
      <c r="BY108">
        <v>0</v>
      </c>
      <c r="BZ108">
        <v>0</v>
      </c>
      <c r="CA108">
        <v>0</v>
      </c>
      <c r="CB108" s="1">
        <v>1823.58</v>
      </c>
      <c r="CC108" t="s">
        <v>161</v>
      </c>
    </row>
    <row r="109" spans="1:81" x14ac:dyDescent="0.25">
      <c r="A109">
        <v>345</v>
      </c>
      <c r="B109">
        <v>2</v>
      </c>
      <c r="C109">
        <v>252</v>
      </c>
      <c r="D109" t="s">
        <v>747</v>
      </c>
      <c r="E109" t="s">
        <v>121</v>
      </c>
      <c r="F109" t="s">
        <v>748</v>
      </c>
      <c r="G109" t="s">
        <v>749</v>
      </c>
      <c r="H109" t="s">
        <v>705</v>
      </c>
      <c r="I109" t="s">
        <v>125</v>
      </c>
      <c r="J109" t="s">
        <v>695</v>
      </c>
      <c r="K109" t="s">
        <v>336</v>
      </c>
      <c r="L109" t="s">
        <v>128</v>
      </c>
      <c r="M109" t="s">
        <v>337</v>
      </c>
      <c r="N109" t="s">
        <v>750</v>
      </c>
      <c r="O109" t="s">
        <v>131</v>
      </c>
      <c r="P109">
        <v>0</v>
      </c>
      <c r="Q109" t="s">
        <v>125</v>
      </c>
      <c r="R109">
        <v>6</v>
      </c>
      <c r="S109">
        <v>40</v>
      </c>
      <c r="T109" t="s">
        <v>132</v>
      </c>
      <c r="U109" t="s">
        <v>133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134</v>
      </c>
      <c r="AE109" t="s">
        <v>134</v>
      </c>
      <c r="AF109" s="2">
        <v>45518</v>
      </c>
      <c r="AG109" s="2">
        <v>45997</v>
      </c>
      <c r="AH109">
        <v>752.3</v>
      </c>
      <c r="AI109" s="1">
        <v>1401.62</v>
      </c>
      <c r="AJ109" s="1">
        <v>4513.82</v>
      </c>
      <c r="AK109">
        <v>0</v>
      </c>
      <c r="AL109">
        <v>0</v>
      </c>
      <c r="AM109">
        <v>0</v>
      </c>
      <c r="AN109" t="s">
        <v>135</v>
      </c>
      <c r="AO109" t="s">
        <v>135</v>
      </c>
      <c r="AP109" t="s">
        <v>136</v>
      </c>
      <c r="AQ109" t="s">
        <v>137</v>
      </c>
      <c r="AR109" t="s">
        <v>138</v>
      </c>
      <c r="AS109" t="s">
        <v>139</v>
      </c>
      <c r="AT109" t="s">
        <v>140</v>
      </c>
      <c r="AU109">
        <v>101</v>
      </c>
      <c r="AV109">
        <v>10</v>
      </c>
      <c r="AW109">
        <v>1</v>
      </c>
      <c r="AX109" s="2">
        <v>45814</v>
      </c>
      <c r="AY109" t="s">
        <v>151</v>
      </c>
      <c r="AZ109" s="2">
        <v>46024</v>
      </c>
      <c r="BA109">
        <v>0</v>
      </c>
      <c r="BB109">
        <v>0</v>
      </c>
      <c r="BC109">
        <v>0</v>
      </c>
      <c r="BD109">
        <v>700</v>
      </c>
      <c r="BE109">
        <v>70</v>
      </c>
      <c r="BF109">
        <v>9</v>
      </c>
      <c r="BG109" s="2">
        <v>45536</v>
      </c>
      <c r="BH109" t="s">
        <v>142</v>
      </c>
      <c r="BI109" s="2">
        <v>46026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s="1">
        <v>1948.2</v>
      </c>
      <c r="BQ109" s="1">
        <v>1948.2</v>
      </c>
      <c r="BR109">
        <v>0</v>
      </c>
      <c r="BS109">
        <v>0</v>
      </c>
      <c r="BT109">
        <v>0</v>
      </c>
      <c r="BU109">
        <v>0</v>
      </c>
      <c r="BV109">
        <v>591</v>
      </c>
      <c r="BW109">
        <v>591</v>
      </c>
      <c r="BX109">
        <v>0</v>
      </c>
      <c r="BY109">
        <v>0</v>
      </c>
      <c r="BZ109">
        <v>0</v>
      </c>
      <c r="CA109">
        <v>0</v>
      </c>
      <c r="CB109" s="1">
        <v>1878.54</v>
      </c>
      <c r="CC109" t="s">
        <v>143</v>
      </c>
    </row>
    <row r="110" spans="1:81" x14ac:dyDescent="0.25">
      <c r="A110">
        <v>345</v>
      </c>
      <c r="B110">
        <v>2</v>
      </c>
      <c r="C110">
        <v>253</v>
      </c>
      <c r="D110" t="s">
        <v>751</v>
      </c>
      <c r="E110" t="s">
        <v>121</v>
      </c>
      <c r="F110" t="s">
        <v>752</v>
      </c>
      <c r="G110" t="s">
        <v>753</v>
      </c>
      <c r="H110" t="s">
        <v>754</v>
      </c>
      <c r="I110" t="s">
        <v>125</v>
      </c>
      <c r="J110" t="s">
        <v>492</v>
      </c>
      <c r="K110" t="s">
        <v>466</v>
      </c>
      <c r="L110" t="s">
        <v>128</v>
      </c>
      <c r="M110" t="s">
        <v>467</v>
      </c>
      <c r="N110" t="s">
        <v>755</v>
      </c>
      <c r="O110" t="s">
        <v>167</v>
      </c>
      <c r="P110">
        <v>0</v>
      </c>
      <c r="Q110" t="s">
        <v>125</v>
      </c>
      <c r="R110">
        <v>3</v>
      </c>
      <c r="S110">
        <v>83</v>
      </c>
      <c r="T110" t="s">
        <v>132</v>
      </c>
      <c r="U110" t="s">
        <v>133</v>
      </c>
      <c r="V110">
        <v>562</v>
      </c>
      <c r="W110">
        <v>0</v>
      </c>
      <c r="X110">
        <v>562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234</v>
      </c>
      <c r="AE110" t="s">
        <v>134</v>
      </c>
      <c r="AF110" s="2">
        <v>45518</v>
      </c>
      <c r="AG110" s="2">
        <v>46020</v>
      </c>
      <c r="AH110">
        <v>919.61</v>
      </c>
      <c r="AI110" s="1">
        <v>1124.22</v>
      </c>
      <c r="AJ110" s="1">
        <v>2758.84</v>
      </c>
      <c r="AK110">
        <v>0</v>
      </c>
      <c r="AL110">
        <v>0</v>
      </c>
      <c r="AM110">
        <v>0</v>
      </c>
      <c r="AN110" t="s">
        <v>135</v>
      </c>
      <c r="AO110" t="s">
        <v>135</v>
      </c>
      <c r="AP110" t="s">
        <v>136</v>
      </c>
      <c r="AQ110" t="s">
        <v>137</v>
      </c>
      <c r="AR110" t="s">
        <v>138</v>
      </c>
      <c r="AS110" t="s">
        <v>139</v>
      </c>
      <c r="AT110" t="s">
        <v>140</v>
      </c>
      <c r="AU110">
        <v>105</v>
      </c>
      <c r="AV110">
        <v>10</v>
      </c>
      <c r="AW110">
        <v>1</v>
      </c>
      <c r="AX110" s="2">
        <v>45975</v>
      </c>
      <c r="AY110" t="s">
        <v>151</v>
      </c>
      <c r="AZ110" s="2">
        <v>46024</v>
      </c>
      <c r="BA110">
        <v>0</v>
      </c>
      <c r="BB110">
        <v>0</v>
      </c>
      <c r="BC110">
        <v>0</v>
      </c>
      <c r="BD110">
        <v>700</v>
      </c>
      <c r="BE110">
        <v>70</v>
      </c>
      <c r="BF110">
        <v>9</v>
      </c>
      <c r="BG110" s="2">
        <v>45536</v>
      </c>
      <c r="BH110" t="s">
        <v>142</v>
      </c>
      <c r="BI110" s="2">
        <v>46026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969.42</v>
      </c>
      <c r="BQ110">
        <v>969.42</v>
      </c>
      <c r="BR110">
        <v>0</v>
      </c>
      <c r="BS110">
        <v>0</v>
      </c>
      <c r="BT110">
        <v>0</v>
      </c>
      <c r="BU110">
        <v>0</v>
      </c>
      <c r="BV110" s="1">
        <v>1789.42</v>
      </c>
      <c r="BW110" s="1">
        <v>1789.42</v>
      </c>
      <c r="BX110">
        <v>0</v>
      </c>
      <c r="BY110">
        <v>0</v>
      </c>
      <c r="BZ110">
        <v>0</v>
      </c>
      <c r="CA110">
        <v>0</v>
      </c>
      <c r="CB110">
        <v>339.1</v>
      </c>
      <c r="CC110" t="s">
        <v>161</v>
      </c>
    </row>
    <row r="111" spans="1:81" x14ac:dyDescent="0.25">
      <c r="A111">
        <v>345</v>
      </c>
      <c r="B111">
        <v>2</v>
      </c>
      <c r="C111">
        <v>255</v>
      </c>
      <c r="D111" t="s">
        <v>756</v>
      </c>
      <c r="E111" t="s">
        <v>121</v>
      </c>
      <c r="F111" t="s">
        <v>757</v>
      </c>
      <c r="G111" t="s">
        <v>758</v>
      </c>
      <c r="H111" t="s">
        <v>759</v>
      </c>
      <c r="I111" t="s">
        <v>125</v>
      </c>
      <c r="J111" t="s">
        <v>606</v>
      </c>
      <c r="K111" t="s">
        <v>336</v>
      </c>
      <c r="L111" t="s">
        <v>128</v>
      </c>
      <c r="M111" t="s">
        <v>337</v>
      </c>
      <c r="N111" t="s">
        <v>760</v>
      </c>
      <c r="O111" t="s">
        <v>131</v>
      </c>
      <c r="P111">
        <v>0</v>
      </c>
      <c r="Q111" t="s">
        <v>125</v>
      </c>
      <c r="R111">
        <v>6</v>
      </c>
      <c r="S111">
        <v>44</v>
      </c>
      <c r="T111" t="s">
        <v>132</v>
      </c>
      <c r="U111" t="s">
        <v>133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134</v>
      </c>
      <c r="AE111" t="s">
        <v>134</v>
      </c>
      <c r="AF111" s="2">
        <v>45518</v>
      </c>
      <c r="AG111" s="2">
        <v>46008</v>
      </c>
      <c r="AH111">
        <v>266.23</v>
      </c>
      <c r="AI111">
        <v>398.21</v>
      </c>
      <c r="AJ111" s="1">
        <v>2129.85</v>
      </c>
      <c r="AK111">
        <v>0</v>
      </c>
      <c r="AL111">
        <v>0</v>
      </c>
      <c r="AM111">
        <v>0</v>
      </c>
      <c r="AN111" t="s">
        <v>135</v>
      </c>
      <c r="AO111" t="s">
        <v>135</v>
      </c>
      <c r="AP111" t="s">
        <v>136</v>
      </c>
      <c r="AQ111" t="s">
        <v>137</v>
      </c>
      <c r="AR111" t="s">
        <v>138</v>
      </c>
      <c r="AS111" t="s">
        <v>150</v>
      </c>
      <c r="AT111" t="s">
        <v>140</v>
      </c>
      <c r="AU111">
        <v>101</v>
      </c>
      <c r="AV111">
        <v>10</v>
      </c>
      <c r="AW111">
        <v>1</v>
      </c>
      <c r="AX111" s="2">
        <v>45811</v>
      </c>
      <c r="AY111" t="s">
        <v>377</v>
      </c>
      <c r="AZ111" s="2">
        <v>46028</v>
      </c>
      <c r="BA111">
        <v>0</v>
      </c>
      <c r="BB111">
        <v>0</v>
      </c>
      <c r="BC111">
        <v>0</v>
      </c>
      <c r="BD111">
        <v>700</v>
      </c>
      <c r="BE111">
        <v>70</v>
      </c>
      <c r="BF111">
        <v>9</v>
      </c>
      <c r="BG111" s="2">
        <v>45536</v>
      </c>
      <c r="BH111" t="s">
        <v>142</v>
      </c>
      <c r="BI111" s="2">
        <v>46026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930.86</v>
      </c>
      <c r="BQ111">
        <v>930.86</v>
      </c>
      <c r="BR111">
        <v>0</v>
      </c>
      <c r="BS111">
        <v>0</v>
      </c>
      <c r="BT111">
        <v>0</v>
      </c>
      <c r="BU111">
        <v>0</v>
      </c>
      <c r="BV111">
        <v>617.92999999999995</v>
      </c>
      <c r="BW111">
        <v>617.92999999999995</v>
      </c>
      <c r="BX111">
        <v>0</v>
      </c>
      <c r="BY111">
        <v>0</v>
      </c>
      <c r="BZ111">
        <v>0</v>
      </c>
      <c r="CA111">
        <v>0</v>
      </c>
      <c r="CB111">
        <v>628.41</v>
      </c>
      <c r="CC111" t="s">
        <v>143</v>
      </c>
    </row>
    <row r="112" spans="1:81" x14ac:dyDescent="0.25">
      <c r="A112">
        <v>345</v>
      </c>
      <c r="B112">
        <v>2</v>
      </c>
      <c r="C112">
        <v>256</v>
      </c>
      <c r="D112" t="s">
        <v>761</v>
      </c>
      <c r="E112" t="s">
        <v>121</v>
      </c>
      <c r="F112" t="s">
        <v>762</v>
      </c>
      <c r="G112" t="s">
        <v>763</v>
      </c>
      <c r="H112" t="s">
        <v>764</v>
      </c>
      <c r="I112" t="s">
        <v>125</v>
      </c>
      <c r="J112" t="s">
        <v>126</v>
      </c>
      <c r="K112" t="s">
        <v>466</v>
      </c>
      <c r="L112" t="s">
        <v>128</v>
      </c>
      <c r="M112" t="s">
        <v>467</v>
      </c>
      <c r="N112" t="s">
        <v>765</v>
      </c>
      <c r="O112" t="s">
        <v>131</v>
      </c>
      <c r="P112">
        <v>0</v>
      </c>
      <c r="Q112" t="s">
        <v>125</v>
      </c>
      <c r="R112">
        <v>6</v>
      </c>
      <c r="S112">
        <v>45</v>
      </c>
      <c r="T112" t="s">
        <v>132</v>
      </c>
      <c r="U112" t="s">
        <v>133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134</v>
      </c>
      <c r="AE112" t="s">
        <v>134</v>
      </c>
      <c r="AF112" s="2">
        <v>45518</v>
      </c>
      <c r="AG112" s="2">
        <v>46019</v>
      </c>
      <c r="AH112" s="1">
        <v>1095.22</v>
      </c>
      <c r="AI112" s="1">
        <v>1665</v>
      </c>
      <c r="AJ112" s="1">
        <v>8761.82</v>
      </c>
      <c r="AK112">
        <v>0</v>
      </c>
      <c r="AL112">
        <v>0</v>
      </c>
      <c r="AM112">
        <v>0</v>
      </c>
      <c r="AN112" t="s">
        <v>135</v>
      </c>
      <c r="AO112" t="s">
        <v>135</v>
      </c>
      <c r="AP112" t="s">
        <v>136</v>
      </c>
      <c r="AQ112" t="s">
        <v>137</v>
      </c>
      <c r="AR112" t="s">
        <v>138</v>
      </c>
      <c r="AS112" t="s">
        <v>150</v>
      </c>
      <c r="AT112" t="s">
        <v>140</v>
      </c>
      <c r="AU112">
        <v>105</v>
      </c>
      <c r="AV112">
        <v>10</v>
      </c>
      <c r="AW112">
        <v>1</v>
      </c>
      <c r="AX112" s="2">
        <v>45849</v>
      </c>
      <c r="AY112" t="s">
        <v>151</v>
      </c>
      <c r="AZ112" s="2">
        <v>46024</v>
      </c>
      <c r="BA112">
        <v>0</v>
      </c>
      <c r="BB112">
        <v>0</v>
      </c>
      <c r="BC112">
        <v>0</v>
      </c>
      <c r="BD112">
        <v>700</v>
      </c>
      <c r="BE112">
        <v>70</v>
      </c>
      <c r="BF112">
        <v>9</v>
      </c>
      <c r="BG112" s="2">
        <v>45536</v>
      </c>
      <c r="BH112" t="s">
        <v>142</v>
      </c>
      <c r="BI112" s="2">
        <v>46026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s="1">
        <v>4544.43</v>
      </c>
      <c r="BQ112" s="1">
        <v>4544.43</v>
      </c>
      <c r="BR112">
        <v>0</v>
      </c>
      <c r="BS112">
        <v>0</v>
      </c>
      <c r="BT112">
        <v>0</v>
      </c>
      <c r="BU112">
        <v>0</v>
      </c>
      <c r="BV112" s="1">
        <v>2414.39</v>
      </c>
      <c r="BW112" s="1">
        <v>2414.39</v>
      </c>
      <c r="BX112">
        <v>0</v>
      </c>
      <c r="BY112">
        <v>0</v>
      </c>
      <c r="BZ112">
        <v>0</v>
      </c>
      <c r="CA112">
        <v>0</v>
      </c>
      <c r="CB112" s="1">
        <v>3543.38</v>
      </c>
      <c r="CC112" t="s">
        <v>339</v>
      </c>
    </row>
    <row r="113" spans="1:81" x14ac:dyDescent="0.25">
      <c r="A113">
        <v>345</v>
      </c>
      <c r="B113">
        <v>2</v>
      </c>
      <c r="C113">
        <v>257</v>
      </c>
      <c r="D113" t="s">
        <v>766</v>
      </c>
      <c r="E113" t="s">
        <v>121</v>
      </c>
      <c r="F113" t="s">
        <v>767</v>
      </c>
      <c r="G113" t="s">
        <v>768</v>
      </c>
      <c r="H113" t="s">
        <v>769</v>
      </c>
      <c r="I113" t="s">
        <v>125</v>
      </c>
      <c r="J113" t="s">
        <v>492</v>
      </c>
      <c r="K113" t="s">
        <v>466</v>
      </c>
      <c r="L113" t="s">
        <v>128</v>
      </c>
      <c r="M113" t="s">
        <v>467</v>
      </c>
      <c r="N113" t="s">
        <v>770</v>
      </c>
      <c r="O113" t="s">
        <v>159</v>
      </c>
      <c r="P113">
        <v>0</v>
      </c>
      <c r="Q113" t="s">
        <v>125</v>
      </c>
      <c r="R113">
        <v>6</v>
      </c>
      <c r="S113">
        <v>41</v>
      </c>
      <c r="T113" t="s">
        <v>132</v>
      </c>
      <c r="U113" t="s">
        <v>133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234</v>
      </c>
      <c r="AE113" t="s">
        <v>134</v>
      </c>
      <c r="AF113" s="2">
        <v>45518</v>
      </c>
      <c r="AG113" s="2">
        <v>46021</v>
      </c>
      <c r="AH113">
        <v>819.78</v>
      </c>
      <c r="AI113" s="1">
        <v>1317.7</v>
      </c>
      <c r="AJ113" s="1">
        <v>10657.2</v>
      </c>
      <c r="AK113">
        <v>0</v>
      </c>
      <c r="AL113">
        <v>0</v>
      </c>
      <c r="AM113">
        <v>0</v>
      </c>
      <c r="AN113" t="s">
        <v>135</v>
      </c>
      <c r="AO113" t="s">
        <v>135</v>
      </c>
      <c r="AP113" t="s">
        <v>136</v>
      </c>
      <c r="AQ113" t="s">
        <v>137</v>
      </c>
      <c r="AR113" t="s">
        <v>138</v>
      </c>
      <c r="AS113" t="s">
        <v>150</v>
      </c>
      <c r="AT113" t="s">
        <v>140</v>
      </c>
      <c r="AU113">
        <v>105</v>
      </c>
      <c r="AV113">
        <v>10</v>
      </c>
      <c r="AW113">
        <v>1</v>
      </c>
      <c r="AX113" s="2">
        <v>45810</v>
      </c>
      <c r="AY113" t="s">
        <v>141</v>
      </c>
      <c r="AZ113" s="2">
        <v>46027</v>
      </c>
      <c r="BA113">
        <v>0</v>
      </c>
      <c r="BB113">
        <v>0</v>
      </c>
      <c r="BC113">
        <v>0</v>
      </c>
      <c r="BD113">
        <v>700</v>
      </c>
      <c r="BE113">
        <v>70</v>
      </c>
      <c r="BF113">
        <v>9</v>
      </c>
      <c r="BG113" s="2">
        <v>45536</v>
      </c>
      <c r="BH113" t="s">
        <v>142</v>
      </c>
      <c r="BI113" s="2">
        <v>46026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s="1">
        <v>2288.0300000000002</v>
      </c>
      <c r="BQ113" s="1">
        <v>2288.0300000000002</v>
      </c>
      <c r="BR113">
        <v>0</v>
      </c>
      <c r="BS113">
        <v>0</v>
      </c>
      <c r="BT113">
        <v>0</v>
      </c>
      <c r="BU113">
        <v>0</v>
      </c>
      <c r="BV113" s="1">
        <v>4791.43</v>
      </c>
      <c r="BW113" s="1">
        <v>4791.43</v>
      </c>
      <c r="BX113">
        <v>0</v>
      </c>
      <c r="BY113">
        <v>0</v>
      </c>
      <c r="BZ113">
        <v>0</v>
      </c>
      <c r="CA113">
        <v>0</v>
      </c>
      <c r="CB113" s="1">
        <v>3020.14</v>
      </c>
      <c r="CC113" t="s">
        <v>161</v>
      </c>
    </row>
    <row r="114" spans="1:81" x14ac:dyDescent="0.25">
      <c r="A114">
        <v>345</v>
      </c>
      <c r="B114">
        <v>2</v>
      </c>
      <c r="C114">
        <v>258</v>
      </c>
      <c r="D114" t="s">
        <v>771</v>
      </c>
      <c r="E114" t="s">
        <v>121</v>
      </c>
      <c r="F114" t="s">
        <v>772</v>
      </c>
      <c r="G114" t="s">
        <v>773</v>
      </c>
      <c r="H114" t="s">
        <v>774</v>
      </c>
      <c r="I114" t="s">
        <v>125</v>
      </c>
      <c r="J114" t="s">
        <v>712</v>
      </c>
      <c r="K114" t="s">
        <v>466</v>
      </c>
      <c r="L114" t="s">
        <v>128</v>
      </c>
      <c r="M114" t="s">
        <v>467</v>
      </c>
      <c r="N114" t="s">
        <v>775</v>
      </c>
      <c r="O114" t="s">
        <v>149</v>
      </c>
      <c r="P114">
        <v>0</v>
      </c>
      <c r="Q114" t="s">
        <v>125</v>
      </c>
      <c r="R114">
        <v>6</v>
      </c>
      <c r="S114">
        <v>39</v>
      </c>
      <c r="T114" t="s">
        <v>132</v>
      </c>
      <c r="U114" t="s">
        <v>133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134</v>
      </c>
      <c r="AE114" t="s">
        <v>134</v>
      </c>
      <c r="AF114" s="2">
        <v>45518</v>
      </c>
      <c r="AG114" s="2">
        <v>46011</v>
      </c>
      <c r="AH114">
        <v>873.16</v>
      </c>
      <c r="AI114" s="1">
        <v>1192.1400000000001</v>
      </c>
      <c r="AJ114" s="1">
        <v>3492.64</v>
      </c>
      <c r="AK114">
        <v>0</v>
      </c>
      <c r="AL114">
        <v>0</v>
      </c>
      <c r="AM114">
        <v>0</v>
      </c>
      <c r="AN114" t="s">
        <v>135</v>
      </c>
      <c r="AO114" t="s">
        <v>135</v>
      </c>
      <c r="AP114" t="s">
        <v>136</v>
      </c>
      <c r="AQ114" t="s">
        <v>137</v>
      </c>
      <c r="AR114" t="s">
        <v>138</v>
      </c>
      <c r="AS114" t="s">
        <v>139</v>
      </c>
      <c r="AT114" t="s">
        <v>140</v>
      </c>
      <c r="AU114">
        <v>100</v>
      </c>
      <c r="AV114">
        <v>10</v>
      </c>
      <c r="AW114">
        <v>1</v>
      </c>
      <c r="AX114" s="2">
        <v>45848</v>
      </c>
      <c r="AY114" t="s">
        <v>308</v>
      </c>
      <c r="AZ114" s="2">
        <v>46023</v>
      </c>
      <c r="BA114">
        <v>0</v>
      </c>
      <c r="BB114">
        <v>0</v>
      </c>
      <c r="BC114">
        <v>0</v>
      </c>
      <c r="BD114">
        <v>700</v>
      </c>
      <c r="BE114">
        <v>70</v>
      </c>
      <c r="BF114">
        <v>9</v>
      </c>
      <c r="BG114" s="2">
        <v>45536</v>
      </c>
      <c r="BH114" t="s">
        <v>142</v>
      </c>
      <c r="BI114" s="2">
        <v>46026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s="1">
        <v>2287.88</v>
      </c>
      <c r="BQ114" s="1">
        <v>2287.88</v>
      </c>
      <c r="BR114">
        <v>0</v>
      </c>
      <c r="BS114">
        <v>0</v>
      </c>
      <c r="BT114">
        <v>0</v>
      </c>
      <c r="BU114">
        <v>0</v>
      </c>
      <c r="BV114" s="1">
        <v>1192.1400000000001</v>
      </c>
      <c r="BW114" s="1">
        <v>1192.1400000000001</v>
      </c>
      <c r="BX114">
        <v>0</v>
      </c>
      <c r="BY114">
        <v>0</v>
      </c>
      <c r="BZ114">
        <v>0</v>
      </c>
      <c r="CA114">
        <v>0</v>
      </c>
      <c r="CB114" s="1">
        <v>1041.56</v>
      </c>
      <c r="CC114" t="s">
        <v>152</v>
      </c>
    </row>
    <row r="115" spans="1:81" x14ac:dyDescent="0.25">
      <c r="A115">
        <v>345</v>
      </c>
      <c r="B115">
        <v>2</v>
      </c>
      <c r="C115">
        <v>259</v>
      </c>
      <c r="D115" t="s">
        <v>776</v>
      </c>
      <c r="E115" t="s">
        <v>121</v>
      </c>
      <c r="F115" t="s">
        <v>777</v>
      </c>
      <c r="G115" t="s">
        <v>778</v>
      </c>
      <c r="H115" t="s">
        <v>779</v>
      </c>
      <c r="I115" t="s">
        <v>780</v>
      </c>
      <c r="J115" t="s">
        <v>781</v>
      </c>
      <c r="K115" t="s">
        <v>466</v>
      </c>
      <c r="L115" t="s">
        <v>128</v>
      </c>
      <c r="M115" t="s">
        <v>467</v>
      </c>
      <c r="N115" t="s">
        <v>782</v>
      </c>
      <c r="O115" t="s">
        <v>131</v>
      </c>
      <c r="P115">
        <v>0</v>
      </c>
      <c r="Q115" t="s">
        <v>125</v>
      </c>
      <c r="R115">
        <v>6</v>
      </c>
      <c r="S115">
        <v>40</v>
      </c>
      <c r="T115" t="s">
        <v>132</v>
      </c>
      <c r="U115" t="s">
        <v>133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134</v>
      </c>
      <c r="AE115" t="s">
        <v>134</v>
      </c>
      <c r="AF115" s="2">
        <v>45518</v>
      </c>
      <c r="AG115" s="2">
        <v>46017</v>
      </c>
      <c r="AH115" s="1">
        <v>1428.6</v>
      </c>
      <c r="AI115" s="1">
        <v>2338.7800000000002</v>
      </c>
      <c r="AJ115" s="1">
        <v>18571.87</v>
      </c>
      <c r="AK115">
        <v>0</v>
      </c>
      <c r="AL115" s="1">
        <v>1743.94</v>
      </c>
      <c r="AM115">
        <v>0</v>
      </c>
      <c r="AN115" t="s">
        <v>135</v>
      </c>
      <c r="AO115" t="s">
        <v>135</v>
      </c>
      <c r="AP115" t="s">
        <v>136</v>
      </c>
      <c r="AQ115" t="s">
        <v>137</v>
      </c>
      <c r="AR115" t="s">
        <v>138</v>
      </c>
      <c r="AS115" t="s">
        <v>139</v>
      </c>
      <c r="AT115" t="s">
        <v>140</v>
      </c>
      <c r="AU115">
        <v>103</v>
      </c>
      <c r="AV115">
        <v>10</v>
      </c>
      <c r="AW115">
        <v>1</v>
      </c>
      <c r="AX115" s="2">
        <v>45839</v>
      </c>
      <c r="AY115" t="s">
        <v>377</v>
      </c>
      <c r="AZ115" s="2">
        <v>46028</v>
      </c>
      <c r="BA115">
        <v>0</v>
      </c>
      <c r="BB115">
        <v>0</v>
      </c>
      <c r="BC115">
        <v>0</v>
      </c>
      <c r="BD115">
        <v>700</v>
      </c>
      <c r="BE115">
        <v>70</v>
      </c>
      <c r="BF115">
        <v>9</v>
      </c>
      <c r="BG115" s="2">
        <v>45536</v>
      </c>
      <c r="BH115" t="s">
        <v>142</v>
      </c>
      <c r="BI115" s="2">
        <v>46026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s="1">
        <v>4268.12</v>
      </c>
      <c r="BQ115" s="1">
        <v>4268.12</v>
      </c>
      <c r="BR115">
        <v>0</v>
      </c>
      <c r="BS115">
        <v>0</v>
      </c>
      <c r="BT115">
        <v>0</v>
      </c>
      <c r="BU115">
        <v>0</v>
      </c>
      <c r="BV115" s="1">
        <v>6843.2</v>
      </c>
      <c r="BW115" s="1">
        <v>6843.2</v>
      </c>
      <c r="BX115">
        <v>0</v>
      </c>
      <c r="BY115">
        <v>0</v>
      </c>
      <c r="BZ115">
        <v>0</v>
      </c>
      <c r="CA115">
        <v>0</v>
      </c>
      <c r="CB115" s="1">
        <v>5537.46</v>
      </c>
      <c r="CC115" t="s">
        <v>143</v>
      </c>
    </row>
    <row r="116" spans="1:81" x14ac:dyDescent="0.25">
      <c r="A116">
        <v>345</v>
      </c>
      <c r="B116">
        <v>2</v>
      </c>
      <c r="C116">
        <v>261</v>
      </c>
      <c r="D116" t="s">
        <v>783</v>
      </c>
      <c r="E116" t="s">
        <v>121</v>
      </c>
      <c r="F116" t="s">
        <v>784</v>
      </c>
      <c r="G116" t="s">
        <v>785</v>
      </c>
      <c r="H116" t="s">
        <v>786</v>
      </c>
      <c r="I116" t="s">
        <v>125</v>
      </c>
      <c r="J116" t="s">
        <v>554</v>
      </c>
      <c r="K116" t="s">
        <v>336</v>
      </c>
      <c r="L116" t="s">
        <v>128</v>
      </c>
      <c r="M116" t="s">
        <v>337</v>
      </c>
      <c r="N116" t="s">
        <v>787</v>
      </c>
      <c r="O116" t="s">
        <v>131</v>
      </c>
      <c r="P116">
        <v>0</v>
      </c>
      <c r="Q116" t="s">
        <v>125</v>
      </c>
      <c r="R116">
        <v>6</v>
      </c>
      <c r="S116">
        <v>40</v>
      </c>
      <c r="T116" t="s">
        <v>132</v>
      </c>
      <c r="U116" t="s">
        <v>133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134</v>
      </c>
      <c r="AE116" t="s">
        <v>134</v>
      </c>
      <c r="AF116" s="2">
        <v>45518</v>
      </c>
      <c r="AG116" s="2">
        <v>46018</v>
      </c>
      <c r="AH116">
        <v>532.72</v>
      </c>
      <c r="AI116">
        <v>731.7</v>
      </c>
      <c r="AJ116" s="1">
        <v>6392.67</v>
      </c>
      <c r="AK116">
        <v>0</v>
      </c>
      <c r="AL116">
        <v>0</v>
      </c>
      <c r="AM116">
        <v>0</v>
      </c>
      <c r="AN116" t="s">
        <v>135</v>
      </c>
      <c r="AO116" t="s">
        <v>135</v>
      </c>
      <c r="AP116" t="s">
        <v>136</v>
      </c>
      <c r="AQ116" t="s">
        <v>137</v>
      </c>
      <c r="AR116" t="s">
        <v>138</v>
      </c>
      <c r="AS116" t="s">
        <v>139</v>
      </c>
      <c r="AT116" t="s">
        <v>140</v>
      </c>
      <c r="AU116">
        <v>101</v>
      </c>
      <c r="AV116">
        <v>10</v>
      </c>
      <c r="AW116">
        <v>1</v>
      </c>
      <c r="AX116" s="2">
        <v>45813</v>
      </c>
      <c r="AY116" t="s">
        <v>308</v>
      </c>
      <c r="AZ116" s="2">
        <v>46023</v>
      </c>
      <c r="BA116">
        <v>0</v>
      </c>
      <c r="BB116">
        <v>0</v>
      </c>
      <c r="BC116">
        <v>0</v>
      </c>
      <c r="BD116">
        <v>700</v>
      </c>
      <c r="BE116">
        <v>70</v>
      </c>
      <c r="BF116">
        <v>9</v>
      </c>
      <c r="BG116" s="2">
        <v>45536</v>
      </c>
      <c r="BH116" t="s">
        <v>142</v>
      </c>
      <c r="BI116" s="2">
        <v>46026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s="1">
        <v>1732.6</v>
      </c>
      <c r="BQ116" s="1">
        <v>1732.6</v>
      </c>
      <c r="BR116">
        <v>0</v>
      </c>
      <c r="BS116">
        <v>0</v>
      </c>
      <c r="BT116">
        <v>0</v>
      </c>
      <c r="BU116">
        <v>0</v>
      </c>
      <c r="BV116" s="1">
        <v>2323.2399999999998</v>
      </c>
      <c r="BW116" s="1">
        <v>2323.2399999999998</v>
      </c>
      <c r="BX116">
        <v>0</v>
      </c>
      <c r="BY116">
        <v>0</v>
      </c>
      <c r="BZ116">
        <v>0</v>
      </c>
      <c r="CA116">
        <v>0</v>
      </c>
      <c r="CB116" s="1">
        <v>2041.73</v>
      </c>
      <c r="CC116" t="s">
        <v>143</v>
      </c>
    </row>
    <row r="117" spans="1:81" x14ac:dyDescent="0.25">
      <c r="A117">
        <v>345</v>
      </c>
      <c r="B117">
        <v>2</v>
      </c>
      <c r="C117">
        <v>262</v>
      </c>
      <c r="D117" t="s">
        <v>788</v>
      </c>
      <c r="E117" t="s">
        <v>121</v>
      </c>
      <c r="F117" t="s">
        <v>789</v>
      </c>
      <c r="G117" t="s">
        <v>790</v>
      </c>
      <c r="H117" t="s">
        <v>791</v>
      </c>
      <c r="I117" t="s">
        <v>792</v>
      </c>
      <c r="J117" t="s">
        <v>793</v>
      </c>
      <c r="K117" t="s">
        <v>336</v>
      </c>
      <c r="L117" t="s">
        <v>128</v>
      </c>
      <c r="M117" t="s">
        <v>337</v>
      </c>
      <c r="N117" t="s">
        <v>794</v>
      </c>
      <c r="O117" t="s">
        <v>159</v>
      </c>
      <c r="P117">
        <v>0</v>
      </c>
      <c r="Q117" t="s">
        <v>125</v>
      </c>
      <c r="R117">
        <v>4</v>
      </c>
      <c r="S117">
        <v>81</v>
      </c>
      <c r="T117" t="s">
        <v>132</v>
      </c>
      <c r="U117" t="s">
        <v>133</v>
      </c>
      <c r="V117" s="1">
        <v>1000</v>
      </c>
      <c r="W117">
        <v>0</v>
      </c>
      <c r="X117" s="1">
        <v>1000</v>
      </c>
      <c r="Y117">
        <v>7</v>
      </c>
      <c r="Z117">
        <v>0</v>
      </c>
      <c r="AA117">
        <v>0</v>
      </c>
      <c r="AB117">
        <v>0</v>
      </c>
      <c r="AC117">
        <v>0</v>
      </c>
      <c r="AD117" t="s">
        <v>134</v>
      </c>
      <c r="AE117" t="s">
        <v>134</v>
      </c>
      <c r="AF117" s="2">
        <v>45518</v>
      </c>
      <c r="AG117" s="2">
        <v>46018</v>
      </c>
      <c r="AH117">
        <v>793.61</v>
      </c>
      <c r="AI117" s="1">
        <v>2116.9699999999998</v>
      </c>
      <c r="AJ117" s="1">
        <v>3968.07</v>
      </c>
      <c r="AK117">
        <v>0</v>
      </c>
      <c r="AL117">
        <v>0</v>
      </c>
      <c r="AM117">
        <v>0</v>
      </c>
      <c r="AN117" t="s">
        <v>135</v>
      </c>
      <c r="AO117" t="s">
        <v>135</v>
      </c>
      <c r="AP117" t="s">
        <v>136</v>
      </c>
      <c r="AQ117" t="s">
        <v>137</v>
      </c>
      <c r="AR117" t="s">
        <v>138</v>
      </c>
      <c r="AS117" t="s">
        <v>139</v>
      </c>
      <c r="AT117" t="s">
        <v>140</v>
      </c>
      <c r="AU117">
        <v>104</v>
      </c>
      <c r="AV117">
        <v>10</v>
      </c>
      <c r="AW117">
        <v>1</v>
      </c>
      <c r="AX117" s="2">
        <v>45981</v>
      </c>
      <c r="AY117" t="s">
        <v>308</v>
      </c>
      <c r="AZ117" s="2">
        <v>46023</v>
      </c>
      <c r="BA117">
        <v>0</v>
      </c>
      <c r="BB117">
        <v>0</v>
      </c>
      <c r="BC117">
        <v>0</v>
      </c>
      <c r="BD117">
        <v>999</v>
      </c>
      <c r="BE117">
        <v>99</v>
      </c>
      <c r="BF117">
        <v>9</v>
      </c>
      <c r="BG117" t="s">
        <v>135</v>
      </c>
      <c r="BH117" t="s">
        <v>250</v>
      </c>
      <c r="BI117" t="s">
        <v>135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279.83</v>
      </c>
      <c r="BQ117">
        <v>279.83</v>
      </c>
      <c r="BR117">
        <v>0</v>
      </c>
      <c r="BS117">
        <v>0</v>
      </c>
      <c r="BT117">
        <v>0</v>
      </c>
      <c r="BU117">
        <v>0</v>
      </c>
      <c r="BV117" s="1">
        <v>3688.24</v>
      </c>
      <c r="BW117" s="1">
        <v>3688.24</v>
      </c>
      <c r="BX117">
        <v>0</v>
      </c>
      <c r="BY117">
        <v>0</v>
      </c>
      <c r="BZ117">
        <v>0</v>
      </c>
      <c r="CA117">
        <v>0</v>
      </c>
      <c r="CB117">
        <v>93.27</v>
      </c>
      <c r="CC117" t="s">
        <v>161</v>
      </c>
    </row>
    <row r="118" spans="1:81" x14ac:dyDescent="0.25">
      <c r="A118">
        <v>345</v>
      </c>
      <c r="B118">
        <v>2</v>
      </c>
      <c r="C118">
        <v>264</v>
      </c>
      <c r="D118" t="s">
        <v>795</v>
      </c>
      <c r="E118" t="s">
        <v>121</v>
      </c>
      <c r="F118" t="s">
        <v>796</v>
      </c>
      <c r="G118" t="s">
        <v>797</v>
      </c>
      <c r="H118" t="s">
        <v>798</v>
      </c>
      <c r="I118" t="s">
        <v>125</v>
      </c>
      <c r="J118" t="s">
        <v>667</v>
      </c>
      <c r="K118" t="s">
        <v>336</v>
      </c>
      <c r="L118" t="s">
        <v>128</v>
      </c>
      <c r="M118" t="s">
        <v>337</v>
      </c>
      <c r="N118" t="s">
        <v>799</v>
      </c>
      <c r="O118" t="s">
        <v>167</v>
      </c>
      <c r="P118">
        <v>0</v>
      </c>
      <c r="Q118" t="s">
        <v>125</v>
      </c>
      <c r="R118">
        <v>6</v>
      </c>
      <c r="S118">
        <v>36</v>
      </c>
      <c r="T118" t="s">
        <v>132</v>
      </c>
      <c r="U118" t="s">
        <v>133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134</v>
      </c>
      <c r="AE118" t="s">
        <v>134</v>
      </c>
      <c r="AF118" s="2">
        <v>45518</v>
      </c>
      <c r="AG118" s="2">
        <v>46011</v>
      </c>
      <c r="AH118">
        <v>821.8</v>
      </c>
      <c r="AI118" s="1">
        <v>1460.46</v>
      </c>
      <c r="AJ118" s="1">
        <v>9039.81</v>
      </c>
      <c r="AK118">
        <v>0</v>
      </c>
      <c r="AL118">
        <v>0</v>
      </c>
      <c r="AM118">
        <v>0</v>
      </c>
      <c r="AN118" t="s">
        <v>135</v>
      </c>
      <c r="AO118" t="s">
        <v>135</v>
      </c>
      <c r="AP118" t="s">
        <v>136</v>
      </c>
      <c r="AQ118" t="s">
        <v>137</v>
      </c>
      <c r="AR118" t="s">
        <v>138</v>
      </c>
      <c r="AS118" t="s">
        <v>139</v>
      </c>
      <c r="AT118" t="s">
        <v>140</v>
      </c>
      <c r="AU118">
        <v>101</v>
      </c>
      <c r="AV118">
        <v>10</v>
      </c>
      <c r="AW118">
        <v>1</v>
      </c>
      <c r="AX118" s="2">
        <v>45840</v>
      </c>
      <c r="AY118" t="s">
        <v>168</v>
      </c>
      <c r="AZ118" s="2">
        <v>46022</v>
      </c>
      <c r="BA118">
        <v>0</v>
      </c>
      <c r="BB118">
        <v>0</v>
      </c>
      <c r="BC118">
        <v>0</v>
      </c>
      <c r="BD118">
        <v>700</v>
      </c>
      <c r="BE118">
        <v>70</v>
      </c>
      <c r="BF118">
        <v>9</v>
      </c>
      <c r="BG118" s="2">
        <v>45536</v>
      </c>
      <c r="BH118" t="s">
        <v>142</v>
      </c>
      <c r="BI118" s="2">
        <v>46026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s="1">
        <v>3296.96</v>
      </c>
      <c r="BQ118" s="1">
        <v>3296.96</v>
      </c>
      <c r="BR118">
        <v>0</v>
      </c>
      <c r="BS118">
        <v>0</v>
      </c>
      <c r="BT118">
        <v>0</v>
      </c>
      <c r="BU118">
        <v>0</v>
      </c>
      <c r="BV118" s="1">
        <v>3035.62</v>
      </c>
      <c r="BW118" s="1">
        <v>3035.62</v>
      </c>
      <c r="BX118">
        <v>0</v>
      </c>
      <c r="BY118">
        <v>0</v>
      </c>
      <c r="BZ118">
        <v>0</v>
      </c>
      <c r="CA118">
        <v>0</v>
      </c>
      <c r="CB118" s="1">
        <v>2669.96</v>
      </c>
      <c r="CC118" t="s">
        <v>161</v>
      </c>
    </row>
    <row r="119" spans="1:81" x14ac:dyDescent="0.25">
      <c r="A119">
        <v>345</v>
      </c>
      <c r="B119">
        <v>2</v>
      </c>
      <c r="C119">
        <v>265</v>
      </c>
      <c r="D119" t="s">
        <v>800</v>
      </c>
      <c r="E119" t="s">
        <v>121</v>
      </c>
      <c r="F119" t="s">
        <v>801</v>
      </c>
      <c r="G119" t="s">
        <v>802</v>
      </c>
      <c r="H119" t="s">
        <v>803</v>
      </c>
      <c r="I119" t="s">
        <v>125</v>
      </c>
      <c r="J119" t="s">
        <v>606</v>
      </c>
      <c r="K119" t="s">
        <v>336</v>
      </c>
      <c r="L119" t="s">
        <v>128</v>
      </c>
      <c r="M119" t="s">
        <v>337</v>
      </c>
      <c r="N119" t="s">
        <v>804</v>
      </c>
      <c r="O119" t="s">
        <v>296</v>
      </c>
      <c r="P119">
        <v>0</v>
      </c>
      <c r="Q119" t="s">
        <v>125</v>
      </c>
      <c r="R119">
        <v>3</v>
      </c>
      <c r="S119">
        <v>85</v>
      </c>
      <c r="T119" t="s">
        <v>132</v>
      </c>
      <c r="U119" t="s">
        <v>133</v>
      </c>
      <c r="V119" s="1">
        <v>3300</v>
      </c>
      <c r="W119">
        <v>969.22</v>
      </c>
      <c r="X119" s="1">
        <v>2330.7800000000002</v>
      </c>
      <c r="Y119">
        <v>7</v>
      </c>
      <c r="Z119">
        <v>0</v>
      </c>
      <c r="AA119">
        <v>7</v>
      </c>
      <c r="AB119">
        <v>0</v>
      </c>
      <c r="AC119">
        <v>0</v>
      </c>
      <c r="AD119" t="s">
        <v>134</v>
      </c>
      <c r="AE119" t="s">
        <v>134</v>
      </c>
      <c r="AF119" s="2">
        <v>45518</v>
      </c>
      <c r="AG119" s="2">
        <v>46018</v>
      </c>
      <c r="AH119" s="1">
        <v>1485.04</v>
      </c>
      <c r="AI119" s="1">
        <v>2457.4699999999998</v>
      </c>
      <c r="AJ119" s="1">
        <v>13365.37</v>
      </c>
      <c r="AK119">
        <v>0</v>
      </c>
      <c r="AL119">
        <v>969.22</v>
      </c>
      <c r="AM119">
        <v>253.55</v>
      </c>
      <c r="AN119" t="s">
        <v>135</v>
      </c>
      <c r="AO119" t="s">
        <v>135</v>
      </c>
      <c r="AP119" t="s">
        <v>136</v>
      </c>
      <c r="AQ119" t="s">
        <v>137</v>
      </c>
      <c r="AR119" t="s">
        <v>138</v>
      </c>
      <c r="AS119" t="s">
        <v>150</v>
      </c>
      <c r="AT119" t="s">
        <v>140</v>
      </c>
      <c r="AU119">
        <v>501</v>
      </c>
      <c r="AV119">
        <v>10</v>
      </c>
      <c r="AW119">
        <v>1</v>
      </c>
      <c r="AX119" s="2">
        <v>45945</v>
      </c>
      <c r="AY119" t="s">
        <v>168</v>
      </c>
      <c r="AZ119" s="2">
        <v>46022</v>
      </c>
      <c r="BA119">
        <v>0</v>
      </c>
      <c r="BB119">
        <v>0</v>
      </c>
      <c r="BC119">
        <v>0</v>
      </c>
      <c r="BD119">
        <v>700</v>
      </c>
      <c r="BE119">
        <v>70</v>
      </c>
      <c r="BF119">
        <v>9</v>
      </c>
      <c r="BG119" s="2">
        <v>45536</v>
      </c>
      <c r="BH119" t="s">
        <v>142</v>
      </c>
      <c r="BI119" s="2">
        <v>46026</v>
      </c>
      <c r="BJ119">
        <v>0</v>
      </c>
      <c r="BK119">
        <v>0</v>
      </c>
      <c r="BL119">
        <v>0</v>
      </c>
      <c r="BM119">
        <v>5.98</v>
      </c>
      <c r="BN119">
        <v>5.98</v>
      </c>
      <c r="BO119" s="1">
        <v>4821.6000000000004</v>
      </c>
      <c r="BP119">
        <v>0</v>
      </c>
      <c r="BQ119" s="1">
        <v>4821.6000000000004</v>
      </c>
      <c r="BR119" s="1">
        <v>2457.4699999999998</v>
      </c>
      <c r="BS119">
        <v>5.17</v>
      </c>
      <c r="BT119">
        <v>5.17</v>
      </c>
      <c r="BU119" s="1">
        <v>5572.95</v>
      </c>
      <c r="BV119">
        <v>0</v>
      </c>
      <c r="BW119" s="1">
        <v>5572.95</v>
      </c>
      <c r="BX119">
        <v>969.22</v>
      </c>
      <c r="BY119">
        <v>17.39</v>
      </c>
      <c r="BZ119">
        <v>0</v>
      </c>
      <c r="CA119">
        <v>0</v>
      </c>
      <c r="CB119" s="1">
        <v>4293.6400000000003</v>
      </c>
      <c r="CC119" t="s">
        <v>297</v>
      </c>
    </row>
    <row r="120" spans="1:81" x14ac:dyDescent="0.25">
      <c r="A120">
        <v>345</v>
      </c>
      <c r="B120">
        <v>2</v>
      </c>
      <c r="C120">
        <v>266</v>
      </c>
      <c r="D120" t="s">
        <v>805</v>
      </c>
      <c r="E120" t="s">
        <v>121</v>
      </c>
      <c r="F120" t="s">
        <v>806</v>
      </c>
      <c r="G120" t="s">
        <v>807</v>
      </c>
      <c r="H120" t="s">
        <v>808</v>
      </c>
      <c r="I120" t="s">
        <v>125</v>
      </c>
      <c r="J120" t="s">
        <v>606</v>
      </c>
      <c r="K120" t="s">
        <v>336</v>
      </c>
      <c r="L120" t="s">
        <v>128</v>
      </c>
      <c r="M120" t="s">
        <v>337</v>
      </c>
      <c r="N120" t="s">
        <v>809</v>
      </c>
      <c r="O120" t="s">
        <v>131</v>
      </c>
      <c r="P120">
        <v>0</v>
      </c>
      <c r="Q120" t="s">
        <v>125</v>
      </c>
      <c r="R120">
        <v>6</v>
      </c>
      <c r="S120">
        <v>39</v>
      </c>
      <c r="T120" t="s">
        <v>132</v>
      </c>
      <c r="U120" t="s">
        <v>133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134</v>
      </c>
      <c r="AE120" t="s">
        <v>134</v>
      </c>
      <c r="AF120" s="2">
        <v>45518</v>
      </c>
      <c r="AG120" s="2">
        <v>46009</v>
      </c>
      <c r="AH120">
        <v>389.9</v>
      </c>
      <c r="AI120">
        <v>628.51</v>
      </c>
      <c r="AJ120" s="1">
        <v>2339.44</v>
      </c>
      <c r="AK120">
        <v>0</v>
      </c>
      <c r="AL120">
        <v>0</v>
      </c>
      <c r="AM120">
        <v>0</v>
      </c>
      <c r="AN120" t="s">
        <v>135</v>
      </c>
      <c r="AO120" t="s">
        <v>135</v>
      </c>
      <c r="AP120" t="s">
        <v>136</v>
      </c>
      <c r="AQ120" t="s">
        <v>137</v>
      </c>
      <c r="AR120" t="s">
        <v>138</v>
      </c>
      <c r="AS120" t="s">
        <v>139</v>
      </c>
      <c r="AT120" t="s">
        <v>140</v>
      </c>
      <c r="AU120">
        <v>101</v>
      </c>
      <c r="AV120">
        <v>10</v>
      </c>
      <c r="AW120">
        <v>1</v>
      </c>
      <c r="AX120" s="2">
        <v>45812</v>
      </c>
      <c r="AY120" t="s">
        <v>168</v>
      </c>
      <c r="AZ120" s="2">
        <v>46022</v>
      </c>
      <c r="BA120">
        <v>0</v>
      </c>
      <c r="BB120">
        <v>0</v>
      </c>
      <c r="BC120">
        <v>0</v>
      </c>
      <c r="BD120">
        <v>700</v>
      </c>
      <c r="BE120">
        <v>70</v>
      </c>
      <c r="BF120">
        <v>9</v>
      </c>
      <c r="BG120" s="2">
        <v>45536</v>
      </c>
      <c r="BH120" t="s">
        <v>142</v>
      </c>
      <c r="BI120" s="2">
        <v>46026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722.88</v>
      </c>
      <c r="BQ120">
        <v>722.88</v>
      </c>
      <c r="BR120">
        <v>0</v>
      </c>
      <c r="BS120">
        <v>0</v>
      </c>
      <c r="BT120">
        <v>0</v>
      </c>
      <c r="BU120">
        <v>0</v>
      </c>
      <c r="BV120">
        <v>358.73</v>
      </c>
      <c r="BW120">
        <v>358.73</v>
      </c>
      <c r="BX120">
        <v>0</v>
      </c>
      <c r="BY120">
        <v>0</v>
      </c>
      <c r="BZ120">
        <v>0</v>
      </c>
      <c r="CA120">
        <v>0</v>
      </c>
      <c r="CB120">
        <v>793.29</v>
      </c>
      <c r="CC120" t="s">
        <v>143</v>
      </c>
    </row>
    <row r="121" spans="1:81" x14ac:dyDescent="0.25">
      <c r="A121">
        <v>345</v>
      </c>
      <c r="B121">
        <v>2</v>
      </c>
      <c r="C121">
        <v>267</v>
      </c>
      <c r="D121" t="s">
        <v>810</v>
      </c>
      <c r="E121" t="s">
        <v>121</v>
      </c>
      <c r="F121" t="s">
        <v>811</v>
      </c>
      <c r="G121" t="s">
        <v>812</v>
      </c>
      <c r="H121" t="s">
        <v>813</v>
      </c>
      <c r="I121" t="s">
        <v>814</v>
      </c>
      <c r="J121" t="s">
        <v>781</v>
      </c>
      <c r="K121" t="s">
        <v>466</v>
      </c>
      <c r="L121" t="s">
        <v>128</v>
      </c>
      <c r="M121" t="s">
        <v>467</v>
      </c>
      <c r="N121" t="s">
        <v>815</v>
      </c>
      <c r="O121" t="s">
        <v>131</v>
      </c>
      <c r="P121">
        <v>0</v>
      </c>
      <c r="Q121" t="s">
        <v>125</v>
      </c>
      <c r="R121">
        <v>6</v>
      </c>
      <c r="S121">
        <v>39</v>
      </c>
      <c r="T121" t="s">
        <v>132</v>
      </c>
      <c r="U121" t="s">
        <v>133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134</v>
      </c>
      <c r="AE121" t="s">
        <v>134</v>
      </c>
      <c r="AF121" s="2">
        <v>45518</v>
      </c>
      <c r="AG121" s="2">
        <v>46008</v>
      </c>
      <c r="AH121" s="1">
        <v>1804.11</v>
      </c>
      <c r="AI121" s="1">
        <v>2702.07</v>
      </c>
      <c r="AJ121" s="1">
        <v>16237.01</v>
      </c>
      <c r="AK121">
        <v>0</v>
      </c>
      <c r="AL121" s="1">
        <v>1907.36</v>
      </c>
      <c r="AM121">
        <v>0</v>
      </c>
      <c r="AN121" t="s">
        <v>135</v>
      </c>
      <c r="AO121" t="s">
        <v>135</v>
      </c>
      <c r="AP121" t="s">
        <v>136</v>
      </c>
      <c r="AQ121" t="s">
        <v>137</v>
      </c>
      <c r="AR121" t="s">
        <v>138</v>
      </c>
      <c r="AS121" t="s">
        <v>139</v>
      </c>
      <c r="AT121" t="s">
        <v>140</v>
      </c>
      <c r="AU121">
        <v>103</v>
      </c>
      <c r="AV121">
        <v>10</v>
      </c>
      <c r="AW121">
        <v>1</v>
      </c>
      <c r="AX121" s="2">
        <v>45839</v>
      </c>
      <c r="AY121" t="s">
        <v>377</v>
      </c>
      <c r="AZ121" s="2">
        <v>46028</v>
      </c>
      <c r="BA121">
        <v>0</v>
      </c>
      <c r="BB121">
        <v>0</v>
      </c>
      <c r="BC121">
        <v>0</v>
      </c>
      <c r="BD121">
        <v>700</v>
      </c>
      <c r="BE121">
        <v>70</v>
      </c>
      <c r="BF121">
        <v>9</v>
      </c>
      <c r="BG121" s="2">
        <v>45536</v>
      </c>
      <c r="BH121" t="s">
        <v>142</v>
      </c>
      <c r="BI121" s="2">
        <v>46026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s="1">
        <v>3221.76</v>
      </c>
      <c r="BQ121" s="1">
        <v>3221.76</v>
      </c>
      <c r="BR121">
        <v>0</v>
      </c>
      <c r="BS121">
        <v>0</v>
      </c>
      <c r="BT121">
        <v>0</v>
      </c>
      <c r="BU121">
        <v>0</v>
      </c>
      <c r="BV121" s="1">
        <v>5693.65</v>
      </c>
      <c r="BW121" s="1">
        <v>5693.65</v>
      </c>
      <c r="BX121">
        <v>0</v>
      </c>
      <c r="BY121">
        <v>0</v>
      </c>
      <c r="BZ121">
        <v>0</v>
      </c>
      <c r="CA121">
        <v>0</v>
      </c>
      <c r="CB121" s="1">
        <v>4407.7299999999996</v>
      </c>
      <c r="CC121" t="s">
        <v>143</v>
      </c>
    </row>
    <row r="122" spans="1:81" x14ac:dyDescent="0.25">
      <c r="A122">
        <v>345</v>
      </c>
      <c r="B122">
        <v>2</v>
      </c>
      <c r="C122">
        <v>268</v>
      </c>
      <c r="D122" t="s">
        <v>816</v>
      </c>
      <c r="E122" t="s">
        <v>121</v>
      </c>
      <c r="F122" t="s">
        <v>817</v>
      </c>
      <c r="G122" t="s">
        <v>818</v>
      </c>
      <c r="H122" t="s">
        <v>819</v>
      </c>
      <c r="I122" t="s">
        <v>125</v>
      </c>
      <c r="J122" t="s">
        <v>126</v>
      </c>
      <c r="K122" t="s">
        <v>473</v>
      </c>
      <c r="L122" t="s">
        <v>128</v>
      </c>
      <c r="M122" t="s">
        <v>474</v>
      </c>
      <c r="N122" t="s">
        <v>820</v>
      </c>
      <c r="O122" t="s">
        <v>131</v>
      </c>
      <c r="P122">
        <v>0</v>
      </c>
      <c r="Q122" t="s">
        <v>125</v>
      </c>
      <c r="R122">
        <v>3</v>
      </c>
      <c r="S122">
        <v>87</v>
      </c>
      <c r="T122" t="s">
        <v>132</v>
      </c>
      <c r="U122" t="s">
        <v>133</v>
      </c>
      <c r="V122" s="1">
        <v>2000</v>
      </c>
      <c r="W122">
        <v>0</v>
      </c>
      <c r="X122" s="1">
        <v>2000</v>
      </c>
      <c r="Y122">
        <v>7</v>
      </c>
      <c r="Z122">
        <v>0</v>
      </c>
      <c r="AA122">
        <v>0</v>
      </c>
      <c r="AB122">
        <v>0</v>
      </c>
      <c r="AC122">
        <v>0</v>
      </c>
      <c r="AD122" t="s">
        <v>134</v>
      </c>
      <c r="AE122" t="s">
        <v>134</v>
      </c>
      <c r="AF122" s="2">
        <v>45518</v>
      </c>
      <c r="AG122" s="2">
        <v>46010</v>
      </c>
      <c r="AH122">
        <v>859.5</v>
      </c>
      <c r="AI122" s="1">
        <v>1880.44</v>
      </c>
      <c r="AJ122" s="1">
        <v>6016.53</v>
      </c>
      <c r="AK122">
        <v>0</v>
      </c>
      <c r="AL122">
        <v>0</v>
      </c>
      <c r="AM122">
        <v>0</v>
      </c>
      <c r="AN122" t="s">
        <v>135</v>
      </c>
      <c r="AO122" t="s">
        <v>135</v>
      </c>
      <c r="AP122" t="s">
        <v>136</v>
      </c>
      <c r="AQ122" t="s">
        <v>137</v>
      </c>
      <c r="AR122" t="s">
        <v>138</v>
      </c>
      <c r="AS122" t="s">
        <v>139</v>
      </c>
      <c r="AT122" t="s">
        <v>140</v>
      </c>
      <c r="AU122">
        <v>105</v>
      </c>
      <c r="AV122">
        <v>10</v>
      </c>
      <c r="AW122">
        <v>1</v>
      </c>
      <c r="AX122" s="2">
        <v>45952</v>
      </c>
      <c r="AY122" t="s">
        <v>168</v>
      </c>
      <c r="AZ122" s="2">
        <v>46022</v>
      </c>
      <c r="BA122">
        <v>0</v>
      </c>
      <c r="BB122">
        <v>0</v>
      </c>
      <c r="BC122">
        <v>0</v>
      </c>
      <c r="BD122">
        <v>700</v>
      </c>
      <c r="BE122">
        <v>70</v>
      </c>
      <c r="BF122">
        <v>9</v>
      </c>
      <c r="BG122" s="2">
        <v>45536</v>
      </c>
      <c r="BH122" t="s">
        <v>142</v>
      </c>
      <c r="BI122" s="2">
        <v>46026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s="1">
        <v>1880.44</v>
      </c>
      <c r="BQ122" s="1">
        <v>1880.44</v>
      </c>
      <c r="BR122">
        <v>0</v>
      </c>
      <c r="BS122">
        <v>0</v>
      </c>
      <c r="BT122">
        <v>0</v>
      </c>
      <c r="BU122">
        <v>0</v>
      </c>
      <c r="BV122">
        <v>936.45</v>
      </c>
      <c r="BW122">
        <v>936.45</v>
      </c>
      <c r="BX122">
        <v>0</v>
      </c>
      <c r="BY122">
        <v>0</v>
      </c>
      <c r="BZ122">
        <v>0</v>
      </c>
      <c r="CA122">
        <v>0</v>
      </c>
      <c r="CB122" s="1">
        <v>2090.2399999999998</v>
      </c>
      <c r="CC122" t="s">
        <v>143</v>
      </c>
    </row>
    <row r="123" spans="1:81" x14ac:dyDescent="0.25">
      <c r="A123">
        <v>345</v>
      </c>
      <c r="B123">
        <v>2</v>
      </c>
      <c r="C123">
        <v>269</v>
      </c>
      <c r="D123" t="s">
        <v>821</v>
      </c>
      <c r="E123" t="s">
        <v>121</v>
      </c>
      <c r="F123" t="s">
        <v>822</v>
      </c>
      <c r="G123" t="s">
        <v>823</v>
      </c>
      <c r="H123" t="s">
        <v>824</v>
      </c>
      <c r="I123" t="s">
        <v>125</v>
      </c>
      <c r="J123" t="s">
        <v>825</v>
      </c>
      <c r="K123" t="s">
        <v>336</v>
      </c>
      <c r="L123" t="s">
        <v>128</v>
      </c>
      <c r="M123" t="s">
        <v>337</v>
      </c>
      <c r="N123" t="s">
        <v>826</v>
      </c>
      <c r="O123" t="s">
        <v>131</v>
      </c>
      <c r="P123">
        <v>0</v>
      </c>
      <c r="Q123" t="s">
        <v>125</v>
      </c>
      <c r="R123">
        <v>6</v>
      </c>
      <c r="S123">
        <v>41</v>
      </c>
      <c r="T123" t="s">
        <v>132</v>
      </c>
      <c r="U123" t="s">
        <v>133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134</v>
      </c>
      <c r="AE123" t="s">
        <v>134</v>
      </c>
      <c r="AF123" s="2">
        <v>45518</v>
      </c>
      <c r="AG123" s="2">
        <v>46014</v>
      </c>
      <c r="AH123" s="1">
        <v>1393.64</v>
      </c>
      <c r="AI123" s="1">
        <v>2402.13</v>
      </c>
      <c r="AJ123" s="1">
        <v>18117.39</v>
      </c>
      <c r="AK123">
        <v>0</v>
      </c>
      <c r="AL123" s="1">
        <v>2402.13</v>
      </c>
      <c r="AM123">
        <v>0</v>
      </c>
      <c r="AN123" t="s">
        <v>135</v>
      </c>
      <c r="AO123" t="s">
        <v>135</v>
      </c>
      <c r="AP123" t="s">
        <v>136</v>
      </c>
      <c r="AQ123" t="s">
        <v>137</v>
      </c>
      <c r="AR123" t="s">
        <v>138</v>
      </c>
      <c r="AS123" t="s">
        <v>139</v>
      </c>
      <c r="AT123" t="s">
        <v>140</v>
      </c>
      <c r="AU123">
        <v>101</v>
      </c>
      <c r="AV123">
        <v>10</v>
      </c>
      <c r="AW123">
        <v>1</v>
      </c>
      <c r="AX123" s="2">
        <v>45838</v>
      </c>
      <c r="AY123" t="s">
        <v>141</v>
      </c>
      <c r="AZ123" s="2">
        <v>46027</v>
      </c>
      <c r="BA123">
        <v>0</v>
      </c>
      <c r="BB123">
        <v>0</v>
      </c>
      <c r="BC123">
        <v>0</v>
      </c>
      <c r="BD123">
        <v>700</v>
      </c>
      <c r="BE123">
        <v>70</v>
      </c>
      <c r="BF123">
        <v>9</v>
      </c>
      <c r="BG123" s="2">
        <v>45536</v>
      </c>
      <c r="BH123" t="s">
        <v>142</v>
      </c>
      <c r="BI123" s="2">
        <v>46026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s="1">
        <v>4484.1899999999996</v>
      </c>
      <c r="BQ123" s="1">
        <v>4484.1899999999996</v>
      </c>
      <c r="BR123">
        <v>0</v>
      </c>
      <c r="BS123">
        <v>0</v>
      </c>
      <c r="BT123">
        <v>0</v>
      </c>
      <c r="BU123">
        <v>0</v>
      </c>
      <c r="BV123" s="1">
        <v>9031.25</v>
      </c>
      <c r="BW123" s="1">
        <v>9031.25</v>
      </c>
      <c r="BX123">
        <v>0</v>
      </c>
      <c r="BY123">
        <v>0</v>
      </c>
      <c r="BZ123">
        <v>0</v>
      </c>
      <c r="CA123">
        <v>0</v>
      </c>
      <c r="CB123" s="1">
        <v>4541.49</v>
      </c>
      <c r="CC123" t="s">
        <v>143</v>
      </c>
    </row>
    <row r="124" spans="1:81" x14ac:dyDescent="0.25">
      <c r="A124">
        <v>345</v>
      </c>
      <c r="B124">
        <v>2</v>
      </c>
      <c r="C124">
        <v>270</v>
      </c>
      <c r="D124" t="s">
        <v>827</v>
      </c>
      <c r="E124" t="s">
        <v>121</v>
      </c>
      <c r="F124" t="s">
        <v>828</v>
      </c>
      <c r="G124" t="s">
        <v>829</v>
      </c>
      <c r="H124" t="s">
        <v>830</v>
      </c>
      <c r="I124" t="s">
        <v>125</v>
      </c>
      <c r="J124" t="s">
        <v>831</v>
      </c>
      <c r="K124" t="s">
        <v>336</v>
      </c>
      <c r="L124" t="s">
        <v>128</v>
      </c>
      <c r="M124" t="s">
        <v>337</v>
      </c>
      <c r="N124" t="s">
        <v>832</v>
      </c>
      <c r="O124" t="s">
        <v>131</v>
      </c>
      <c r="P124">
        <v>0</v>
      </c>
      <c r="Q124" t="s">
        <v>125</v>
      </c>
      <c r="R124">
        <v>6</v>
      </c>
      <c r="S124">
        <v>39</v>
      </c>
      <c r="T124" t="s">
        <v>132</v>
      </c>
      <c r="U124" t="s">
        <v>133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134</v>
      </c>
      <c r="AE124" t="s">
        <v>134</v>
      </c>
      <c r="AF124" s="2">
        <v>45518</v>
      </c>
      <c r="AG124" s="2">
        <v>46014</v>
      </c>
      <c r="AH124">
        <v>322.95999999999998</v>
      </c>
      <c r="AI124">
        <v>558.72</v>
      </c>
      <c r="AJ124" s="1">
        <v>2583.7399999999998</v>
      </c>
      <c r="AK124">
        <v>0</v>
      </c>
      <c r="AL124">
        <v>397.4</v>
      </c>
      <c r="AM124">
        <v>0</v>
      </c>
      <c r="AN124" t="s">
        <v>135</v>
      </c>
      <c r="AO124" t="s">
        <v>135</v>
      </c>
      <c r="AP124" t="s">
        <v>136</v>
      </c>
      <c r="AQ124" t="s">
        <v>137</v>
      </c>
      <c r="AR124" t="s">
        <v>138</v>
      </c>
      <c r="AS124" t="s">
        <v>139</v>
      </c>
      <c r="AT124" t="s">
        <v>140</v>
      </c>
      <c r="AU124">
        <v>104</v>
      </c>
      <c r="AV124">
        <v>10</v>
      </c>
      <c r="AW124">
        <v>1</v>
      </c>
      <c r="AX124" s="2">
        <v>45859</v>
      </c>
      <c r="AY124" t="s">
        <v>141</v>
      </c>
      <c r="AZ124" s="2">
        <v>46027</v>
      </c>
      <c r="BA124">
        <v>0</v>
      </c>
      <c r="BB124">
        <v>0</v>
      </c>
      <c r="BC124">
        <v>0</v>
      </c>
      <c r="BD124">
        <v>700</v>
      </c>
      <c r="BE124">
        <v>70</v>
      </c>
      <c r="BF124">
        <v>9</v>
      </c>
      <c r="BG124" s="2">
        <v>45536</v>
      </c>
      <c r="BH124" t="s">
        <v>142</v>
      </c>
      <c r="BI124" s="2">
        <v>46026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534.27</v>
      </c>
      <c r="BQ124">
        <v>534.27</v>
      </c>
      <c r="BR124">
        <v>0</v>
      </c>
      <c r="BS124">
        <v>0</v>
      </c>
      <c r="BT124">
        <v>0</v>
      </c>
      <c r="BU124">
        <v>0</v>
      </c>
      <c r="BV124" s="1">
        <v>1232.51</v>
      </c>
      <c r="BW124" s="1">
        <v>1232.51</v>
      </c>
      <c r="BX124">
        <v>0</v>
      </c>
      <c r="BY124">
        <v>0</v>
      </c>
      <c r="BZ124">
        <v>0</v>
      </c>
      <c r="CA124">
        <v>0</v>
      </c>
      <c r="CB124">
        <v>569.29</v>
      </c>
      <c r="CC124" t="s">
        <v>143</v>
      </c>
    </row>
    <row r="125" spans="1:81" x14ac:dyDescent="0.25">
      <c r="A125">
        <v>345</v>
      </c>
      <c r="B125">
        <v>2</v>
      </c>
      <c r="C125">
        <v>271</v>
      </c>
      <c r="D125" t="s">
        <v>833</v>
      </c>
      <c r="E125" t="s">
        <v>121</v>
      </c>
      <c r="F125" t="s">
        <v>834</v>
      </c>
      <c r="G125" t="s">
        <v>835</v>
      </c>
      <c r="H125" t="s">
        <v>836</v>
      </c>
      <c r="I125" t="s">
        <v>125</v>
      </c>
      <c r="J125" t="s">
        <v>565</v>
      </c>
      <c r="K125" t="s">
        <v>336</v>
      </c>
      <c r="L125" t="s">
        <v>128</v>
      </c>
      <c r="M125" t="s">
        <v>337</v>
      </c>
      <c r="N125" t="s">
        <v>837</v>
      </c>
      <c r="O125" t="s">
        <v>167</v>
      </c>
      <c r="P125">
        <v>0</v>
      </c>
      <c r="Q125" t="s">
        <v>125</v>
      </c>
      <c r="R125">
        <v>6</v>
      </c>
      <c r="S125">
        <v>35</v>
      </c>
      <c r="T125" t="s">
        <v>132</v>
      </c>
      <c r="U125" t="s">
        <v>133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234</v>
      </c>
      <c r="AE125" t="s">
        <v>234</v>
      </c>
      <c r="AF125" s="2">
        <v>45518</v>
      </c>
      <c r="AG125" s="2">
        <v>46014</v>
      </c>
      <c r="AH125">
        <v>603.54999999999995</v>
      </c>
      <c r="AI125" s="1">
        <v>1307.6500000000001</v>
      </c>
      <c r="AJ125" s="1">
        <v>3621.35</v>
      </c>
      <c r="AK125">
        <v>0</v>
      </c>
      <c r="AL125">
        <v>0</v>
      </c>
      <c r="AM125">
        <v>0</v>
      </c>
      <c r="AN125" t="s">
        <v>135</v>
      </c>
      <c r="AO125" t="s">
        <v>135</v>
      </c>
      <c r="AP125" t="s">
        <v>136</v>
      </c>
      <c r="AQ125" t="s">
        <v>137</v>
      </c>
      <c r="AR125" t="s">
        <v>138</v>
      </c>
      <c r="AS125" t="s">
        <v>139</v>
      </c>
      <c r="AT125" t="s">
        <v>140</v>
      </c>
      <c r="AU125">
        <v>104</v>
      </c>
      <c r="AV125">
        <v>10</v>
      </c>
      <c r="AW125">
        <v>1</v>
      </c>
      <c r="AX125" s="2">
        <v>45859</v>
      </c>
      <c r="AY125" t="s">
        <v>141</v>
      </c>
      <c r="AZ125" s="2">
        <v>46027</v>
      </c>
      <c r="BA125">
        <v>0</v>
      </c>
      <c r="BB125">
        <v>0</v>
      </c>
      <c r="BC125">
        <v>0</v>
      </c>
      <c r="BD125">
        <v>700</v>
      </c>
      <c r="BE125">
        <v>70</v>
      </c>
      <c r="BF125">
        <v>9</v>
      </c>
      <c r="BG125" s="2">
        <v>45536</v>
      </c>
      <c r="BH125" t="s">
        <v>142</v>
      </c>
      <c r="BI125" s="2">
        <v>46026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902.48</v>
      </c>
      <c r="BQ125">
        <v>902.48</v>
      </c>
      <c r="BR125">
        <v>0</v>
      </c>
      <c r="BS125">
        <v>0</v>
      </c>
      <c r="BT125">
        <v>0</v>
      </c>
      <c r="BU125">
        <v>0</v>
      </c>
      <c r="BV125" s="1">
        <v>2718.87</v>
      </c>
      <c r="BW125" s="1">
        <v>2718.87</v>
      </c>
      <c r="BX125">
        <v>0</v>
      </c>
      <c r="BY125">
        <v>0</v>
      </c>
      <c r="BZ125">
        <v>0</v>
      </c>
      <c r="CA125">
        <v>0</v>
      </c>
      <c r="CB125">
        <v>300.82</v>
      </c>
      <c r="CC125" t="s">
        <v>161</v>
      </c>
    </row>
    <row r="126" spans="1:81" x14ac:dyDescent="0.25">
      <c r="A126">
        <v>345</v>
      </c>
      <c r="B126">
        <v>2</v>
      </c>
      <c r="C126">
        <v>272</v>
      </c>
      <c r="D126" t="s">
        <v>838</v>
      </c>
      <c r="E126" t="s">
        <v>121</v>
      </c>
      <c r="F126" t="s">
        <v>839</v>
      </c>
      <c r="G126" t="s">
        <v>840</v>
      </c>
      <c r="H126" t="s">
        <v>841</v>
      </c>
      <c r="I126" t="s">
        <v>125</v>
      </c>
      <c r="J126" t="s">
        <v>793</v>
      </c>
      <c r="K126" t="s">
        <v>336</v>
      </c>
      <c r="L126" t="s">
        <v>128</v>
      </c>
      <c r="M126" t="s">
        <v>337</v>
      </c>
      <c r="N126" t="s">
        <v>842</v>
      </c>
      <c r="O126" t="s">
        <v>131</v>
      </c>
      <c r="P126">
        <v>0</v>
      </c>
      <c r="Q126" t="s">
        <v>125</v>
      </c>
      <c r="R126">
        <v>6</v>
      </c>
      <c r="S126">
        <v>39</v>
      </c>
      <c r="T126" t="s">
        <v>132</v>
      </c>
      <c r="U126" t="s">
        <v>133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134</v>
      </c>
      <c r="AE126" t="s">
        <v>134</v>
      </c>
      <c r="AF126" s="2">
        <v>45518</v>
      </c>
      <c r="AG126" s="2">
        <v>46003</v>
      </c>
      <c r="AH126">
        <v>360.08</v>
      </c>
      <c r="AI126">
        <v>613.62</v>
      </c>
      <c r="AJ126" s="1">
        <v>1440.35</v>
      </c>
      <c r="AK126">
        <v>0</v>
      </c>
      <c r="AL126">
        <v>0</v>
      </c>
      <c r="AM126">
        <v>0</v>
      </c>
      <c r="AN126" t="s">
        <v>135</v>
      </c>
      <c r="AO126" t="s">
        <v>135</v>
      </c>
      <c r="AP126" t="s">
        <v>136</v>
      </c>
      <c r="AQ126" t="s">
        <v>137</v>
      </c>
      <c r="AR126" t="s">
        <v>138</v>
      </c>
      <c r="AS126" t="s">
        <v>139</v>
      </c>
      <c r="AT126" t="s">
        <v>140</v>
      </c>
      <c r="AU126">
        <v>104</v>
      </c>
      <c r="AV126">
        <v>10</v>
      </c>
      <c r="AW126">
        <v>1</v>
      </c>
      <c r="AX126" s="2">
        <v>45813</v>
      </c>
      <c r="AY126" t="s">
        <v>308</v>
      </c>
      <c r="AZ126" s="2">
        <v>46023</v>
      </c>
      <c r="BA126">
        <v>0</v>
      </c>
      <c r="BB126">
        <v>0</v>
      </c>
      <c r="BC126">
        <v>0</v>
      </c>
      <c r="BD126">
        <v>700</v>
      </c>
      <c r="BE126">
        <v>70</v>
      </c>
      <c r="BF126">
        <v>9</v>
      </c>
      <c r="BG126" s="2">
        <v>45536</v>
      </c>
      <c r="BH126" t="s">
        <v>142</v>
      </c>
      <c r="BI126" s="2">
        <v>46026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565.53</v>
      </c>
      <c r="BQ126">
        <v>565.53</v>
      </c>
      <c r="BR126">
        <v>0</v>
      </c>
      <c r="BS126">
        <v>0</v>
      </c>
      <c r="BT126">
        <v>0</v>
      </c>
      <c r="BU126">
        <v>0</v>
      </c>
      <c r="BV126">
        <v>874.82</v>
      </c>
      <c r="BW126">
        <v>874.82</v>
      </c>
      <c r="BX126">
        <v>0</v>
      </c>
      <c r="BY126">
        <v>0</v>
      </c>
      <c r="BZ126">
        <v>0</v>
      </c>
      <c r="CA126">
        <v>0</v>
      </c>
      <c r="CB126">
        <v>253.05</v>
      </c>
      <c r="CC126" t="s">
        <v>143</v>
      </c>
    </row>
    <row r="127" spans="1:81" x14ac:dyDescent="0.25">
      <c r="A127">
        <v>345</v>
      </c>
      <c r="B127">
        <v>2</v>
      </c>
      <c r="C127">
        <v>273</v>
      </c>
      <c r="D127" t="s">
        <v>843</v>
      </c>
      <c r="E127" t="s">
        <v>121</v>
      </c>
      <c r="F127" t="s">
        <v>844</v>
      </c>
      <c r="G127" t="s">
        <v>845</v>
      </c>
      <c r="H127" t="s">
        <v>841</v>
      </c>
      <c r="I127" t="s">
        <v>125</v>
      </c>
      <c r="J127" t="s">
        <v>793</v>
      </c>
      <c r="K127" t="s">
        <v>336</v>
      </c>
      <c r="L127" t="s">
        <v>128</v>
      </c>
      <c r="M127" t="s">
        <v>337</v>
      </c>
      <c r="N127" t="s">
        <v>846</v>
      </c>
      <c r="O127" t="s">
        <v>131</v>
      </c>
      <c r="P127">
        <v>0</v>
      </c>
      <c r="Q127" t="s">
        <v>125</v>
      </c>
      <c r="R127">
        <v>6</v>
      </c>
      <c r="S127">
        <v>39</v>
      </c>
      <c r="T127" t="s">
        <v>132</v>
      </c>
      <c r="U127" t="s">
        <v>133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134</v>
      </c>
      <c r="AE127" t="s">
        <v>134</v>
      </c>
      <c r="AF127" s="2">
        <v>45518</v>
      </c>
      <c r="AG127" s="2">
        <v>46003</v>
      </c>
      <c r="AH127">
        <v>186.76</v>
      </c>
      <c r="AI127">
        <v>192.66</v>
      </c>
      <c r="AJ127">
        <v>560.28</v>
      </c>
      <c r="AK127">
        <v>0</v>
      </c>
      <c r="AL127">
        <v>0</v>
      </c>
      <c r="AM127">
        <v>0</v>
      </c>
      <c r="AN127" t="s">
        <v>135</v>
      </c>
      <c r="AO127" t="s">
        <v>135</v>
      </c>
      <c r="AP127" t="s">
        <v>136</v>
      </c>
      <c r="AQ127" t="s">
        <v>137</v>
      </c>
      <c r="AR127" t="s">
        <v>138</v>
      </c>
      <c r="AS127" t="s">
        <v>139</v>
      </c>
      <c r="AT127" t="s">
        <v>140</v>
      </c>
      <c r="AU127">
        <v>104</v>
      </c>
      <c r="AV127">
        <v>10</v>
      </c>
      <c r="AW127">
        <v>1</v>
      </c>
      <c r="AX127" s="2">
        <v>45813</v>
      </c>
      <c r="AY127" t="s">
        <v>308</v>
      </c>
      <c r="AZ127" s="2">
        <v>46023</v>
      </c>
      <c r="BA127">
        <v>0</v>
      </c>
      <c r="BB127">
        <v>0</v>
      </c>
      <c r="BC127">
        <v>0</v>
      </c>
      <c r="BD127">
        <v>700</v>
      </c>
      <c r="BE127">
        <v>70</v>
      </c>
      <c r="BF127">
        <v>9</v>
      </c>
      <c r="BG127" s="2">
        <v>45536</v>
      </c>
      <c r="BH127" t="s">
        <v>142</v>
      </c>
      <c r="BI127" s="2">
        <v>46026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186</v>
      </c>
      <c r="BQ127">
        <v>186</v>
      </c>
      <c r="BR127">
        <v>0</v>
      </c>
      <c r="BS127">
        <v>0</v>
      </c>
      <c r="BT127">
        <v>0</v>
      </c>
      <c r="BU127">
        <v>0</v>
      </c>
      <c r="BV127">
        <v>181.62</v>
      </c>
      <c r="BW127">
        <v>181.62</v>
      </c>
      <c r="BX127">
        <v>0</v>
      </c>
      <c r="BY127">
        <v>0</v>
      </c>
      <c r="BZ127">
        <v>0</v>
      </c>
      <c r="CA127">
        <v>0</v>
      </c>
      <c r="CB127">
        <v>294.43</v>
      </c>
      <c r="CC127" t="s">
        <v>143</v>
      </c>
    </row>
    <row r="128" spans="1:81" x14ac:dyDescent="0.25">
      <c r="A128">
        <v>345</v>
      </c>
      <c r="B128">
        <v>2</v>
      </c>
      <c r="C128">
        <v>274</v>
      </c>
      <c r="D128" t="s">
        <v>847</v>
      </c>
      <c r="E128" t="s">
        <v>121</v>
      </c>
      <c r="F128" t="s">
        <v>848</v>
      </c>
      <c r="G128" t="s">
        <v>849</v>
      </c>
      <c r="H128" t="s">
        <v>850</v>
      </c>
      <c r="I128" t="s">
        <v>125</v>
      </c>
      <c r="J128" t="s">
        <v>851</v>
      </c>
      <c r="K128" t="s">
        <v>466</v>
      </c>
      <c r="L128" t="s">
        <v>128</v>
      </c>
      <c r="M128" t="s">
        <v>467</v>
      </c>
      <c r="N128" t="s">
        <v>852</v>
      </c>
      <c r="O128" t="s">
        <v>131</v>
      </c>
      <c r="P128">
        <v>0</v>
      </c>
      <c r="Q128" t="s">
        <v>125</v>
      </c>
      <c r="R128">
        <v>6</v>
      </c>
      <c r="S128">
        <v>39</v>
      </c>
      <c r="T128" t="s">
        <v>132</v>
      </c>
      <c r="U128" t="s">
        <v>133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134</v>
      </c>
      <c r="AE128" t="s">
        <v>134</v>
      </c>
      <c r="AF128" s="2">
        <v>45518</v>
      </c>
      <c r="AG128" s="2">
        <v>46011</v>
      </c>
      <c r="AH128">
        <v>458.82</v>
      </c>
      <c r="AI128">
        <v>663.75</v>
      </c>
      <c r="AJ128" s="1">
        <v>1376.48</v>
      </c>
      <c r="AK128">
        <v>0</v>
      </c>
      <c r="AL128">
        <v>0</v>
      </c>
      <c r="AM128">
        <v>0</v>
      </c>
      <c r="AN128" t="s">
        <v>135</v>
      </c>
      <c r="AO128" t="s">
        <v>135</v>
      </c>
      <c r="AP128" t="s">
        <v>136</v>
      </c>
      <c r="AQ128" t="s">
        <v>137</v>
      </c>
      <c r="AR128" t="s">
        <v>138</v>
      </c>
      <c r="AS128" t="s">
        <v>139</v>
      </c>
      <c r="AT128" t="s">
        <v>140</v>
      </c>
      <c r="AU128">
        <v>100</v>
      </c>
      <c r="AV128">
        <v>10</v>
      </c>
      <c r="AW128">
        <v>1</v>
      </c>
      <c r="AX128" s="2">
        <v>45848</v>
      </c>
      <c r="AY128" t="s">
        <v>308</v>
      </c>
      <c r="AZ128" s="2">
        <v>46023</v>
      </c>
      <c r="BA128">
        <v>0</v>
      </c>
      <c r="BB128">
        <v>0</v>
      </c>
      <c r="BC128">
        <v>0</v>
      </c>
      <c r="BD128">
        <v>700</v>
      </c>
      <c r="BE128">
        <v>70</v>
      </c>
      <c r="BF128">
        <v>9</v>
      </c>
      <c r="BG128" s="2">
        <v>45536</v>
      </c>
      <c r="BH128" t="s">
        <v>142</v>
      </c>
      <c r="BI128" s="2">
        <v>46026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112.96</v>
      </c>
      <c r="BQ128">
        <v>112.96</v>
      </c>
      <c r="BR128">
        <v>0</v>
      </c>
      <c r="BS128">
        <v>0</v>
      </c>
      <c r="BT128">
        <v>0</v>
      </c>
      <c r="BU128">
        <v>0</v>
      </c>
      <c r="BV128">
        <v>663.75</v>
      </c>
      <c r="BW128">
        <v>663.75</v>
      </c>
      <c r="BX128">
        <v>0</v>
      </c>
      <c r="BY128">
        <v>0</v>
      </c>
      <c r="BZ128">
        <v>0</v>
      </c>
      <c r="CA128">
        <v>0</v>
      </c>
      <c r="CB128">
        <v>453.16</v>
      </c>
      <c r="CC128" t="s">
        <v>143</v>
      </c>
    </row>
    <row r="129" spans="1:81" x14ac:dyDescent="0.25">
      <c r="A129">
        <v>345</v>
      </c>
      <c r="B129">
        <v>2</v>
      </c>
      <c r="C129">
        <v>276</v>
      </c>
      <c r="D129" t="s">
        <v>853</v>
      </c>
      <c r="E129" t="s">
        <v>121</v>
      </c>
      <c r="F129" t="s">
        <v>854</v>
      </c>
      <c r="G129" t="s">
        <v>855</v>
      </c>
      <c r="H129" t="s">
        <v>856</v>
      </c>
      <c r="I129" t="s">
        <v>857</v>
      </c>
      <c r="J129" t="s">
        <v>858</v>
      </c>
      <c r="K129" t="s">
        <v>336</v>
      </c>
      <c r="L129" t="s">
        <v>128</v>
      </c>
      <c r="M129" t="s">
        <v>337</v>
      </c>
      <c r="N129" t="s">
        <v>859</v>
      </c>
      <c r="O129" t="s">
        <v>131</v>
      </c>
      <c r="P129">
        <v>0</v>
      </c>
      <c r="Q129" t="s">
        <v>125</v>
      </c>
      <c r="R129">
        <v>2</v>
      </c>
      <c r="S129">
        <v>90</v>
      </c>
      <c r="T129" t="s">
        <v>132</v>
      </c>
      <c r="U129" t="s">
        <v>133</v>
      </c>
      <c r="V129">
        <v>330</v>
      </c>
      <c r="W129">
        <v>0</v>
      </c>
      <c r="X129">
        <v>330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134</v>
      </c>
      <c r="AE129" t="s">
        <v>134</v>
      </c>
      <c r="AF129" s="2">
        <v>45518</v>
      </c>
      <c r="AG129" s="2">
        <v>46010</v>
      </c>
      <c r="AH129">
        <v>158.83000000000001</v>
      </c>
      <c r="AI129">
        <v>229.2</v>
      </c>
      <c r="AJ129" s="1">
        <v>1429.52</v>
      </c>
      <c r="AK129">
        <v>0</v>
      </c>
      <c r="AL129">
        <v>0</v>
      </c>
      <c r="AM129">
        <v>0</v>
      </c>
      <c r="AN129" t="s">
        <v>135</v>
      </c>
      <c r="AO129" t="s">
        <v>135</v>
      </c>
      <c r="AP129" t="s">
        <v>136</v>
      </c>
      <c r="AQ129" t="s">
        <v>137</v>
      </c>
      <c r="AR129" t="s">
        <v>138</v>
      </c>
      <c r="AS129" t="s">
        <v>139</v>
      </c>
      <c r="AT129" t="s">
        <v>140</v>
      </c>
      <c r="AU129">
        <v>101</v>
      </c>
      <c r="AV129">
        <v>10</v>
      </c>
      <c r="AW129">
        <v>1</v>
      </c>
      <c r="AX129" s="2">
        <v>45995</v>
      </c>
      <c r="AY129" t="s">
        <v>308</v>
      </c>
      <c r="AZ129" s="2">
        <v>46023</v>
      </c>
      <c r="BA129">
        <v>0</v>
      </c>
      <c r="BB129">
        <v>0</v>
      </c>
      <c r="BC129">
        <v>0</v>
      </c>
      <c r="BD129">
        <v>700</v>
      </c>
      <c r="BE129">
        <v>70</v>
      </c>
      <c r="BF129">
        <v>9</v>
      </c>
      <c r="BG129" s="2">
        <v>45536</v>
      </c>
      <c r="BH129" t="s">
        <v>142</v>
      </c>
      <c r="BI129" s="2">
        <v>46026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643.67999999999995</v>
      </c>
      <c r="BQ129">
        <v>643.67999999999995</v>
      </c>
      <c r="BR129">
        <v>0</v>
      </c>
      <c r="BS129">
        <v>0</v>
      </c>
      <c r="BT129">
        <v>0</v>
      </c>
      <c r="BU129">
        <v>0</v>
      </c>
      <c r="BV129">
        <v>517.42999999999995</v>
      </c>
      <c r="BW129">
        <v>517.42999999999995</v>
      </c>
      <c r="BX129">
        <v>0</v>
      </c>
      <c r="BY129">
        <v>0</v>
      </c>
      <c r="BZ129">
        <v>0</v>
      </c>
      <c r="CA129">
        <v>0</v>
      </c>
      <c r="CB129">
        <v>478.88</v>
      </c>
      <c r="CC129" t="s">
        <v>143</v>
      </c>
    </row>
    <row r="130" spans="1:81" x14ac:dyDescent="0.25">
      <c r="A130">
        <v>345</v>
      </c>
      <c r="B130">
        <v>2</v>
      </c>
      <c r="C130">
        <v>277</v>
      </c>
      <c r="D130" t="s">
        <v>860</v>
      </c>
      <c r="E130" t="s">
        <v>121</v>
      </c>
      <c r="F130" t="s">
        <v>861</v>
      </c>
      <c r="G130" t="s">
        <v>862</v>
      </c>
      <c r="H130" t="s">
        <v>863</v>
      </c>
      <c r="I130" t="s">
        <v>864</v>
      </c>
      <c r="J130" t="s">
        <v>126</v>
      </c>
      <c r="K130" t="s">
        <v>466</v>
      </c>
      <c r="L130" t="s">
        <v>128</v>
      </c>
      <c r="M130" t="s">
        <v>467</v>
      </c>
      <c r="N130" t="s">
        <v>865</v>
      </c>
      <c r="O130" t="s">
        <v>167</v>
      </c>
      <c r="P130">
        <v>0</v>
      </c>
      <c r="Q130" t="s">
        <v>125</v>
      </c>
      <c r="R130">
        <v>6</v>
      </c>
      <c r="S130">
        <v>36</v>
      </c>
      <c r="T130" t="s">
        <v>132</v>
      </c>
      <c r="U130" t="s">
        <v>133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134</v>
      </c>
      <c r="AE130" t="s">
        <v>134</v>
      </c>
      <c r="AF130" s="2">
        <v>45518</v>
      </c>
      <c r="AG130" s="2">
        <v>46017</v>
      </c>
      <c r="AH130">
        <v>226.05</v>
      </c>
      <c r="AI130">
        <v>427.31</v>
      </c>
      <c r="AJ130" s="1">
        <v>2034.5</v>
      </c>
      <c r="AK130">
        <v>0</v>
      </c>
      <c r="AL130">
        <v>0</v>
      </c>
      <c r="AM130">
        <v>0</v>
      </c>
      <c r="AN130" t="s">
        <v>135</v>
      </c>
      <c r="AO130" t="s">
        <v>135</v>
      </c>
      <c r="AP130" t="s">
        <v>136</v>
      </c>
      <c r="AQ130" t="s">
        <v>137</v>
      </c>
      <c r="AR130" t="s">
        <v>138</v>
      </c>
      <c r="AS130" t="s">
        <v>139</v>
      </c>
      <c r="AT130" t="s">
        <v>140</v>
      </c>
      <c r="AU130">
        <v>105</v>
      </c>
      <c r="AV130">
        <v>10</v>
      </c>
      <c r="AW130">
        <v>1</v>
      </c>
      <c r="AX130" s="2">
        <v>45965</v>
      </c>
      <c r="AY130" t="s">
        <v>377</v>
      </c>
      <c r="AZ130" s="2">
        <v>46028</v>
      </c>
      <c r="BA130">
        <v>0</v>
      </c>
      <c r="BB130">
        <v>0</v>
      </c>
      <c r="BC130">
        <v>0</v>
      </c>
      <c r="BD130">
        <v>700</v>
      </c>
      <c r="BE130">
        <v>70</v>
      </c>
      <c r="BF130">
        <v>9</v>
      </c>
      <c r="BG130" s="2">
        <v>45536</v>
      </c>
      <c r="BH130" t="s">
        <v>142</v>
      </c>
      <c r="BI130" s="2">
        <v>46026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658.66</v>
      </c>
      <c r="BQ130">
        <v>658.66</v>
      </c>
      <c r="BR130">
        <v>0</v>
      </c>
      <c r="BS130">
        <v>0</v>
      </c>
      <c r="BT130">
        <v>0</v>
      </c>
      <c r="BU130">
        <v>0</v>
      </c>
      <c r="BV130" s="1">
        <v>1023.04</v>
      </c>
      <c r="BW130" s="1">
        <v>1023.04</v>
      </c>
      <c r="BX130">
        <v>0</v>
      </c>
      <c r="BY130">
        <v>0</v>
      </c>
      <c r="BZ130">
        <v>0</v>
      </c>
      <c r="CA130">
        <v>0</v>
      </c>
      <c r="CB130">
        <v>633.32000000000005</v>
      </c>
      <c r="CC130" t="s">
        <v>161</v>
      </c>
    </row>
    <row r="131" spans="1:81" x14ac:dyDescent="0.25">
      <c r="A131">
        <v>345</v>
      </c>
      <c r="B131">
        <v>2</v>
      </c>
      <c r="C131">
        <v>279</v>
      </c>
      <c r="D131" t="s">
        <v>866</v>
      </c>
      <c r="E131" t="s">
        <v>121</v>
      </c>
      <c r="F131" t="s">
        <v>867</v>
      </c>
      <c r="G131" t="s">
        <v>868</v>
      </c>
      <c r="H131" t="s">
        <v>869</v>
      </c>
      <c r="I131" t="s">
        <v>125</v>
      </c>
      <c r="J131" t="s">
        <v>126</v>
      </c>
      <c r="K131" t="s">
        <v>466</v>
      </c>
      <c r="L131" t="s">
        <v>128</v>
      </c>
      <c r="M131" t="s">
        <v>467</v>
      </c>
      <c r="N131" t="s">
        <v>870</v>
      </c>
      <c r="O131" t="s">
        <v>131</v>
      </c>
      <c r="P131">
        <v>0</v>
      </c>
      <c r="Q131" t="s">
        <v>125</v>
      </c>
      <c r="R131">
        <v>6</v>
      </c>
      <c r="S131">
        <v>41</v>
      </c>
      <c r="T131" t="s">
        <v>132</v>
      </c>
      <c r="U131" t="s">
        <v>133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134</v>
      </c>
      <c r="AE131" t="s">
        <v>134</v>
      </c>
      <c r="AF131" s="2">
        <v>45518</v>
      </c>
      <c r="AG131" s="2">
        <v>46011</v>
      </c>
      <c r="AH131">
        <v>507.14</v>
      </c>
      <c r="AI131">
        <v>536.59</v>
      </c>
      <c r="AJ131" s="1">
        <v>1521.44</v>
      </c>
      <c r="AK131">
        <v>0</v>
      </c>
      <c r="AL131">
        <v>0</v>
      </c>
      <c r="AM131">
        <v>0</v>
      </c>
      <c r="AN131" t="s">
        <v>135</v>
      </c>
      <c r="AO131" t="s">
        <v>135</v>
      </c>
      <c r="AP131" t="s">
        <v>136</v>
      </c>
      <c r="AQ131" t="s">
        <v>137</v>
      </c>
      <c r="AR131" t="s">
        <v>138</v>
      </c>
      <c r="AS131" t="s">
        <v>150</v>
      </c>
      <c r="AT131" t="s">
        <v>140</v>
      </c>
      <c r="AU131">
        <v>105</v>
      </c>
      <c r="AV131">
        <v>10</v>
      </c>
      <c r="AW131">
        <v>1</v>
      </c>
      <c r="AX131" s="2">
        <v>45813</v>
      </c>
      <c r="AY131" t="s">
        <v>308</v>
      </c>
      <c r="AZ131" s="2">
        <v>46023</v>
      </c>
      <c r="BA131">
        <v>0</v>
      </c>
      <c r="BB131">
        <v>0</v>
      </c>
      <c r="BC131">
        <v>0</v>
      </c>
      <c r="BD131">
        <v>700</v>
      </c>
      <c r="BE131">
        <v>70</v>
      </c>
      <c r="BF131">
        <v>9</v>
      </c>
      <c r="BG131" s="2">
        <v>45536</v>
      </c>
      <c r="BH131" t="s">
        <v>142</v>
      </c>
      <c r="BI131" s="2">
        <v>46026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503.95</v>
      </c>
      <c r="BQ131">
        <v>503.95</v>
      </c>
      <c r="BR131">
        <v>0</v>
      </c>
      <c r="BS131">
        <v>0</v>
      </c>
      <c r="BT131">
        <v>0</v>
      </c>
      <c r="BU131">
        <v>0</v>
      </c>
      <c r="BV131">
        <v>536.59</v>
      </c>
      <c r="BW131">
        <v>536.59</v>
      </c>
      <c r="BX131">
        <v>0</v>
      </c>
      <c r="BY131">
        <v>0</v>
      </c>
      <c r="BZ131">
        <v>0</v>
      </c>
      <c r="CA131">
        <v>0</v>
      </c>
      <c r="CB131">
        <v>525.03</v>
      </c>
      <c r="CC131" t="s">
        <v>143</v>
      </c>
    </row>
    <row r="132" spans="1:81" x14ac:dyDescent="0.25">
      <c r="A132">
        <v>345</v>
      </c>
      <c r="B132">
        <v>2</v>
      </c>
      <c r="C132">
        <v>280</v>
      </c>
      <c r="D132" t="s">
        <v>871</v>
      </c>
      <c r="E132" t="s">
        <v>121</v>
      </c>
      <c r="F132" t="s">
        <v>872</v>
      </c>
      <c r="G132" t="s">
        <v>873</v>
      </c>
      <c r="H132" t="s">
        <v>874</v>
      </c>
      <c r="I132" t="s">
        <v>125</v>
      </c>
      <c r="J132" t="s">
        <v>825</v>
      </c>
      <c r="K132" t="s">
        <v>336</v>
      </c>
      <c r="L132" t="s">
        <v>128</v>
      </c>
      <c r="M132" t="s">
        <v>337</v>
      </c>
      <c r="N132" t="s">
        <v>875</v>
      </c>
      <c r="O132" t="s">
        <v>131</v>
      </c>
      <c r="P132">
        <v>0</v>
      </c>
      <c r="Q132" t="s">
        <v>125</v>
      </c>
      <c r="R132">
        <v>6</v>
      </c>
      <c r="S132">
        <v>41</v>
      </c>
      <c r="T132" t="s">
        <v>132</v>
      </c>
      <c r="U132" t="s">
        <v>133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134</v>
      </c>
      <c r="AE132" t="s">
        <v>134</v>
      </c>
      <c r="AF132" s="2">
        <v>45518</v>
      </c>
      <c r="AG132" s="2">
        <v>46021</v>
      </c>
      <c r="AH132">
        <v>37.47</v>
      </c>
      <c r="AI132">
        <v>51</v>
      </c>
      <c r="AJ132">
        <v>262.33</v>
      </c>
      <c r="AK132">
        <v>0</v>
      </c>
      <c r="AL132">
        <v>0</v>
      </c>
      <c r="AM132">
        <v>0</v>
      </c>
      <c r="AN132" t="s">
        <v>135</v>
      </c>
      <c r="AO132" t="s">
        <v>135</v>
      </c>
      <c r="AP132" t="s">
        <v>136</v>
      </c>
      <c r="AQ132" t="s">
        <v>137</v>
      </c>
      <c r="AR132" t="s">
        <v>138</v>
      </c>
      <c r="AS132" t="s">
        <v>139</v>
      </c>
      <c r="AT132" t="s">
        <v>140</v>
      </c>
      <c r="AU132">
        <v>101</v>
      </c>
      <c r="AV132">
        <v>10</v>
      </c>
      <c r="AW132">
        <v>1</v>
      </c>
      <c r="AX132" s="2">
        <v>45852</v>
      </c>
      <c r="AY132" t="s">
        <v>141</v>
      </c>
      <c r="AZ132" s="2">
        <v>46027</v>
      </c>
      <c r="BA132">
        <v>0</v>
      </c>
      <c r="BB132">
        <v>0</v>
      </c>
      <c r="BC132">
        <v>0</v>
      </c>
      <c r="BD132">
        <v>700</v>
      </c>
      <c r="BE132">
        <v>70</v>
      </c>
      <c r="BF132">
        <v>9</v>
      </c>
      <c r="BG132" s="2">
        <v>45536</v>
      </c>
      <c r="BH132" t="s">
        <v>142</v>
      </c>
      <c r="BI132" s="2">
        <v>46026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72.099999999999994</v>
      </c>
      <c r="BQ132">
        <v>72.099999999999994</v>
      </c>
      <c r="BR132">
        <v>0</v>
      </c>
      <c r="BS132">
        <v>0</v>
      </c>
      <c r="BT132">
        <v>0</v>
      </c>
      <c r="BU132">
        <v>0</v>
      </c>
      <c r="BV132">
        <v>122.73</v>
      </c>
      <c r="BW132">
        <v>122.73</v>
      </c>
      <c r="BX132">
        <v>0</v>
      </c>
      <c r="BY132">
        <v>0</v>
      </c>
      <c r="BZ132">
        <v>0</v>
      </c>
      <c r="CA132">
        <v>0</v>
      </c>
      <c r="CB132">
        <v>90.67</v>
      </c>
      <c r="CC132" t="s">
        <v>143</v>
      </c>
    </row>
    <row r="133" spans="1:81" x14ac:dyDescent="0.25">
      <c r="A133">
        <v>345</v>
      </c>
      <c r="B133">
        <v>2</v>
      </c>
      <c r="C133">
        <v>281</v>
      </c>
      <c r="D133" t="s">
        <v>876</v>
      </c>
      <c r="E133" t="s">
        <v>121</v>
      </c>
      <c r="F133" t="s">
        <v>877</v>
      </c>
      <c r="G133" t="s">
        <v>878</v>
      </c>
      <c r="H133" t="s">
        <v>879</v>
      </c>
      <c r="I133" t="s">
        <v>125</v>
      </c>
      <c r="J133" t="s">
        <v>735</v>
      </c>
      <c r="K133" t="s">
        <v>336</v>
      </c>
      <c r="L133" t="s">
        <v>128</v>
      </c>
      <c r="M133" t="s">
        <v>337</v>
      </c>
      <c r="N133" t="s">
        <v>880</v>
      </c>
      <c r="O133" t="s">
        <v>131</v>
      </c>
      <c r="P133">
        <v>0</v>
      </c>
      <c r="Q133" t="s">
        <v>125</v>
      </c>
      <c r="R133">
        <v>6</v>
      </c>
      <c r="S133">
        <v>39</v>
      </c>
      <c r="T133" t="s">
        <v>132</v>
      </c>
      <c r="U133" t="s">
        <v>133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134</v>
      </c>
      <c r="AE133" t="s">
        <v>134</v>
      </c>
      <c r="AF133" s="2">
        <v>45518</v>
      </c>
      <c r="AG133" s="2">
        <v>45971</v>
      </c>
      <c r="AH133" s="1">
        <v>1030.17</v>
      </c>
      <c r="AI133" s="1">
        <v>2010.24</v>
      </c>
      <c r="AJ133" s="1">
        <v>2060.34</v>
      </c>
      <c r="AK133">
        <v>0</v>
      </c>
      <c r="AL133">
        <v>0</v>
      </c>
      <c r="AM133">
        <v>0</v>
      </c>
      <c r="AN133" t="s">
        <v>135</v>
      </c>
      <c r="AO133" t="s">
        <v>135</v>
      </c>
      <c r="AP133" t="s">
        <v>136</v>
      </c>
      <c r="AQ133" t="s">
        <v>137</v>
      </c>
      <c r="AR133" t="s">
        <v>138</v>
      </c>
      <c r="AS133" t="s">
        <v>139</v>
      </c>
      <c r="AT133" t="s">
        <v>140</v>
      </c>
      <c r="AU133">
        <v>104</v>
      </c>
      <c r="AV133">
        <v>10</v>
      </c>
      <c r="AW133">
        <v>1</v>
      </c>
      <c r="AX133" s="2">
        <v>45857</v>
      </c>
      <c r="AY133" t="s">
        <v>160</v>
      </c>
      <c r="AZ133" s="2">
        <v>46025</v>
      </c>
      <c r="BA133">
        <v>0</v>
      </c>
      <c r="BB133">
        <v>0</v>
      </c>
      <c r="BC133">
        <v>0</v>
      </c>
      <c r="BD133">
        <v>700</v>
      </c>
      <c r="BE133">
        <v>70</v>
      </c>
      <c r="BF133">
        <v>9</v>
      </c>
      <c r="BG133" s="2">
        <v>45536</v>
      </c>
      <c r="BH133" t="s">
        <v>142</v>
      </c>
      <c r="BI133" s="2">
        <v>46026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50.1</v>
      </c>
      <c r="BQ133">
        <v>50.1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686.78</v>
      </c>
      <c r="CC133" t="s">
        <v>143</v>
      </c>
    </row>
    <row r="134" spans="1:81" x14ac:dyDescent="0.25">
      <c r="A134">
        <v>345</v>
      </c>
      <c r="B134">
        <v>2</v>
      </c>
      <c r="C134">
        <v>283</v>
      </c>
      <c r="D134" t="s">
        <v>881</v>
      </c>
      <c r="E134" t="s">
        <v>121</v>
      </c>
      <c r="F134" t="s">
        <v>882</v>
      </c>
      <c r="G134" t="s">
        <v>883</v>
      </c>
      <c r="H134" t="s">
        <v>884</v>
      </c>
      <c r="I134" t="s">
        <v>125</v>
      </c>
      <c r="J134" t="s">
        <v>885</v>
      </c>
      <c r="K134" t="s">
        <v>336</v>
      </c>
      <c r="L134" t="s">
        <v>128</v>
      </c>
      <c r="M134" t="s">
        <v>337</v>
      </c>
      <c r="N134" t="s">
        <v>886</v>
      </c>
      <c r="O134" t="s">
        <v>131</v>
      </c>
      <c r="P134">
        <v>0</v>
      </c>
      <c r="Q134" t="s">
        <v>125</v>
      </c>
      <c r="R134">
        <v>3</v>
      </c>
      <c r="S134">
        <v>89</v>
      </c>
      <c r="T134" t="s">
        <v>132</v>
      </c>
      <c r="U134" t="s">
        <v>133</v>
      </c>
      <c r="V134" s="1">
        <v>1980</v>
      </c>
      <c r="W134">
        <v>291.41000000000003</v>
      </c>
      <c r="X134" s="1">
        <v>1688.59</v>
      </c>
      <c r="Y134">
        <v>7</v>
      </c>
      <c r="Z134">
        <v>0</v>
      </c>
      <c r="AA134">
        <v>7</v>
      </c>
      <c r="AB134">
        <v>0</v>
      </c>
      <c r="AC134">
        <v>0</v>
      </c>
      <c r="AD134" t="s">
        <v>134</v>
      </c>
      <c r="AE134" t="s">
        <v>134</v>
      </c>
      <c r="AF134" s="2">
        <v>45518</v>
      </c>
      <c r="AG134" s="2">
        <v>46013</v>
      </c>
      <c r="AH134" s="1">
        <v>1394</v>
      </c>
      <c r="AI134" s="1">
        <v>2570.06</v>
      </c>
      <c r="AJ134" s="1">
        <v>13940.05</v>
      </c>
      <c r="AK134">
        <v>0</v>
      </c>
      <c r="AL134" s="1">
        <v>2570.06</v>
      </c>
      <c r="AM134">
        <v>61.63</v>
      </c>
      <c r="AN134" t="s">
        <v>135</v>
      </c>
      <c r="AO134" t="s">
        <v>135</v>
      </c>
      <c r="AP134" t="s">
        <v>136</v>
      </c>
      <c r="AQ134" t="s">
        <v>137</v>
      </c>
      <c r="AR134" t="s">
        <v>138</v>
      </c>
      <c r="AS134" t="s">
        <v>139</v>
      </c>
      <c r="AT134" t="s">
        <v>140</v>
      </c>
      <c r="AU134">
        <v>100</v>
      </c>
      <c r="AV134">
        <v>10</v>
      </c>
      <c r="AW134">
        <v>1</v>
      </c>
      <c r="AX134" s="2">
        <v>45815</v>
      </c>
      <c r="AY134" t="s">
        <v>160</v>
      </c>
      <c r="AZ134" s="2">
        <v>46025</v>
      </c>
      <c r="BA134">
        <v>0</v>
      </c>
      <c r="BB134">
        <v>0</v>
      </c>
      <c r="BC134">
        <v>0</v>
      </c>
      <c r="BD134">
        <v>700</v>
      </c>
      <c r="BE134">
        <v>70</v>
      </c>
      <c r="BF134">
        <v>9</v>
      </c>
      <c r="BG134" s="2">
        <v>45536</v>
      </c>
      <c r="BH134" t="s">
        <v>142</v>
      </c>
      <c r="BI134" s="2">
        <v>46026</v>
      </c>
      <c r="BJ134">
        <v>0</v>
      </c>
      <c r="BK134">
        <v>0</v>
      </c>
      <c r="BL134">
        <v>0</v>
      </c>
      <c r="BM134">
        <v>7</v>
      </c>
      <c r="BN134">
        <v>2.2200000000000002</v>
      </c>
      <c r="BO134" s="1">
        <v>1584.04</v>
      </c>
      <c r="BP134" s="1">
        <v>2005.5</v>
      </c>
      <c r="BQ134" s="1">
        <v>4993.6000000000004</v>
      </c>
      <c r="BR134" s="1">
        <v>1584.04</v>
      </c>
      <c r="BS134">
        <v>7</v>
      </c>
      <c r="BT134">
        <v>2.11</v>
      </c>
      <c r="BU134" s="1">
        <v>2624.92</v>
      </c>
      <c r="BV134" s="1">
        <v>6082.73</v>
      </c>
      <c r="BW134" s="1">
        <v>8707.65</v>
      </c>
      <c r="BX134">
        <v>291.41000000000003</v>
      </c>
      <c r="BY134">
        <v>11.1</v>
      </c>
      <c r="BZ134">
        <v>0</v>
      </c>
      <c r="CA134">
        <v>0</v>
      </c>
      <c r="CB134" s="1">
        <v>2527.1999999999998</v>
      </c>
      <c r="CC134" t="s">
        <v>143</v>
      </c>
    </row>
    <row r="135" spans="1:81" x14ac:dyDescent="0.25">
      <c r="A135">
        <v>345</v>
      </c>
      <c r="B135">
        <v>2</v>
      </c>
      <c r="C135">
        <v>284</v>
      </c>
      <c r="D135" t="s">
        <v>887</v>
      </c>
      <c r="E135" t="s">
        <v>121</v>
      </c>
      <c r="F135" t="s">
        <v>888</v>
      </c>
      <c r="G135" t="s">
        <v>889</v>
      </c>
      <c r="H135" t="s">
        <v>890</v>
      </c>
      <c r="I135" t="s">
        <v>891</v>
      </c>
      <c r="J135" t="s">
        <v>126</v>
      </c>
      <c r="K135" t="s">
        <v>336</v>
      </c>
      <c r="L135" t="s">
        <v>128</v>
      </c>
      <c r="M135" t="s">
        <v>337</v>
      </c>
      <c r="N135" t="s">
        <v>892</v>
      </c>
      <c r="O135" t="s">
        <v>131</v>
      </c>
      <c r="P135">
        <v>0</v>
      </c>
      <c r="Q135" t="s">
        <v>125</v>
      </c>
      <c r="R135">
        <v>6</v>
      </c>
      <c r="S135">
        <v>42</v>
      </c>
      <c r="T135" t="s">
        <v>132</v>
      </c>
      <c r="U135" t="s">
        <v>133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134</v>
      </c>
      <c r="AE135" t="s">
        <v>134</v>
      </c>
      <c r="AF135" s="2">
        <v>45518</v>
      </c>
      <c r="AG135" s="2">
        <v>46003</v>
      </c>
      <c r="AH135" s="1">
        <v>2982.06</v>
      </c>
      <c r="AI135" s="1">
        <v>4992.4399999999996</v>
      </c>
      <c r="AJ135" s="1">
        <v>32802.71</v>
      </c>
      <c r="AK135">
        <v>0</v>
      </c>
      <c r="AL135">
        <v>0</v>
      </c>
      <c r="AM135">
        <v>0</v>
      </c>
      <c r="AN135" t="s">
        <v>135</v>
      </c>
      <c r="AO135" t="s">
        <v>135</v>
      </c>
      <c r="AP135" t="s">
        <v>136</v>
      </c>
      <c r="AQ135" t="s">
        <v>137</v>
      </c>
      <c r="AR135" t="s">
        <v>138</v>
      </c>
      <c r="AS135" t="s">
        <v>139</v>
      </c>
      <c r="AT135" t="s">
        <v>140</v>
      </c>
      <c r="AU135">
        <v>101</v>
      </c>
      <c r="AV135">
        <v>10</v>
      </c>
      <c r="AW135">
        <v>1</v>
      </c>
      <c r="AX135" s="2">
        <v>45813</v>
      </c>
      <c r="AY135" t="s">
        <v>308</v>
      </c>
      <c r="AZ135" s="2">
        <v>46023</v>
      </c>
      <c r="BA135">
        <v>0</v>
      </c>
      <c r="BB135">
        <v>0</v>
      </c>
      <c r="BC135">
        <v>0</v>
      </c>
      <c r="BD135">
        <v>700</v>
      </c>
      <c r="BE135">
        <v>70</v>
      </c>
      <c r="BF135">
        <v>9</v>
      </c>
      <c r="BG135" s="2">
        <v>45536</v>
      </c>
      <c r="BH135" t="s">
        <v>142</v>
      </c>
      <c r="BI135" s="2">
        <v>46026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s="1">
        <v>16121.94</v>
      </c>
      <c r="BQ135" s="1">
        <v>16121.94</v>
      </c>
      <c r="BR135">
        <v>0</v>
      </c>
      <c r="BS135">
        <v>0</v>
      </c>
      <c r="BT135">
        <v>0</v>
      </c>
      <c r="BU135">
        <v>0</v>
      </c>
      <c r="BV135" s="1">
        <v>2019.09</v>
      </c>
      <c r="BW135" s="1">
        <v>2019.09</v>
      </c>
      <c r="BX135">
        <v>0</v>
      </c>
      <c r="BY135">
        <v>0</v>
      </c>
      <c r="BZ135">
        <v>0</v>
      </c>
      <c r="CA135">
        <v>0</v>
      </c>
      <c r="CB135" s="1">
        <v>16536.490000000002</v>
      </c>
      <c r="CC135" t="s">
        <v>143</v>
      </c>
    </row>
    <row r="136" spans="1:81" x14ac:dyDescent="0.25">
      <c r="A136">
        <v>345</v>
      </c>
      <c r="B136">
        <v>2</v>
      </c>
      <c r="C136">
        <v>285</v>
      </c>
      <c r="D136" t="s">
        <v>893</v>
      </c>
      <c r="E136" t="s">
        <v>121</v>
      </c>
      <c r="F136" t="s">
        <v>894</v>
      </c>
      <c r="G136" t="s">
        <v>895</v>
      </c>
      <c r="H136" t="s">
        <v>896</v>
      </c>
      <c r="I136" t="s">
        <v>125</v>
      </c>
      <c r="J136" t="s">
        <v>897</v>
      </c>
      <c r="K136" t="s">
        <v>473</v>
      </c>
      <c r="L136" t="s">
        <v>128</v>
      </c>
      <c r="M136" t="s">
        <v>474</v>
      </c>
      <c r="N136" t="s">
        <v>898</v>
      </c>
      <c r="O136" t="s">
        <v>167</v>
      </c>
      <c r="P136">
        <v>0</v>
      </c>
      <c r="Q136" t="s">
        <v>125</v>
      </c>
      <c r="R136">
        <v>6</v>
      </c>
      <c r="S136">
        <v>35</v>
      </c>
      <c r="T136" t="s">
        <v>132</v>
      </c>
      <c r="U136" t="s">
        <v>133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134</v>
      </c>
      <c r="AE136" t="s">
        <v>134</v>
      </c>
      <c r="AF136" s="2">
        <v>45518</v>
      </c>
      <c r="AG136" s="2">
        <v>46017</v>
      </c>
      <c r="AH136">
        <v>968.16</v>
      </c>
      <c r="AI136" s="1">
        <v>1346.17</v>
      </c>
      <c r="AJ136" s="1">
        <v>10649.78</v>
      </c>
      <c r="AK136">
        <v>0</v>
      </c>
      <c r="AL136">
        <v>0</v>
      </c>
      <c r="AM136">
        <v>0</v>
      </c>
      <c r="AN136" t="s">
        <v>135</v>
      </c>
      <c r="AO136" t="s">
        <v>135</v>
      </c>
      <c r="AP136" t="s">
        <v>136</v>
      </c>
      <c r="AQ136" t="s">
        <v>137</v>
      </c>
      <c r="AR136" t="s">
        <v>138</v>
      </c>
      <c r="AS136" t="s">
        <v>139</v>
      </c>
      <c r="AT136" t="s">
        <v>140</v>
      </c>
      <c r="AU136">
        <v>102</v>
      </c>
      <c r="AV136">
        <v>10</v>
      </c>
      <c r="AW136">
        <v>1</v>
      </c>
      <c r="AX136" s="2">
        <v>45846</v>
      </c>
      <c r="AY136" t="s">
        <v>377</v>
      </c>
      <c r="AZ136" s="2">
        <v>46028</v>
      </c>
      <c r="BA136">
        <v>0</v>
      </c>
      <c r="BB136">
        <v>0</v>
      </c>
      <c r="BC136">
        <v>0</v>
      </c>
      <c r="BD136">
        <v>700</v>
      </c>
      <c r="BE136">
        <v>70</v>
      </c>
      <c r="BF136">
        <v>9</v>
      </c>
      <c r="BG136" s="2">
        <v>45536</v>
      </c>
      <c r="BH136" t="s">
        <v>142</v>
      </c>
      <c r="BI136" s="2">
        <v>46026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s="1">
        <v>1986.5</v>
      </c>
      <c r="BQ136" s="1">
        <v>1986.5</v>
      </c>
      <c r="BR136">
        <v>0</v>
      </c>
      <c r="BS136">
        <v>0</v>
      </c>
      <c r="BT136">
        <v>0</v>
      </c>
      <c r="BU136">
        <v>0</v>
      </c>
      <c r="BV136" s="1">
        <v>3402.86</v>
      </c>
      <c r="BW136" s="1">
        <v>3402.86</v>
      </c>
      <c r="BX136">
        <v>0</v>
      </c>
      <c r="BY136">
        <v>0</v>
      </c>
      <c r="BZ136">
        <v>0</v>
      </c>
      <c r="CA136">
        <v>0</v>
      </c>
      <c r="CB136" s="1">
        <v>3594.54</v>
      </c>
      <c r="CC136" t="s">
        <v>161</v>
      </c>
    </row>
    <row r="137" spans="1:81" x14ac:dyDescent="0.25">
      <c r="A137">
        <v>345</v>
      </c>
      <c r="B137">
        <v>2</v>
      </c>
      <c r="C137">
        <v>286</v>
      </c>
      <c r="D137" t="s">
        <v>899</v>
      </c>
      <c r="E137" t="s">
        <v>121</v>
      </c>
      <c r="F137" t="s">
        <v>900</v>
      </c>
      <c r="G137" t="s">
        <v>901</v>
      </c>
      <c r="H137" t="s">
        <v>902</v>
      </c>
      <c r="I137" t="s">
        <v>125</v>
      </c>
      <c r="J137" t="s">
        <v>903</v>
      </c>
      <c r="K137" t="s">
        <v>336</v>
      </c>
      <c r="L137" t="s">
        <v>128</v>
      </c>
      <c r="M137" t="s">
        <v>337</v>
      </c>
      <c r="N137" t="s">
        <v>904</v>
      </c>
      <c r="O137" t="s">
        <v>167</v>
      </c>
      <c r="P137">
        <v>0</v>
      </c>
      <c r="Q137" t="s">
        <v>125</v>
      </c>
      <c r="R137">
        <v>6</v>
      </c>
      <c r="S137">
        <v>39</v>
      </c>
      <c r="T137" t="s">
        <v>132</v>
      </c>
      <c r="U137" t="s">
        <v>133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134</v>
      </c>
      <c r="AE137" t="s">
        <v>134</v>
      </c>
      <c r="AF137" s="2">
        <v>45518</v>
      </c>
      <c r="AG137" s="2">
        <v>46021</v>
      </c>
      <c r="AH137" s="1">
        <v>2129.36</v>
      </c>
      <c r="AI137" s="1">
        <v>3333.49</v>
      </c>
      <c r="AJ137" s="1">
        <v>25552.36</v>
      </c>
      <c r="AK137">
        <v>0</v>
      </c>
      <c r="AL137">
        <v>0</v>
      </c>
      <c r="AM137">
        <v>0</v>
      </c>
      <c r="AN137" t="s">
        <v>135</v>
      </c>
      <c r="AO137" t="s">
        <v>135</v>
      </c>
      <c r="AP137" t="s">
        <v>136</v>
      </c>
      <c r="AQ137" t="s">
        <v>137</v>
      </c>
      <c r="AR137" t="s">
        <v>138</v>
      </c>
      <c r="AS137" t="s">
        <v>150</v>
      </c>
      <c r="AT137" t="s">
        <v>140</v>
      </c>
      <c r="AU137">
        <v>101</v>
      </c>
      <c r="AV137">
        <v>10</v>
      </c>
      <c r="AW137">
        <v>1</v>
      </c>
      <c r="AX137" s="2">
        <v>45838</v>
      </c>
      <c r="AY137" t="s">
        <v>141</v>
      </c>
      <c r="AZ137" s="2">
        <v>46027</v>
      </c>
      <c r="BA137">
        <v>0</v>
      </c>
      <c r="BB137">
        <v>0</v>
      </c>
      <c r="BC137">
        <v>0</v>
      </c>
      <c r="BD137">
        <v>700</v>
      </c>
      <c r="BE137">
        <v>70</v>
      </c>
      <c r="BF137">
        <v>9</v>
      </c>
      <c r="BG137" s="2">
        <v>45536</v>
      </c>
      <c r="BH137" t="s">
        <v>142</v>
      </c>
      <c r="BI137" s="2">
        <v>46026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s="1">
        <v>9330.48</v>
      </c>
      <c r="BQ137" s="1">
        <v>9330.48</v>
      </c>
      <c r="BR137">
        <v>0</v>
      </c>
      <c r="BS137">
        <v>0</v>
      </c>
      <c r="BT137">
        <v>0</v>
      </c>
      <c r="BU137">
        <v>0</v>
      </c>
      <c r="BV137" s="1">
        <v>8651.1200000000008</v>
      </c>
      <c r="BW137" s="1">
        <v>8651.1200000000008</v>
      </c>
      <c r="BX137">
        <v>0</v>
      </c>
      <c r="BY137">
        <v>0</v>
      </c>
      <c r="BZ137">
        <v>0</v>
      </c>
      <c r="CA137">
        <v>0</v>
      </c>
      <c r="CB137" s="1">
        <v>7242.46</v>
      </c>
      <c r="CC137" t="s">
        <v>161</v>
      </c>
    </row>
    <row r="138" spans="1:81" x14ac:dyDescent="0.25">
      <c r="A138">
        <v>345</v>
      </c>
      <c r="B138">
        <v>2</v>
      </c>
      <c r="C138">
        <v>287</v>
      </c>
      <c r="D138" t="s">
        <v>905</v>
      </c>
      <c r="E138" t="s">
        <v>121</v>
      </c>
      <c r="F138" t="s">
        <v>906</v>
      </c>
      <c r="G138" t="s">
        <v>907</v>
      </c>
      <c r="H138" t="s">
        <v>908</v>
      </c>
      <c r="I138" t="s">
        <v>125</v>
      </c>
      <c r="J138" t="s">
        <v>909</v>
      </c>
      <c r="K138" t="s">
        <v>336</v>
      </c>
      <c r="L138" t="s">
        <v>128</v>
      </c>
      <c r="M138" t="s">
        <v>337</v>
      </c>
      <c r="N138" t="s">
        <v>910</v>
      </c>
      <c r="O138" t="s">
        <v>131</v>
      </c>
      <c r="P138">
        <v>0</v>
      </c>
      <c r="Q138" t="s">
        <v>125</v>
      </c>
      <c r="R138">
        <v>6</v>
      </c>
      <c r="S138">
        <v>41</v>
      </c>
      <c r="T138" t="s">
        <v>132</v>
      </c>
      <c r="U138" t="s">
        <v>133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134</v>
      </c>
      <c r="AE138" t="s">
        <v>134</v>
      </c>
      <c r="AF138" s="2">
        <v>45518</v>
      </c>
      <c r="AG138" s="2">
        <v>46012</v>
      </c>
      <c r="AH138" s="1">
        <v>1649.6</v>
      </c>
      <c r="AI138" s="1">
        <v>3073.07</v>
      </c>
      <c r="AJ138" s="1">
        <v>11547.23</v>
      </c>
      <c r="AK138">
        <v>0</v>
      </c>
      <c r="AL138">
        <v>0</v>
      </c>
      <c r="AM138">
        <v>0</v>
      </c>
      <c r="AN138" t="s">
        <v>135</v>
      </c>
      <c r="AO138" t="s">
        <v>135</v>
      </c>
      <c r="AP138" t="s">
        <v>136</v>
      </c>
      <c r="AQ138" t="s">
        <v>137</v>
      </c>
      <c r="AR138" t="s">
        <v>138</v>
      </c>
      <c r="AS138" t="s">
        <v>139</v>
      </c>
      <c r="AT138" t="s">
        <v>140</v>
      </c>
      <c r="AU138">
        <v>100</v>
      </c>
      <c r="AV138">
        <v>10</v>
      </c>
      <c r="AW138">
        <v>1</v>
      </c>
      <c r="AX138" s="2">
        <v>45849</v>
      </c>
      <c r="AY138" t="s">
        <v>151</v>
      </c>
      <c r="AZ138" s="2">
        <v>46024</v>
      </c>
      <c r="BA138">
        <v>0</v>
      </c>
      <c r="BB138">
        <v>0</v>
      </c>
      <c r="BC138">
        <v>0</v>
      </c>
      <c r="BD138">
        <v>700</v>
      </c>
      <c r="BE138">
        <v>70</v>
      </c>
      <c r="BF138">
        <v>9</v>
      </c>
      <c r="BG138" s="2">
        <v>45536</v>
      </c>
      <c r="BH138" t="s">
        <v>142</v>
      </c>
      <c r="BI138" s="2">
        <v>46026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s="1">
        <v>6275.57</v>
      </c>
      <c r="BQ138" s="1">
        <v>6275.57</v>
      </c>
      <c r="BR138">
        <v>0</v>
      </c>
      <c r="BS138">
        <v>0</v>
      </c>
      <c r="BT138">
        <v>0</v>
      </c>
      <c r="BU138">
        <v>0</v>
      </c>
      <c r="BV138" s="1">
        <v>1618.86</v>
      </c>
      <c r="BW138" s="1">
        <v>1618.86</v>
      </c>
      <c r="BX138">
        <v>0</v>
      </c>
      <c r="BY138">
        <v>0</v>
      </c>
      <c r="BZ138">
        <v>0</v>
      </c>
      <c r="CA138">
        <v>0</v>
      </c>
      <c r="CB138" s="1">
        <v>4693.3900000000003</v>
      </c>
      <c r="CC138" t="s">
        <v>143</v>
      </c>
    </row>
    <row r="139" spans="1:81" x14ac:dyDescent="0.25">
      <c r="A139">
        <v>345</v>
      </c>
      <c r="B139">
        <v>2</v>
      </c>
      <c r="C139">
        <v>288</v>
      </c>
      <c r="D139" t="s">
        <v>911</v>
      </c>
      <c r="E139" t="s">
        <v>121</v>
      </c>
      <c r="F139" t="s">
        <v>912</v>
      </c>
      <c r="G139" t="s">
        <v>913</v>
      </c>
      <c r="H139" t="s">
        <v>914</v>
      </c>
      <c r="I139" t="s">
        <v>125</v>
      </c>
      <c r="J139" t="s">
        <v>915</v>
      </c>
      <c r="K139" t="s">
        <v>473</v>
      </c>
      <c r="L139" t="s">
        <v>128</v>
      </c>
      <c r="M139" t="s">
        <v>474</v>
      </c>
      <c r="N139" t="s">
        <v>916</v>
      </c>
      <c r="O139" t="s">
        <v>167</v>
      </c>
      <c r="P139">
        <v>0</v>
      </c>
      <c r="Q139" t="s">
        <v>125</v>
      </c>
      <c r="R139">
        <v>6</v>
      </c>
      <c r="S139">
        <v>36</v>
      </c>
      <c r="T139" t="s">
        <v>132</v>
      </c>
      <c r="U139" t="s">
        <v>133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134</v>
      </c>
      <c r="AE139" t="s">
        <v>134</v>
      </c>
      <c r="AF139" s="2">
        <v>45518</v>
      </c>
      <c r="AG139" s="2">
        <v>46017</v>
      </c>
      <c r="AH139">
        <v>493.9</v>
      </c>
      <c r="AI139">
        <v>667.9</v>
      </c>
      <c r="AJ139" s="1">
        <v>4445.16</v>
      </c>
      <c r="AK139">
        <v>0</v>
      </c>
      <c r="AL139">
        <v>515.70000000000005</v>
      </c>
      <c r="AM139">
        <v>0</v>
      </c>
      <c r="AN139" t="s">
        <v>135</v>
      </c>
      <c r="AO139" t="s">
        <v>135</v>
      </c>
      <c r="AP139" t="s">
        <v>136</v>
      </c>
      <c r="AQ139" t="s">
        <v>137</v>
      </c>
      <c r="AR139" t="s">
        <v>138</v>
      </c>
      <c r="AS139" t="s">
        <v>139</v>
      </c>
      <c r="AT139" t="s">
        <v>140</v>
      </c>
      <c r="AU139">
        <v>102</v>
      </c>
      <c r="AV139">
        <v>10</v>
      </c>
      <c r="AW139">
        <v>1</v>
      </c>
      <c r="AX139" s="2">
        <v>45811</v>
      </c>
      <c r="AY139" t="s">
        <v>377</v>
      </c>
      <c r="AZ139" s="2">
        <v>46028</v>
      </c>
      <c r="BA139">
        <v>0</v>
      </c>
      <c r="BB139">
        <v>0</v>
      </c>
      <c r="BC139">
        <v>0</v>
      </c>
      <c r="BD139">
        <v>700</v>
      </c>
      <c r="BE139">
        <v>70</v>
      </c>
      <c r="BF139">
        <v>9</v>
      </c>
      <c r="BG139" s="2">
        <v>45536</v>
      </c>
      <c r="BH139" t="s">
        <v>142</v>
      </c>
      <c r="BI139" s="2">
        <v>46026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990.81</v>
      </c>
      <c r="BQ139">
        <v>990.81</v>
      </c>
      <c r="BR139">
        <v>0</v>
      </c>
      <c r="BS139">
        <v>0</v>
      </c>
      <c r="BT139">
        <v>0</v>
      </c>
      <c r="BU139">
        <v>0</v>
      </c>
      <c r="BV139" s="1">
        <v>2180.7600000000002</v>
      </c>
      <c r="BW139" s="1">
        <v>2180.7600000000002</v>
      </c>
      <c r="BX139">
        <v>0</v>
      </c>
      <c r="BY139">
        <v>0</v>
      </c>
      <c r="BZ139">
        <v>0</v>
      </c>
      <c r="CA139">
        <v>0</v>
      </c>
      <c r="CB139" s="1">
        <v>1190.82</v>
      </c>
      <c r="CC139" t="s">
        <v>161</v>
      </c>
    </row>
    <row r="140" spans="1:81" x14ac:dyDescent="0.25">
      <c r="A140">
        <v>345</v>
      </c>
      <c r="B140">
        <v>2</v>
      </c>
      <c r="C140">
        <v>289</v>
      </c>
      <c r="D140" t="s">
        <v>917</v>
      </c>
      <c r="E140" t="s">
        <v>121</v>
      </c>
      <c r="F140" t="s">
        <v>918</v>
      </c>
      <c r="G140" t="s">
        <v>919</v>
      </c>
      <c r="H140" t="s">
        <v>920</v>
      </c>
      <c r="I140" t="s">
        <v>125</v>
      </c>
      <c r="J140" t="s">
        <v>921</v>
      </c>
      <c r="K140" t="s">
        <v>473</v>
      </c>
      <c r="L140" t="s">
        <v>128</v>
      </c>
      <c r="M140" t="s">
        <v>474</v>
      </c>
      <c r="N140" t="s">
        <v>922</v>
      </c>
      <c r="O140" t="s">
        <v>131</v>
      </c>
      <c r="P140">
        <v>0</v>
      </c>
      <c r="Q140" t="s">
        <v>125</v>
      </c>
      <c r="R140">
        <v>3</v>
      </c>
      <c r="S140">
        <v>85</v>
      </c>
      <c r="T140" t="s">
        <v>132</v>
      </c>
      <c r="U140" t="s">
        <v>133</v>
      </c>
      <c r="V140" s="1">
        <v>3000</v>
      </c>
      <c r="W140">
        <v>0</v>
      </c>
      <c r="X140" s="1">
        <v>3000</v>
      </c>
      <c r="Y140">
        <v>7</v>
      </c>
      <c r="Z140">
        <v>0</v>
      </c>
      <c r="AA140">
        <v>2</v>
      </c>
      <c r="AB140">
        <v>0</v>
      </c>
      <c r="AC140">
        <v>5</v>
      </c>
      <c r="AD140" t="s">
        <v>134</v>
      </c>
      <c r="AE140" t="s">
        <v>134</v>
      </c>
      <c r="AF140" s="2">
        <v>45518</v>
      </c>
      <c r="AG140" s="2">
        <v>46021</v>
      </c>
      <c r="AH140" s="1">
        <v>1914.05</v>
      </c>
      <c r="AI140" s="1">
        <v>2436.86</v>
      </c>
      <c r="AJ140" s="1">
        <v>15312.45</v>
      </c>
      <c r="AK140" s="1">
        <v>1114.3</v>
      </c>
      <c r="AL140">
        <v>0</v>
      </c>
      <c r="AM140">
        <v>0</v>
      </c>
      <c r="AN140" t="s">
        <v>135</v>
      </c>
      <c r="AO140" t="s">
        <v>135</v>
      </c>
      <c r="AP140" t="s">
        <v>136</v>
      </c>
      <c r="AQ140" t="s">
        <v>137</v>
      </c>
      <c r="AR140" t="s">
        <v>138</v>
      </c>
      <c r="AS140" t="s">
        <v>139</v>
      </c>
      <c r="AT140" t="s">
        <v>140</v>
      </c>
      <c r="AU140">
        <v>105</v>
      </c>
      <c r="AV140">
        <v>10</v>
      </c>
      <c r="AW140">
        <v>1</v>
      </c>
      <c r="AX140" s="2">
        <v>45810</v>
      </c>
      <c r="AY140" t="s">
        <v>141</v>
      </c>
      <c r="AZ140" s="2">
        <v>46027</v>
      </c>
      <c r="BA140">
        <v>0</v>
      </c>
      <c r="BB140">
        <v>0</v>
      </c>
      <c r="BC140">
        <v>0</v>
      </c>
      <c r="BD140">
        <v>700</v>
      </c>
      <c r="BE140">
        <v>70</v>
      </c>
      <c r="BF140">
        <v>9</v>
      </c>
      <c r="BG140" s="2">
        <v>45536</v>
      </c>
      <c r="BH140" t="s">
        <v>142</v>
      </c>
      <c r="BI140" s="2">
        <v>46026</v>
      </c>
      <c r="BJ140">
        <v>0</v>
      </c>
      <c r="BK140">
        <v>0</v>
      </c>
      <c r="BL140">
        <v>0</v>
      </c>
      <c r="BM140">
        <v>2</v>
      </c>
      <c r="BN140">
        <v>0.7</v>
      </c>
      <c r="BO140" s="1">
        <v>1764.94</v>
      </c>
      <c r="BP140" s="1">
        <v>3275.24</v>
      </c>
      <c r="BQ140" s="1">
        <v>5040.18</v>
      </c>
      <c r="BR140">
        <v>0</v>
      </c>
      <c r="BS140">
        <v>0</v>
      </c>
      <c r="BT140">
        <v>0</v>
      </c>
      <c r="BU140">
        <v>0</v>
      </c>
      <c r="BV140" s="1">
        <v>8348.01</v>
      </c>
      <c r="BW140" s="1">
        <v>8348.01</v>
      </c>
      <c r="BX140">
        <v>0</v>
      </c>
      <c r="BY140">
        <v>0</v>
      </c>
      <c r="BZ140">
        <v>0</v>
      </c>
      <c r="CA140">
        <v>0</v>
      </c>
      <c r="CB140" s="1">
        <v>3923.99</v>
      </c>
      <c r="CC140" t="s">
        <v>143</v>
      </c>
    </row>
    <row r="141" spans="1:81" x14ac:dyDescent="0.25">
      <c r="A141">
        <v>345</v>
      </c>
      <c r="B141">
        <v>2</v>
      </c>
      <c r="C141">
        <v>290</v>
      </c>
      <c r="D141" t="s">
        <v>923</v>
      </c>
      <c r="E141" t="s">
        <v>121</v>
      </c>
      <c r="F141" t="s">
        <v>924</v>
      </c>
      <c r="G141" t="s">
        <v>925</v>
      </c>
      <c r="H141" t="s">
        <v>926</v>
      </c>
      <c r="I141" t="s">
        <v>125</v>
      </c>
      <c r="J141" t="s">
        <v>126</v>
      </c>
      <c r="K141" t="s">
        <v>336</v>
      </c>
      <c r="L141" t="s">
        <v>128</v>
      </c>
      <c r="M141" t="s">
        <v>337</v>
      </c>
      <c r="N141" t="s">
        <v>927</v>
      </c>
      <c r="O141" t="s">
        <v>195</v>
      </c>
      <c r="P141">
        <v>0</v>
      </c>
      <c r="Q141" t="s">
        <v>125</v>
      </c>
      <c r="R141">
        <v>6</v>
      </c>
      <c r="S141">
        <v>41</v>
      </c>
      <c r="T141" t="s">
        <v>132</v>
      </c>
      <c r="U141" t="s">
        <v>133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134</v>
      </c>
      <c r="AE141" t="s">
        <v>134</v>
      </c>
      <c r="AF141" s="2">
        <v>45518</v>
      </c>
      <c r="AG141" s="2">
        <v>46008</v>
      </c>
      <c r="AH141">
        <v>282.11</v>
      </c>
      <c r="AI141">
        <v>436.17</v>
      </c>
      <c r="AJ141" s="1">
        <v>2539.0100000000002</v>
      </c>
      <c r="AK141">
        <v>0</v>
      </c>
      <c r="AL141">
        <v>0</v>
      </c>
      <c r="AM141">
        <v>0</v>
      </c>
      <c r="AN141" t="s">
        <v>135</v>
      </c>
      <c r="AO141" t="s">
        <v>135</v>
      </c>
      <c r="AP141" t="s">
        <v>136</v>
      </c>
      <c r="AQ141" t="s">
        <v>137</v>
      </c>
      <c r="AR141" t="s">
        <v>138</v>
      </c>
      <c r="AS141" t="s">
        <v>150</v>
      </c>
      <c r="AT141" t="s">
        <v>140</v>
      </c>
      <c r="AU141">
        <v>101</v>
      </c>
      <c r="AV141">
        <v>10</v>
      </c>
      <c r="AW141">
        <v>1</v>
      </c>
      <c r="AX141" s="2">
        <v>45874</v>
      </c>
      <c r="AY141" t="s">
        <v>377</v>
      </c>
      <c r="AZ141" s="2">
        <v>46028</v>
      </c>
      <c r="BA141">
        <v>0</v>
      </c>
      <c r="BB141">
        <v>0</v>
      </c>
      <c r="BC141">
        <v>0</v>
      </c>
      <c r="BD141">
        <v>700</v>
      </c>
      <c r="BE141">
        <v>70</v>
      </c>
      <c r="BF141">
        <v>9</v>
      </c>
      <c r="BG141" s="2">
        <v>45536</v>
      </c>
      <c r="BH141" t="s">
        <v>142</v>
      </c>
      <c r="BI141" s="2">
        <v>46026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973.91</v>
      </c>
      <c r="BQ141">
        <v>973.91</v>
      </c>
      <c r="BR141">
        <v>0</v>
      </c>
      <c r="BS141">
        <v>0</v>
      </c>
      <c r="BT141">
        <v>0</v>
      </c>
      <c r="BU141">
        <v>0</v>
      </c>
      <c r="BV141" s="1">
        <v>1026.5999999999999</v>
      </c>
      <c r="BW141" s="1">
        <v>1026.5999999999999</v>
      </c>
      <c r="BX141">
        <v>0</v>
      </c>
      <c r="BY141">
        <v>0</v>
      </c>
      <c r="BZ141">
        <v>0</v>
      </c>
      <c r="CA141">
        <v>0</v>
      </c>
      <c r="CB141">
        <v>639.35</v>
      </c>
      <c r="CC141" t="s">
        <v>161</v>
      </c>
    </row>
    <row r="142" spans="1:81" x14ac:dyDescent="0.25">
      <c r="A142">
        <v>345</v>
      </c>
      <c r="B142">
        <v>2</v>
      </c>
      <c r="C142">
        <v>291</v>
      </c>
      <c r="D142" t="s">
        <v>928</v>
      </c>
      <c r="E142" t="s">
        <v>121</v>
      </c>
      <c r="F142" t="s">
        <v>551</v>
      </c>
      <c r="G142" t="s">
        <v>929</v>
      </c>
      <c r="H142" t="s">
        <v>930</v>
      </c>
      <c r="I142" t="s">
        <v>125</v>
      </c>
      <c r="J142" t="s">
        <v>931</v>
      </c>
      <c r="K142" t="s">
        <v>466</v>
      </c>
      <c r="L142" t="s">
        <v>128</v>
      </c>
      <c r="M142" t="s">
        <v>467</v>
      </c>
      <c r="N142" t="s">
        <v>932</v>
      </c>
      <c r="O142" t="s">
        <v>131</v>
      </c>
      <c r="P142">
        <v>0</v>
      </c>
      <c r="Q142" t="s">
        <v>125</v>
      </c>
      <c r="R142">
        <v>6</v>
      </c>
      <c r="S142">
        <v>40</v>
      </c>
      <c r="T142" t="s">
        <v>132</v>
      </c>
      <c r="U142" t="s">
        <v>133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134</v>
      </c>
      <c r="AE142" t="s">
        <v>134</v>
      </c>
      <c r="AF142" s="2">
        <v>45518</v>
      </c>
      <c r="AG142" s="2">
        <v>46003</v>
      </c>
      <c r="AH142" s="1">
        <v>1135.8499999999999</v>
      </c>
      <c r="AI142" s="1">
        <v>1656.27</v>
      </c>
      <c r="AJ142" s="1">
        <v>9086.8700000000008</v>
      </c>
      <c r="AK142">
        <v>0</v>
      </c>
      <c r="AL142">
        <v>0</v>
      </c>
      <c r="AM142">
        <v>0</v>
      </c>
      <c r="AN142" t="s">
        <v>135</v>
      </c>
      <c r="AO142" t="s">
        <v>135</v>
      </c>
      <c r="AP142" t="s">
        <v>136</v>
      </c>
      <c r="AQ142" t="s">
        <v>137</v>
      </c>
      <c r="AR142" t="s">
        <v>138</v>
      </c>
      <c r="AS142" t="s">
        <v>139</v>
      </c>
      <c r="AT142" t="s">
        <v>140</v>
      </c>
      <c r="AU142">
        <v>105</v>
      </c>
      <c r="AV142">
        <v>10</v>
      </c>
      <c r="AW142">
        <v>1</v>
      </c>
      <c r="AX142" s="2">
        <v>45813</v>
      </c>
      <c r="AY142" t="s">
        <v>308</v>
      </c>
      <c r="AZ142" s="2">
        <v>46023</v>
      </c>
      <c r="BA142">
        <v>0</v>
      </c>
      <c r="BB142">
        <v>0</v>
      </c>
      <c r="BC142">
        <v>0</v>
      </c>
      <c r="BD142">
        <v>700</v>
      </c>
      <c r="BE142">
        <v>70</v>
      </c>
      <c r="BF142">
        <v>9</v>
      </c>
      <c r="BG142" s="2">
        <v>45536</v>
      </c>
      <c r="BH142" t="s">
        <v>142</v>
      </c>
      <c r="BI142" s="2">
        <v>46026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s="1">
        <v>4412.4799999999996</v>
      </c>
      <c r="BQ142" s="1">
        <v>4412.4799999999996</v>
      </c>
      <c r="BR142">
        <v>0</v>
      </c>
      <c r="BS142">
        <v>0</v>
      </c>
      <c r="BT142">
        <v>0</v>
      </c>
      <c r="BU142">
        <v>0</v>
      </c>
      <c r="BV142" s="1">
        <v>2977.86</v>
      </c>
      <c r="BW142" s="1">
        <v>2977.86</v>
      </c>
      <c r="BX142">
        <v>0</v>
      </c>
      <c r="BY142">
        <v>0</v>
      </c>
      <c r="BZ142">
        <v>0</v>
      </c>
      <c r="CA142">
        <v>0</v>
      </c>
      <c r="CB142" s="1">
        <v>2544.04</v>
      </c>
      <c r="CC142" t="s">
        <v>143</v>
      </c>
    </row>
    <row r="143" spans="1:81" x14ac:dyDescent="0.25">
      <c r="A143">
        <v>345</v>
      </c>
      <c r="B143">
        <v>2</v>
      </c>
      <c r="C143">
        <v>293</v>
      </c>
      <c r="D143" t="s">
        <v>933</v>
      </c>
      <c r="E143" t="s">
        <v>121</v>
      </c>
      <c r="F143" t="s">
        <v>934</v>
      </c>
      <c r="G143" t="s">
        <v>935</v>
      </c>
      <c r="H143" t="s">
        <v>936</v>
      </c>
      <c r="I143" t="s">
        <v>125</v>
      </c>
      <c r="J143" t="s">
        <v>937</v>
      </c>
      <c r="K143" t="s">
        <v>473</v>
      </c>
      <c r="L143" t="s">
        <v>128</v>
      </c>
      <c r="M143" t="s">
        <v>474</v>
      </c>
      <c r="N143" t="s">
        <v>938</v>
      </c>
      <c r="O143" t="s">
        <v>131</v>
      </c>
      <c r="P143">
        <v>0</v>
      </c>
      <c r="Q143" t="s">
        <v>125</v>
      </c>
      <c r="R143">
        <v>6</v>
      </c>
      <c r="S143">
        <v>40</v>
      </c>
      <c r="T143" t="s">
        <v>132</v>
      </c>
      <c r="U143" t="s">
        <v>133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134</v>
      </c>
      <c r="AE143" t="s">
        <v>134</v>
      </c>
      <c r="AF143" s="2">
        <v>45518</v>
      </c>
      <c r="AG143" s="2">
        <v>46007</v>
      </c>
      <c r="AH143">
        <v>549.17999999999995</v>
      </c>
      <c r="AI143">
        <v>826.44</v>
      </c>
      <c r="AJ143" s="1">
        <v>5491.89</v>
      </c>
      <c r="AK143">
        <v>0</v>
      </c>
      <c r="AL143">
        <v>505.45</v>
      </c>
      <c r="AM143">
        <v>0</v>
      </c>
      <c r="AN143" t="s">
        <v>135</v>
      </c>
      <c r="AO143" t="s">
        <v>135</v>
      </c>
      <c r="AP143" t="s">
        <v>136</v>
      </c>
      <c r="AQ143" t="s">
        <v>137</v>
      </c>
      <c r="AR143" t="s">
        <v>138</v>
      </c>
      <c r="AS143" t="s">
        <v>139</v>
      </c>
      <c r="AT143" t="s">
        <v>140</v>
      </c>
      <c r="AU143">
        <v>105</v>
      </c>
      <c r="AV143">
        <v>10</v>
      </c>
      <c r="AW143">
        <v>1</v>
      </c>
      <c r="AX143" s="2">
        <v>45838</v>
      </c>
      <c r="AY143" t="s">
        <v>141</v>
      </c>
      <c r="AZ143" s="2">
        <v>46027</v>
      </c>
      <c r="BA143">
        <v>0</v>
      </c>
      <c r="BB143">
        <v>0</v>
      </c>
      <c r="BC143">
        <v>0</v>
      </c>
      <c r="BD143">
        <v>700</v>
      </c>
      <c r="BE143">
        <v>70</v>
      </c>
      <c r="BF143">
        <v>9</v>
      </c>
      <c r="BG143" s="2">
        <v>45536</v>
      </c>
      <c r="BH143" t="s">
        <v>142</v>
      </c>
      <c r="BI143" s="2">
        <v>46026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s="1">
        <v>1966.04</v>
      </c>
      <c r="BQ143" s="1">
        <v>1966.04</v>
      </c>
      <c r="BR143">
        <v>0</v>
      </c>
      <c r="BS143">
        <v>0</v>
      </c>
      <c r="BT143">
        <v>0</v>
      </c>
      <c r="BU143">
        <v>0</v>
      </c>
      <c r="BV143" s="1">
        <v>2070.4699999999998</v>
      </c>
      <c r="BW143" s="1">
        <v>2070.4699999999998</v>
      </c>
      <c r="BX143">
        <v>0</v>
      </c>
      <c r="BY143">
        <v>0</v>
      </c>
      <c r="BZ143">
        <v>0</v>
      </c>
      <c r="CA143">
        <v>0</v>
      </c>
      <c r="CB143" s="1">
        <v>1671.55</v>
      </c>
      <c r="CC143" t="s">
        <v>143</v>
      </c>
    </row>
    <row r="144" spans="1:81" x14ac:dyDescent="0.25">
      <c r="A144">
        <v>345</v>
      </c>
      <c r="B144">
        <v>2</v>
      </c>
      <c r="C144">
        <v>294</v>
      </c>
      <c r="D144" t="s">
        <v>939</v>
      </c>
      <c r="E144" t="s">
        <v>121</v>
      </c>
      <c r="F144" t="s">
        <v>940</v>
      </c>
      <c r="G144" t="s">
        <v>941</v>
      </c>
      <c r="H144" t="s">
        <v>942</v>
      </c>
      <c r="I144" t="s">
        <v>943</v>
      </c>
      <c r="J144" t="s">
        <v>944</v>
      </c>
      <c r="K144" t="s">
        <v>466</v>
      </c>
      <c r="L144" t="s">
        <v>128</v>
      </c>
      <c r="M144" t="s">
        <v>467</v>
      </c>
      <c r="N144" t="s">
        <v>945</v>
      </c>
      <c r="O144" t="s">
        <v>167</v>
      </c>
      <c r="P144">
        <v>0</v>
      </c>
      <c r="Q144" t="s">
        <v>125</v>
      </c>
      <c r="R144">
        <v>6</v>
      </c>
      <c r="S144">
        <v>37</v>
      </c>
      <c r="T144" t="s">
        <v>132</v>
      </c>
      <c r="U144" t="s">
        <v>133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134</v>
      </c>
      <c r="AE144" t="s">
        <v>134</v>
      </c>
      <c r="AF144" s="2">
        <v>45518</v>
      </c>
      <c r="AG144" s="2">
        <v>45982</v>
      </c>
      <c r="AH144">
        <v>68.81</v>
      </c>
      <c r="AI144">
        <v>82.76</v>
      </c>
      <c r="AJ144">
        <v>206.43</v>
      </c>
      <c r="AK144">
        <v>0</v>
      </c>
      <c r="AL144">
        <v>0</v>
      </c>
      <c r="AM144">
        <v>0</v>
      </c>
      <c r="AN144" t="s">
        <v>135</v>
      </c>
      <c r="AO144" t="s">
        <v>135</v>
      </c>
      <c r="AP144" t="s">
        <v>136</v>
      </c>
      <c r="AQ144" t="s">
        <v>137</v>
      </c>
      <c r="AR144" t="s">
        <v>138</v>
      </c>
      <c r="AS144" t="s">
        <v>139</v>
      </c>
      <c r="AT144" t="s">
        <v>140</v>
      </c>
      <c r="AU144">
        <v>100</v>
      </c>
      <c r="AV144">
        <v>10</v>
      </c>
      <c r="AW144">
        <v>1</v>
      </c>
      <c r="AX144" s="2">
        <v>45848</v>
      </c>
      <c r="AY144" t="s">
        <v>308</v>
      </c>
      <c r="AZ144" s="2">
        <v>46023</v>
      </c>
      <c r="BA144">
        <v>0</v>
      </c>
      <c r="BB144">
        <v>0</v>
      </c>
      <c r="BC144">
        <v>0</v>
      </c>
      <c r="BD144">
        <v>700</v>
      </c>
      <c r="BE144">
        <v>70</v>
      </c>
      <c r="BF144">
        <v>9</v>
      </c>
      <c r="BG144" s="2">
        <v>45536</v>
      </c>
      <c r="BH144" t="s">
        <v>142</v>
      </c>
      <c r="BI144" s="2">
        <v>46026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82.29</v>
      </c>
      <c r="BQ144">
        <v>82.29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68.81</v>
      </c>
      <c r="CC144" t="s">
        <v>161</v>
      </c>
    </row>
    <row r="145" spans="1:81" x14ac:dyDescent="0.25">
      <c r="A145">
        <v>345</v>
      </c>
      <c r="B145">
        <v>2</v>
      </c>
      <c r="C145">
        <v>295</v>
      </c>
      <c r="D145" t="s">
        <v>946</v>
      </c>
      <c r="E145" t="s">
        <v>121</v>
      </c>
      <c r="F145" t="s">
        <v>947</v>
      </c>
      <c r="G145" t="s">
        <v>948</v>
      </c>
      <c r="H145" t="s">
        <v>949</v>
      </c>
      <c r="I145" t="s">
        <v>950</v>
      </c>
      <c r="J145" t="s">
        <v>831</v>
      </c>
      <c r="K145" t="s">
        <v>336</v>
      </c>
      <c r="L145" t="s">
        <v>128</v>
      </c>
      <c r="M145" t="s">
        <v>337</v>
      </c>
      <c r="N145" t="s">
        <v>951</v>
      </c>
      <c r="O145" t="s">
        <v>131</v>
      </c>
      <c r="P145">
        <v>0</v>
      </c>
      <c r="Q145" t="s">
        <v>125</v>
      </c>
      <c r="R145">
        <v>6</v>
      </c>
      <c r="S145">
        <v>40</v>
      </c>
      <c r="T145" t="s">
        <v>132</v>
      </c>
      <c r="U145" t="s">
        <v>133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134</v>
      </c>
      <c r="AE145" t="s">
        <v>134</v>
      </c>
      <c r="AF145" s="2">
        <v>45518</v>
      </c>
      <c r="AG145" s="2">
        <v>46014</v>
      </c>
      <c r="AH145">
        <v>269.31</v>
      </c>
      <c r="AI145">
        <v>423.22</v>
      </c>
      <c r="AJ145" s="1">
        <v>2423.8000000000002</v>
      </c>
      <c r="AK145">
        <v>0</v>
      </c>
      <c r="AL145">
        <v>148.62</v>
      </c>
      <c r="AM145">
        <v>0</v>
      </c>
      <c r="AN145" t="s">
        <v>135</v>
      </c>
      <c r="AO145" t="s">
        <v>135</v>
      </c>
      <c r="AP145" t="s">
        <v>136</v>
      </c>
      <c r="AQ145" t="s">
        <v>137</v>
      </c>
      <c r="AR145" t="s">
        <v>138</v>
      </c>
      <c r="AS145" t="s">
        <v>139</v>
      </c>
      <c r="AT145" t="s">
        <v>140</v>
      </c>
      <c r="AU145">
        <v>104</v>
      </c>
      <c r="AV145">
        <v>10</v>
      </c>
      <c r="AW145">
        <v>1</v>
      </c>
      <c r="AX145" s="2">
        <v>45537</v>
      </c>
      <c r="AY145" t="s">
        <v>141</v>
      </c>
      <c r="AZ145" s="2">
        <v>46027</v>
      </c>
      <c r="BA145">
        <v>0</v>
      </c>
      <c r="BB145">
        <v>0</v>
      </c>
      <c r="BC145">
        <v>0</v>
      </c>
      <c r="BD145">
        <v>700</v>
      </c>
      <c r="BE145">
        <v>70</v>
      </c>
      <c r="BF145">
        <v>9</v>
      </c>
      <c r="BG145" s="2">
        <v>45536</v>
      </c>
      <c r="BH145" t="s">
        <v>142</v>
      </c>
      <c r="BI145" s="2">
        <v>46026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s="1">
        <v>1023.54</v>
      </c>
      <c r="BQ145" s="1">
        <v>1023.54</v>
      </c>
      <c r="BR145">
        <v>0</v>
      </c>
      <c r="BS145">
        <v>0</v>
      </c>
      <c r="BT145">
        <v>0</v>
      </c>
      <c r="BU145">
        <v>0</v>
      </c>
      <c r="BV145">
        <v>919.48</v>
      </c>
      <c r="BW145">
        <v>919.48</v>
      </c>
      <c r="BX145">
        <v>0</v>
      </c>
      <c r="BY145">
        <v>0</v>
      </c>
      <c r="BZ145">
        <v>0</v>
      </c>
      <c r="CA145">
        <v>0</v>
      </c>
      <c r="CB145">
        <v>730.93</v>
      </c>
      <c r="CC145" t="s">
        <v>143</v>
      </c>
    </row>
    <row r="146" spans="1:81" x14ac:dyDescent="0.25">
      <c r="A146">
        <v>345</v>
      </c>
      <c r="B146">
        <v>2</v>
      </c>
      <c r="C146">
        <v>296</v>
      </c>
      <c r="D146" t="s">
        <v>952</v>
      </c>
      <c r="E146" t="s">
        <v>121</v>
      </c>
      <c r="F146" t="s">
        <v>953</v>
      </c>
      <c r="G146" t="s">
        <v>954</v>
      </c>
      <c r="H146" t="s">
        <v>955</v>
      </c>
      <c r="I146" t="s">
        <v>956</v>
      </c>
      <c r="J146" t="s">
        <v>831</v>
      </c>
      <c r="K146" t="s">
        <v>336</v>
      </c>
      <c r="L146" t="s">
        <v>128</v>
      </c>
      <c r="M146" t="s">
        <v>337</v>
      </c>
      <c r="N146" t="s">
        <v>957</v>
      </c>
      <c r="O146" t="s">
        <v>131</v>
      </c>
      <c r="P146">
        <v>0</v>
      </c>
      <c r="Q146" t="s">
        <v>125</v>
      </c>
      <c r="R146">
        <v>6</v>
      </c>
      <c r="S146">
        <v>40</v>
      </c>
      <c r="T146" t="s">
        <v>132</v>
      </c>
      <c r="U146" t="s">
        <v>133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134</v>
      </c>
      <c r="AE146" t="s">
        <v>134</v>
      </c>
      <c r="AF146" s="2">
        <v>45518</v>
      </c>
      <c r="AG146" s="2">
        <v>46007</v>
      </c>
      <c r="AH146">
        <v>467.61</v>
      </c>
      <c r="AI146" s="1">
        <v>1108.08</v>
      </c>
      <c r="AJ146" s="1">
        <v>3740.9</v>
      </c>
      <c r="AK146">
        <v>0</v>
      </c>
      <c r="AL146">
        <v>0</v>
      </c>
      <c r="AM146">
        <v>0</v>
      </c>
      <c r="AN146" t="s">
        <v>135</v>
      </c>
      <c r="AO146" t="s">
        <v>135</v>
      </c>
      <c r="AP146" t="s">
        <v>136</v>
      </c>
      <c r="AQ146" t="s">
        <v>137</v>
      </c>
      <c r="AR146" t="s">
        <v>138</v>
      </c>
      <c r="AS146" t="s">
        <v>139</v>
      </c>
      <c r="AT146" t="s">
        <v>140</v>
      </c>
      <c r="AU146">
        <v>104</v>
      </c>
      <c r="AV146">
        <v>10</v>
      </c>
      <c r="AW146">
        <v>1</v>
      </c>
      <c r="AX146" s="2">
        <v>45845</v>
      </c>
      <c r="AY146" t="s">
        <v>141</v>
      </c>
      <c r="AZ146" s="2">
        <v>46027</v>
      </c>
      <c r="BA146">
        <v>0</v>
      </c>
      <c r="BB146">
        <v>0</v>
      </c>
      <c r="BC146">
        <v>0</v>
      </c>
      <c r="BD146">
        <v>700</v>
      </c>
      <c r="BE146">
        <v>70</v>
      </c>
      <c r="BF146">
        <v>9</v>
      </c>
      <c r="BG146" s="2">
        <v>45536</v>
      </c>
      <c r="BH146" t="s">
        <v>142</v>
      </c>
      <c r="BI146" s="2">
        <v>46026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843.17</v>
      </c>
      <c r="BQ146">
        <v>843.17</v>
      </c>
      <c r="BR146">
        <v>0</v>
      </c>
      <c r="BS146">
        <v>0</v>
      </c>
      <c r="BT146">
        <v>0</v>
      </c>
      <c r="BU146">
        <v>0</v>
      </c>
      <c r="BV146" s="1">
        <v>2003.08</v>
      </c>
      <c r="BW146" s="1">
        <v>2003.08</v>
      </c>
      <c r="BX146">
        <v>0</v>
      </c>
      <c r="BY146">
        <v>0</v>
      </c>
      <c r="BZ146">
        <v>0</v>
      </c>
      <c r="CA146">
        <v>0</v>
      </c>
      <c r="CB146">
        <v>994.42</v>
      </c>
      <c r="CC146" t="s">
        <v>143</v>
      </c>
    </row>
    <row r="147" spans="1:81" x14ac:dyDescent="0.25">
      <c r="A147">
        <v>345</v>
      </c>
      <c r="B147">
        <v>2</v>
      </c>
      <c r="C147">
        <v>297</v>
      </c>
      <c r="D147" t="s">
        <v>958</v>
      </c>
      <c r="E147" t="s">
        <v>121</v>
      </c>
      <c r="F147" t="s">
        <v>959</v>
      </c>
      <c r="G147" t="s">
        <v>960</v>
      </c>
      <c r="H147" t="s">
        <v>961</v>
      </c>
      <c r="I147" t="s">
        <v>125</v>
      </c>
      <c r="J147" t="s">
        <v>667</v>
      </c>
      <c r="K147" t="s">
        <v>336</v>
      </c>
      <c r="L147" t="s">
        <v>128</v>
      </c>
      <c r="M147" t="s">
        <v>337</v>
      </c>
      <c r="N147" t="s">
        <v>962</v>
      </c>
      <c r="O147" t="s">
        <v>131</v>
      </c>
      <c r="P147">
        <v>0</v>
      </c>
      <c r="Q147" t="s">
        <v>125</v>
      </c>
      <c r="R147">
        <v>6</v>
      </c>
      <c r="S147">
        <v>41</v>
      </c>
      <c r="T147" t="s">
        <v>132</v>
      </c>
      <c r="U147" t="s">
        <v>133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134</v>
      </c>
      <c r="AE147" t="s">
        <v>134</v>
      </c>
      <c r="AF147" s="2">
        <v>45518</v>
      </c>
      <c r="AG147" s="2">
        <v>46020</v>
      </c>
      <c r="AH147">
        <v>115.27</v>
      </c>
      <c r="AI147">
        <v>242.16</v>
      </c>
      <c r="AJ147">
        <v>691.66</v>
      </c>
      <c r="AK147">
        <v>0</v>
      </c>
      <c r="AL147">
        <v>0</v>
      </c>
      <c r="AM147">
        <v>0</v>
      </c>
      <c r="AN147" t="s">
        <v>135</v>
      </c>
      <c r="AO147" t="s">
        <v>135</v>
      </c>
      <c r="AP147" t="s">
        <v>136</v>
      </c>
      <c r="AQ147" t="s">
        <v>137</v>
      </c>
      <c r="AR147" t="s">
        <v>138</v>
      </c>
      <c r="AS147" t="s">
        <v>139</v>
      </c>
      <c r="AT147" t="s">
        <v>140</v>
      </c>
      <c r="AU147">
        <v>101</v>
      </c>
      <c r="AV147">
        <v>10</v>
      </c>
      <c r="AW147">
        <v>1</v>
      </c>
      <c r="AX147" s="2">
        <v>45856</v>
      </c>
      <c r="AY147" t="s">
        <v>151</v>
      </c>
      <c r="AZ147" s="2">
        <v>46024</v>
      </c>
      <c r="BA147">
        <v>0</v>
      </c>
      <c r="BB147">
        <v>0</v>
      </c>
      <c r="BC147">
        <v>0</v>
      </c>
      <c r="BD147">
        <v>700</v>
      </c>
      <c r="BE147">
        <v>70</v>
      </c>
      <c r="BF147">
        <v>9</v>
      </c>
      <c r="BG147" s="2">
        <v>45536</v>
      </c>
      <c r="BH147" t="s">
        <v>142</v>
      </c>
      <c r="BI147" s="2">
        <v>46026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114.17</v>
      </c>
      <c r="BQ147">
        <v>114.17</v>
      </c>
      <c r="BR147">
        <v>0</v>
      </c>
      <c r="BS147">
        <v>0</v>
      </c>
      <c r="BT147">
        <v>0</v>
      </c>
      <c r="BU147">
        <v>0</v>
      </c>
      <c r="BV147">
        <v>335.33</v>
      </c>
      <c r="BW147">
        <v>335.33</v>
      </c>
      <c r="BX147">
        <v>0</v>
      </c>
      <c r="BY147">
        <v>0</v>
      </c>
      <c r="BZ147">
        <v>0</v>
      </c>
      <c r="CA147">
        <v>0</v>
      </c>
      <c r="CB147">
        <v>118.77</v>
      </c>
      <c r="CC147" t="s">
        <v>143</v>
      </c>
    </row>
    <row r="148" spans="1:81" x14ac:dyDescent="0.25">
      <c r="A148">
        <v>345</v>
      </c>
      <c r="B148">
        <v>2</v>
      </c>
      <c r="C148">
        <v>298</v>
      </c>
      <c r="D148" t="s">
        <v>963</v>
      </c>
      <c r="E148" t="s">
        <v>121</v>
      </c>
      <c r="F148" t="s">
        <v>964</v>
      </c>
      <c r="G148" t="s">
        <v>965</v>
      </c>
      <c r="H148" t="s">
        <v>966</v>
      </c>
      <c r="I148" t="s">
        <v>125</v>
      </c>
      <c r="J148" t="s">
        <v>967</v>
      </c>
      <c r="K148" t="s">
        <v>466</v>
      </c>
      <c r="L148" t="s">
        <v>128</v>
      </c>
      <c r="M148" t="s">
        <v>467</v>
      </c>
      <c r="N148" t="s">
        <v>968</v>
      </c>
      <c r="O148" t="s">
        <v>131</v>
      </c>
      <c r="P148">
        <v>0</v>
      </c>
      <c r="Q148" t="s">
        <v>125</v>
      </c>
      <c r="R148">
        <v>6</v>
      </c>
      <c r="S148">
        <v>40</v>
      </c>
      <c r="T148" t="s">
        <v>132</v>
      </c>
      <c r="U148" t="s">
        <v>133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134</v>
      </c>
      <c r="AE148" t="s">
        <v>134</v>
      </c>
      <c r="AF148" s="2">
        <v>45518</v>
      </c>
      <c r="AG148" s="2">
        <v>46020</v>
      </c>
      <c r="AH148">
        <v>527.65</v>
      </c>
      <c r="AI148" s="1">
        <v>1456.04</v>
      </c>
      <c r="AJ148" s="1">
        <v>4748.8900000000003</v>
      </c>
      <c r="AK148">
        <v>0</v>
      </c>
      <c r="AL148">
        <v>0</v>
      </c>
      <c r="AM148">
        <v>0</v>
      </c>
      <c r="AN148" t="s">
        <v>135</v>
      </c>
      <c r="AO148" t="s">
        <v>135</v>
      </c>
      <c r="AP148" t="s">
        <v>136</v>
      </c>
      <c r="AQ148" t="s">
        <v>137</v>
      </c>
      <c r="AR148" t="s">
        <v>138</v>
      </c>
      <c r="AS148" t="s">
        <v>139</v>
      </c>
      <c r="AT148" t="s">
        <v>140</v>
      </c>
      <c r="AU148">
        <v>100</v>
      </c>
      <c r="AV148">
        <v>10</v>
      </c>
      <c r="AW148">
        <v>1</v>
      </c>
      <c r="AX148" s="2">
        <v>45842</v>
      </c>
      <c r="AY148" t="s">
        <v>151</v>
      </c>
      <c r="AZ148" s="2">
        <v>46024</v>
      </c>
      <c r="BA148">
        <v>0</v>
      </c>
      <c r="BB148">
        <v>0</v>
      </c>
      <c r="BC148">
        <v>0</v>
      </c>
      <c r="BD148">
        <v>700</v>
      </c>
      <c r="BE148">
        <v>70</v>
      </c>
      <c r="BF148">
        <v>9</v>
      </c>
      <c r="BG148" s="2">
        <v>45536</v>
      </c>
      <c r="BH148" t="s">
        <v>142</v>
      </c>
      <c r="BI148" s="2">
        <v>46026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s="1">
        <v>1782.2</v>
      </c>
      <c r="BQ148" s="1">
        <v>1782.2</v>
      </c>
      <c r="BR148">
        <v>0</v>
      </c>
      <c r="BS148">
        <v>0</v>
      </c>
      <c r="BT148">
        <v>0</v>
      </c>
      <c r="BU148">
        <v>0</v>
      </c>
      <c r="BV148" s="1">
        <v>1458.39</v>
      </c>
      <c r="BW148" s="1">
        <v>1458.39</v>
      </c>
      <c r="BX148">
        <v>0</v>
      </c>
      <c r="BY148">
        <v>0</v>
      </c>
      <c r="BZ148">
        <v>0</v>
      </c>
      <c r="CA148">
        <v>0</v>
      </c>
      <c r="CB148" s="1">
        <v>1593.8</v>
      </c>
      <c r="CC148" t="s">
        <v>143</v>
      </c>
    </row>
    <row r="149" spans="1:81" x14ac:dyDescent="0.25">
      <c r="A149">
        <v>345</v>
      </c>
      <c r="B149">
        <v>2</v>
      </c>
      <c r="C149">
        <v>299</v>
      </c>
      <c r="D149" t="s">
        <v>969</v>
      </c>
      <c r="E149" t="s">
        <v>121</v>
      </c>
      <c r="F149" t="s">
        <v>970</v>
      </c>
      <c r="G149" t="s">
        <v>971</v>
      </c>
      <c r="H149" t="s">
        <v>972</v>
      </c>
      <c r="I149" t="s">
        <v>973</v>
      </c>
      <c r="J149" t="s">
        <v>492</v>
      </c>
      <c r="K149" t="s">
        <v>466</v>
      </c>
      <c r="L149" t="s">
        <v>128</v>
      </c>
      <c r="M149" t="s">
        <v>467</v>
      </c>
      <c r="N149" t="s">
        <v>974</v>
      </c>
      <c r="O149" t="s">
        <v>131</v>
      </c>
      <c r="P149">
        <v>0</v>
      </c>
      <c r="Q149" t="s">
        <v>125</v>
      </c>
      <c r="R149">
        <v>6</v>
      </c>
      <c r="S149">
        <v>40</v>
      </c>
      <c r="T149" t="s">
        <v>132</v>
      </c>
      <c r="U149" t="s">
        <v>133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134</v>
      </c>
      <c r="AE149" t="s">
        <v>134</v>
      </c>
      <c r="AF149" s="2">
        <v>45518</v>
      </c>
      <c r="AG149" s="2">
        <v>46021</v>
      </c>
      <c r="AH149">
        <v>322.82</v>
      </c>
      <c r="AI149">
        <v>588.54999999999995</v>
      </c>
      <c r="AJ149" s="1">
        <v>2905.4</v>
      </c>
      <c r="AK149">
        <v>0</v>
      </c>
      <c r="AL149">
        <v>0</v>
      </c>
      <c r="AM149">
        <v>0</v>
      </c>
      <c r="AN149" t="s">
        <v>135</v>
      </c>
      <c r="AO149" t="s">
        <v>135</v>
      </c>
      <c r="AP149" t="s">
        <v>136</v>
      </c>
      <c r="AQ149" t="s">
        <v>137</v>
      </c>
      <c r="AR149" t="s">
        <v>138</v>
      </c>
      <c r="AS149" t="s">
        <v>139</v>
      </c>
      <c r="AT149" t="s">
        <v>140</v>
      </c>
      <c r="AU149">
        <v>105</v>
      </c>
      <c r="AV149">
        <v>10</v>
      </c>
      <c r="AW149">
        <v>1</v>
      </c>
      <c r="AX149" s="2">
        <v>45810</v>
      </c>
      <c r="AY149" t="s">
        <v>141</v>
      </c>
      <c r="AZ149" s="2">
        <v>46027</v>
      </c>
      <c r="BA149">
        <v>0</v>
      </c>
      <c r="BB149">
        <v>0</v>
      </c>
      <c r="BC149">
        <v>0</v>
      </c>
      <c r="BD149">
        <v>700</v>
      </c>
      <c r="BE149">
        <v>70</v>
      </c>
      <c r="BF149">
        <v>9</v>
      </c>
      <c r="BG149" s="2">
        <v>45536</v>
      </c>
      <c r="BH149" t="s">
        <v>142</v>
      </c>
      <c r="BI149" s="2">
        <v>46026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s="1">
        <v>1065.02</v>
      </c>
      <c r="BQ149" s="1">
        <v>1065.02</v>
      </c>
      <c r="BR149">
        <v>0</v>
      </c>
      <c r="BS149">
        <v>0</v>
      </c>
      <c r="BT149">
        <v>0</v>
      </c>
      <c r="BU149">
        <v>0</v>
      </c>
      <c r="BV149">
        <v>678.83</v>
      </c>
      <c r="BW149">
        <v>678.83</v>
      </c>
      <c r="BX149">
        <v>0</v>
      </c>
      <c r="BY149">
        <v>0</v>
      </c>
      <c r="BZ149">
        <v>0</v>
      </c>
      <c r="CA149">
        <v>0</v>
      </c>
      <c r="CB149" s="1">
        <v>1415.85</v>
      </c>
      <c r="CC149" t="s">
        <v>143</v>
      </c>
    </row>
    <row r="150" spans="1:81" x14ac:dyDescent="0.25">
      <c r="A150">
        <v>345</v>
      </c>
      <c r="B150">
        <v>2</v>
      </c>
      <c r="C150">
        <v>301</v>
      </c>
      <c r="D150" t="s">
        <v>975</v>
      </c>
      <c r="E150" t="s">
        <v>121</v>
      </c>
      <c r="F150" t="s">
        <v>976</v>
      </c>
      <c r="G150" t="s">
        <v>977</v>
      </c>
      <c r="H150" t="s">
        <v>978</v>
      </c>
      <c r="I150" t="s">
        <v>979</v>
      </c>
      <c r="J150" t="s">
        <v>897</v>
      </c>
      <c r="K150" t="s">
        <v>473</v>
      </c>
      <c r="L150" t="s">
        <v>128</v>
      </c>
      <c r="M150" t="s">
        <v>474</v>
      </c>
      <c r="N150" t="s">
        <v>980</v>
      </c>
      <c r="O150" t="s">
        <v>131</v>
      </c>
      <c r="P150">
        <v>0</v>
      </c>
      <c r="Q150" t="s">
        <v>125</v>
      </c>
      <c r="R150">
        <v>6</v>
      </c>
      <c r="S150">
        <v>40</v>
      </c>
      <c r="T150" t="s">
        <v>132</v>
      </c>
      <c r="U150" t="s">
        <v>133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134</v>
      </c>
      <c r="AE150" t="s">
        <v>134</v>
      </c>
      <c r="AF150" s="2">
        <v>45518</v>
      </c>
      <c r="AG150" s="2">
        <v>46020</v>
      </c>
      <c r="AH150">
        <v>349</v>
      </c>
      <c r="AI150">
        <v>520</v>
      </c>
      <c r="AJ150" s="1">
        <v>3141.07</v>
      </c>
      <c r="AK150">
        <v>0</v>
      </c>
      <c r="AL150">
        <v>0</v>
      </c>
      <c r="AM150">
        <v>0</v>
      </c>
      <c r="AN150" t="s">
        <v>135</v>
      </c>
      <c r="AO150" t="s">
        <v>135</v>
      </c>
      <c r="AP150" t="s">
        <v>136</v>
      </c>
      <c r="AQ150" t="s">
        <v>137</v>
      </c>
      <c r="AR150" t="s">
        <v>138</v>
      </c>
      <c r="AS150" t="s">
        <v>139</v>
      </c>
      <c r="AT150" t="s">
        <v>140</v>
      </c>
      <c r="AU150">
        <v>501</v>
      </c>
      <c r="AV150">
        <v>10</v>
      </c>
      <c r="AW150">
        <v>1</v>
      </c>
      <c r="AX150" s="2">
        <v>45857</v>
      </c>
      <c r="AY150" t="s">
        <v>160</v>
      </c>
      <c r="AZ150" s="2">
        <v>46025</v>
      </c>
      <c r="BA150">
        <v>0</v>
      </c>
      <c r="BB150">
        <v>0</v>
      </c>
      <c r="BC150">
        <v>0</v>
      </c>
      <c r="BD150">
        <v>700</v>
      </c>
      <c r="BE150">
        <v>70</v>
      </c>
      <c r="BF150">
        <v>9</v>
      </c>
      <c r="BG150" s="2">
        <v>45536</v>
      </c>
      <c r="BH150" t="s">
        <v>142</v>
      </c>
      <c r="BI150" s="2">
        <v>46026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820.09</v>
      </c>
      <c r="BQ150">
        <v>820.09</v>
      </c>
      <c r="BR150">
        <v>0</v>
      </c>
      <c r="BS150">
        <v>0</v>
      </c>
      <c r="BT150">
        <v>0</v>
      </c>
      <c r="BU150">
        <v>0</v>
      </c>
      <c r="BV150" s="1">
        <v>1588.26</v>
      </c>
      <c r="BW150" s="1">
        <v>1588.26</v>
      </c>
      <c r="BX150">
        <v>0</v>
      </c>
      <c r="BY150">
        <v>0</v>
      </c>
      <c r="BZ150">
        <v>0</v>
      </c>
      <c r="CA150">
        <v>0</v>
      </c>
      <c r="CB150">
        <v>924.58</v>
      </c>
      <c r="CC150" t="s">
        <v>143</v>
      </c>
    </row>
    <row r="151" spans="1:81" x14ac:dyDescent="0.25">
      <c r="A151">
        <v>345</v>
      </c>
      <c r="B151">
        <v>2</v>
      </c>
      <c r="C151">
        <v>302</v>
      </c>
      <c r="D151" t="s">
        <v>981</v>
      </c>
      <c r="E151" t="s">
        <v>121</v>
      </c>
      <c r="F151" t="s">
        <v>982</v>
      </c>
      <c r="G151" t="s">
        <v>983</v>
      </c>
      <c r="H151" t="s">
        <v>984</v>
      </c>
      <c r="I151" t="s">
        <v>985</v>
      </c>
      <c r="J151" t="s">
        <v>126</v>
      </c>
      <c r="K151" t="s">
        <v>473</v>
      </c>
      <c r="L151" t="s">
        <v>128</v>
      </c>
      <c r="M151" t="s">
        <v>474</v>
      </c>
      <c r="N151" t="s">
        <v>986</v>
      </c>
      <c r="O151" t="s">
        <v>131</v>
      </c>
      <c r="P151">
        <v>0</v>
      </c>
      <c r="Q151" t="s">
        <v>125</v>
      </c>
      <c r="R151">
        <v>6</v>
      </c>
      <c r="S151">
        <v>45</v>
      </c>
      <c r="T151" t="s">
        <v>132</v>
      </c>
      <c r="U151" t="s">
        <v>133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134</v>
      </c>
      <c r="AE151" t="s">
        <v>134</v>
      </c>
      <c r="AF151" s="2">
        <v>45518</v>
      </c>
      <c r="AG151" s="2">
        <v>46010</v>
      </c>
      <c r="AH151">
        <v>102.51</v>
      </c>
      <c r="AI151">
        <v>156.36000000000001</v>
      </c>
      <c r="AJ151">
        <v>307.52999999999997</v>
      </c>
      <c r="AK151">
        <v>0</v>
      </c>
      <c r="AL151">
        <v>0</v>
      </c>
      <c r="AM151">
        <v>0</v>
      </c>
      <c r="AN151" t="s">
        <v>135</v>
      </c>
      <c r="AO151" t="s">
        <v>135</v>
      </c>
      <c r="AP151" t="s">
        <v>136</v>
      </c>
      <c r="AQ151" t="s">
        <v>137</v>
      </c>
      <c r="AR151" t="s">
        <v>138</v>
      </c>
      <c r="AS151" t="s">
        <v>150</v>
      </c>
      <c r="AT151" t="s">
        <v>140</v>
      </c>
      <c r="AU151">
        <v>105</v>
      </c>
      <c r="AV151">
        <v>10</v>
      </c>
      <c r="AW151">
        <v>1</v>
      </c>
      <c r="AX151" s="2">
        <v>45532</v>
      </c>
      <c r="AY151" t="s">
        <v>168</v>
      </c>
      <c r="AZ151" s="2">
        <v>46022</v>
      </c>
      <c r="BA151">
        <v>0</v>
      </c>
      <c r="BB151">
        <v>0</v>
      </c>
      <c r="BC151">
        <v>0</v>
      </c>
      <c r="BD151">
        <v>700</v>
      </c>
      <c r="BE151">
        <v>70</v>
      </c>
      <c r="BF151">
        <v>9</v>
      </c>
      <c r="BG151" s="2">
        <v>45536</v>
      </c>
      <c r="BH151" t="s">
        <v>142</v>
      </c>
      <c r="BI151" s="2">
        <v>46026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156.36000000000001</v>
      </c>
      <c r="BQ151">
        <v>156.36000000000001</v>
      </c>
      <c r="BR151">
        <v>0</v>
      </c>
      <c r="BS151">
        <v>0</v>
      </c>
      <c r="BT151">
        <v>0</v>
      </c>
      <c r="BU151">
        <v>0</v>
      </c>
      <c r="BV151">
        <v>82.73</v>
      </c>
      <c r="BW151">
        <v>82.73</v>
      </c>
      <c r="BX151">
        <v>0</v>
      </c>
      <c r="BY151">
        <v>0</v>
      </c>
      <c r="BZ151">
        <v>0</v>
      </c>
      <c r="CA151">
        <v>0</v>
      </c>
      <c r="CB151">
        <v>94.71</v>
      </c>
      <c r="CC151" t="s">
        <v>143</v>
      </c>
    </row>
    <row r="152" spans="1:81" x14ac:dyDescent="0.25">
      <c r="A152">
        <v>345</v>
      </c>
      <c r="B152">
        <v>2</v>
      </c>
      <c r="C152">
        <v>303</v>
      </c>
      <c r="D152" t="s">
        <v>987</v>
      </c>
      <c r="E152" t="s">
        <v>121</v>
      </c>
      <c r="F152" t="s">
        <v>988</v>
      </c>
      <c r="G152" t="s">
        <v>989</v>
      </c>
      <c r="H152" t="s">
        <v>990</v>
      </c>
      <c r="I152" t="s">
        <v>991</v>
      </c>
      <c r="J152" t="s">
        <v>992</v>
      </c>
      <c r="K152" t="s">
        <v>466</v>
      </c>
      <c r="L152" t="s">
        <v>128</v>
      </c>
      <c r="M152" t="s">
        <v>467</v>
      </c>
      <c r="N152" t="s">
        <v>993</v>
      </c>
      <c r="O152" t="s">
        <v>131</v>
      </c>
      <c r="P152">
        <v>0</v>
      </c>
      <c r="Q152" t="s">
        <v>125</v>
      </c>
      <c r="R152">
        <v>6</v>
      </c>
      <c r="S152">
        <v>41</v>
      </c>
      <c r="T152" t="s">
        <v>132</v>
      </c>
      <c r="U152" t="s">
        <v>133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134</v>
      </c>
      <c r="AE152" t="s">
        <v>134</v>
      </c>
      <c r="AF152" s="2">
        <v>45518</v>
      </c>
      <c r="AG152" s="2">
        <v>46010</v>
      </c>
      <c r="AH152" s="1">
        <v>1059.48</v>
      </c>
      <c r="AI152" s="1">
        <v>1717.46</v>
      </c>
      <c r="AJ152" s="1">
        <v>8475.85</v>
      </c>
      <c r="AK152">
        <v>0</v>
      </c>
      <c r="AL152">
        <v>0</v>
      </c>
      <c r="AM152">
        <v>0</v>
      </c>
      <c r="AN152" t="s">
        <v>135</v>
      </c>
      <c r="AO152" t="s">
        <v>135</v>
      </c>
      <c r="AP152" t="s">
        <v>136</v>
      </c>
      <c r="AQ152" t="s">
        <v>137</v>
      </c>
      <c r="AR152" t="s">
        <v>138</v>
      </c>
      <c r="AS152" t="s">
        <v>139</v>
      </c>
      <c r="AT152" t="s">
        <v>140</v>
      </c>
      <c r="AU152">
        <v>100</v>
      </c>
      <c r="AV152">
        <v>10</v>
      </c>
      <c r="AW152">
        <v>1</v>
      </c>
      <c r="AX152" s="2">
        <v>45848</v>
      </c>
      <c r="AY152" t="s">
        <v>308</v>
      </c>
      <c r="AZ152" s="2">
        <v>46023</v>
      </c>
      <c r="BA152">
        <v>0</v>
      </c>
      <c r="BB152">
        <v>0</v>
      </c>
      <c r="BC152">
        <v>0</v>
      </c>
      <c r="BD152">
        <v>700</v>
      </c>
      <c r="BE152">
        <v>70</v>
      </c>
      <c r="BF152">
        <v>9</v>
      </c>
      <c r="BG152" s="2">
        <v>45536</v>
      </c>
      <c r="BH152" t="s">
        <v>142</v>
      </c>
      <c r="BI152" s="2">
        <v>46026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s="1">
        <v>3295.43</v>
      </c>
      <c r="BQ152" s="1">
        <v>3295.43</v>
      </c>
      <c r="BR152">
        <v>0</v>
      </c>
      <c r="BS152">
        <v>0</v>
      </c>
      <c r="BT152">
        <v>0</v>
      </c>
      <c r="BU152">
        <v>0</v>
      </c>
      <c r="BV152" s="1">
        <v>1876.11</v>
      </c>
      <c r="BW152" s="1">
        <v>1876.11</v>
      </c>
      <c r="BX152">
        <v>0</v>
      </c>
      <c r="BY152">
        <v>0</v>
      </c>
      <c r="BZ152">
        <v>0</v>
      </c>
      <c r="CA152">
        <v>0</v>
      </c>
      <c r="CB152" s="1">
        <v>2510.4699999999998</v>
      </c>
      <c r="CC152" t="s">
        <v>143</v>
      </c>
    </row>
    <row r="153" spans="1:81" x14ac:dyDescent="0.25">
      <c r="A153">
        <v>345</v>
      </c>
      <c r="B153">
        <v>2</v>
      </c>
      <c r="C153">
        <v>304</v>
      </c>
      <c r="D153" t="s">
        <v>994</v>
      </c>
      <c r="E153" t="s">
        <v>121</v>
      </c>
      <c r="F153" t="s">
        <v>995</v>
      </c>
      <c r="G153" t="s">
        <v>996</v>
      </c>
      <c r="H153" t="s">
        <v>997</v>
      </c>
      <c r="I153" t="s">
        <v>125</v>
      </c>
      <c r="J153" t="s">
        <v>126</v>
      </c>
      <c r="K153" t="s">
        <v>466</v>
      </c>
      <c r="L153" t="s">
        <v>128</v>
      </c>
      <c r="M153" t="s">
        <v>467</v>
      </c>
      <c r="N153" t="s">
        <v>998</v>
      </c>
      <c r="O153" t="s">
        <v>131</v>
      </c>
      <c r="P153">
        <v>0</v>
      </c>
      <c r="Q153" t="s">
        <v>125</v>
      </c>
      <c r="R153">
        <v>3</v>
      </c>
      <c r="S153">
        <v>86</v>
      </c>
      <c r="T153" t="s">
        <v>132</v>
      </c>
      <c r="U153" t="s">
        <v>133</v>
      </c>
      <c r="V153" s="1">
        <v>1000</v>
      </c>
      <c r="W153">
        <v>0</v>
      </c>
      <c r="X153" s="1">
        <v>1000</v>
      </c>
      <c r="Y153">
        <v>7</v>
      </c>
      <c r="Z153">
        <v>0</v>
      </c>
      <c r="AA153">
        <v>0</v>
      </c>
      <c r="AB153">
        <v>0</v>
      </c>
      <c r="AC153">
        <v>0</v>
      </c>
      <c r="AD153" t="s">
        <v>134</v>
      </c>
      <c r="AE153" t="s">
        <v>134</v>
      </c>
      <c r="AF153" s="2">
        <v>45518</v>
      </c>
      <c r="AG153" s="2">
        <v>46020</v>
      </c>
      <c r="AH153">
        <v>317.41000000000003</v>
      </c>
      <c r="AI153">
        <v>566.02</v>
      </c>
      <c r="AJ153" s="1">
        <v>3808.95</v>
      </c>
      <c r="AK153">
        <v>0</v>
      </c>
      <c r="AL153">
        <v>0</v>
      </c>
      <c r="AM153">
        <v>0</v>
      </c>
      <c r="AN153" t="s">
        <v>135</v>
      </c>
      <c r="AO153" t="s">
        <v>135</v>
      </c>
      <c r="AP153" t="s">
        <v>136</v>
      </c>
      <c r="AQ153" t="s">
        <v>137</v>
      </c>
      <c r="AR153" t="s">
        <v>138</v>
      </c>
      <c r="AS153" t="s">
        <v>139</v>
      </c>
      <c r="AT153" t="s">
        <v>140</v>
      </c>
      <c r="AU153">
        <v>105</v>
      </c>
      <c r="AV153">
        <v>10</v>
      </c>
      <c r="AW153">
        <v>1</v>
      </c>
      <c r="AX153" s="2">
        <v>45925</v>
      </c>
      <c r="AY153" t="s">
        <v>308</v>
      </c>
      <c r="AZ153" s="2">
        <v>46023</v>
      </c>
      <c r="BA153">
        <v>0</v>
      </c>
      <c r="BB153">
        <v>0</v>
      </c>
      <c r="BC153">
        <v>0</v>
      </c>
      <c r="BD153">
        <v>700</v>
      </c>
      <c r="BE153">
        <v>70</v>
      </c>
      <c r="BF153">
        <v>9</v>
      </c>
      <c r="BG153" s="2">
        <v>45536</v>
      </c>
      <c r="BH153" t="s">
        <v>142</v>
      </c>
      <c r="BI153" s="2">
        <v>46026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s="1">
        <v>1296.48</v>
      </c>
      <c r="BQ153" s="1">
        <v>1296.48</v>
      </c>
      <c r="BR153">
        <v>0</v>
      </c>
      <c r="BS153">
        <v>0</v>
      </c>
      <c r="BT153">
        <v>0</v>
      </c>
      <c r="BU153">
        <v>0</v>
      </c>
      <c r="BV153" s="1">
        <v>1152.43</v>
      </c>
      <c r="BW153" s="1">
        <v>1152.43</v>
      </c>
      <c r="BX153">
        <v>0</v>
      </c>
      <c r="BY153">
        <v>0</v>
      </c>
      <c r="BZ153">
        <v>0</v>
      </c>
      <c r="CA153">
        <v>0</v>
      </c>
      <c r="CB153" s="1">
        <v>1318.44</v>
      </c>
      <c r="CC153" t="s">
        <v>143</v>
      </c>
    </row>
    <row r="154" spans="1:81" x14ac:dyDescent="0.25">
      <c r="A154">
        <v>345</v>
      </c>
      <c r="B154">
        <v>2</v>
      </c>
      <c r="C154">
        <v>305</v>
      </c>
      <c r="D154" t="s">
        <v>999</v>
      </c>
      <c r="E154" t="s">
        <v>121</v>
      </c>
      <c r="F154" t="s">
        <v>1000</v>
      </c>
      <c r="G154" t="s">
        <v>1001</v>
      </c>
      <c r="H154" t="s">
        <v>1002</v>
      </c>
      <c r="I154" t="s">
        <v>125</v>
      </c>
      <c r="J154" t="s">
        <v>583</v>
      </c>
      <c r="K154" t="s">
        <v>466</v>
      </c>
      <c r="L154" t="s">
        <v>128</v>
      </c>
      <c r="M154" t="s">
        <v>467</v>
      </c>
      <c r="N154" t="s">
        <v>1003</v>
      </c>
      <c r="O154" t="s">
        <v>167</v>
      </c>
      <c r="P154">
        <v>0</v>
      </c>
      <c r="Q154" t="s">
        <v>125</v>
      </c>
      <c r="R154">
        <v>3</v>
      </c>
      <c r="S154">
        <v>87</v>
      </c>
      <c r="T154" t="s">
        <v>132</v>
      </c>
      <c r="U154" t="s">
        <v>133</v>
      </c>
      <c r="V154" s="1">
        <v>3969</v>
      </c>
      <c r="W154">
        <v>0</v>
      </c>
      <c r="X154" s="1">
        <v>3969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134</v>
      </c>
      <c r="AE154" t="s">
        <v>134</v>
      </c>
      <c r="AF154" s="2">
        <v>45518</v>
      </c>
      <c r="AG154" s="2">
        <v>46012</v>
      </c>
      <c r="AH154" s="1">
        <v>2228.9499999999998</v>
      </c>
      <c r="AI154" s="1">
        <v>9400.4699999999993</v>
      </c>
      <c r="AJ154" s="1">
        <v>20060.55</v>
      </c>
      <c r="AK154">
        <v>0</v>
      </c>
      <c r="AL154">
        <v>0</v>
      </c>
      <c r="AM154">
        <v>0</v>
      </c>
      <c r="AN154" t="s">
        <v>135</v>
      </c>
      <c r="AO154" t="s">
        <v>135</v>
      </c>
      <c r="AP154" t="s">
        <v>136</v>
      </c>
      <c r="AQ154" t="s">
        <v>137</v>
      </c>
      <c r="AR154" t="s">
        <v>138</v>
      </c>
      <c r="AS154" t="s">
        <v>139</v>
      </c>
      <c r="AT154" t="s">
        <v>140</v>
      </c>
      <c r="AU154">
        <v>100</v>
      </c>
      <c r="AV154">
        <v>10</v>
      </c>
      <c r="AW154">
        <v>1</v>
      </c>
      <c r="AX154" s="2">
        <v>45534</v>
      </c>
      <c r="AY154" t="s">
        <v>151</v>
      </c>
      <c r="AZ154" s="2">
        <v>46024</v>
      </c>
      <c r="BA154">
        <v>0</v>
      </c>
      <c r="BB154">
        <v>0</v>
      </c>
      <c r="BC154">
        <v>0</v>
      </c>
      <c r="BD154">
        <v>700</v>
      </c>
      <c r="BE154">
        <v>70</v>
      </c>
      <c r="BF154">
        <v>9</v>
      </c>
      <c r="BG154" s="2">
        <v>45536</v>
      </c>
      <c r="BH154" t="s">
        <v>142</v>
      </c>
      <c r="BI154" s="2">
        <v>46026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s="1">
        <v>9704.3799999999992</v>
      </c>
      <c r="BQ154" s="1">
        <v>9856.16</v>
      </c>
      <c r="BR154">
        <v>0</v>
      </c>
      <c r="BS154">
        <v>0</v>
      </c>
      <c r="BT154">
        <v>0</v>
      </c>
      <c r="BU154">
        <v>0</v>
      </c>
      <c r="BV154" s="1">
        <v>9804.56</v>
      </c>
      <c r="BW154" s="1">
        <v>9804.56</v>
      </c>
      <c r="BX154">
        <v>0</v>
      </c>
      <c r="BY154">
        <v>0</v>
      </c>
      <c r="BZ154">
        <v>0</v>
      </c>
      <c r="CA154">
        <v>0</v>
      </c>
      <c r="CB154" s="1">
        <v>8019.78</v>
      </c>
      <c r="CC154" t="s">
        <v>161</v>
      </c>
    </row>
    <row r="155" spans="1:81" x14ac:dyDescent="0.25">
      <c r="A155">
        <v>345</v>
      </c>
      <c r="B155">
        <v>2</v>
      </c>
      <c r="C155">
        <v>306</v>
      </c>
      <c r="D155" t="s">
        <v>1004</v>
      </c>
      <c r="E155" t="s">
        <v>121</v>
      </c>
      <c r="F155" t="s">
        <v>1005</v>
      </c>
      <c r="G155" t="s">
        <v>1006</v>
      </c>
      <c r="H155" t="s">
        <v>1007</v>
      </c>
      <c r="I155" t="s">
        <v>1008</v>
      </c>
      <c r="J155" t="s">
        <v>1009</v>
      </c>
      <c r="K155" t="s">
        <v>336</v>
      </c>
      <c r="L155" t="s">
        <v>128</v>
      </c>
      <c r="M155" t="s">
        <v>337</v>
      </c>
      <c r="N155" t="s">
        <v>1010</v>
      </c>
      <c r="O155" t="s">
        <v>167</v>
      </c>
      <c r="P155">
        <v>0</v>
      </c>
      <c r="Q155" t="s">
        <v>125</v>
      </c>
      <c r="R155">
        <v>6</v>
      </c>
      <c r="S155">
        <v>37</v>
      </c>
      <c r="T155" t="s">
        <v>132</v>
      </c>
      <c r="U155" t="s">
        <v>133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134</v>
      </c>
      <c r="AE155" t="s">
        <v>134</v>
      </c>
      <c r="AF155" s="2">
        <v>45518</v>
      </c>
      <c r="AG155" s="2">
        <v>45981</v>
      </c>
      <c r="AH155">
        <v>135.35</v>
      </c>
      <c r="AI155">
        <v>156.4</v>
      </c>
      <c r="AJ155">
        <v>270.7</v>
      </c>
      <c r="AK155">
        <v>0</v>
      </c>
      <c r="AL155">
        <v>0</v>
      </c>
      <c r="AM155">
        <v>0</v>
      </c>
      <c r="AN155" t="s">
        <v>135</v>
      </c>
      <c r="AO155" t="s">
        <v>135</v>
      </c>
      <c r="AP155" t="s">
        <v>136</v>
      </c>
      <c r="AQ155" t="s">
        <v>137</v>
      </c>
      <c r="AR155" t="s">
        <v>138</v>
      </c>
      <c r="AS155" t="s">
        <v>139</v>
      </c>
      <c r="AT155" t="s">
        <v>140</v>
      </c>
      <c r="AU155">
        <v>101</v>
      </c>
      <c r="AV155">
        <v>10</v>
      </c>
      <c r="AW155">
        <v>1</v>
      </c>
      <c r="AX155" s="2">
        <v>45811</v>
      </c>
      <c r="AY155" t="s">
        <v>377</v>
      </c>
      <c r="AZ155" s="2">
        <v>46028</v>
      </c>
      <c r="BA155">
        <v>0</v>
      </c>
      <c r="BB155">
        <v>0</v>
      </c>
      <c r="BC155">
        <v>0</v>
      </c>
      <c r="BD155">
        <v>700</v>
      </c>
      <c r="BE155">
        <v>70</v>
      </c>
      <c r="BF155">
        <v>9</v>
      </c>
      <c r="BG155" s="2">
        <v>45536</v>
      </c>
      <c r="BH155" t="s">
        <v>142</v>
      </c>
      <c r="BI155" s="2">
        <v>46026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156.4</v>
      </c>
      <c r="BQ155">
        <v>156.4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90.23</v>
      </c>
      <c r="CC155" t="s">
        <v>161</v>
      </c>
    </row>
    <row r="156" spans="1:81" x14ac:dyDescent="0.25">
      <c r="A156">
        <v>345</v>
      </c>
      <c r="B156">
        <v>2</v>
      </c>
      <c r="C156">
        <v>310</v>
      </c>
      <c r="D156" t="s">
        <v>1011</v>
      </c>
      <c r="E156" t="s">
        <v>121</v>
      </c>
      <c r="F156" t="s">
        <v>1012</v>
      </c>
      <c r="G156" t="s">
        <v>1013</v>
      </c>
      <c r="H156" t="s">
        <v>1014</v>
      </c>
      <c r="I156" t="s">
        <v>1015</v>
      </c>
      <c r="J156" t="s">
        <v>944</v>
      </c>
      <c r="K156" t="s">
        <v>466</v>
      </c>
      <c r="L156" t="s">
        <v>128</v>
      </c>
      <c r="M156" t="s">
        <v>467</v>
      </c>
      <c r="N156" t="s">
        <v>1016</v>
      </c>
      <c r="O156" t="s">
        <v>131</v>
      </c>
      <c r="P156">
        <v>0</v>
      </c>
      <c r="Q156" t="s">
        <v>125</v>
      </c>
      <c r="R156">
        <v>6</v>
      </c>
      <c r="S156">
        <v>42</v>
      </c>
      <c r="T156" t="s">
        <v>132</v>
      </c>
      <c r="U156" t="s">
        <v>133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134</v>
      </c>
      <c r="AE156" t="s">
        <v>134</v>
      </c>
      <c r="AF156" s="2">
        <v>45518</v>
      </c>
      <c r="AG156" s="2">
        <v>46010</v>
      </c>
      <c r="AH156">
        <v>138.52000000000001</v>
      </c>
      <c r="AI156">
        <v>188.97</v>
      </c>
      <c r="AJ156" s="1">
        <v>1246.76</v>
      </c>
      <c r="AK156">
        <v>0</v>
      </c>
      <c r="AL156">
        <v>0</v>
      </c>
      <c r="AM156">
        <v>0</v>
      </c>
      <c r="AN156" t="s">
        <v>135</v>
      </c>
      <c r="AO156" t="s">
        <v>135</v>
      </c>
      <c r="AP156" t="s">
        <v>136</v>
      </c>
      <c r="AQ156" t="s">
        <v>137</v>
      </c>
      <c r="AR156" t="s">
        <v>138</v>
      </c>
      <c r="AS156" t="s">
        <v>139</v>
      </c>
      <c r="AT156" t="s">
        <v>140</v>
      </c>
      <c r="AU156">
        <v>100</v>
      </c>
      <c r="AV156">
        <v>10</v>
      </c>
      <c r="AW156">
        <v>1</v>
      </c>
      <c r="AX156" s="2">
        <v>45848</v>
      </c>
      <c r="AY156" t="s">
        <v>308</v>
      </c>
      <c r="AZ156" s="2">
        <v>46023</v>
      </c>
      <c r="BA156">
        <v>0</v>
      </c>
      <c r="BB156">
        <v>0</v>
      </c>
      <c r="BC156">
        <v>0</v>
      </c>
      <c r="BD156">
        <v>700</v>
      </c>
      <c r="BE156">
        <v>70</v>
      </c>
      <c r="BF156">
        <v>9</v>
      </c>
      <c r="BG156" s="2">
        <v>45536</v>
      </c>
      <c r="BH156" t="s">
        <v>142</v>
      </c>
      <c r="BI156" s="2">
        <v>46026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488.49</v>
      </c>
      <c r="BQ156">
        <v>488.49</v>
      </c>
      <c r="BR156">
        <v>0</v>
      </c>
      <c r="BS156">
        <v>0</v>
      </c>
      <c r="BT156">
        <v>0</v>
      </c>
      <c r="BU156">
        <v>0</v>
      </c>
      <c r="BV156">
        <v>374.81</v>
      </c>
      <c r="BW156">
        <v>374.81</v>
      </c>
      <c r="BX156">
        <v>0</v>
      </c>
      <c r="BY156">
        <v>0</v>
      </c>
      <c r="BZ156">
        <v>0</v>
      </c>
      <c r="CA156">
        <v>0</v>
      </c>
      <c r="CB156">
        <v>346.54</v>
      </c>
      <c r="CC156" t="s">
        <v>143</v>
      </c>
    </row>
    <row r="157" spans="1:81" x14ac:dyDescent="0.25">
      <c r="A157">
        <v>345</v>
      </c>
      <c r="B157">
        <v>2</v>
      </c>
      <c r="C157">
        <v>312</v>
      </c>
      <c r="D157" t="s">
        <v>1017</v>
      </c>
      <c r="E157" t="s">
        <v>121</v>
      </c>
      <c r="F157" t="s">
        <v>1018</v>
      </c>
      <c r="G157" t="s">
        <v>1019</v>
      </c>
      <c r="H157" t="s">
        <v>1020</v>
      </c>
      <c r="I157" t="s">
        <v>125</v>
      </c>
      <c r="J157" t="s">
        <v>1021</v>
      </c>
      <c r="K157" t="s">
        <v>473</v>
      </c>
      <c r="L157" t="s">
        <v>128</v>
      </c>
      <c r="M157" t="s">
        <v>474</v>
      </c>
      <c r="N157" t="s">
        <v>1022</v>
      </c>
      <c r="O157" t="s">
        <v>167</v>
      </c>
      <c r="P157">
        <v>0</v>
      </c>
      <c r="Q157" t="s">
        <v>125</v>
      </c>
      <c r="R157">
        <v>4</v>
      </c>
      <c r="S157">
        <v>81</v>
      </c>
      <c r="T157" t="s">
        <v>132</v>
      </c>
      <c r="U157" t="s">
        <v>133</v>
      </c>
      <c r="V157" s="1">
        <v>1000</v>
      </c>
      <c r="W157">
        <v>0</v>
      </c>
      <c r="X157" s="1">
        <v>1000</v>
      </c>
      <c r="Y157">
        <v>7</v>
      </c>
      <c r="Z157">
        <v>0</v>
      </c>
      <c r="AA157">
        <v>0</v>
      </c>
      <c r="AB157">
        <v>0</v>
      </c>
      <c r="AC157">
        <v>0</v>
      </c>
      <c r="AD157" t="s">
        <v>134</v>
      </c>
      <c r="AE157" t="s">
        <v>134</v>
      </c>
      <c r="AF157" s="2">
        <v>45518</v>
      </c>
      <c r="AG157" s="2">
        <v>46021</v>
      </c>
      <c r="AH157">
        <v>567.69000000000005</v>
      </c>
      <c r="AI157" s="1">
        <v>1318.64</v>
      </c>
      <c r="AJ157" s="1">
        <v>2270.7800000000002</v>
      </c>
      <c r="AK157" s="1">
        <v>1318.64</v>
      </c>
      <c r="AL157">
        <v>0</v>
      </c>
      <c r="AM157">
        <v>0</v>
      </c>
      <c r="AN157" t="s">
        <v>135</v>
      </c>
      <c r="AO157" t="s">
        <v>135</v>
      </c>
      <c r="AP157" t="s">
        <v>136</v>
      </c>
      <c r="AQ157" t="s">
        <v>137</v>
      </c>
      <c r="AR157" t="s">
        <v>138</v>
      </c>
      <c r="AS157" t="s">
        <v>139</v>
      </c>
      <c r="AT157" t="s">
        <v>140</v>
      </c>
      <c r="AU157">
        <v>105</v>
      </c>
      <c r="AV157">
        <v>10</v>
      </c>
      <c r="AW157">
        <v>1</v>
      </c>
      <c r="AX157" s="2">
        <v>45957</v>
      </c>
      <c r="AY157" t="s">
        <v>141</v>
      </c>
      <c r="AZ157" s="2">
        <v>46027</v>
      </c>
      <c r="BA157">
        <v>0</v>
      </c>
      <c r="BB157">
        <v>0</v>
      </c>
      <c r="BC157">
        <v>0</v>
      </c>
      <c r="BD157">
        <v>700</v>
      </c>
      <c r="BE157">
        <v>70</v>
      </c>
      <c r="BF157">
        <v>9</v>
      </c>
      <c r="BG157" t="s">
        <v>135</v>
      </c>
      <c r="BH157" t="s">
        <v>250</v>
      </c>
      <c r="BI157" t="s">
        <v>135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657.46</v>
      </c>
      <c r="BQ157">
        <v>657.46</v>
      </c>
      <c r="BR157">
        <v>0</v>
      </c>
      <c r="BS157">
        <v>0</v>
      </c>
      <c r="BT157">
        <v>0</v>
      </c>
      <c r="BU157">
        <v>0</v>
      </c>
      <c r="BV157" s="1">
        <v>1613.32</v>
      </c>
      <c r="BW157" s="1">
        <v>1613.32</v>
      </c>
      <c r="BX157">
        <v>0</v>
      </c>
      <c r="BY157">
        <v>0</v>
      </c>
      <c r="BZ157">
        <v>0</v>
      </c>
      <c r="CA157">
        <v>0</v>
      </c>
      <c r="CB157">
        <v>316.49</v>
      </c>
      <c r="CC157" t="s">
        <v>161</v>
      </c>
    </row>
    <row r="158" spans="1:81" x14ac:dyDescent="0.25">
      <c r="A158">
        <v>345</v>
      </c>
      <c r="B158">
        <v>2</v>
      </c>
      <c r="C158">
        <v>314</v>
      </c>
      <c r="D158" t="s">
        <v>1023</v>
      </c>
      <c r="E158" t="s">
        <v>121</v>
      </c>
      <c r="F158" t="s">
        <v>1024</v>
      </c>
      <c r="G158" t="s">
        <v>1025</v>
      </c>
      <c r="H158" t="s">
        <v>1026</v>
      </c>
      <c r="I158" t="s">
        <v>1027</v>
      </c>
      <c r="J158" t="s">
        <v>543</v>
      </c>
      <c r="K158" t="s">
        <v>336</v>
      </c>
      <c r="L158" t="s">
        <v>128</v>
      </c>
      <c r="M158" t="s">
        <v>337</v>
      </c>
      <c r="N158" t="s">
        <v>1028</v>
      </c>
      <c r="O158" t="s">
        <v>131</v>
      </c>
      <c r="P158">
        <v>0</v>
      </c>
      <c r="Q158" t="s">
        <v>125</v>
      </c>
      <c r="R158">
        <v>6</v>
      </c>
      <c r="S158">
        <v>41</v>
      </c>
      <c r="T158" t="s">
        <v>132</v>
      </c>
      <c r="U158" t="s">
        <v>133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134</v>
      </c>
      <c r="AE158" t="s">
        <v>134</v>
      </c>
      <c r="AF158" s="2">
        <v>45518</v>
      </c>
      <c r="AG158" s="2">
        <v>46021</v>
      </c>
      <c r="AH158" s="1">
        <v>1238.1099999999999</v>
      </c>
      <c r="AI158" s="1">
        <v>2706.07</v>
      </c>
      <c r="AJ158" s="1">
        <v>12381.11</v>
      </c>
      <c r="AK158">
        <v>0</v>
      </c>
      <c r="AL158">
        <v>0</v>
      </c>
      <c r="AM158">
        <v>0</v>
      </c>
      <c r="AN158" t="s">
        <v>135</v>
      </c>
      <c r="AO158" t="s">
        <v>135</v>
      </c>
      <c r="AP158" t="s">
        <v>136</v>
      </c>
      <c r="AQ158" t="s">
        <v>137</v>
      </c>
      <c r="AR158" t="s">
        <v>138</v>
      </c>
      <c r="AS158" t="s">
        <v>139</v>
      </c>
      <c r="AT158" t="s">
        <v>140</v>
      </c>
      <c r="AU158">
        <v>101</v>
      </c>
      <c r="AV158">
        <v>10</v>
      </c>
      <c r="AW158">
        <v>1</v>
      </c>
      <c r="AX158" s="2">
        <v>45838</v>
      </c>
      <c r="AY158" t="s">
        <v>141</v>
      </c>
      <c r="AZ158" s="2">
        <v>46027</v>
      </c>
      <c r="BA158">
        <v>0</v>
      </c>
      <c r="BB158">
        <v>0</v>
      </c>
      <c r="BC158">
        <v>0</v>
      </c>
      <c r="BD158">
        <v>700</v>
      </c>
      <c r="BE158">
        <v>70</v>
      </c>
      <c r="BF158">
        <v>9</v>
      </c>
      <c r="BG158" s="2">
        <v>45536</v>
      </c>
      <c r="BH158" t="s">
        <v>142</v>
      </c>
      <c r="BI158" s="2">
        <v>46026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s="1">
        <v>3485.64</v>
      </c>
      <c r="BQ158" s="1">
        <v>3485.64</v>
      </c>
      <c r="BR158">
        <v>0</v>
      </c>
      <c r="BS158">
        <v>0</v>
      </c>
      <c r="BT158">
        <v>0</v>
      </c>
      <c r="BU158">
        <v>0</v>
      </c>
      <c r="BV158" s="1">
        <v>6262.07</v>
      </c>
      <c r="BW158" s="1">
        <v>6262.07</v>
      </c>
      <c r="BX158">
        <v>0</v>
      </c>
      <c r="BY158">
        <v>0</v>
      </c>
      <c r="BZ158">
        <v>0</v>
      </c>
      <c r="CA158">
        <v>0</v>
      </c>
      <c r="CB158" s="1">
        <v>3542.86</v>
      </c>
      <c r="CC158" t="s">
        <v>143</v>
      </c>
    </row>
    <row r="159" spans="1:81" x14ac:dyDescent="0.25">
      <c r="A159">
        <v>345</v>
      </c>
      <c r="B159">
        <v>2</v>
      </c>
      <c r="C159">
        <v>317</v>
      </c>
      <c r="D159" t="s">
        <v>1029</v>
      </c>
      <c r="E159" t="s">
        <v>121</v>
      </c>
      <c r="F159" t="s">
        <v>1030</v>
      </c>
      <c r="G159" t="s">
        <v>1031</v>
      </c>
      <c r="H159" t="s">
        <v>1032</v>
      </c>
      <c r="I159" t="s">
        <v>1033</v>
      </c>
      <c r="J159" t="s">
        <v>667</v>
      </c>
      <c r="K159" t="s">
        <v>336</v>
      </c>
      <c r="L159" t="s">
        <v>128</v>
      </c>
      <c r="M159" t="s">
        <v>337</v>
      </c>
      <c r="N159" t="s">
        <v>993</v>
      </c>
      <c r="O159" t="s">
        <v>619</v>
      </c>
      <c r="P159">
        <v>0</v>
      </c>
      <c r="Q159" t="s">
        <v>125</v>
      </c>
      <c r="R159">
        <v>6</v>
      </c>
      <c r="S159">
        <v>37</v>
      </c>
      <c r="T159" t="s">
        <v>132</v>
      </c>
      <c r="U159" t="s">
        <v>133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134</v>
      </c>
      <c r="AE159" t="s">
        <v>134</v>
      </c>
      <c r="AF159" s="2">
        <v>45518</v>
      </c>
      <c r="AG159" s="2">
        <v>46020</v>
      </c>
      <c r="AH159">
        <v>293.56</v>
      </c>
      <c r="AI159">
        <v>457.87</v>
      </c>
      <c r="AJ159" s="1">
        <v>1761.41</v>
      </c>
      <c r="AK159">
        <v>0</v>
      </c>
      <c r="AL159">
        <v>0</v>
      </c>
      <c r="AM159">
        <v>0</v>
      </c>
      <c r="AN159" t="s">
        <v>135</v>
      </c>
      <c r="AO159" t="s">
        <v>135</v>
      </c>
      <c r="AP159" t="s">
        <v>136</v>
      </c>
      <c r="AQ159" t="s">
        <v>137</v>
      </c>
      <c r="AR159" t="s">
        <v>138</v>
      </c>
      <c r="AS159" t="s">
        <v>139</v>
      </c>
      <c r="AT159" t="s">
        <v>140</v>
      </c>
      <c r="AU159">
        <v>101</v>
      </c>
      <c r="AV159">
        <v>10</v>
      </c>
      <c r="AW159">
        <v>1</v>
      </c>
      <c r="AX159" s="2">
        <v>45856</v>
      </c>
      <c r="AY159" t="s">
        <v>151</v>
      </c>
      <c r="AZ159" s="2">
        <v>46024</v>
      </c>
      <c r="BA159">
        <v>0</v>
      </c>
      <c r="BB159">
        <v>0</v>
      </c>
      <c r="BC159">
        <v>0</v>
      </c>
      <c r="BD159">
        <v>700</v>
      </c>
      <c r="BE159">
        <v>70</v>
      </c>
      <c r="BF159">
        <v>9</v>
      </c>
      <c r="BG159" s="2">
        <v>45536</v>
      </c>
      <c r="BH159" t="s">
        <v>142</v>
      </c>
      <c r="BI159" s="2">
        <v>46026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979.98</v>
      </c>
      <c r="BQ159">
        <v>979.98</v>
      </c>
      <c r="BR159">
        <v>0</v>
      </c>
      <c r="BS159">
        <v>0</v>
      </c>
      <c r="BT159">
        <v>0</v>
      </c>
      <c r="BU159">
        <v>0</v>
      </c>
      <c r="BV159">
        <v>547.54</v>
      </c>
      <c r="BW159">
        <v>547.54</v>
      </c>
      <c r="BX159">
        <v>0</v>
      </c>
      <c r="BY159">
        <v>0</v>
      </c>
      <c r="BZ159">
        <v>0</v>
      </c>
      <c r="CA159">
        <v>0</v>
      </c>
      <c r="CB159">
        <v>535.78</v>
      </c>
      <c r="CC159" t="s">
        <v>143</v>
      </c>
    </row>
    <row r="160" spans="1:81" x14ac:dyDescent="0.25">
      <c r="A160">
        <v>345</v>
      </c>
      <c r="B160">
        <v>2</v>
      </c>
      <c r="C160">
        <v>318</v>
      </c>
      <c r="D160" t="s">
        <v>1034</v>
      </c>
      <c r="E160" t="s">
        <v>121</v>
      </c>
      <c r="F160" t="s">
        <v>1035</v>
      </c>
      <c r="G160" t="s">
        <v>1036</v>
      </c>
      <c r="H160" t="s">
        <v>1037</v>
      </c>
      <c r="I160" t="s">
        <v>1038</v>
      </c>
      <c r="J160" t="s">
        <v>606</v>
      </c>
      <c r="K160" t="s">
        <v>336</v>
      </c>
      <c r="L160" t="s">
        <v>128</v>
      </c>
      <c r="M160" t="s">
        <v>337</v>
      </c>
      <c r="N160" t="s">
        <v>1039</v>
      </c>
      <c r="O160" t="s">
        <v>167</v>
      </c>
      <c r="P160">
        <v>0</v>
      </c>
      <c r="Q160" t="s">
        <v>125</v>
      </c>
      <c r="R160">
        <v>6</v>
      </c>
      <c r="S160">
        <v>36</v>
      </c>
      <c r="T160" t="s">
        <v>132</v>
      </c>
      <c r="U160" t="s">
        <v>133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134</v>
      </c>
      <c r="AE160" t="s">
        <v>134</v>
      </c>
      <c r="AF160" s="2">
        <v>45518</v>
      </c>
      <c r="AG160" s="2">
        <v>46008</v>
      </c>
      <c r="AH160">
        <v>317.49</v>
      </c>
      <c r="AI160">
        <v>468.22</v>
      </c>
      <c r="AJ160" s="1">
        <v>3492.41</v>
      </c>
      <c r="AK160">
        <v>0</v>
      </c>
      <c r="AL160">
        <v>0</v>
      </c>
      <c r="AM160">
        <v>0</v>
      </c>
      <c r="AN160" t="s">
        <v>135</v>
      </c>
      <c r="AO160" t="s">
        <v>135</v>
      </c>
      <c r="AP160" t="s">
        <v>136</v>
      </c>
      <c r="AQ160" t="s">
        <v>137</v>
      </c>
      <c r="AR160" t="s">
        <v>138</v>
      </c>
      <c r="AS160" t="s">
        <v>139</v>
      </c>
      <c r="AT160" t="s">
        <v>140</v>
      </c>
      <c r="AU160">
        <v>101</v>
      </c>
      <c r="AV160">
        <v>10</v>
      </c>
      <c r="AW160">
        <v>1</v>
      </c>
      <c r="AX160" s="2">
        <v>45811</v>
      </c>
      <c r="AY160" t="s">
        <v>377</v>
      </c>
      <c r="AZ160" s="2">
        <v>46028</v>
      </c>
      <c r="BA160">
        <v>0</v>
      </c>
      <c r="BB160">
        <v>0</v>
      </c>
      <c r="BC160">
        <v>0</v>
      </c>
      <c r="BD160">
        <v>700</v>
      </c>
      <c r="BE160">
        <v>70</v>
      </c>
      <c r="BF160">
        <v>9</v>
      </c>
      <c r="BG160" s="2">
        <v>45536</v>
      </c>
      <c r="BH160" t="s">
        <v>142</v>
      </c>
      <c r="BI160" s="2">
        <v>46026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s="1">
        <v>1226.5999999999999</v>
      </c>
      <c r="BQ160" s="1">
        <v>1226.5999999999999</v>
      </c>
      <c r="BR160">
        <v>0</v>
      </c>
      <c r="BS160">
        <v>0</v>
      </c>
      <c r="BT160">
        <v>0</v>
      </c>
      <c r="BU160">
        <v>0</v>
      </c>
      <c r="BV160" s="1">
        <v>1177.1099999999999</v>
      </c>
      <c r="BW160" s="1">
        <v>1177.1099999999999</v>
      </c>
      <c r="BX160">
        <v>0</v>
      </c>
      <c r="BY160">
        <v>0</v>
      </c>
      <c r="BZ160">
        <v>0</v>
      </c>
      <c r="CA160">
        <v>0</v>
      </c>
      <c r="CB160" s="1">
        <v>1173.05</v>
      </c>
      <c r="CC160" t="s">
        <v>161</v>
      </c>
    </row>
    <row r="161" spans="1:81" x14ac:dyDescent="0.25">
      <c r="A161">
        <v>345</v>
      </c>
      <c r="B161">
        <v>2</v>
      </c>
      <c r="C161">
        <v>319</v>
      </c>
      <c r="D161" t="s">
        <v>1040</v>
      </c>
      <c r="E161" t="s">
        <v>121</v>
      </c>
      <c r="F161" t="s">
        <v>1041</v>
      </c>
      <c r="G161" t="s">
        <v>1042</v>
      </c>
      <c r="H161" t="s">
        <v>1043</v>
      </c>
      <c r="I161" t="s">
        <v>125</v>
      </c>
      <c r="J161" t="s">
        <v>126</v>
      </c>
      <c r="K161" t="s">
        <v>336</v>
      </c>
      <c r="L161" t="s">
        <v>128</v>
      </c>
      <c r="M161" t="s">
        <v>337</v>
      </c>
      <c r="N161" t="s">
        <v>1044</v>
      </c>
      <c r="O161" t="s">
        <v>131</v>
      </c>
      <c r="P161">
        <v>0</v>
      </c>
      <c r="Q161" t="s">
        <v>125</v>
      </c>
      <c r="R161">
        <v>6</v>
      </c>
      <c r="S161">
        <v>40</v>
      </c>
      <c r="T161" t="s">
        <v>132</v>
      </c>
      <c r="U161" t="s">
        <v>133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134</v>
      </c>
      <c r="AE161" t="s">
        <v>134</v>
      </c>
      <c r="AF161" s="2">
        <v>45518</v>
      </c>
      <c r="AG161" s="2">
        <v>46015</v>
      </c>
      <c r="AH161">
        <v>394.35</v>
      </c>
      <c r="AI161">
        <v>646.35</v>
      </c>
      <c r="AJ161" s="1">
        <v>3154.84</v>
      </c>
      <c r="AK161">
        <v>0</v>
      </c>
      <c r="AL161">
        <v>0</v>
      </c>
      <c r="AM161">
        <v>0</v>
      </c>
      <c r="AN161" t="s">
        <v>135</v>
      </c>
      <c r="AO161" t="s">
        <v>135</v>
      </c>
      <c r="AP161" t="s">
        <v>136</v>
      </c>
      <c r="AQ161" t="s">
        <v>137</v>
      </c>
      <c r="AR161" t="s">
        <v>138</v>
      </c>
      <c r="AS161" t="s">
        <v>139</v>
      </c>
      <c r="AT161" t="s">
        <v>140</v>
      </c>
      <c r="AU161">
        <v>501</v>
      </c>
      <c r="AV161">
        <v>10</v>
      </c>
      <c r="AW161">
        <v>1</v>
      </c>
      <c r="AX161" s="2">
        <v>45860</v>
      </c>
      <c r="AY161" t="s">
        <v>377</v>
      </c>
      <c r="AZ161" s="2">
        <v>46028</v>
      </c>
      <c r="BA161">
        <v>0</v>
      </c>
      <c r="BB161">
        <v>0</v>
      </c>
      <c r="BC161">
        <v>0</v>
      </c>
      <c r="BD161">
        <v>700</v>
      </c>
      <c r="BE161">
        <v>70</v>
      </c>
      <c r="BF161">
        <v>9</v>
      </c>
      <c r="BG161" s="2">
        <v>45536</v>
      </c>
      <c r="BH161" t="s">
        <v>142</v>
      </c>
      <c r="BI161" s="2">
        <v>46026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s="1">
        <v>1312.83</v>
      </c>
      <c r="BQ161" s="1">
        <v>1312.83</v>
      </c>
      <c r="BR161">
        <v>0</v>
      </c>
      <c r="BS161">
        <v>0</v>
      </c>
      <c r="BT161">
        <v>0</v>
      </c>
      <c r="BU161">
        <v>0</v>
      </c>
      <c r="BV161">
        <v>912.5</v>
      </c>
      <c r="BW161">
        <v>912.5</v>
      </c>
      <c r="BX161">
        <v>0</v>
      </c>
      <c r="BY161">
        <v>0</v>
      </c>
      <c r="BZ161">
        <v>0</v>
      </c>
      <c r="CA161">
        <v>0</v>
      </c>
      <c r="CB161">
        <v>827.41</v>
      </c>
      <c r="CC161" t="s">
        <v>143</v>
      </c>
    </row>
    <row r="162" spans="1:81" x14ac:dyDescent="0.25">
      <c r="A162">
        <v>345</v>
      </c>
      <c r="B162">
        <v>2</v>
      </c>
      <c r="C162">
        <v>320</v>
      </c>
      <c r="D162" t="s">
        <v>1045</v>
      </c>
      <c r="E162" t="s">
        <v>121</v>
      </c>
      <c r="F162" t="s">
        <v>1046</v>
      </c>
      <c r="G162" t="s">
        <v>1047</v>
      </c>
      <c r="H162" t="s">
        <v>1048</v>
      </c>
      <c r="I162" t="s">
        <v>125</v>
      </c>
      <c r="J162" t="s">
        <v>729</v>
      </c>
      <c r="K162" t="s">
        <v>473</v>
      </c>
      <c r="L162" t="s">
        <v>128</v>
      </c>
      <c r="M162" t="s">
        <v>474</v>
      </c>
      <c r="N162" t="s">
        <v>1049</v>
      </c>
      <c r="O162" t="s">
        <v>131</v>
      </c>
      <c r="P162">
        <v>0</v>
      </c>
      <c r="Q162" t="s">
        <v>125</v>
      </c>
      <c r="R162">
        <v>6</v>
      </c>
      <c r="S162">
        <v>41</v>
      </c>
      <c r="T162" t="s">
        <v>132</v>
      </c>
      <c r="U162" t="s">
        <v>133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234</v>
      </c>
      <c r="AE162" t="s">
        <v>134</v>
      </c>
      <c r="AF162" s="2">
        <v>45518</v>
      </c>
      <c r="AG162" s="2">
        <v>46021</v>
      </c>
      <c r="AH162" s="1">
        <v>1156.52</v>
      </c>
      <c r="AI162" s="1">
        <v>1948.2</v>
      </c>
      <c r="AJ162" s="1">
        <v>10408.76</v>
      </c>
      <c r="AK162">
        <v>917.1</v>
      </c>
      <c r="AL162">
        <v>0</v>
      </c>
      <c r="AM162">
        <v>0</v>
      </c>
      <c r="AN162" t="s">
        <v>135</v>
      </c>
      <c r="AO162" t="s">
        <v>135</v>
      </c>
      <c r="AP162" t="s">
        <v>136</v>
      </c>
      <c r="AQ162" t="s">
        <v>137</v>
      </c>
      <c r="AR162" t="s">
        <v>138</v>
      </c>
      <c r="AS162" t="s">
        <v>139</v>
      </c>
      <c r="AT162" t="s">
        <v>140</v>
      </c>
      <c r="AU162">
        <v>105</v>
      </c>
      <c r="AV162">
        <v>10</v>
      </c>
      <c r="AW162">
        <v>1</v>
      </c>
      <c r="AX162" s="2">
        <v>45810</v>
      </c>
      <c r="AY162" t="s">
        <v>141</v>
      </c>
      <c r="AZ162" s="2">
        <v>46027</v>
      </c>
      <c r="BA162">
        <v>0</v>
      </c>
      <c r="BB162">
        <v>0</v>
      </c>
      <c r="BC162">
        <v>0</v>
      </c>
      <c r="BD162">
        <v>700</v>
      </c>
      <c r="BE162">
        <v>70</v>
      </c>
      <c r="BF162">
        <v>9</v>
      </c>
      <c r="BG162" s="2">
        <v>45536</v>
      </c>
      <c r="BH162" t="s">
        <v>142</v>
      </c>
      <c r="BI162" s="2">
        <v>46026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 s="1">
        <v>2514.9699999999998</v>
      </c>
      <c r="BQ162" s="1">
        <v>2514.9699999999998</v>
      </c>
      <c r="BR162">
        <v>0</v>
      </c>
      <c r="BS162">
        <v>0</v>
      </c>
      <c r="BT162">
        <v>0</v>
      </c>
      <c r="BU162">
        <v>0</v>
      </c>
      <c r="BV162" s="1">
        <v>5350.9</v>
      </c>
      <c r="BW162" s="1">
        <v>5350.9</v>
      </c>
      <c r="BX162">
        <v>0</v>
      </c>
      <c r="BY162">
        <v>0</v>
      </c>
      <c r="BZ162">
        <v>0</v>
      </c>
      <c r="CA162">
        <v>0</v>
      </c>
      <c r="CB162" s="1">
        <v>2554.73</v>
      </c>
      <c r="CC162" t="s">
        <v>143</v>
      </c>
    </row>
    <row r="163" spans="1:81" x14ac:dyDescent="0.25">
      <c r="A163">
        <v>345</v>
      </c>
      <c r="B163">
        <v>2</v>
      </c>
      <c r="C163">
        <v>321</v>
      </c>
      <c r="D163" t="s">
        <v>1050</v>
      </c>
      <c r="E163" t="s">
        <v>121</v>
      </c>
      <c r="F163" t="s">
        <v>1051</v>
      </c>
      <c r="G163" t="s">
        <v>1052</v>
      </c>
      <c r="H163" t="s">
        <v>1053</v>
      </c>
      <c r="I163" t="s">
        <v>1054</v>
      </c>
      <c r="J163" t="s">
        <v>126</v>
      </c>
      <c r="K163" t="s">
        <v>466</v>
      </c>
      <c r="L163" t="s">
        <v>128</v>
      </c>
      <c r="M163" t="s">
        <v>467</v>
      </c>
      <c r="N163" t="s">
        <v>1055</v>
      </c>
      <c r="O163" t="s">
        <v>131</v>
      </c>
      <c r="P163">
        <v>0</v>
      </c>
      <c r="Q163" t="s">
        <v>125</v>
      </c>
      <c r="R163">
        <v>6</v>
      </c>
      <c r="S163">
        <v>39</v>
      </c>
      <c r="T163" t="s">
        <v>132</v>
      </c>
      <c r="U163" t="s">
        <v>133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134</v>
      </c>
      <c r="AE163" t="s">
        <v>134</v>
      </c>
      <c r="AF163" s="2">
        <v>45518</v>
      </c>
      <c r="AG163" s="2">
        <v>46020</v>
      </c>
      <c r="AH163">
        <v>176.21</v>
      </c>
      <c r="AI163">
        <v>221.4</v>
      </c>
      <c r="AJ163">
        <v>704.86</v>
      </c>
      <c r="AK163">
        <v>0</v>
      </c>
      <c r="AL163">
        <v>0</v>
      </c>
      <c r="AM163">
        <v>0</v>
      </c>
      <c r="AN163" t="s">
        <v>135</v>
      </c>
      <c r="AO163" t="s">
        <v>135</v>
      </c>
      <c r="AP163" t="s">
        <v>136</v>
      </c>
      <c r="AQ163" t="s">
        <v>137</v>
      </c>
      <c r="AR163" t="s">
        <v>138</v>
      </c>
      <c r="AS163" t="s">
        <v>139</v>
      </c>
      <c r="AT163" t="s">
        <v>140</v>
      </c>
      <c r="AU163">
        <v>105</v>
      </c>
      <c r="AV163">
        <v>10</v>
      </c>
      <c r="AW163">
        <v>1</v>
      </c>
      <c r="AX163" s="2">
        <v>45855</v>
      </c>
      <c r="AY163" t="s">
        <v>308</v>
      </c>
      <c r="AZ163" s="2">
        <v>46023</v>
      </c>
      <c r="BA163">
        <v>0</v>
      </c>
      <c r="BB163">
        <v>0</v>
      </c>
      <c r="BC163">
        <v>0</v>
      </c>
      <c r="BD163">
        <v>700</v>
      </c>
      <c r="BE163">
        <v>70</v>
      </c>
      <c r="BF163">
        <v>9</v>
      </c>
      <c r="BG163" s="2">
        <v>45536</v>
      </c>
      <c r="BH163" t="s">
        <v>142</v>
      </c>
      <c r="BI163" s="2">
        <v>46026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331.86</v>
      </c>
      <c r="BQ163">
        <v>331.86</v>
      </c>
      <c r="BR163">
        <v>0</v>
      </c>
      <c r="BS163">
        <v>0</v>
      </c>
      <c r="BT163">
        <v>0</v>
      </c>
      <c r="BU163">
        <v>0</v>
      </c>
      <c r="BV163">
        <v>151.6</v>
      </c>
      <c r="BW163">
        <v>151.6</v>
      </c>
      <c r="BX163">
        <v>0</v>
      </c>
      <c r="BY163">
        <v>0</v>
      </c>
      <c r="BZ163">
        <v>0</v>
      </c>
      <c r="CA163">
        <v>0</v>
      </c>
      <c r="CB163">
        <v>184.42</v>
      </c>
      <c r="CC163" t="s">
        <v>143</v>
      </c>
    </row>
    <row r="164" spans="1:81" x14ac:dyDescent="0.25">
      <c r="A164">
        <v>345</v>
      </c>
      <c r="B164">
        <v>2</v>
      </c>
      <c r="C164">
        <v>322</v>
      </c>
      <c r="D164" t="s">
        <v>1056</v>
      </c>
      <c r="E164" t="s">
        <v>121</v>
      </c>
      <c r="F164" t="s">
        <v>1057</v>
      </c>
      <c r="G164" t="s">
        <v>1058</v>
      </c>
      <c r="H164" t="s">
        <v>1059</v>
      </c>
      <c r="I164" t="s">
        <v>985</v>
      </c>
      <c r="J164" t="s">
        <v>126</v>
      </c>
      <c r="K164" t="s">
        <v>473</v>
      </c>
      <c r="L164" t="s">
        <v>128</v>
      </c>
      <c r="M164" t="s">
        <v>474</v>
      </c>
      <c r="N164" t="s">
        <v>1060</v>
      </c>
      <c r="O164" t="s">
        <v>131</v>
      </c>
      <c r="P164">
        <v>0</v>
      </c>
      <c r="Q164" t="s">
        <v>125</v>
      </c>
      <c r="R164">
        <v>6</v>
      </c>
      <c r="S164">
        <v>39</v>
      </c>
      <c r="T164" t="s">
        <v>132</v>
      </c>
      <c r="U164" t="s">
        <v>133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134</v>
      </c>
      <c r="AE164" t="s">
        <v>134</v>
      </c>
      <c r="AF164" s="2">
        <v>45518</v>
      </c>
      <c r="AG164" s="2">
        <v>46010</v>
      </c>
      <c r="AH164">
        <v>213.58</v>
      </c>
      <c r="AI164">
        <v>378.78</v>
      </c>
      <c r="AJ164" s="1">
        <v>1281.53</v>
      </c>
      <c r="AK164">
        <v>0</v>
      </c>
      <c r="AL164">
        <v>0</v>
      </c>
      <c r="AM164">
        <v>0</v>
      </c>
      <c r="AN164" t="s">
        <v>135</v>
      </c>
      <c r="AO164" t="s">
        <v>135</v>
      </c>
      <c r="AP164" t="s">
        <v>136</v>
      </c>
      <c r="AQ164" t="s">
        <v>137</v>
      </c>
      <c r="AR164" t="s">
        <v>138</v>
      </c>
      <c r="AS164" t="s">
        <v>139</v>
      </c>
      <c r="AT164" t="s">
        <v>140</v>
      </c>
      <c r="AU164">
        <v>105</v>
      </c>
      <c r="AV164">
        <v>10</v>
      </c>
      <c r="AW164">
        <v>1</v>
      </c>
      <c r="AX164" s="2">
        <v>45532</v>
      </c>
      <c r="AY164" t="s">
        <v>168</v>
      </c>
      <c r="AZ164" s="2">
        <v>46022</v>
      </c>
      <c r="BA164">
        <v>0</v>
      </c>
      <c r="BB164">
        <v>0</v>
      </c>
      <c r="BC164">
        <v>0</v>
      </c>
      <c r="BD164">
        <v>700</v>
      </c>
      <c r="BE164">
        <v>70</v>
      </c>
      <c r="BF164">
        <v>9</v>
      </c>
      <c r="BG164" s="2">
        <v>45536</v>
      </c>
      <c r="BH164" t="s">
        <v>142</v>
      </c>
      <c r="BI164" s="2">
        <v>46026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288.51</v>
      </c>
      <c r="BQ164">
        <v>288.51</v>
      </c>
      <c r="BR164">
        <v>0</v>
      </c>
      <c r="BS164">
        <v>0</v>
      </c>
      <c r="BT164">
        <v>0</v>
      </c>
      <c r="BU164">
        <v>0</v>
      </c>
      <c r="BV164">
        <v>594.53</v>
      </c>
      <c r="BW164">
        <v>594.53</v>
      </c>
      <c r="BX164">
        <v>0</v>
      </c>
      <c r="BY164">
        <v>0</v>
      </c>
      <c r="BZ164">
        <v>0</v>
      </c>
      <c r="CA164">
        <v>0</v>
      </c>
      <c r="CB164">
        <v>274.17</v>
      </c>
      <c r="CC164" t="s">
        <v>143</v>
      </c>
    </row>
    <row r="165" spans="1:81" x14ac:dyDescent="0.25">
      <c r="A165">
        <v>345</v>
      </c>
      <c r="B165">
        <v>2</v>
      </c>
      <c r="C165">
        <v>323</v>
      </c>
      <c r="D165" t="s">
        <v>1061</v>
      </c>
      <c r="E165" t="s">
        <v>121</v>
      </c>
      <c r="F165" t="s">
        <v>1062</v>
      </c>
      <c r="G165" t="s">
        <v>1063</v>
      </c>
      <c r="H165" t="s">
        <v>1064</v>
      </c>
      <c r="I165" t="s">
        <v>125</v>
      </c>
      <c r="J165" t="s">
        <v>1021</v>
      </c>
      <c r="K165" t="s">
        <v>473</v>
      </c>
      <c r="L165" t="s">
        <v>128</v>
      </c>
      <c r="M165" t="s">
        <v>474</v>
      </c>
      <c r="N165" t="s">
        <v>1065</v>
      </c>
      <c r="O165" t="s">
        <v>167</v>
      </c>
      <c r="P165">
        <v>0</v>
      </c>
      <c r="Q165" t="s">
        <v>125</v>
      </c>
      <c r="R165">
        <v>6</v>
      </c>
      <c r="S165">
        <v>37</v>
      </c>
      <c r="T165" t="s">
        <v>132</v>
      </c>
      <c r="U165" t="s">
        <v>133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134</v>
      </c>
      <c r="AE165" t="s">
        <v>134</v>
      </c>
      <c r="AF165" s="2">
        <v>45518</v>
      </c>
      <c r="AG165" s="2">
        <v>46021</v>
      </c>
      <c r="AH165" s="1">
        <v>1940.85</v>
      </c>
      <c r="AI165" s="1">
        <v>3897.07</v>
      </c>
      <c r="AJ165" s="1">
        <v>21349.4</v>
      </c>
      <c r="AK165" s="1">
        <v>3877.6</v>
      </c>
      <c r="AL165">
        <v>0</v>
      </c>
      <c r="AM165">
        <v>0</v>
      </c>
      <c r="AN165" t="s">
        <v>135</v>
      </c>
      <c r="AO165" t="s">
        <v>135</v>
      </c>
      <c r="AP165" t="s">
        <v>136</v>
      </c>
      <c r="AQ165" t="s">
        <v>137</v>
      </c>
      <c r="AR165" t="s">
        <v>138</v>
      </c>
      <c r="AS165" t="s">
        <v>139</v>
      </c>
      <c r="AT165" t="s">
        <v>140</v>
      </c>
      <c r="AU165">
        <v>105</v>
      </c>
      <c r="AV165">
        <v>10</v>
      </c>
      <c r="AW165">
        <v>1</v>
      </c>
      <c r="AX165" s="2">
        <v>45810</v>
      </c>
      <c r="AY165" t="s">
        <v>141</v>
      </c>
      <c r="AZ165" s="2">
        <v>46027</v>
      </c>
      <c r="BA165">
        <v>0</v>
      </c>
      <c r="BB165">
        <v>0</v>
      </c>
      <c r="BC165">
        <v>0</v>
      </c>
      <c r="BD165">
        <v>700</v>
      </c>
      <c r="BE165">
        <v>70</v>
      </c>
      <c r="BF165">
        <v>9</v>
      </c>
      <c r="BG165" s="2">
        <v>45536</v>
      </c>
      <c r="BH165" t="s">
        <v>142</v>
      </c>
      <c r="BI165" s="2">
        <v>46026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s="1">
        <v>6625.04</v>
      </c>
      <c r="BQ165" s="1">
        <v>6625.04</v>
      </c>
      <c r="BR165">
        <v>0</v>
      </c>
      <c r="BS165">
        <v>0</v>
      </c>
      <c r="BT165">
        <v>0</v>
      </c>
      <c r="BU165">
        <v>0</v>
      </c>
      <c r="BV165" s="1">
        <v>10458.959999999999</v>
      </c>
      <c r="BW165" s="1">
        <v>10458.959999999999</v>
      </c>
      <c r="BX165">
        <v>0</v>
      </c>
      <c r="BY165">
        <v>0</v>
      </c>
      <c r="BZ165">
        <v>0</v>
      </c>
      <c r="CA165">
        <v>0</v>
      </c>
      <c r="CB165" s="1">
        <v>7467.76</v>
      </c>
      <c r="CC165" t="s">
        <v>161</v>
      </c>
    </row>
    <row r="166" spans="1:81" x14ac:dyDescent="0.25">
      <c r="A166">
        <v>345</v>
      </c>
      <c r="B166">
        <v>2</v>
      </c>
      <c r="C166">
        <v>324</v>
      </c>
      <c r="D166" t="s">
        <v>1066</v>
      </c>
      <c r="E166" t="s">
        <v>121</v>
      </c>
      <c r="F166" t="s">
        <v>1067</v>
      </c>
      <c r="G166" t="s">
        <v>1068</v>
      </c>
      <c r="H166" t="s">
        <v>1069</v>
      </c>
      <c r="I166" t="s">
        <v>125</v>
      </c>
      <c r="J166" t="s">
        <v>903</v>
      </c>
      <c r="K166" t="s">
        <v>336</v>
      </c>
      <c r="L166" t="s">
        <v>128</v>
      </c>
      <c r="M166" t="s">
        <v>337</v>
      </c>
      <c r="N166" t="s">
        <v>1070</v>
      </c>
      <c r="O166" t="s">
        <v>131</v>
      </c>
      <c r="P166">
        <v>0</v>
      </c>
      <c r="Q166" t="s">
        <v>125</v>
      </c>
      <c r="R166">
        <v>6</v>
      </c>
      <c r="S166">
        <v>40</v>
      </c>
      <c r="T166" t="s">
        <v>132</v>
      </c>
      <c r="U166" t="s">
        <v>133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134</v>
      </c>
      <c r="AE166" t="s">
        <v>134</v>
      </c>
      <c r="AF166" s="2">
        <v>45518</v>
      </c>
      <c r="AG166" s="2">
        <v>46021</v>
      </c>
      <c r="AH166">
        <v>689.13</v>
      </c>
      <c r="AI166" s="1">
        <v>1342.38</v>
      </c>
      <c r="AJ166" s="1">
        <v>7580.44</v>
      </c>
      <c r="AK166">
        <v>0</v>
      </c>
      <c r="AL166">
        <v>0</v>
      </c>
      <c r="AM166">
        <v>0</v>
      </c>
      <c r="AN166" t="s">
        <v>135</v>
      </c>
      <c r="AO166" t="s">
        <v>135</v>
      </c>
      <c r="AP166" t="s">
        <v>136</v>
      </c>
      <c r="AQ166" t="s">
        <v>137</v>
      </c>
      <c r="AR166" t="s">
        <v>138</v>
      </c>
      <c r="AS166" t="s">
        <v>139</v>
      </c>
      <c r="AT166" t="s">
        <v>140</v>
      </c>
      <c r="AU166">
        <v>101</v>
      </c>
      <c r="AV166">
        <v>10</v>
      </c>
      <c r="AW166">
        <v>1</v>
      </c>
      <c r="AX166" s="2">
        <v>45852</v>
      </c>
      <c r="AY166" t="s">
        <v>141</v>
      </c>
      <c r="AZ166" s="2">
        <v>46027</v>
      </c>
      <c r="BA166">
        <v>0</v>
      </c>
      <c r="BB166">
        <v>0</v>
      </c>
      <c r="BC166">
        <v>0</v>
      </c>
      <c r="BD166">
        <v>700</v>
      </c>
      <c r="BE166">
        <v>70</v>
      </c>
      <c r="BF166">
        <v>9</v>
      </c>
      <c r="BG166" s="2">
        <v>45536</v>
      </c>
      <c r="BH166" t="s">
        <v>142</v>
      </c>
      <c r="BI166" s="2">
        <v>46026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s="1">
        <v>1908.78</v>
      </c>
      <c r="BQ166" s="1">
        <v>1908.78</v>
      </c>
      <c r="BR166">
        <v>0</v>
      </c>
      <c r="BS166">
        <v>0</v>
      </c>
      <c r="BT166">
        <v>0</v>
      </c>
      <c r="BU166">
        <v>0</v>
      </c>
      <c r="BV166" s="1">
        <v>4049.38</v>
      </c>
      <c r="BW166" s="1">
        <v>4049.38</v>
      </c>
      <c r="BX166">
        <v>0</v>
      </c>
      <c r="BY166">
        <v>0</v>
      </c>
      <c r="BZ166">
        <v>0</v>
      </c>
      <c r="CA166">
        <v>0</v>
      </c>
      <c r="CB166" s="1">
        <v>1472.27</v>
      </c>
      <c r="CC166" t="s">
        <v>143</v>
      </c>
    </row>
    <row r="167" spans="1:81" x14ac:dyDescent="0.25">
      <c r="A167">
        <v>345</v>
      </c>
      <c r="B167">
        <v>2</v>
      </c>
      <c r="C167">
        <v>325</v>
      </c>
      <c r="D167" t="s">
        <v>1071</v>
      </c>
      <c r="E167" t="s">
        <v>121</v>
      </c>
      <c r="F167" t="s">
        <v>1072</v>
      </c>
      <c r="G167" t="s">
        <v>1073</v>
      </c>
      <c r="H167" t="s">
        <v>1074</v>
      </c>
      <c r="I167" t="s">
        <v>1075</v>
      </c>
      <c r="J167" t="s">
        <v>126</v>
      </c>
      <c r="K167" t="s">
        <v>466</v>
      </c>
      <c r="L167" t="s">
        <v>128</v>
      </c>
      <c r="M167" t="s">
        <v>467</v>
      </c>
      <c r="N167" t="s">
        <v>1076</v>
      </c>
      <c r="O167" t="s">
        <v>167</v>
      </c>
      <c r="P167">
        <v>0</v>
      </c>
      <c r="Q167" t="s">
        <v>125</v>
      </c>
      <c r="R167">
        <v>5</v>
      </c>
      <c r="S167">
        <v>74</v>
      </c>
      <c r="T167" t="s">
        <v>132</v>
      </c>
      <c r="U167" t="s">
        <v>133</v>
      </c>
      <c r="V167" s="1">
        <v>1000</v>
      </c>
      <c r="W167">
        <v>993.84</v>
      </c>
      <c r="X167">
        <v>6.16</v>
      </c>
      <c r="Y167">
        <v>7</v>
      </c>
      <c r="Z167">
        <v>0</v>
      </c>
      <c r="AA167">
        <v>9</v>
      </c>
      <c r="AB167">
        <v>0</v>
      </c>
      <c r="AC167">
        <v>18</v>
      </c>
      <c r="AD167" t="s">
        <v>234</v>
      </c>
      <c r="AE167" t="s">
        <v>134</v>
      </c>
      <c r="AF167" s="2">
        <v>45518</v>
      </c>
      <c r="AG167" s="2">
        <v>46011</v>
      </c>
      <c r="AH167">
        <v>772.32</v>
      </c>
      <c r="AI167" s="1">
        <v>1378.94</v>
      </c>
      <c r="AJ167" s="1">
        <v>5406.28</v>
      </c>
      <c r="AK167">
        <v>0</v>
      </c>
      <c r="AL167" s="1">
        <v>1378.94</v>
      </c>
      <c r="AM167">
        <v>0</v>
      </c>
      <c r="AN167" t="s">
        <v>135</v>
      </c>
      <c r="AO167" t="s">
        <v>135</v>
      </c>
      <c r="AP167" t="s">
        <v>136</v>
      </c>
      <c r="AQ167" t="s">
        <v>137</v>
      </c>
      <c r="AR167" t="s">
        <v>138</v>
      </c>
      <c r="AS167" t="s">
        <v>139</v>
      </c>
      <c r="AT167" t="s">
        <v>140</v>
      </c>
      <c r="AU167">
        <v>105</v>
      </c>
      <c r="AV167">
        <v>10</v>
      </c>
      <c r="AW167">
        <v>1</v>
      </c>
      <c r="AX167" s="2">
        <v>45841</v>
      </c>
      <c r="AY167" t="s">
        <v>308</v>
      </c>
      <c r="AZ167" s="2">
        <v>46023</v>
      </c>
      <c r="BA167">
        <v>0</v>
      </c>
      <c r="BB167">
        <v>0</v>
      </c>
      <c r="BC167">
        <v>0</v>
      </c>
      <c r="BD167">
        <v>700</v>
      </c>
      <c r="BE167">
        <v>70</v>
      </c>
      <c r="BF167">
        <v>9</v>
      </c>
      <c r="BG167" s="2">
        <v>45536</v>
      </c>
      <c r="BH167" t="s">
        <v>142</v>
      </c>
      <c r="BI167" s="2">
        <v>46026</v>
      </c>
      <c r="BJ167">
        <v>0</v>
      </c>
      <c r="BK167">
        <v>0</v>
      </c>
      <c r="BL167">
        <v>0</v>
      </c>
      <c r="BM167">
        <v>8.16</v>
      </c>
      <c r="BN167">
        <v>8.16</v>
      </c>
      <c r="BO167" s="1">
        <v>1648.32</v>
      </c>
      <c r="BP167">
        <v>0</v>
      </c>
      <c r="BQ167" s="1">
        <v>1648.32</v>
      </c>
      <c r="BR167">
        <v>0</v>
      </c>
      <c r="BS167">
        <v>7.51</v>
      </c>
      <c r="BT167">
        <v>6.43</v>
      </c>
      <c r="BU167" s="1">
        <v>2292.3200000000002</v>
      </c>
      <c r="BV167">
        <v>385.1</v>
      </c>
      <c r="BW167" s="1">
        <v>2677.42</v>
      </c>
      <c r="BX167">
        <v>993.84</v>
      </c>
      <c r="BY167">
        <v>43.36</v>
      </c>
      <c r="BZ167">
        <v>0</v>
      </c>
      <c r="CA167">
        <v>0</v>
      </c>
      <c r="CB167" s="1">
        <v>1171.76</v>
      </c>
      <c r="CC167" t="s">
        <v>161</v>
      </c>
    </row>
    <row r="168" spans="1:81" x14ac:dyDescent="0.25">
      <c r="A168">
        <v>345</v>
      </c>
      <c r="B168">
        <v>2</v>
      </c>
      <c r="C168">
        <v>326</v>
      </c>
      <c r="D168" t="s">
        <v>1077</v>
      </c>
      <c r="E168" t="s">
        <v>121</v>
      </c>
      <c r="F168" t="s">
        <v>1078</v>
      </c>
      <c r="G168" t="s">
        <v>1079</v>
      </c>
      <c r="H168" t="s">
        <v>1080</v>
      </c>
      <c r="I168" t="s">
        <v>1081</v>
      </c>
      <c r="J168" t="s">
        <v>1021</v>
      </c>
      <c r="K168" t="s">
        <v>473</v>
      </c>
      <c r="L168" t="s">
        <v>128</v>
      </c>
      <c r="M168" t="s">
        <v>474</v>
      </c>
      <c r="N168" t="s">
        <v>993</v>
      </c>
      <c r="O168" t="s">
        <v>167</v>
      </c>
      <c r="P168">
        <v>0</v>
      </c>
      <c r="Q168" t="s">
        <v>125</v>
      </c>
      <c r="R168">
        <v>6</v>
      </c>
      <c r="S168">
        <v>41</v>
      </c>
      <c r="T168" t="s">
        <v>132</v>
      </c>
      <c r="U168" t="s">
        <v>133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134</v>
      </c>
      <c r="AE168" t="s">
        <v>134</v>
      </c>
      <c r="AF168" s="2">
        <v>45518</v>
      </c>
      <c r="AG168" s="2">
        <v>46017</v>
      </c>
      <c r="AH168">
        <v>930.42</v>
      </c>
      <c r="AI168" s="1">
        <v>1854.65</v>
      </c>
      <c r="AJ168" s="1">
        <v>12095.53</v>
      </c>
      <c r="AK168">
        <v>0</v>
      </c>
      <c r="AL168">
        <v>0</v>
      </c>
      <c r="AM168">
        <v>0</v>
      </c>
      <c r="AN168" t="s">
        <v>135</v>
      </c>
      <c r="AO168" t="s">
        <v>135</v>
      </c>
      <c r="AP168" t="s">
        <v>136</v>
      </c>
      <c r="AQ168" t="s">
        <v>137</v>
      </c>
      <c r="AR168" t="s">
        <v>138</v>
      </c>
      <c r="AS168" t="s">
        <v>150</v>
      </c>
      <c r="AT168" t="s">
        <v>140</v>
      </c>
      <c r="AU168">
        <v>102</v>
      </c>
      <c r="AV168">
        <v>10</v>
      </c>
      <c r="AW168">
        <v>1</v>
      </c>
      <c r="AX168" s="2">
        <v>45846</v>
      </c>
      <c r="AY168" t="s">
        <v>377</v>
      </c>
      <c r="AZ168" s="2">
        <v>46028</v>
      </c>
      <c r="BA168">
        <v>0</v>
      </c>
      <c r="BB168">
        <v>0</v>
      </c>
      <c r="BC168">
        <v>0</v>
      </c>
      <c r="BD168">
        <v>700</v>
      </c>
      <c r="BE168">
        <v>70</v>
      </c>
      <c r="BF168">
        <v>9</v>
      </c>
      <c r="BG168" s="2">
        <v>45536</v>
      </c>
      <c r="BH168" t="s">
        <v>142</v>
      </c>
      <c r="BI168" s="2">
        <v>46026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s="1">
        <v>3848.42</v>
      </c>
      <c r="BQ168" s="1">
        <v>3848.42</v>
      </c>
      <c r="BR168">
        <v>0</v>
      </c>
      <c r="BS168">
        <v>0</v>
      </c>
      <c r="BT168">
        <v>0</v>
      </c>
      <c r="BU168">
        <v>0</v>
      </c>
      <c r="BV168" s="1">
        <v>5022.42</v>
      </c>
      <c r="BW168" s="1">
        <v>5022.42</v>
      </c>
      <c r="BX168">
        <v>0</v>
      </c>
      <c r="BY168">
        <v>0</v>
      </c>
      <c r="BZ168">
        <v>0</v>
      </c>
      <c r="CA168">
        <v>0</v>
      </c>
      <c r="CB168" s="1">
        <v>3377.42</v>
      </c>
      <c r="CC168" t="s">
        <v>161</v>
      </c>
    </row>
    <row r="169" spans="1:81" x14ac:dyDescent="0.25">
      <c r="A169">
        <v>345</v>
      </c>
      <c r="B169">
        <v>2</v>
      </c>
      <c r="C169">
        <v>327</v>
      </c>
      <c r="D169" t="s">
        <v>1082</v>
      </c>
      <c r="E169" t="s">
        <v>121</v>
      </c>
      <c r="F169" t="s">
        <v>1083</v>
      </c>
      <c r="G169" t="s">
        <v>1084</v>
      </c>
      <c r="H169" t="s">
        <v>1085</v>
      </c>
      <c r="I169" t="s">
        <v>125</v>
      </c>
      <c r="J169" t="s">
        <v>781</v>
      </c>
      <c r="K169" t="s">
        <v>336</v>
      </c>
      <c r="L169" t="s">
        <v>128</v>
      </c>
      <c r="M169" t="s">
        <v>337</v>
      </c>
      <c r="N169" t="s">
        <v>993</v>
      </c>
      <c r="O169" t="s">
        <v>149</v>
      </c>
      <c r="P169">
        <v>0</v>
      </c>
      <c r="Q169" t="s">
        <v>125</v>
      </c>
      <c r="R169">
        <v>6</v>
      </c>
      <c r="S169">
        <v>41</v>
      </c>
      <c r="T169" t="s">
        <v>132</v>
      </c>
      <c r="U169" t="s">
        <v>133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134</v>
      </c>
      <c r="AE169" t="s">
        <v>134</v>
      </c>
      <c r="AF169" s="2">
        <v>45518</v>
      </c>
      <c r="AG169" s="2">
        <v>46020</v>
      </c>
      <c r="AH169" s="1">
        <v>3321.57</v>
      </c>
      <c r="AI169" s="1">
        <v>6091.97</v>
      </c>
      <c r="AJ169" s="1">
        <v>43180.43</v>
      </c>
      <c r="AK169">
        <v>0</v>
      </c>
      <c r="AL169">
        <v>0</v>
      </c>
      <c r="AM169">
        <v>0</v>
      </c>
      <c r="AN169" t="s">
        <v>135</v>
      </c>
      <c r="AO169" t="s">
        <v>135</v>
      </c>
      <c r="AP169" t="s">
        <v>136</v>
      </c>
      <c r="AQ169" t="s">
        <v>137</v>
      </c>
      <c r="AR169" t="s">
        <v>138</v>
      </c>
      <c r="AS169" t="s">
        <v>139</v>
      </c>
      <c r="AT169" t="s">
        <v>140</v>
      </c>
      <c r="AU169">
        <v>102</v>
      </c>
      <c r="AV169">
        <v>10</v>
      </c>
      <c r="AW169">
        <v>1</v>
      </c>
      <c r="AX169" s="2">
        <v>45842</v>
      </c>
      <c r="AY169" t="s">
        <v>151</v>
      </c>
      <c r="AZ169" s="2">
        <v>46024</v>
      </c>
      <c r="BA169">
        <v>0</v>
      </c>
      <c r="BB169">
        <v>0</v>
      </c>
      <c r="BC169">
        <v>0</v>
      </c>
      <c r="BD169">
        <v>700</v>
      </c>
      <c r="BE169">
        <v>70</v>
      </c>
      <c r="BF169">
        <v>9</v>
      </c>
      <c r="BG169" s="2">
        <v>45536</v>
      </c>
      <c r="BH169" t="s">
        <v>142</v>
      </c>
      <c r="BI169" s="2">
        <v>46026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s="1">
        <v>17684.45</v>
      </c>
      <c r="BQ169" s="1">
        <v>17684.45</v>
      </c>
      <c r="BR169">
        <v>0</v>
      </c>
      <c r="BS169">
        <v>0</v>
      </c>
      <c r="BT169">
        <v>0</v>
      </c>
      <c r="BU169">
        <v>0</v>
      </c>
      <c r="BV169" s="1">
        <v>14678.09</v>
      </c>
      <c r="BW169" s="1">
        <v>14678.09</v>
      </c>
      <c r="BX169">
        <v>0</v>
      </c>
      <c r="BY169">
        <v>0</v>
      </c>
      <c r="BZ169">
        <v>0</v>
      </c>
      <c r="CA169">
        <v>0</v>
      </c>
      <c r="CB169" s="1">
        <v>12685.95</v>
      </c>
      <c r="CC169" t="s">
        <v>152</v>
      </c>
    </row>
    <row r="170" spans="1:81" x14ac:dyDescent="0.25">
      <c r="A170">
        <v>345</v>
      </c>
      <c r="B170">
        <v>2</v>
      </c>
      <c r="C170">
        <v>330</v>
      </c>
      <c r="D170" t="s">
        <v>1086</v>
      </c>
      <c r="E170" t="s">
        <v>121</v>
      </c>
      <c r="F170" t="s">
        <v>1087</v>
      </c>
      <c r="G170" t="s">
        <v>1088</v>
      </c>
      <c r="H170" t="s">
        <v>1089</v>
      </c>
      <c r="I170" t="s">
        <v>1090</v>
      </c>
      <c r="J170" t="s">
        <v>1091</v>
      </c>
      <c r="K170" t="s">
        <v>466</v>
      </c>
      <c r="L170" t="s">
        <v>128</v>
      </c>
      <c r="M170" t="s">
        <v>467</v>
      </c>
      <c r="N170" t="s">
        <v>1092</v>
      </c>
      <c r="O170" t="s">
        <v>149</v>
      </c>
      <c r="P170">
        <v>0</v>
      </c>
      <c r="Q170" t="s">
        <v>125</v>
      </c>
      <c r="R170">
        <v>6</v>
      </c>
      <c r="S170">
        <v>41</v>
      </c>
      <c r="T170" t="s">
        <v>132</v>
      </c>
      <c r="U170" t="s">
        <v>133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134</v>
      </c>
      <c r="AE170" t="s">
        <v>134</v>
      </c>
      <c r="AF170" s="2">
        <v>45518</v>
      </c>
      <c r="AG170" s="2">
        <v>46015</v>
      </c>
      <c r="AH170">
        <v>451.21</v>
      </c>
      <c r="AI170" s="1">
        <v>1371</v>
      </c>
      <c r="AJ170" s="1">
        <v>5414.57</v>
      </c>
      <c r="AK170">
        <v>0</v>
      </c>
      <c r="AL170">
        <v>0</v>
      </c>
      <c r="AM170">
        <v>0</v>
      </c>
      <c r="AN170" t="s">
        <v>135</v>
      </c>
      <c r="AO170" t="s">
        <v>135</v>
      </c>
      <c r="AP170" t="s">
        <v>136</v>
      </c>
      <c r="AQ170" t="s">
        <v>137</v>
      </c>
      <c r="AR170" t="s">
        <v>138</v>
      </c>
      <c r="AS170" t="s">
        <v>139</v>
      </c>
      <c r="AT170" t="s">
        <v>140</v>
      </c>
      <c r="AU170">
        <v>105</v>
      </c>
      <c r="AV170">
        <v>10</v>
      </c>
      <c r="AW170">
        <v>1</v>
      </c>
      <c r="AX170" s="2">
        <v>45846</v>
      </c>
      <c r="AY170" t="s">
        <v>377</v>
      </c>
      <c r="AZ170" s="2">
        <v>46028</v>
      </c>
      <c r="BA170">
        <v>0</v>
      </c>
      <c r="BB170">
        <v>0</v>
      </c>
      <c r="BC170">
        <v>0</v>
      </c>
      <c r="BD170">
        <v>700</v>
      </c>
      <c r="BE170">
        <v>70</v>
      </c>
      <c r="BF170">
        <v>9</v>
      </c>
      <c r="BG170" s="2">
        <v>45536</v>
      </c>
      <c r="BH170" t="s">
        <v>142</v>
      </c>
      <c r="BI170" s="2">
        <v>46026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575.23</v>
      </c>
      <c r="BQ170">
        <v>575.23</v>
      </c>
      <c r="BR170">
        <v>0</v>
      </c>
      <c r="BS170">
        <v>0</v>
      </c>
      <c r="BT170">
        <v>0</v>
      </c>
      <c r="BU170">
        <v>0</v>
      </c>
      <c r="BV170" s="1">
        <v>1823.07</v>
      </c>
      <c r="BW170" s="1">
        <v>1823.07</v>
      </c>
      <c r="BX170">
        <v>0</v>
      </c>
      <c r="BY170">
        <v>0</v>
      </c>
      <c r="BZ170">
        <v>0</v>
      </c>
      <c r="CA170">
        <v>0</v>
      </c>
      <c r="CB170" s="1">
        <v>1595.05</v>
      </c>
      <c r="CC170" t="s">
        <v>152</v>
      </c>
    </row>
    <row r="171" spans="1:81" x14ac:dyDescent="0.25">
      <c r="A171">
        <v>345</v>
      </c>
      <c r="B171">
        <v>2</v>
      </c>
      <c r="C171">
        <v>331</v>
      </c>
      <c r="D171" t="s">
        <v>1093</v>
      </c>
      <c r="E171" t="s">
        <v>121</v>
      </c>
      <c r="F171" t="s">
        <v>1094</v>
      </c>
      <c r="G171" t="s">
        <v>1095</v>
      </c>
      <c r="H171" t="s">
        <v>786</v>
      </c>
      <c r="I171" t="s">
        <v>125</v>
      </c>
      <c r="J171" t="s">
        <v>126</v>
      </c>
      <c r="K171" t="s">
        <v>336</v>
      </c>
      <c r="L171" t="s">
        <v>128</v>
      </c>
      <c r="M171" t="s">
        <v>337</v>
      </c>
      <c r="N171" t="s">
        <v>1096</v>
      </c>
      <c r="O171" t="s">
        <v>131</v>
      </c>
      <c r="P171">
        <v>0</v>
      </c>
      <c r="Q171" t="s">
        <v>125</v>
      </c>
      <c r="R171">
        <v>6</v>
      </c>
      <c r="S171">
        <v>41</v>
      </c>
      <c r="T171" t="s">
        <v>132</v>
      </c>
      <c r="U171" t="s">
        <v>133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134</v>
      </c>
      <c r="AE171" t="s">
        <v>134</v>
      </c>
      <c r="AF171" s="2">
        <v>45518</v>
      </c>
      <c r="AG171" s="2">
        <v>46015</v>
      </c>
      <c r="AH171" s="1">
        <v>1059.04</v>
      </c>
      <c r="AI171" s="1">
        <v>3101.4</v>
      </c>
      <c r="AJ171" s="1">
        <v>9531.4</v>
      </c>
      <c r="AK171">
        <v>0</v>
      </c>
      <c r="AL171">
        <v>0</v>
      </c>
      <c r="AM171">
        <v>0</v>
      </c>
      <c r="AN171" t="s">
        <v>135</v>
      </c>
      <c r="AO171" t="s">
        <v>135</v>
      </c>
      <c r="AP171" t="s">
        <v>136</v>
      </c>
      <c r="AQ171" t="s">
        <v>137</v>
      </c>
      <c r="AR171" t="s">
        <v>138</v>
      </c>
      <c r="AS171" t="s">
        <v>139</v>
      </c>
      <c r="AT171" t="s">
        <v>140</v>
      </c>
      <c r="AU171">
        <v>501</v>
      </c>
      <c r="AV171">
        <v>10</v>
      </c>
      <c r="AW171">
        <v>1</v>
      </c>
      <c r="AX171" s="2">
        <v>45860</v>
      </c>
      <c r="AY171" t="s">
        <v>377</v>
      </c>
      <c r="AZ171" s="2">
        <v>46028</v>
      </c>
      <c r="BA171">
        <v>0</v>
      </c>
      <c r="BB171">
        <v>0</v>
      </c>
      <c r="BC171">
        <v>0</v>
      </c>
      <c r="BD171">
        <v>700</v>
      </c>
      <c r="BE171">
        <v>70</v>
      </c>
      <c r="BF171">
        <v>9</v>
      </c>
      <c r="BG171" s="2">
        <v>45536</v>
      </c>
      <c r="BH171" t="s">
        <v>142</v>
      </c>
      <c r="BI171" s="2">
        <v>46026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s="1">
        <v>4926.6099999999997</v>
      </c>
      <c r="BQ171" s="1">
        <v>4926.6099999999997</v>
      </c>
      <c r="BR171">
        <v>0</v>
      </c>
      <c r="BS171">
        <v>0</v>
      </c>
      <c r="BT171">
        <v>0</v>
      </c>
      <c r="BU171">
        <v>0</v>
      </c>
      <c r="BV171" s="1">
        <v>2055.21</v>
      </c>
      <c r="BW171" s="1">
        <v>2055.21</v>
      </c>
      <c r="BX171">
        <v>0</v>
      </c>
      <c r="BY171">
        <v>0</v>
      </c>
      <c r="BZ171">
        <v>0</v>
      </c>
      <c r="CA171">
        <v>0</v>
      </c>
      <c r="CB171" s="1">
        <v>3164.23</v>
      </c>
      <c r="CC171" t="s">
        <v>143</v>
      </c>
    </row>
    <row r="172" spans="1:81" x14ac:dyDescent="0.25">
      <c r="A172">
        <v>345</v>
      </c>
      <c r="B172">
        <v>2</v>
      </c>
      <c r="C172">
        <v>332</v>
      </c>
      <c r="D172" t="s">
        <v>1097</v>
      </c>
      <c r="E172" t="s">
        <v>121</v>
      </c>
      <c r="F172" t="s">
        <v>1098</v>
      </c>
      <c r="G172" t="s">
        <v>1099</v>
      </c>
      <c r="H172" t="s">
        <v>1100</v>
      </c>
      <c r="I172" t="s">
        <v>1101</v>
      </c>
      <c r="J172" t="s">
        <v>937</v>
      </c>
      <c r="K172" t="s">
        <v>473</v>
      </c>
      <c r="L172" t="s">
        <v>128</v>
      </c>
      <c r="M172" t="s">
        <v>474</v>
      </c>
      <c r="N172" t="s">
        <v>1102</v>
      </c>
      <c r="O172" t="s">
        <v>131</v>
      </c>
      <c r="P172">
        <v>0</v>
      </c>
      <c r="Q172" t="s">
        <v>125</v>
      </c>
      <c r="R172">
        <v>6</v>
      </c>
      <c r="S172">
        <v>41</v>
      </c>
      <c r="T172" t="s">
        <v>132</v>
      </c>
      <c r="U172" t="s">
        <v>133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134</v>
      </c>
      <c r="AE172" t="s">
        <v>134</v>
      </c>
      <c r="AF172" s="2">
        <v>45518</v>
      </c>
      <c r="AG172" s="2">
        <v>46021</v>
      </c>
      <c r="AH172" s="1">
        <v>3829.85</v>
      </c>
      <c r="AI172" s="1">
        <v>9112.42</v>
      </c>
      <c r="AJ172" s="1">
        <v>49788.160000000003</v>
      </c>
      <c r="AK172">
        <v>0</v>
      </c>
      <c r="AL172">
        <v>0</v>
      </c>
      <c r="AM172">
        <v>0</v>
      </c>
      <c r="AN172" t="s">
        <v>135</v>
      </c>
      <c r="AO172" t="s">
        <v>135</v>
      </c>
      <c r="AP172" t="s">
        <v>136</v>
      </c>
      <c r="AQ172" t="s">
        <v>137</v>
      </c>
      <c r="AR172" t="s">
        <v>138</v>
      </c>
      <c r="AS172" t="s">
        <v>139</v>
      </c>
      <c r="AT172" t="s">
        <v>140</v>
      </c>
      <c r="AU172">
        <v>105</v>
      </c>
      <c r="AV172">
        <v>10</v>
      </c>
      <c r="AW172">
        <v>1</v>
      </c>
      <c r="AX172" s="2">
        <v>45838</v>
      </c>
      <c r="AY172" t="s">
        <v>141</v>
      </c>
      <c r="AZ172" s="2">
        <v>46027</v>
      </c>
      <c r="BA172">
        <v>0</v>
      </c>
      <c r="BB172">
        <v>0</v>
      </c>
      <c r="BC172">
        <v>0</v>
      </c>
      <c r="BD172">
        <v>700</v>
      </c>
      <c r="BE172">
        <v>70</v>
      </c>
      <c r="BF172">
        <v>9</v>
      </c>
      <c r="BG172" s="2">
        <v>45536</v>
      </c>
      <c r="BH172" t="s">
        <v>142</v>
      </c>
      <c r="BI172" s="2">
        <v>46026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s="1">
        <v>19504.59</v>
      </c>
      <c r="BQ172" s="1">
        <v>19504.59</v>
      </c>
      <c r="BR172">
        <v>0</v>
      </c>
      <c r="BS172">
        <v>0</v>
      </c>
      <c r="BT172">
        <v>0</v>
      </c>
      <c r="BU172">
        <v>0</v>
      </c>
      <c r="BV172" s="1">
        <v>20770.560000000001</v>
      </c>
      <c r="BW172" s="1">
        <v>20770.560000000001</v>
      </c>
      <c r="BX172">
        <v>0</v>
      </c>
      <c r="BY172">
        <v>0</v>
      </c>
      <c r="BZ172">
        <v>0</v>
      </c>
      <c r="CA172">
        <v>0</v>
      </c>
      <c r="CB172" s="1">
        <v>14045.4</v>
      </c>
      <c r="CC172" t="s">
        <v>143</v>
      </c>
    </row>
    <row r="173" spans="1:81" x14ac:dyDescent="0.25">
      <c r="A173">
        <v>345</v>
      </c>
      <c r="B173">
        <v>2</v>
      </c>
      <c r="C173">
        <v>334</v>
      </c>
      <c r="D173" t="s">
        <v>1103</v>
      </c>
      <c r="E173" t="s">
        <v>121</v>
      </c>
      <c r="F173" t="s">
        <v>1104</v>
      </c>
      <c r="G173" t="s">
        <v>1105</v>
      </c>
      <c r="H173" t="s">
        <v>1106</v>
      </c>
      <c r="I173" t="s">
        <v>1107</v>
      </c>
      <c r="J173" t="s">
        <v>992</v>
      </c>
      <c r="K173" t="s">
        <v>466</v>
      </c>
      <c r="L173" t="s">
        <v>128</v>
      </c>
      <c r="M173" t="s">
        <v>467</v>
      </c>
      <c r="N173" t="s">
        <v>1108</v>
      </c>
      <c r="O173" t="s">
        <v>296</v>
      </c>
      <c r="P173">
        <v>0</v>
      </c>
      <c r="Q173" t="s">
        <v>125</v>
      </c>
      <c r="R173">
        <v>6</v>
      </c>
      <c r="S173">
        <v>44</v>
      </c>
      <c r="T173" t="s">
        <v>132</v>
      </c>
      <c r="U173" t="s">
        <v>133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234</v>
      </c>
      <c r="AE173" t="s">
        <v>134</v>
      </c>
      <c r="AF173" s="2">
        <v>45518</v>
      </c>
      <c r="AG173" s="2">
        <v>46002</v>
      </c>
      <c r="AH173">
        <v>846.47</v>
      </c>
      <c r="AI173" s="1">
        <v>1312.7</v>
      </c>
      <c r="AJ173" s="1">
        <v>6771.81</v>
      </c>
      <c r="AK173">
        <v>0</v>
      </c>
      <c r="AL173">
        <v>0</v>
      </c>
      <c r="AM173">
        <v>0</v>
      </c>
      <c r="AN173" t="s">
        <v>135</v>
      </c>
      <c r="AO173" t="s">
        <v>135</v>
      </c>
      <c r="AP173" t="s">
        <v>136</v>
      </c>
      <c r="AQ173" t="s">
        <v>137</v>
      </c>
      <c r="AR173" t="s">
        <v>138</v>
      </c>
      <c r="AS173" t="s">
        <v>150</v>
      </c>
      <c r="AT173" t="s">
        <v>140</v>
      </c>
      <c r="AU173">
        <v>500</v>
      </c>
      <c r="AV173">
        <v>10</v>
      </c>
      <c r="AW173">
        <v>1</v>
      </c>
      <c r="AX173" s="2">
        <v>45861</v>
      </c>
      <c r="AY173" t="s">
        <v>168</v>
      </c>
      <c r="AZ173" s="2">
        <v>46022</v>
      </c>
      <c r="BA173">
        <v>0</v>
      </c>
      <c r="BB173">
        <v>0</v>
      </c>
      <c r="BC173">
        <v>0</v>
      </c>
      <c r="BD173">
        <v>700</v>
      </c>
      <c r="BE173">
        <v>70</v>
      </c>
      <c r="BF173">
        <v>9</v>
      </c>
      <c r="BG173" s="2">
        <v>45536</v>
      </c>
      <c r="BH173" t="s">
        <v>142</v>
      </c>
      <c r="BI173" s="2">
        <v>46026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s="1">
        <v>2411.09</v>
      </c>
      <c r="BQ173" s="1">
        <v>2411.09</v>
      </c>
      <c r="BR173">
        <v>0</v>
      </c>
      <c r="BS173">
        <v>0</v>
      </c>
      <c r="BT173">
        <v>0</v>
      </c>
      <c r="BU173">
        <v>0</v>
      </c>
      <c r="BV173" s="1">
        <v>1058.82</v>
      </c>
      <c r="BW173" s="1">
        <v>1058.82</v>
      </c>
      <c r="BX173">
        <v>0</v>
      </c>
      <c r="BY173">
        <v>0</v>
      </c>
      <c r="BZ173">
        <v>0</v>
      </c>
      <c r="CA173">
        <v>0</v>
      </c>
      <c r="CB173" s="1">
        <v>3050.74</v>
      </c>
      <c r="CC173" t="s">
        <v>297</v>
      </c>
    </row>
    <row r="174" spans="1:81" x14ac:dyDescent="0.25">
      <c r="A174">
        <v>345</v>
      </c>
      <c r="B174">
        <v>2</v>
      </c>
      <c r="C174">
        <v>336</v>
      </c>
      <c r="D174" t="s">
        <v>1109</v>
      </c>
      <c r="E174" t="s">
        <v>121</v>
      </c>
      <c r="F174" t="s">
        <v>1110</v>
      </c>
      <c r="G174" t="s">
        <v>1111</v>
      </c>
      <c r="H174" t="s">
        <v>830</v>
      </c>
      <c r="I174" t="s">
        <v>125</v>
      </c>
      <c r="J174" t="s">
        <v>831</v>
      </c>
      <c r="K174" t="s">
        <v>336</v>
      </c>
      <c r="L174" t="s">
        <v>128</v>
      </c>
      <c r="M174" t="s">
        <v>337</v>
      </c>
      <c r="N174" t="s">
        <v>1112</v>
      </c>
      <c r="O174" t="s">
        <v>131</v>
      </c>
      <c r="P174">
        <v>0</v>
      </c>
      <c r="Q174" t="s">
        <v>125</v>
      </c>
      <c r="R174">
        <v>6</v>
      </c>
      <c r="S174">
        <v>40</v>
      </c>
      <c r="T174" t="s">
        <v>132</v>
      </c>
      <c r="U174" t="s">
        <v>133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134</v>
      </c>
      <c r="AE174" t="s">
        <v>134</v>
      </c>
      <c r="AF174" s="2">
        <v>45518</v>
      </c>
      <c r="AG174" s="2">
        <v>45986</v>
      </c>
      <c r="AH174">
        <v>979.77</v>
      </c>
      <c r="AI174" s="1">
        <v>1213.1500000000001</v>
      </c>
      <c r="AJ174" s="1">
        <v>4898.8500000000004</v>
      </c>
      <c r="AK174">
        <v>0</v>
      </c>
      <c r="AL174" s="1">
        <v>1096.46</v>
      </c>
      <c r="AM174">
        <v>0</v>
      </c>
      <c r="AN174" t="s">
        <v>135</v>
      </c>
      <c r="AO174" t="s">
        <v>135</v>
      </c>
      <c r="AP174" t="s">
        <v>136</v>
      </c>
      <c r="AQ174" t="s">
        <v>137</v>
      </c>
      <c r="AR174" t="s">
        <v>138</v>
      </c>
      <c r="AS174" t="s">
        <v>139</v>
      </c>
      <c r="AT174" t="s">
        <v>140</v>
      </c>
      <c r="AU174">
        <v>104</v>
      </c>
      <c r="AV174">
        <v>10</v>
      </c>
      <c r="AW174">
        <v>1</v>
      </c>
      <c r="AX174" s="2">
        <v>45859</v>
      </c>
      <c r="AY174" t="s">
        <v>141</v>
      </c>
      <c r="AZ174" s="2">
        <v>46027</v>
      </c>
      <c r="BA174">
        <v>0</v>
      </c>
      <c r="BB174">
        <v>0</v>
      </c>
      <c r="BC174">
        <v>0</v>
      </c>
      <c r="BD174">
        <v>700</v>
      </c>
      <c r="BE174">
        <v>70</v>
      </c>
      <c r="BF174">
        <v>9</v>
      </c>
      <c r="BG174" s="2">
        <v>45536</v>
      </c>
      <c r="BH174" t="s">
        <v>142</v>
      </c>
      <c r="BI174" s="2">
        <v>46026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s="1">
        <v>2829.27</v>
      </c>
      <c r="BQ174" s="1">
        <v>2829.27</v>
      </c>
      <c r="BR174">
        <v>0</v>
      </c>
      <c r="BS174">
        <v>0</v>
      </c>
      <c r="BT174">
        <v>0</v>
      </c>
      <c r="BU174">
        <v>0</v>
      </c>
      <c r="BV174" s="1">
        <v>1096.46</v>
      </c>
      <c r="BW174" s="1">
        <v>1096.46</v>
      </c>
      <c r="BX174">
        <v>0</v>
      </c>
      <c r="BY174">
        <v>0</v>
      </c>
      <c r="BZ174">
        <v>0</v>
      </c>
      <c r="CA174">
        <v>0</v>
      </c>
      <c r="CB174" s="1">
        <v>2202.86</v>
      </c>
      <c r="CC174" t="s">
        <v>143</v>
      </c>
    </row>
    <row r="175" spans="1:81" x14ac:dyDescent="0.25">
      <c r="A175">
        <v>345</v>
      </c>
      <c r="B175">
        <v>2</v>
      </c>
      <c r="C175">
        <v>337</v>
      </c>
      <c r="D175" t="s">
        <v>1113</v>
      </c>
      <c r="E175" t="s">
        <v>121</v>
      </c>
      <c r="F175" t="s">
        <v>1114</v>
      </c>
      <c r="G175" t="s">
        <v>1115</v>
      </c>
      <c r="H175" t="s">
        <v>1116</v>
      </c>
      <c r="I175" t="s">
        <v>125</v>
      </c>
      <c r="J175" t="s">
        <v>781</v>
      </c>
      <c r="K175" t="s">
        <v>466</v>
      </c>
      <c r="L175" t="s">
        <v>128</v>
      </c>
      <c r="M175" t="s">
        <v>467</v>
      </c>
      <c r="N175" t="s">
        <v>1117</v>
      </c>
      <c r="O175" t="s">
        <v>167</v>
      </c>
      <c r="P175">
        <v>0</v>
      </c>
      <c r="Q175" t="s">
        <v>125</v>
      </c>
      <c r="R175">
        <v>6</v>
      </c>
      <c r="S175">
        <v>38</v>
      </c>
      <c r="T175" t="s">
        <v>132</v>
      </c>
      <c r="U175" t="s">
        <v>133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134</v>
      </c>
      <c r="AE175" t="s">
        <v>134</v>
      </c>
      <c r="AF175" s="2">
        <v>45518</v>
      </c>
      <c r="AG175" s="2">
        <v>46008</v>
      </c>
      <c r="AH175">
        <v>763.86</v>
      </c>
      <c r="AI175" s="1">
        <v>1286.2</v>
      </c>
      <c r="AJ175" s="1">
        <v>7638.65</v>
      </c>
      <c r="AK175">
        <v>0</v>
      </c>
      <c r="AL175">
        <v>627.29999999999995</v>
      </c>
      <c r="AM175">
        <v>0</v>
      </c>
      <c r="AN175" t="s">
        <v>135</v>
      </c>
      <c r="AO175" t="s">
        <v>135</v>
      </c>
      <c r="AP175" t="s">
        <v>136</v>
      </c>
      <c r="AQ175" t="s">
        <v>137</v>
      </c>
      <c r="AR175" t="s">
        <v>138</v>
      </c>
      <c r="AS175" t="s">
        <v>150</v>
      </c>
      <c r="AT175" t="s">
        <v>140</v>
      </c>
      <c r="AU175">
        <v>103</v>
      </c>
      <c r="AV175">
        <v>10</v>
      </c>
      <c r="AW175">
        <v>1</v>
      </c>
      <c r="AX175" s="2">
        <v>45839</v>
      </c>
      <c r="AY175" t="s">
        <v>377</v>
      </c>
      <c r="AZ175" s="2">
        <v>46028</v>
      </c>
      <c r="BA175">
        <v>0</v>
      </c>
      <c r="BB175">
        <v>0</v>
      </c>
      <c r="BC175">
        <v>0</v>
      </c>
      <c r="BD175">
        <v>700</v>
      </c>
      <c r="BE175">
        <v>70</v>
      </c>
      <c r="BF175">
        <v>9</v>
      </c>
      <c r="BG175" s="2">
        <v>45536</v>
      </c>
      <c r="BH175" t="s">
        <v>142</v>
      </c>
      <c r="BI175" s="2">
        <v>46026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 s="1">
        <v>2297.04</v>
      </c>
      <c r="BQ175" s="1">
        <v>2297.04</v>
      </c>
      <c r="BR175">
        <v>0</v>
      </c>
      <c r="BS175">
        <v>0</v>
      </c>
      <c r="BT175">
        <v>0</v>
      </c>
      <c r="BU175">
        <v>0</v>
      </c>
      <c r="BV175" s="1">
        <v>1895.45</v>
      </c>
      <c r="BW175" s="1">
        <v>1895.45</v>
      </c>
      <c r="BX175">
        <v>0</v>
      </c>
      <c r="BY175">
        <v>0</v>
      </c>
      <c r="BZ175">
        <v>0</v>
      </c>
      <c r="CA175">
        <v>0</v>
      </c>
      <c r="CB175" s="1">
        <v>2363.23</v>
      </c>
      <c r="CC175" t="s">
        <v>161</v>
      </c>
    </row>
    <row r="176" spans="1:81" x14ac:dyDescent="0.25">
      <c r="A176">
        <v>345</v>
      </c>
      <c r="B176">
        <v>2</v>
      </c>
      <c r="C176">
        <v>338</v>
      </c>
      <c r="D176" t="s">
        <v>1118</v>
      </c>
      <c r="E176" t="s">
        <v>121</v>
      </c>
      <c r="F176" t="s">
        <v>1119</v>
      </c>
      <c r="G176" t="s">
        <v>1120</v>
      </c>
      <c r="H176" t="s">
        <v>1121</v>
      </c>
      <c r="I176" t="s">
        <v>1122</v>
      </c>
      <c r="J176" t="s">
        <v>606</v>
      </c>
      <c r="K176" t="s">
        <v>336</v>
      </c>
      <c r="L176" t="s">
        <v>128</v>
      </c>
      <c r="M176" t="s">
        <v>337</v>
      </c>
      <c r="N176" t="s">
        <v>1123</v>
      </c>
      <c r="O176" t="s">
        <v>149</v>
      </c>
      <c r="P176">
        <v>0</v>
      </c>
      <c r="Q176" t="s">
        <v>125</v>
      </c>
      <c r="R176">
        <v>6</v>
      </c>
      <c r="S176">
        <v>40</v>
      </c>
      <c r="T176" t="s">
        <v>132</v>
      </c>
      <c r="U176" t="s">
        <v>133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134</v>
      </c>
      <c r="AE176" t="s">
        <v>134</v>
      </c>
      <c r="AF176" s="2">
        <v>45518</v>
      </c>
      <c r="AG176" s="2">
        <v>46018</v>
      </c>
      <c r="AH176">
        <v>623.49</v>
      </c>
      <c r="AI176">
        <v>758.28</v>
      </c>
      <c r="AJ176" s="1">
        <v>5611.41</v>
      </c>
      <c r="AK176">
        <v>0</v>
      </c>
      <c r="AL176">
        <v>0</v>
      </c>
      <c r="AM176">
        <v>0</v>
      </c>
      <c r="AN176" t="s">
        <v>135</v>
      </c>
      <c r="AO176" t="s">
        <v>135</v>
      </c>
      <c r="AP176" t="s">
        <v>136</v>
      </c>
      <c r="AQ176" t="s">
        <v>137</v>
      </c>
      <c r="AR176" t="s">
        <v>138</v>
      </c>
      <c r="AS176" t="s">
        <v>139</v>
      </c>
      <c r="AT176" t="s">
        <v>140</v>
      </c>
      <c r="AU176">
        <v>101</v>
      </c>
      <c r="AV176">
        <v>10</v>
      </c>
      <c r="AW176">
        <v>1</v>
      </c>
      <c r="AX176" s="2">
        <v>45812</v>
      </c>
      <c r="AY176" t="s">
        <v>168</v>
      </c>
      <c r="AZ176" s="2">
        <v>46022</v>
      </c>
      <c r="BA176">
        <v>0</v>
      </c>
      <c r="BB176">
        <v>0</v>
      </c>
      <c r="BC176">
        <v>0</v>
      </c>
      <c r="BD176">
        <v>700</v>
      </c>
      <c r="BE176">
        <v>70</v>
      </c>
      <c r="BF176">
        <v>9</v>
      </c>
      <c r="BG176" s="2">
        <v>45536</v>
      </c>
      <c r="BH176" t="s">
        <v>142</v>
      </c>
      <c r="BI176" s="2">
        <v>46026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 s="1">
        <v>2512.0500000000002</v>
      </c>
      <c r="BQ176" s="1">
        <v>2512.0500000000002</v>
      </c>
      <c r="BR176">
        <v>0</v>
      </c>
      <c r="BS176">
        <v>0</v>
      </c>
      <c r="BT176">
        <v>0</v>
      </c>
      <c r="BU176">
        <v>0</v>
      </c>
      <c r="BV176" s="1">
        <v>1886.28</v>
      </c>
      <c r="BW176" s="1">
        <v>1886.28</v>
      </c>
      <c r="BX176">
        <v>0</v>
      </c>
      <c r="BY176">
        <v>0</v>
      </c>
      <c r="BZ176">
        <v>0</v>
      </c>
      <c r="CA176">
        <v>0</v>
      </c>
      <c r="CB176" s="1">
        <v>1499.17</v>
      </c>
      <c r="CC176" t="s">
        <v>152</v>
      </c>
    </row>
    <row r="177" spans="1:81" x14ac:dyDescent="0.25">
      <c r="A177">
        <v>345</v>
      </c>
      <c r="B177">
        <v>2</v>
      </c>
      <c r="C177">
        <v>339</v>
      </c>
      <c r="D177" t="s">
        <v>1124</v>
      </c>
      <c r="E177" t="s">
        <v>121</v>
      </c>
      <c r="F177" t="s">
        <v>1125</v>
      </c>
      <c r="G177" t="s">
        <v>1126</v>
      </c>
      <c r="H177" t="s">
        <v>1127</v>
      </c>
      <c r="I177" t="s">
        <v>125</v>
      </c>
      <c r="J177" t="s">
        <v>1128</v>
      </c>
      <c r="K177" t="s">
        <v>336</v>
      </c>
      <c r="L177" t="s">
        <v>128</v>
      </c>
      <c r="M177" t="s">
        <v>337</v>
      </c>
      <c r="N177" t="s">
        <v>1129</v>
      </c>
      <c r="O177" t="s">
        <v>149</v>
      </c>
      <c r="P177">
        <v>0</v>
      </c>
      <c r="Q177" t="s">
        <v>125</v>
      </c>
      <c r="R177">
        <v>6</v>
      </c>
      <c r="S177">
        <v>39</v>
      </c>
      <c r="T177" t="s">
        <v>132</v>
      </c>
      <c r="U177" t="s">
        <v>133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134</v>
      </c>
      <c r="AE177" t="s">
        <v>134</v>
      </c>
      <c r="AF177" s="2">
        <v>45518</v>
      </c>
      <c r="AG177" s="2">
        <v>46020</v>
      </c>
      <c r="AH177">
        <v>231.42</v>
      </c>
      <c r="AI177">
        <v>329.19</v>
      </c>
      <c r="AJ177" s="1">
        <v>1620</v>
      </c>
      <c r="AK177">
        <v>0</v>
      </c>
      <c r="AL177">
        <v>0</v>
      </c>
      <c r="AM177">
        <v>0</v>
      </c>
      <c r="AN177" t="s">
        <v>135</v>
      </c>
      <c r="AO177" t="s">
        <v>135</v>
      </c>
      <c r="AP177" t="s">
        <v>136</v>
      </c>
      <c r="AQ177" t="s">
        <v>137</v>
      </c>
      <c r="AR177" t="s">
        <v>138</v>
      </c>
      <c r="AS177" t="s">
        <v>139</v>
      </c>
      <c r="AT177" t="s">
        <v>140</v>
      </c>
      <c r="AU177">
        <v>104</v>
      </c>
      <c r="AV177">
        <v>10</v>
      </c>
      <c r="AW177">
        <v>1</v>
      </c>
      <c r="AX177" s="2">
        <v>45857</v>
      </c>
      <c r="AY177" t="s">
        <v>160</v>
      </c>
      <c r="AZ177" s="2">
        <v>46025</v>
      </c>
      <c r="BA177">
        <v>0</v>
      </c>
      <c r="BB177">
        <v>0</v>
      </c>
      <c r="BC177">
        <v>0</v>
      </c>
      <c r="BD177">
        <v>700</v>
      </c>
      <c r="BE177">
        <v>70</v>
      </c>
      <c r="BF177">
        <v>9</v>
      </c>
      <c r="BG177" s="2">
        <v>45536</v>
      </c>
      <c r="BH177" t="s">
        <v>142</v>
      </c>
      <c r="BI177" s="2">
        <v>46026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s="1">
        <v>1098.05</v>
      </c>
      <c r="BW177" s="1">
        <v>1098.05</v>
      </c>
      <c r="BX177">
        <v>0</v>
      </c>
      <c r="BY177">
        <v>0</v>
      </c>
      <c r="BZ177">
        <v>0</v>
      </c>
      <c r="CA177">
        <v>0</v>
      </c>
      <c r="CB177">
        <v>281.82</v>
      </c>
      <c r="CC177" t="s">
        <v>152</v>
      </c>
    </row>
    <row r="178" spans="1:81" x14ac:dyDescent="0.25">
      <c r="A178">
        <v>345</v>
      </c>
      <c r="B178">
        <v>2</v>
      </c>
      <c r="C178">
        <v>340</v>
      </c>
      <c r="D178" t="s">
        <v>1130</v>
      </c>
      <c r="E178" t="s">
        <v>121</v>
      </c>
      <c r="F178" t="s">
        <v>1131</v>
      </c>
      <c r="G178" t="s">
        <v>1132</v>
      </c>
      <c r="H178" t="s">
        <v>1133</v>
      </c>
      <c r="I178" t="s">
        <v>125</v>
      </c>
      <c r="J178" t="s">
        <v>126</v>
      </c>
      <c r="K178" t="s">
        <v>473</v>
      </c>
      <c r="L178" t="s">
        <v>128</v>
      </c>
      <c r="M178" t="s">
        <v>474</v>
      </c>
      <c r="N178" t="s">
        <v>1134</v>
      </c>
      <c r="O178" t="s">
        <v>167</v>
      </c>
      <c r="P178">
        <v>0</v>
      </c>
      <c r="Q178" t="s">
        <v>125</v>
      </c>
      <c r="R178">
        <v>6</v>
      </c>
      <c r="S178">
        <v>37</v>
      </c>
      <c r="T178" t="s">
        <v>132</v>
      </c>
      <c r="U178" t="s">
        <v>133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134</v>
      </c>
      <c r="AE178" t="s">
        <v>134</v>
      </c>
      <c r="AF178" s="2">
        <v>45518</v>
      </c>
      <c r="AG178" s="2">
        <v>45964</v>
      </c>
      <c r="AH178">
        <v>61.06</v>
      </c>
      <c r="AI178">
        <v>80.040000000000006</v>
      </c>
      <c r="AJ178">
        <v>244.27</v>
      </c>
      <c r="AK178">
        <v>0</v>
      </c>
      <c r="AL178">
        <v>0</v>
      </c>
      <c r="AM178">
        <v>0</v>
      </c>
      <c r="AN178" t="s">
        <v>135</v>
      </c>
      <c r="AO178" t="s">
        <v>135</v>
      </c>
      <c r="AP178" t="s">
        <v>136</v>
      </c>
      <c r="AQ178" t="s">
        <v>137</v>
      </c>
      <c r="AR178" t="s">
        <v>138</v>
      </c>
      <c r="AS178" t="s">
        <v>139</v>
      </c>
      <c r="AT178" t="s">
        <v>140</v>
      </c>
      <c r="AU178">
        <v>105</v>
      </c>
      <c r="AV178">
        <v>10</v>
      </c>
      <c r="AW178">
        <v>1</v>
      </c>
      <c r="AX178" s="2">
        <v>45967</v>
      </c>
      <c r="AY178" t="s">
        <v>308</v>
      </c>
      <c r="AZ178" s="2">
        <v>46023</v>
      </c>
      <c r="BA178">
        <v>0</v>
      </c>
      <c r="BB178">
        <v>0</v>
      </c>
      <c r="BC178">
        <v>0</v>
      </c>
      <c r="BD178">
        <v>700</v>
      </c>
      <c r="BE178">
        <v>70</v>
      </c>
      <c r="BF178">
        <v>9</v>
      </c>
      <c r="BG178" s="2">
        <v>45536</v>
      </c>
      <c r="BH178" t="s">
        <v>142</v>
      </c>
      <c r="BI178" s="2">
        <v>46026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80.040000000000006</v>
      </c>
      <c r="BQ178">
        <v>80.040000000000006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115.79</v>
      </c>
      <c r="CC178" t="s">
        <v>161</v>
      </c>
    </row>
    <row r="179" spans="1:81" x14ac:dyDescent="0.25">
      <c r="A179">
        <v>345</v>
      </c>
      <c r="B179">
        <v>2</v>
      </c>
      <c r="C179">
        <v>341</v>
      </c>
      <c r="D179" t="s">
        <v>1135</v>
      </c>
      <c r="E179" t="s">
        <v>121</v>
      </c>
      <c r="F179" t="s">
        <v>1136</v>
      </c>
      <c r="G179" t="s">
        <v>1137</v>
      </c>
      <c r="H179" t="s">
        <v>1138</v>
      </c>
      <c r="I179" t="s">
        <v>125</v>
      </c>
      <c r="J179" t="s">
        <v>554</v>
      </c>
      <c r="K179" t="s">
        <v>336</v>
      </c>
      <c r="L179" t="s">
        <v>128</v>
      </c>
      <c r="M179" t="s">
        <v>337</v>
      </c>
      <c r="N179" t="s">
        <v>1139</v>
      </c>
      <c r="O179" t="s">
        <v>131</v>
      </c>
      <c r="P179">
        <v>0</v>
      </c>
      <c r="Q179" t="s">
        <v>125</v>
      </c>
      <c r="R179">
        <v>6</v>
      </c>
      <c r="S179">
        <v>40</v>
      </c>
      <c r="T179" t="s">
        <v>132</v>
      </c>
      <c r="U179" t="s">
        <v>133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134</v>
      </c>
      <c r="AE179" t="s">
        <v>134</v>
      </c>
      <c r="AF179" s="2">
        <v>45518</v>
      </c>
      <c r="AG179" s="2">
        <v>46018</v>
      </c>
      <c r="AH179">
        <v>273.85000000000002</v>
      </c>
      <c r="AI179">
        <v>574.9</v>
      </c>
      <c r="AJ179" s="1">
        <v>3560.16</v>
      </c>
      <c r="AK179">
        <v>0</v>
      </c>
      <c r="AL179">
        <v>0</v>
      </c>
      <c r="AM179">
        <v>0</v>
      </c>
      <c r="AN179" t="s">
        <v>135</v>
      </c>
      <c r="AO179" t="s">
        <v>135</v>
      </c>
      <c r="AP179" t="s">
        <v>136</v>
      </c>
      <c r="AQ179" t="s">
        <v>137</v>
      </c>
      <c r="AR179" t="s">
        <v>138</v>
      </c>
      <c r="AS179" t="s">
        <v>139</v>
      </c>
      <c r="AT179" t="s">
        <v>140</v>
      </c>
      <c r="AU179">
        <v>101</v>
      </c>
      <c r="AV179">
        <v>10</v>
      </c>
      <c r="AW179">
        <v>1</v>
      </c>
      <c r="AX179" s="2">
        <v>45841</v>
      </c>
      <c r="AY179" t="s">
        <v>308</v>
      </c>
      <c r="AZ179" s="2">
        <v>46023</v>
      </c>
      <c r="BA179">
        <v>0</v>
      </c>
      <c r="BB179">
        <v>0</v>
      </c>
      <c r="BC179">
        <v>0</v>
      </c>
      <c r="BD179">
        <v>700</v>
      </c>
      <c r="BE179">
        <v>70</v>
      </c>
      <c r="BF179">
        <v>9</v>
      </c>
      <c r="BG179" s="2">
        <v>45536</v>
      </c>
      <c r="BH179" t="s">
        <v>142</v>
      </c>
      <c r="BI179" s="2">
        <v>46026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s="1">
        <v>1167.77</v>
      </c>
      <c r="BQ179" s="1">
        <v>1167.77</v>
      </c>
      <c r="BR179">
        <v>0</v>
      </c>
      <c r="BS179">
        <v>0</v>
      </c>
      <c r="BT179">
        <v>0</v>
      </c>
      <c r="BU179">
        <v>0</v>
      </c>
      <c r="BV179" s="1">
        <v>1866.17</v>
      </c>
      <c r="BW179" s="1">
        <v>1866.17</v>
      </c>
      <c r="BX179">
        <v>0</v>
      </c>
      <c r="BY179">
        <v>0</v>
      </c>
      <c r="BZ179">
        <v>0</v>
      </c>
      <c r="CA179">
        <v>0</v>
      </c>
      <c r="CB179">
        <v>716.99</v>
      </c>
      <c r="CC179" t="s">
        <v>143</v>
      </c>
    </row>
    <row r="180" spans="1:81" x14ac:dyDescent="0.25">
      <c r="A180">
        <v>345</v>
      </c>
      <c r="B180">
        <v>2</v>
      </c>
      <c r="C180">
        <v>342</v>
      </c>
      <c r="D180" t="s">
        <v>1140</v>
      </c>
      <c r="E180" t="s">
        <v>121</v>
      </c>
      <c r="F180" t="s">
        <v>1141</v>
      </c>
      <c r="G180" t="s">
        <v>1142</v>
      </c>
      <c r="H180" t="s">
        <v>1143</v>
      </c>
      <c r="I180" t="s">
        <v>125</v>
      </c>
      <c r="J180" t="s">
        <v>1144</v>
      </c>
      <c r="K180" t="s">
        <v>473</v>
      </c>
      <c r="L180" t="s">
        <v>128</v>
      </c>
      <c r="M180" t="s">
        <v>474</v>
      </c>
      <c r="N180" t="s">
        <v>1145</v>
      </c>
      <c r="O180" t="s">
        <v>1146</v>
      </c>
      <c r="P180">
        <v>0</v>
      </c>
      <c r="Q180" t="s">
        <v>125</v>
      </c>
      <c r="R180">
        <v>6</v>
      </c>
      <c r="S180">
        <v>34</v>
      </c>
      <c r="T180" t="s">
        <v>132</v>
      </c>
      <c r="U180" t="s">
        <v>133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234</v>
      </c>
      <c r="AE180" t="s">
        <v>134</v>
      </c>
      <c r="AF180" s="2">
        <v>45518</v>
      </c>
      <c r="AG180" s="2">
        <v>46021</v>
      </c>
      <c r="AH180">
        <v>556</v>
      </c>
      <c r="AI180">
        <v>722.56</v>
      </c>
      <c r="AJ180" s="1">
        <v>5004.0200000000004</v>
      </c>
      <c r="AK180">
        <v>537.70000000000005</v>
      </c>
      <c r="AL180">
        <v>0</v>
      </c>
      <c r="AM180">
        <v>0</v>
      </c>
      <c r="AN180" t="s">
        <v>135</v>
      </c>
      <c r="AO180" t="s">
        <v>135</v>
      </c>
      <c r="AP180" t="s">
        <v>136</v>
      </c>
      <c r="AQ180" t="s">
        <v>137</v>
      </c>
      <c r="AR180" t="s">
        <v>138</v>
      </c>
      <c r="AS180" t="s">
        <v>139</v>
      </c>
      <c r="AT180" t="s">
        <v>140</v>
      </c>
      <c r="AU180">
        <v>105</v>
      </c>
      <c r="AV180">
        <v>10</v>
      </c>
      <c r="AW180">
        <v>1</v>
      </c>
      <c r="AX180" s="2">
        <v>45810</v>
      </c>
      <c r="AY180" t="s">
        <v>141</v>
      </c>
      <c r="AZ180" s="2">
        <v>46027</v>
      </c>
      <c r="BA180">
        <v>0</v>
      </c>
      <c r="BB180">
        <v>0</v>
      </c>
      <c r="BC180">
        <v>0</v>
      </c>
      <c r="BD180">
        <v>700</v>
      </c>
      <c r="BE180">
        <v>70</v>
      </c>
      <c r="BF180">
        <v>9</v>
      </c>
      <c r="BG180" s="2">
        <v>45536</v>
      </c>
      <c r="BH180" t="s">
        <v>142</v>
      </c>
      <c r="BI180" s="2">
        <v>46026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s="1">
        <v>2320.6</v>
      </c>
      <c r="BQ180" s="1">
        <v>2320.6</v>
      </c>
      <c r="BR180">
        <v>0</v>
      </c>
      <c r="BS180">
        <v>0</v>
      </c>
      <c r="BT180">
        <v>0</v>
      </c>
      <c r="BU180">
        <v>0</v>
      </c>
      <c r="BV180" s="1">
        <v>1582.24</v>
      </c>
      <c r="BW180" s="1">
        <v>1582.24</v>
      </c>
      <c r="BX180">
        <v>0</v>
      </c>
      <c r="BY180">
        <v>0</v>
      </c>
      <c r="BZ180">
        <v>0</v>
      </c>
      <c r="CA180">
        <v>0</v>
      </c>
      <c r="CB180" s="1">
        <v>1923.03</v>
      </c>
      <c r="CC180" t="s">
        <v>161</v>
      </c>
    </row>
    <row r="181" spans="1:81" x14ac:dyDescent="0.25">
      <c r="A181">
        <v>345</v>
      </c>
      <c r="B181">
        <v>2</v>
      </c>
      <c r="C181">
        <v>343</v>
      </c>
      <c r="D181" t="s">
        <v>1147</v>
      </c>
      <c r="E181" t="s">
        <v>121</v>
      </c>
      <c r="F181" t="s">
        <v>1148</v>
      </c>
      <c r="G181" t="s">
        <v>1149</v>
      </c>
      <c r="H181" t="s">
        <v>966</v>
      </c>
      <c r="I181" t="s">
        <v>125</v>
      </c>
      <c r="J181" t="s">
        <v>583</v>
      </c>
      <c r="K181" t="s">
        <v>466</v>
      </c>
      <c r="L181" t="s">
        <v>128</v>
      </c>
      <c r="M181" t="s">
        <v>467</v>
      </c>
      <c r="N181" t="s">
        <v>1150</v>
      </c>
      <c r="O181" t="s">
        <v>167</v>
      </c>
      <c r="P181">
        <v>0</v>
      </c>
      <c r="Q181" t="s">
        <v>125</v>
      </c>
      <c r="R181">
        <v>6</v>
      </c>
      <c r="S181">
        <v>36</v>
      </c>
      <c r="T181" t="s">
        <v>132</v>
      </c>
      <c r="U181" t="s">
        <v>133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134</v>
      </c>
      <c r="AE181" t="s">
        <v>134</v>
      </c>
      <c r="AF181" s="2">
        <v>45518</v>
      </c>
      <c r="AG181" s="2">
        <v>46020</v>
      </c>
      <c r="AH181">
        <v>829.53</v>
      </c>
      <c r="AI181" s="1">
        <v>1474.12</v>
      </c>
      <c r="AJ181" s="1">
        <v>9954.4</v>
      </c>
      <c r="AK181">
        <v>0</v>
      </c>
      <c r="AL181">
        <v>0</v>
      </c>
      <c r="AM181">
        <v>0</v>
      </c>
      <c r="AN181" t="s">
        <v>135</v>
      </c>
      <c r="AO181" t="s">
        <v>135</v>
      </c>
      <c r="AP181" t="s">
        <v>136</v>
      </c>
      <c r="AQ181" t="s">
        <v>137</v>
      </c>
      <c r="AR181" t="s">
        <v>138</v>
      </c>
      <c r="AS181" t="s">
        <v>139</v>
      </c>
      <c r="AT181" t="s">
        <v>140</v>
      </c>
      <c r="AU181">
        <v>100</v>
      </c>
      <c r="AV181">
        <v>10</v>
      </c>
      <c r="AW181">
        <v>1</v>
      </c>
      <c r="AX181" s="2">
        <v>45842</v>
      </c>
      <c r="AY181" t="s">
        <v>151</v>
      </c>
      <c r="AZ181" s="2">
        <v>46024</v>
      </c>
      <c r="BA181">
        <v>0</v>
      </c>
      <c r="BB181">
        <v>0</v>
      </c>
      <c r="BC181">
        <v>0</v>
      </c>
      <c r="BD181">
        <v>700</v>
      </c>
      <c r="BE181">
        <v>70</v>
      </c>
      <c r="BF181">
        <v>9</v>
      </c>
      <c r="BG181" s="2">
        <v>45536</v>
      </c>
      <c r="BH181" t="s">
        <v>142</v>
      </c>
      <c r="BI181" s="2">
        <v>46026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s="1">
        <v>3880.46</v>
      </c>
      <c r="BQ181" s="1">
        <v>3880.46</v>
      </c>
      <c r="BR181">
        <v>0</v>
      </c>
      <c r="BS181">
        <v>0</v>
      </c>
      <c r="BT181">
        <v>0</v>
      </c>
      <c r="BU181">
        <v>0</v>
      </c>
      <c r="BV181" s="1">
        <v>3993.1</v>
      </c>
      <c r="BW181" s="1">
        <v>3993.1</v>
      </c>
      <c r="BX181">
        <v>0</v>
      </c>
      <c r="BY181">
        <v>0</v>
      </c>
      <c r="BZ181">
        <v>0</v>
      </c>
      <c r="CA181">
        <v>0</v>
      </c>
      <c r="CB181" s="1">
        <v>3058.41</v>
      </c>
      <c r="CC181" t="s">
        <v>161</v>
      </c>
    </row>
    <row r="182" spans="1:81" x14ac:dyDescent="0.25">
      <c r="A182">
        <v>345</v>
      </c>
      <c r="B182">
        <v>2</v>
      </c>
      <c r="C182">
        <v>344</v>
      </c>
      <c r="D182" t="s">
        <v>1151</v>
      </c>
      <c r="E182" t="s">
        <v>121</v>
      </c>
      <c r="F182" t="s">
        <v>1152</v>
      </c>
      <c r="G182" t="s">
        <v>1153</v>
      </c>
      <c r="H182" t="s">
        <v>1154</v>
      </c>
      <c r="I182" t="s">
        <v>498</v>
      </c>
      <c r="J182" t="s">
        <v>126</v>
      </c>
      <c r="K182" t="s">
        <v>336</v>
      </c>
      <c r="L182" t="s">
        <v>128</v>
      </c>
      <c r="M182" t="s">
        <v>337</v>
      </c>
      <c r="N182" t="s">
        <v>1155</v>
      </c>
      <c r="O182" t="s">
        <v>131</v>
      </c>
      <c r="P182">
        <v>0</v>
      </c>
      <c r="Q182" t="s">
        <v>125</v>
      </c>
      <c r="R182">
        <v>6</v>
      </c>
      <c r="S182">
        <v>39</v>
      </c>
      <c r="T182" t="s">
        <v>132</v>
      </c>
      <c r="U182" t="s">
        <v>133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134</v>
      </c>
      <c r="AE182" t="s">
        <v>134</v>
      </c>
      <c r="AF182" s="2">
        <v>45518</v>
      </c>
      <c r="AG182" s="2">
        <v>46010</v>
      </c>
      <c r="AH182">
        <v>311.07</v>
      </c>
      <c r="AI182">
        <v>588.98</v>
      </c>
      <c r="AJ182" s="1">
        <v>1555.38</v>
      </c>
      <c r="AK182">
        <v>0</v>
      </c>
      <c r="AL182">
        <v>0</v>
      </c>
      <c r="AM182">
        <v>0</v>
      </c>
      <c r="AN182" t="s">
        <v>135</v>
      </c>
      <c r="AO182" t="s">
        <v>135</v>
      </c>
      <c r="AP182" t="s">
        <v>136</v>
      </c>
      <c r="AQ182" t="s">
        <v>137</v>
      </c>
      <c r="AR182" t="s">
        <v>138</v>
      </c>
      <c r="AS182" t="s">
        <v>139</v>
      </c>
      <c r="AT182" t="s">
        <v>140</v>
      </c>
      <c r="AU182">
        <v>101</v>
      </c>
      <c r="AV182">
        <v>10</v>
      </c>
      <c r="AW182">
        <v>1</v>
      </c>
      <c r="AX182" s="2">
        <v>45813</v>
      </c>
      <c r="AY182" t="s">
        <v>308</v>
      </c>
      <c r="AZ182" s="2">
        <v>46023</v>
      </c>
      <c r="BA182">
        <v>0</v>
      </c>
      <c r="BB182">
        <v>0</v>
      </c>
      <c r="BC182">
        <v>0</v>
      </c>
      <c r="BD182">
        <v>700</v>
      </c>
      <c r="BE182">
        <v>70</v>
      </c>
      <c r="BF182">
        <v>9</v>
      </c>
      <c r="BG182" s="2">
        <v>45536</v>
      </c>
      <c r="BH182" t="s">
        <v>142</v>
      </c>
      <c r="BI182" s="2">
        <v>46026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212.88</v>
      </c>
      <c r="BQ182">
        <v>212.88</v>
      </c>
      <c r="BR182">
        <v>0</v>
      </c>
      <c r="BS182">
        <v>0</v>
      </c>
      <c r="BT182">
        <v>0</v>
      </c>
      <c r="BU182">
        <v>0</v>
      </c>
      <c r="BV182">
        <v>588.98</v>
      </c>
      <c r="BW182">
        <v>588.98</v>
      </c>
      <c r="BX182">
        <v>0</v>
      </c>
      <c r="BY182">
        <v>0</v>
      </c>
      <c r="BZ182">
        <v>0</v>
      </c>
      <c r="CA182">
        <v>0</v>
      </c>
      <c r="CB182">
        <v>322.13</v>
      </c>
      <c r="CC182" t="s">
        <v>143</v>
      </c>
    </row>
    <row r="183" spans="1:81" x14ac:dyDescent="0.25">
      <c r="A183">
        <v>345</v>
      </c>
      <c r="B183">
        <v>2</v>
      </c>
      <c r="C183">
        <v>345</v>
      </c>
      <c r="D183" t="s">
        <v>1156</v>
      </c>
      <c r="E183" t="s">
        <v>121</v>
      </c>
      <c r="F183" t="s">
        <v>1157</v>
      </c>
      <c r="G183" t="s">
        <v>1158</v>
      </c>
      <c r="H183" t="s">
        <v>1159</v>
      </c>
      <c r="I183" t="s">
        <v>571</v>
      </c>
      <c r="J183" t="s">
        <v>126</v>
      </c>
      <c r="K183" t="s">
        <v>466</v>
      </c>
      <c r="L183" t="s">
        <v>128</v>
      </c>
      <c r="M183" t="s">
        <v>467</v>
      </c>
      <c r="N183" t="s">
        <v>1160</v>
      </c>
      <c r="O183" t="s">
        <v>167</v>
      </c>
      <c r="P183">
        <v>0</v>
      </c>
      <c r="Q183" t="s">
        <v>125</v>
      </c>
      <c r="R183">
        <v>6</v>
      </c>
      <c r="S183">
        <v>34</v>
      </c>
      <c r="T183" t="s">
        <v>132</v>
      </c>
      <c r="U183" t="s">
        <v>133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234</v>
      </c>
      <c r="AE183" t="s">
        <v>134</v>
      </c>
      <c r="AF183" s="2">
        <v>45518</v>
      </c>
      <c r="AG183" s="2">
        <v>46015</v>
      </c>
      <c r="AH183">
        <v>507.72</v>
      </c>
      <c r="AI183">
        <v>726.08</v>
      </c>
      <c r="AJ183" s="1">
        <v>5585.01</v>
      </c>
      <c r="AK183">
        <v>0</v>
      </c>
      <c r="AL183">
        <v>0</v>
      </c>
      <c r="AM183">
        <v>0</v>
      </c>
      <c r="AN183" t="s">
        <v>135</v>
      </c>
      <c r="AO183" t="s">
        <v>135</v>
      </c>
      <c r="AP183" t="s">
        <v>136</v>
      </c>
      <c r="AQ183" t="s">
        <v>137</v>
      </c>
      <c r="AR183" t="s">
        <v>138</v>
      </c>
      <c r="AS183" t="s">
        <v>139</v>
      </c>
      <c r="AT183" t="s">
        <v>140</v>
      </c>
      <c r="AU183">
        <v>105</v>
      </c>
      <c r="AV183">
        <v>10</v>
      </c>
      <c r="AW183">
        <v>1</v>
      </c>
      <c r="AX183" s="2">
        <v>45846</v>
      </c>
      <c r="AY183" t="s">
        <v>377</v>
      </c>
      <c r="AZ183" s="2">
        <v>46028</v>
      </c>
      <c r="BA183">
        <v>0</v>
      </c>
      <c r="BB183">
        <v>0</v>
      </c>
      <c r="BC183">
        <v>0</v>
      </c>
      <c r="BD183">
        <v>700</v>
      </c>
      <c r="BE183">
        <v>70</v>
      </c>
      <c r="BF183">
        <v>9</v>
      </c>
      <c r="BG183" s="2">
        <v>45536</v>
      </c>
      <c r="BH183" t="s">
        <v>142</v>
      </c>
      <c r="BI183" s="2">
        <v>46026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s="1">
        <v>1684.59</v>
      </c>
      <c r="BQ183" s="1">
        <v>1684.59</v>
      </c>
      <c r="BR183">
        <v>0</v>
      </c>
      <c r="BS183">
        <v>0</v>
      </c>
      <c r="BT183">
        <v>0</v>
      </c>
      <c r="BU183">
        <v>0</v>
      </c>
      <c r="BV183" s="1">
        <v>2012.34</v>
      </c>
      <c r="BW183" s="1">
        <v>2012.34</v>
      </c>
      <c r="BX183">
        <v>0</v>
      </c>
      <c r="BY183">
        <v>0</v>
      </c>
      <c r="BZ183">
        <v>0</v>
      </c>
      <c r="CA183">
        <v>0</v>
      </c>
      <c r="CB183" s="1">
        <v>1878.19</v>
      </c>
      <c r="CC183" t="s">
        <v>161</v>
      </c>
    </row>
    <row r="184" spans="1:81" x14ac:dyDescent="0.25">
      <c r="A184">
        <v>345</v>
      </c>
      <c r="B184">
        <v>2</v>
      </c>
      <c r="C184">
        <v>346</v>
      </c>
      <c r="D184" t="s">
        <v>1161</v>
      </c>
      <c r="E184" t="s">
        <v>121</v>
      </c>
      <c r="F184" t="s">
        <v>1162</v>
      </c>
      <c r="G184" t="s">
        <v>1163</v>
      </c>
      <c r="H184" t="s">
        <v>1164</v>
      </c>
      <c r="I184" t="s">
        <v>125</v>
      </c>
      <c r="J184" t="s">
        <v>126</v>
      </c>
      <c r="K184" t="s">
        <v>473</v>
      </c>
      <c r="L184" t="s">
        <v>128</v>
      </c>
      <c r="M184" t="s">
        <v>474</v>
      </c>
      <c r="N184" t="s">
        <v>1165</v>
      </c>
      <c r="O184" t="s">
        <v>167</v>
      </c>
      <c r="P184">
        <v>0</v>
      </c>
      <c r="Q184" t="s">
        <v>125</v>
      </c>
      <c r="R184">
        <v>6</v>
      </c>
      <c r="S184">
        <v>37</v>
      </c>
      <c r="T184" t="s">
        <v>132</v>
      </c>
      <c r="U184" t="s">
        <v>133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134</v>
      </c>
      <c r="AE184" t="s">
        <v>134</v>
      </c>
      <c r="AF184" s="2">
        <v>45518</v>
      </c>
      <c r="AG184" s="2">
        <v>46017</v>
      </c>
      <c r="AH184" s="1">
        <v>1020.24</v>
      </c>
      <c r="AI184" s="1">
        <v>1478.42</v>
      </c>
      <c r="AJ184" s="1">
        <v>14283.37</v>
      </c>
      <c r="AK184">
        <v>0</v>
      </c>
      <c r="AL184" s="1">
        <v>1472.74</v>
      </c>
      <c r="AM184">
        <v>0</v>
      </c>
      <c r="AN184" t="s">
        <v>135</v>
      </c>
      <c r="AO184" t="s">
        <v>135</v>
      </c>
      <c r="AP184" t="s">
        <v>136</v>
      </c>
      <c r="AQ184" t="s">
        <v>137</v>
      </c>
      <c r="AR184" t="s">
        <v>138</v>
      </c>
      <c r="AS184" t="s">
        <v>139</v>
      </c>
      <c r="AT184" t="s">
        <v>140</v>
      </c>
      <c r="AU184">
        <v>105</v>
      </c>
      <c r="AV184">
        <v>10</v>
      </c>
      <c r="AW184">
        <v>1</v>
      </c>
      <c r="AX184" s="2">
        <v>45839</v>
      </c>
      <c r="AY184" t="s">
        <v>377</v>
      </c>
      <c r="AZ184" s="2">
        <v>46028</v>
      </c>
      <c r="BA184">
        <v>0</v>
      </c>
      <c r="BB184">
        <v>0</v>
      </c>
      <c r="BC184">
        <v>0</v>
      </c>
      <c r="BD184">
        <v>700</v>
      </c>
      <c r="BE184">
        <v>70</v>
      </c>
      <c r="BF184">
        <v>9</v>
      </c>
      <c r="BG184" s="2">
        <v>45536</v>
      </c>
      <c r="BH184" t="s">
        <v>142</v>
      </c>
      <c r="BI184" s="2">
        <v>46026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s="1">
        <v>4333.24</v>
      </c>
      <c r="BQ184" s="1">
        <v>4333.24</v>
      </c>
      <c r="BR184">
        <v>0</v>
      </c>
      <c r="BS184">
        <v>0</v>
      </c>
      <c r="BT184">
        <v>0</v>
      </c>
      <c r="BU184">
        <v>0</v>
      </c>
      <c r="BV184" s="1">
        <v>5177.26</v>
      </c>
      <c r="BW184" s="1">
        <v>5177.26</v>
      </c>
      <c r="BX184">
        <v>0</v>
      </c>
      <c r="BY184">
        <v>0</v>
      </c>
      <c r="BZ184">
        <v>0</v>
      </c>
      <c r="CA184">
        <v>0</v>
      </c>
      <c r="CB184" s="1">
        <v>4392.04</v>
      </c>
      <c r="CC184" t="s">
        <v>161</v>
      </c>
    </row>
    <row r="185" spans="1:81" x14ac:dyDescent="0.25">
      <c r="A185">
        <v>345</v>
      </c>
      <c r="B185">
        <v>2</v>
      </c>
      <c r="C185">
        <v>349</v>
      </c>
      <c r="D185" t="s">
        <v>1166</v>
      </c>
      <c r="E185" t="s">
        <v>121</v>
      </c>
      <c r="F185" t="s">
        <v>1167</v>
      </c>
      <c r="G185" t="s">
        <v>1168</v>
      </c>
      <c r="H185" t="s">
        <v>1169</v>
      </c>
      <c r="I185" t="s">
        <v>125</v>
      </c>
      <c r="J185" t="s">
        <v>527</v>
      </c>
      <c r="K185" t="s">
        <v>473</v>
      </c>
      <c r="L185" t="s">
        <v>128</v>
      </c>
      <c r="M185" t="s">
        <v>474</v>
      </c>
      <c r="N185" t="s">
        <v>1170</v>
      </c>
      <c r="O185" t="s">
        <v>167</v>
      </c>
      <c r="P185">
        <v>0</v>
      </c>
      <c r="Q185" t="s">
        <v>125</v>
      </c>
      <c r="R185">
        <v>6</v>
      </c>
      <c r="S185">
        <v>38</v>
      </c>
      <c r="T185" t="s">
        <v>132</v>
      </c>
      <c r="U185" t="s">
        <v>133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134</v>
      </c>
      <c r="AE185" t="s">
        <v>134</v>
      </c>
      <c r="AF185" s="2">
        <v>45518</v>
      </c>
      <c r="AG185" s="2">
        <v>46002</v>
      </c>
      <c r="AH185">
        <v>154.69</v>
      </c>
      <c r="AI185">
        <v>250.1</v>
      </c>
      <c r="AJ185" s="1">
        <v>1082.8800000000001</v>
      </c>
      <c r="AK185">
        <v>0</v>
      </c>
      <c r="AL185">
        <v>0</v>
      </c>
      <c r="AM185">
        <v>0</v>
      </c>
      <c r="AN185" t="s">
        <v>135</v>
      </c>
      <c r="AO185" t="s">
        <v>135</v>
      </c>
      <c r="AP185" t="s">
        <v>136</v>
      </c>
      <c r="AQ185" t="s">
        <v>137</v>
      </c>
      <c r="AR185" t="s">
        <v>138</v>
      </c>
      <c r="AS185" t="s">
        <v>139</v>
      </c>
      <c r="AT185" t="s">
        <v>140</v>
      </c>
      <c r="AU185">
        <v>105</v>
      </c>
      <c r="AV185">
        <v>10</v>
      </c>
      <c r="AW185">
        <v>1</v>
      </c>
      <c r="AX185" s="2">
        <v>45812</v>
      </c>
      <c r="AY185" t="s">
        <v>168</v>
      </c>
      <c r="AZ185" s="2">
        <v>46022</v>
      </c>
      <c r="BA185">
        <v>0</v>
      </c>
      <c r="BB185">
        <v>0</v>
      </c>
      <c r="BC185">
        <v>0</v>
      </c>
      <c r="BD185">
        <v>700</v>
      </c>
      <c r="BE185">
        <v>70</v>
      </c>
      <c r="BF185">
        <v>9</v>
      </c>
      <c r="BG185" s="2">
        <v>45536</v>
      </c>
      <c r="BH185" t="s">
        <v>142</v>
      </c>
      <c r="BI185" s="2">
        <v>46026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235.74</v>
      </c>
      <c r="BQ185">
        <v>235.74</v>
      </c>
      <c r="BR185">
        <v>0</v>
      </c>
      <c r="BS185">
        <v>0</v>
      </c>
      <c r="BT185">
        <v>0</v>
      </c>
      <c r="BU185">
        <v>0</v>
      </c>
      <c r="BV185">
        <v>443.02</v>
      </c>
      <c r="BW185">
        <v>443.02</v>
      </c>
      <c r="BX185">
        <v>0</v>
      </c>
      <c r="BY185">
        <v>0</v>
      </c>
      <c r="BZ185">
        <v>0</v>
      </c>
      <c r="CA185">
        <v>0</v>
      </c>
      <c r="CB185">
        <v>344.25</v>
      </c>
      <c r="CC185" t="s">
        <v>161</v>
      </c>
    </row>
    <row r="186" spans="1:81" x14ac:dyDescent="0.25">
      <c r="A186">
        <v>345</v>
      </c>
      <c r="B186">
        <v>2</v>
      </c>
      <c r="C186">
        <v>350</v>
      </c>
      <c r="D186" t="s">
        <v>1171</v>
      </c>
      <c r="E186" t="s">
        <v>121</v>
      </c>
      <c r="F186" t="s">
        <v>1172</v>
      </c>
      <c r="G186" t="s">
        <v>1173</v>
      </c>
      <c r="H186" t="s">
        <v>1174</v>
      </c>
      <c r="I186" t="s">
        <v>125</v>
      </c>
      <c r="J186" t="s">
        <v>126</v>
      </c>
      <c r="K186" t="s">
        <v>473</v>
      </c>
      <c r="L186" t="s">
        <v>128</v>
      </c>
      <c r="M186" t="s">
        <v>474</v>
      </c>
      <c r="N186" t="s">
        <v>1175</v>
      </c>
      <c r="O186" t="s">
        <v>131</v>
      </c>
      <c r="P186">
        <v>0</v>
      </c>
      <c r="Q186" t="s">
        <v>125</v>
      </c>
      <c r="R186">
        <v>6</v>
      </c>
      <c r="S186">
        <v>41</v>
      </c>
      <c r="T186" t="s">
        <v>132</v>
      </c>
      <c r="U186" t="s">
        <v>133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134</v>
      </c>
      <c r="AE186" t="s">
        <v>134</v>
      </c>
      <c r="AF186" s="2">
        <v>45518</v>
      </c>
      <c r="AG186" s="2">
        <v>46017</v>
      </c>
      <c r="AH186">
        <v>375.76</v>
      </c>
      <c r="AI186">
        <v>533</v>
      </c>
      <c r="AJ186" s="1">
        <v>5260.72</v>
      </c>
      <c r="AK186">
        <v>0</v>
      </c>
      <c r="AL186">
        <v>412.12</v>
      </c>
      <c r="AM186">
        <v>0</v>
      </c>
      <c r="AN186" t="s">
        <v>135</v>
      </c>
      <c r="AO186" t="s">
        <v>135</v>
      </c>
      <c r="AP186" t="s">
        <v>136</v>
      </c>
      <c r="AQ186" t="s">
        <v>137</v>
      </c>
      <c r="AR186" t="s">
        <v>138</v>
      </c>
      <c r="AS186" t="s">
        <v>139</v>
      </c>
      <c r="AT186" t="s">
        <v>140</v>
      </c>
      <c r="AU186">
        <v>105</v>
      </c>
      <c r="AV186">
        <v>10</v>
      </c>
      <c r="AW186">
        <v>1</v>
      </c>
      <c r="AX186" s="2">
        <v>45811</v>
      </c>
      <c r="AY186" t="s">
        <v>377</v>
      </c>
      <c r="AZ186" s="2">
        <v>46028</v>
      </c>
      <c r="BA186">
        <v>0</v>
      </c>
      <c r="BB186">
        <v>0</v>
      </c>
      <c r="BC186">
        <v>0</v>
      </c>
      <c r="BD186">
        <v>700</v>
      </c>
      <c r="BE186">
        <v>70</v>
      </c>
      <c r="BF186">
        <v>9</v>
      </c>
      <c r="BG186" s="2">
        <v>45536</v>
      </c>
      <c r="BH186" t="s">
        <v>142</v>
      </c>
      <c r="BI186" s="2">
        <v>46026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s="1">
        <v>1660.59</v>
      </c>
      <c r="BQ186" s="1">
        <v>1660.59</v>
      </c>
      <c r="BR186">
        <v>0</v>
      </c>
      <c r="BS186">
        <v>0</v>
      </c>
      <c r="BT186">
        <v>0</v>
      </c>
      <c r="BU186">
        <v>0</v>
      </c>
      <c r="BV186" s="1">
        <v>2170.58</v>
      </c>
      <c r="BW186" s="1">
        <v>2170.58</v>
      </c>
      <c r="BX186">
        <v>0</v>
      </c>
      <c r="BY186">
        <v>0</v>
      </c>
      <c r="BZ186">
        <v>0</v>
      </c>
      <c r="CA186">
        <v>0</v>
      </c>
      <c r="CB186" s="1">
        <v>1374.64</v>
      </c>
      <c r="CC186" t="s">
        <v>143</v>
      </c>
    </row>
    <row r="187" spans="1:81" x14ac:dyDescent="0.25">
      <c r="A187">
        <v>345</v>
      </c>
      <c r="B187">
        <v>2</v>
      </c>
      <c r="C187">
        <v>351</v>
      </c>
      <c r="D187" t="s">
        <v>1176</v>
      </c>
      <c r="E187" t="s">
        <v>121</v>
      </c>
      <c r="F187" t="s">
        <v>1177</v>
      </c>
      <c r="G187" t="s">
        <v>1178</v>
      </c>
      <c r="H187" t="s">
        <v>1179</v>
      </c>
      <c r="I187" t="s">
        <v>125</v>
      </c>
      <c r="J187" t="s">
        <v>1180</v>
      </c>
      <c r="K187" t="s">
        <v>466</v>
      </c>
      <c r="L187" t="s">
        <v>128</v>
      </c>
      <c r="M187" t="s">
        <v>467</v>
      </c>
      <c r="N187" t="s">
        <v>1181</v>
      </c>
      <c r="O187" t="s">
        <v>167</v>
      </c>
      <c r="P187">
        <v>0</v>
      </c>
      <c r="Q187" t="s">
        <v>125</v>
      </c>
      <c r="R187">
        <v>6</v>
      </c>
      <c r="S187">
        <v>36</v>
      </c>
      <c r="T187" t="s">
        <v>132</v>
      </c>
      <c r="U187" t="s">
        <v>133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134</v>
      </c>
      <c r="AE187" t="s">
        <v>134</v>
      </c>
      <c r="AF187" s="2">
        <v>45518</v>
      </c>
      <c r="AG187" s="2">
        <v>45989</v>
      </c>
      <c r="AH187">
        <v>211.8</v>
      </c>
      <c r="AI187">
        <v>379.8</v>
      </c>
      <c r="AJ187" s="1">
        <v>1482.62</v>
      </c>
      <c r="AK187">
        <v>0</v>
      </c>
      <c r="AL187">
        <v>0</v>
      </c>
      <c r="AM187">
        <v>0</v>
      </c>
      <c r="AN187" t="s">
        <v>135</v>
      </c>
      <c r="AO187" t="s">
        <v>135</v>
      </c>
      <c r="AP187" t="s">
        <v>136</v>
      </c>
      <c r="AQ187" t="s">
        <v>137</v>
      </c>
      <c r="AR187" t="s">
        <v>138</v>
      </c>
      <c r="AS187" t="s">
        <v>139</v>
      </c>
      <c r="AT187" t="s">
        <v>140</v>
      </c>
      <c r="AU187">
        <v>105</v>
      </c>
      <c r="AV187">
        <v>10</v>
      </c>
      <c r="AW187">
        <v>1</v>
      </c>
      <c r="AX187" s="2">
        <v>45827</v>
      </c>
      <c r="AY187" t="s">
        <v>308</v>
      </c>
      <c r="AZ187" s="2">
        <v>46023</v>
      </c>
      <c r="BA187">
        <v>0</v>
      </c>
      <c r="BB187">
        <v>0</v>
      </c>
      <c r="BC187">
        <v>0</v>
      </c>
      <c r="BD187">
        <v>700</v>
      </c>
      <c r="BE187">
        <v>70</v>
      </c>
      <c r="BF187">
        <v>9</v>
      </c>
      <c r="BG187" s="2">
        <v>45536</v>
      </c>
      <c r="BH187" t="s">
        <v>142</v>
      </c>
      <c r="BI187" s="2">
        <v>46026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699.01</v>
      </c>
      <c r="BQ187">
        <v>699.01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494.2</v>
      </c>
      <c r="CC187" t="s">
        <v>161</v>
      </c>
    </row>
    <row r="188" spans="1:81" x14ac:dyDescent="0.25">
      <c r="A188">
        <v>345</v>
      </c>
      <c r="B188">
        <v>2</v>
      </c>
      <c r="C188">
        <v>352</v>
      </c>
      <c r="D188" t="s">
        <v>1182</v>
      </c>
      <c r="E188" t="s">
        <v>121</v>
      </c>
      <c r="F188" t="s">
        <v>1183</v>
      </c>
      <c r="G188" t="s">
        <v>1184</v>
      </c>
      <c r="H188" t="s">
        <v>1185</v>
      </c>
      <c r="I188" t="s">
        <v>125</v>
      </c>
      <c r="J188" t="s">
        <v>335</v>
      </c>
      <c r="K188" t="s">
        <v>336</v>
      </c>
      <c r="L188" t="s">
        <v>128</v>
      </c>
      <c r="M188" t="s">
        <v>337</v>
      </c>
      <c r="N188" t="s">
        <v>1186</v>
      </c>
      <c r="O188" t="s">
        <v>167</v>
      </c>
      <c r="P188">
        <v>0</v>
      </c>
      <c r="Q188" t="s">
        <v>125</v>
      </c>
      <c r="R188">
        <v>6</v>
      </c>
      <c r="S188">
        <v>35</v>
      </c>
      <c r="T188" t="s">
        <v>132</v>
      </c>
      <c r="U188" t="s">
        <v>133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134</v>
      </c>
      <c r="AE188" t="s">
        <v>134</v>
      </c>
      <c r="AF188" s="2">
        <v>45518</v>
      </c>
      <c r="AG188" s="2">
        <v>46020</v>
      </c>
      <c r="AH188">
        <v>362.85</v>
      </c>
      <c r="AI188">
        <v>698.98</v>
      </c>
      <c r="AJ188" s="1">
        <v>2177.14</v>
      </c>
      <c r="AK188">
        <v>0</v>
      </c>
      <c r="AL188">
        <v>0</v>
      </c>
      <c r="AM188">
        <v>0</v>
      </c>
      <c r="AN188" t="s">
        <v>135</v>
      </c>
      <c r="AO188" t="s">
        <v>135</v>
      </c>
      <c r="AP188" t="s">
        <v>136</v>
      </c>
      <c r="AQ188" t="s">
        <v>137</v>
      </c>
      <c r="AR188" t="s">
        <v>138</v>
      </c>
      <c r="AS188" t="s">
        <v>139</v>
      </c>
      <c r="AT188" t="s">
        <v>140</v>
      </c>
      <c r="AU188">
        <v>101</v>
      </c>
      <c r="AV188">
        <v>10</v>
      </c>
      <c r="AW188">
        <v>1</v>
      </c>
      <c r="AX188" s="2">
        <v>45534</v>
      </c>
      <c r="AY188" t="s">
        <v>151</v>
      </c>
      <c r="AZ188" s="2">
        <v>46024</v>
      </c>
      <c r="BA188">
        <v>0</v>
      </c>
      <c r="BB188">
        <v>0</v>
      </c>
      <c r="BC188">
        <v>0</v>
      </c>
      <c r="BD188">
        <v>700</v>
      </c>
      <c r="BE188">
        <v>70</v>
      </c>
      <c r="BF188">
        <v>9</v>
      </c>
      <c r="BG188" s="2">
        <v>45536</v>
      </c>
      <c r="BH188" t="s">
        <v>142</v>
      </c>
      <c r="BI188" s="2">
        <v>46026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268.88</v>
      </c>
      <c r="BQ188">
        <v>268.88</v>
      </c>
      <c r="BR188">
        <v>0</v>
      </c>
      <c r="BS188">
        <v>0</v>
      </c>
      <c r="BT188">
        <v>0</v>
      </c>
      <c r="BU188">
        <v>0</v>
      </c>
      <c r="BV188" s="1">
        <v>1469.07</v>
      </c>
      <c r="BW188" s="1">
        <v>1469.07</v>
      </c>
      <c r="BX188">
        <v>0</v>
      </c>
      <c r="BY188">
        <v>0</v>
      </c>
      <c r="BZ188">
        <v>0</v>
      </c>
      <c r="CA188">
        <v>0</v>
      </c>
      <c r="CB188">
        <v>447.57</v>
      </c>
      <c r="CC188" t="s">
        <v>161</v>
      </c>
    </row>
    <row r="189" spans="1:81" x14ac:dyDescent="0.25">
      <c r="A189">
        <v>345</v>
      </c>
      <c r="B189">
        <v>2</v>
      </c>
      <c r="C189">
        <v>354</v>
      </c>
      <c r="D189" t="s">
        <v>1187</v>
      </c>
      <c r="E189" t="s">
        <v>121</v>
      </c>
      <c r="F189" t="s">
        <v>1188</v>
      </c>
      <c r="G189" t="s">
        <v>1189</v>
      </c>
      <c r="H189" t="s">
        <v>1190</v>
      </c>
      <c r="I189" t="s">
        <v>125</v>
      </c>
      <c r="J189" t="s">
        <v>499</v>
      </c>
      <c r="K189" t="s">
        <v>336</v>
      </c>
      <c r="L189" t="s">
        <v>128</v>
      </c>
      <c r="M189" t="s">
        <v>337</v>
      </c>
      <c r="N189" t="s">
        <v>1191</v>
      </c>
      <c r="O189" t="s">
        <v>131</v>
      </c>
      <c r="P189">
        <v>0</v>
      </c>
      <c r="Q189" t="s">
        <v>125</v>
      </c>
      <c r="R189">
        <v>6</v>
      </c>
      <c r="S189">
        <v>41</v>
      </c>
      <c r="T189" t="s">
        <v>132</v>
      </c>
      <c r="U189" t="s">
        <v>133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234</v>
      </c>
      <c r="AE189" t="s">
        <v>134</v>
      </c>
      <c r="AF189" s="2">
        <v>45518</v>
      </c>
      <c r="AG189" s="2">
        <v>46020</v>
      </c>
      <c r="AH189" s="1">
        <v>2560.9899999999998</v>
      </c>
      <c r="AI189" s="1">
        <v>4031</v>
      </c>
      <c r="AJ189" s="1">
        <v>28170.92</v>
      </c>
      <c r="AK189">
        <v>0</v>
      </c>
      <c r="AL189">
        <v>0</v>
      </c>
      <c r="AM189">
        <v>0</v>
      </c>
      <c r="AN189" t="s">
        <v>135</v>
      </c>
      <c r="AO189" t="s">
        <v>135</v>
      </c>
      <c r="AP189" t="s">
        <v>136</v>
      </c>
      <c r="AQ189" t="s">
        <v>137</v>
      </c>
      <c r="AR189" t="s">
        <v>138</v>
      </c>
      <c r="AS189" t="s">
        <v>139</v>
      </c>
      <c r="AT189" t="s">
        <v>140</v>
      </c>
      <c r="AU189">
        <v>101</v>
      </c>
      <c r="AV189">
        <v>10</v>
      </c>
      <c r="AW189">
        <v>1</v>
      </c>
      <c r="AX189" s="2">
        <v>45833</v>
      </c>
      <c r="AY189" t="s">
        <v>168</v>
      </c>
      <c r="AZ189" s="2">
        <v>46022</v>
      </c>
      <c r="BA189">
        <v>0</v>
      </c>
      <c r="BB189">
        <v>0</v>
      </c>
      <c r="BC189">
        <v>0</v>
      </c>
      <c r="BD189">
        <v>700</v>
      </c>
      <c r="BE189">
        <v>70</v>
      </c>
      <c r="BF189">
        <v>9</v>
      </c>
      <c r="BG189" s="2">
        <v>45536</v>
      </c>
      <c r="BH189" t="s">
        <v>142</v>
      </c>
      <c r="BI189" s="2">
        <v>46026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s="1">
        <v>9309.69</v>
      </c>
      <c r="BQ189" s="1">
        <v>9309.69</v>
      </c>
      <c r="BR189">
        <v>0</v>
      </c>
      <c r="BS189">
        <v>0</v>
      </c>
      <c r="BT189">
        <v>0</v>
      </c>
      <c r="BU189">
        <v>0</v>
      </c>
      <c r="BV189" s="1">
        <v>9250.59</v>
      </c>
      <c r="BW189" s="1">
        <v>9250.59</v>
      </c>
      <c r="BX189">
        <v>0</v>
      </c>
      <c r="BY189">
        <v>0</v>
      </c>
      <c r="BZ189">
        <v>0</v>
      </c>
      <c r="CA189">
        <v>0</v>
      </c>
      <c r="CB189" s="1">
        <v>8924.74</v>
      </c>
      <c r="CC189" t="s">
        <v>161</v>
      </c>
    </row>
    <row r="190" spans="1:81" x14ac:dyDescent="0.25">
      <c r="A190">
        <v>345</v>
      </c>
      <c r="B190">
        <v>2</v>
      </c>
      <c r="C190">
        <v>355</v>
      </c>
      <c r="D190" t="s">
        <v>1192</v>
      </c>
      <c r="E190" t="s">
        <v>121</v>
      </c>
      <c r="F190" t="s">
        <v>1193</v>
      </c>
      <c r="G190" t="s">
        <v>1194</v>
      </c>
      <c r="H190" t="s">
        <v>1195</v>
      </c>
      <c r="I190" t="s">
        <v>125</v>
      </c>
      <c r="J190" t="s">
        <v>126</v>
      </c>
      <c r="K190" t="s">
        <v>336</v>
      </c>
      <c r="L190" t="s">
        <v>128</v>
      </c>
      <c r="M190" t="s">
        <v>337</v>
      </c>
      <c r="N190" t="s">
        <v>1196</v>
      </c>
      <c r="O190" t="s">
        <v>167</v>
      </c>
      <c r="P190">
        <v>0</v>
      </c>
      <c r="Q190" t="s">
        <v>125</v>
      </c>
      <c r="R190">
        <v>6</v>
      </c>
      <c r="S190">
        <v>37</v>
      </c>
      <c r="T190" t="s">
        <v>132</v>
      </c>
      <c r="U190" t="s">
        <v>133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134</v>
      </c>
      <c r="AE190" t="s">
        <v>134</v>
      </c>
      <c r="AF190" s="2">
        <v>45518</v>
      </c>
      <c r="AG190" s="2">
        <v>46010</v>
      </c>
      <c r="AH190">
        <v>565.12</v>
      </c>
      <c r="AI190">
        <v>824.08</v>
      </c>
      <c r="AJ190" s="1">
        <v>7346.58</v>
      </c>
      <c r="AK190">
        <v>0</v>
      </c>
      <c r="AL190">
        <v>824.08</v>
      </c>
      <c r="AM190">
        <v>0</v>
      </c>
      <c r="AN190" t="s">
        <v>135</v>
      </c>
      <c r="AO190" t="s">
        <v>135</v>
      </c>
      <c r="AP190" t="s">
        <v>136</v>
      </c>
      <c r="AQ190" t="s">
        <v>137</v>
      </c>
      <c r="AR190" t="s">
        <v>138</v>
      </c>
      <c r="AS190" t="s">
        <v>139</v>
      </c>
      <c r="AT190" t="s">
        <v>140</v>
      </c>
      <c r="AU190">
        <v>101</v>
      </c>
      <c r="AV190">
        <v>10</v>
      </c>
      <c r="AW190">
        <v>1</v>
      </c>
      <c r="AX190" s="2">
        <v>45841</v>
      </c>
      <c r="AY190" t="s">
        <v>308</v>
      </c>
      <c r="AZ190" s="2">
        <v>46023</v>
      </c>
      <c r="BA190">
        <v>0</v>
      </c>
      <c r="BB190">
        <v>0</v>
      </c>
      <c r="BC190">
        <v>0</v>
      </c>
      <c r="BD190">
        <v>700</v>
      </c>
      <c r="BE190">
        <v>70</v>
      </c>
      <c r="BF190">
        <v>9</v>
      </c>
      <c r="BG190" s="2">
        <v>45536</v>
      </c>
      <c r="BH190" t="s">
        <v>142</v>
      </c>
      <c r="BI190" s="2">
        <v>46026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s="1">
        <v>2295.9499999999998</v>
      </c>
      <c r="BQ190" s="1">
        <v>2295.9499999999998</v>
      </c>
      <c r="BR190">
        <v>0</v>
      </c>
      <c r="BS190">
        <v>0</v>
      </c>
      <c r="BT190">
        <v>0</v>
      </c>
      <c r="BU190">
        <v>0</v>
      </c>
      <c r="BV190" s="1">
        <v>2698.86</v>
      </c>
      <c r="BW190" s="1">
        <v>2698.86</v>
      </c>
      <c r="BX190">
        <v>0</v>
      </c>
      <c r="BY190">
        <v>0</v>
      </c>
      <c r="BZ190">
        <v>0</v>
      </c>
      <c r="CA190">
        <v>0</v>
      </c>
      <c r="CB190" s="1">
        <v>2227.44</v>
      </c>
      <c r="CC190" t="s">
        <v>161</v>
      </c>
    </row>
    <row r="191" spans="1:81" x14ac:dyDescent="0.25">
      <c r="A191">
        <v>345</v>
      </c>
      <c r="B191">
        <v>2</v>
      </c>
      <c r="C191">
        <v>357</v>
      </c>
      <c r="D191" t="s">
        <v>1197</v>
      </c>
      <c r="E191" t="s">
        <v>121</v>
      </c>
      <c r="F191" t="s">
        <v>1198</v>
      </c>
      <c r="G191" t="s">
        <v>1199</v>
      </c>
      <c r="H191" t="s">
        <v>1200</v>
      </c>
      <c r="I191" t="s">
        <v>125</v>
      </c>
      <c r="J191" t="s">
        <v>1201</v>
      </c>
      <c r="K191" t="s">
        <v>466</v>
      </c>
      <c r="L191" t="s">
        <v>128</v>
      </c>
      <c r="M191" t="s">
        <v>467</v>
      </c>
      <c r="N191" t="s">
        <v>1202</v>
      </c>
      <c r="O191" t="s">
        <v>167</v>
      </c>
      <c r="P191">
        <v>0</v>
      </c>
      <c r="Q191" t="s">
        <v>125</v>
      </c>
      <c r="R191">
        <v>6</v>
      </c>
      <c r="S191">
        <v>36</v>
      </c>
      <c r="T191" t="s">
        <v>132</v>
      </c>
      <c r="U191" t="s">
        <v>133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134</v>
      </c>
      <c r="AE191" t="s">
        <v>134</v>
      </c>
      <c r="AF191" s="2">
        <v>45518</v>
      </c>
      <c r="AG191" s="2">
        <v>46008</v>
      </c>
      <c r="AH191">
        <v>609.89</v>
      </c>
      <c r="AI191">
        <v>872.1</v>
      </c>
      <c r="AJ191" s="1">
        <v>4879.12</v>
      </c>
      <c r="AK191">
        <v>0</v>
      </c>
      <c r="AL191">
        <v>724.24</v>
      </c>
      <c r="AM191">
        <v>0</v>
      </c>
      <c r="AN191" t="s">
        <v>135</v>
      </c>
      <c r="AO191" t="s">
        <v>135</v>
      </c>
      <c r="AP191" t="s">
        <v>136</v>
      </c>
      <c r="AQ191" t="s">
        <v>137</v>
      </c>
      <c r="AR191" t="s">
        <v>138</v>
      </c>
      <c r="AS191" t="s">
        <v>139</v>
      </c>
      <c r="AT191" t="s">
        <v>140</v>
      </c>
      <c r="AU191">
        <v>103</v>
      </c>
      <c r="AV191">
        <v>10</v>
      </c>
      <c r="AW191">
        <v>1</v>
      </c>
      <c r="AX191" s="2">
        <v>45825</v>
      </c>
      <c r="AY191" t="s">
        <v>377</v>
      </c>
      <c r="AZ191" s="2">
        <v>46028</v>
      </c>
      <c r="BA191">
        <v>0</v>
      </c>
      <c r="BB191">
        <v>0</v>
      </c>
      <c r="BC191">
        <v>0</v>
      </c>
      <c r="BD191">
        <v>700</v>
      </c>
      <c r="BE191">
        <v>70</v>
      </c>
      <c r="BF191">
        <v>9</v>
      </c>
      <c r="BG191" s="2">
        <v>45536</v>
      </c>
      <c r="BH191" t="s">
        <v>142</v>
      </c>
      <c r="BI191" s="2">
        <v>46026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462.32</v>
      </c>
      <c r="BQ191">
        <v>462.32</v>
      </c>
      <c r="BR191">
        <v>0</v>
      </c>
      <c r="BS191">
        <v>0</v>
      </c>
      <c r="BT191">
        <v>0</v>
      </c>
      <c r="BU191">
        <v>0</v>
      </c>
      <c r="BV191" s="1">
        <v>2319.4299999999998</v>
      </c>
      <c r="BW191" s="1">
        <v>2319.4299999999998</v>
      </c>
      <c r="BX191">
        <v>0</v>
      </c>
      <c r="BY191">
        <v>0</v>
      </c>
      <c r="BZ191">
        <v>0</v>
      </c>
      <c r="CA191">
        <v>0</v>
      </c>
      <c r="CB191" s="1">
        <v>1246.05</v>
      </c>
      <c r="CC191" t="s">
        <v>161</v>
      </c>
    </row>
    <row r="192" spans="1:81" x14ac:dyDescent="0.25">
      <c r="A192">
        <v>345</v>
      </c>
      <c r="B192">
        <v>2</v>
      </c>
      <c r="C192">
        <v>358</v>
      </c>
      <c r="D192" t="s">
        <v>1203</v>
      </c>
      <c r="E192" t="s">
        <v>121</v>
      </c>
      <c r="F192" t="s">
        <v>1204</v>
      </c>
      <c r="G192" t="s">
        <v>1205</v>
      </c>
      <c r="H192" t="s">
        <v>1206</v>
      </c>
      <c r="I192" t="s">
        <v>125</v>
      </c>
      <c r="J192" t="s">
        <v>126</v>
      </c>
      <c r="K192" t="s">
        <v>473</v>
      </c>
      <c r="L192" t="s">
        <v>128</v>
      </c>
      <c r="M192" t="s">
        <v>474</v>
      </c>
      <c r="N192" t="s">
        <v>1207</v>
      </c>
      <c r="O192" t="s">
        <v>131</v>
      </c>
      <c r="P192">
        <v>0</v>
      </c>
      <c r="Q192" t="s">
        <v>125</v>
      </c>
      <c r="R192">
        <v>6</v>
      </c>
      <c r="S192">
        <v>43</v>
      </c>
      <c r="T192" t="s">
        <v>132</v>
      </c>
      <c r="U192" t="s">
        <v>133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134</v>
      </c>
      <c r="AE192" t="s">
        <v>134</v>
      </c>
      <c r="AF192" s="2">
        <v>45518</v>
      </c>
      <c r="AG192" s="2">
        <v>46002</v>
      </c>
      <c r="AH192">
        <v>176.69</v>
      </c>
      <c r="AI192">
        <v>304.8</v>
      </c>
      <c r="AJ192">
        <v>706.79</v>
      </c>
      <c r="AK192">
        <v>0</v>
      </c>
      <c r="AL192">
        <v>0</v>
      </c>
      <c r="AM192">
        <v>0</v>
      </c>
      <c r="AN192" t="s">
        <v>135</v>
      </c>
      <c r="AO192" t="s">
        <v>135</v>
      </c>
      <c r="AP192" t="s">
        <v>136</v>
      </c>
      <c r="AQ192" t="s">
        <v>137</v>
      </c>
      <c r="AR192" t="s">
        <v>138</v>
      </c>
      <c r="AS192" t="s">
        <v>150</v>
      </c>
      <c r="AT192" t="s">
        <v>140</v>
      </c>
      <c r="AU192">
        <v>105</v>
      </c>
      <c r="AV192">
        <v>10</v>
      </c>
      <c r="AW192">
        <v>1</v>
      </c>
      <c r="AX192" s="2">
        <v>45532</v>
      </c>
      <c r="AY192" t="s">
        <v>168</v>
      </c>
      <c r="AZ192" s="2">
        <v>46022</v>
      </c>
      <c r="BA192">
        <v>0</v>
      </c>
      <c r="BB192">
        <v>0</v>
      </c>
      <c r="BC192">
        <v>0</v>
      </c>
      <c r="BD192">
        <v>700</v>
      </c>
      <c r="BE192">
        <v>70</v>
      </c>
      <c r="BF192">
        <v>9</v>
      </c>
      <c r="BG192" s="2">
        <v>45536</v>
      </c>
      <c r="BH192" t="s">
        <v>142</v>
      </c>
      <c r="BI192" s="2">
        <v>46026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51</v>
      </c>
      <c r="BQ192">
        <v>51</v>
      </c>
      <c r="BR192">
        <v>0</v>
      </c>
      <c r="BS192">
        <v>0</v>
      </c>
      <c r="BT192">
        <v>0</v>
      </c>
      <c r="BU192">
        <v>0</v>
      </c>
      <c r="BV192">
        <v>304.8</v>
      </c>
      <c r="BW192">
        <v>304.8</v>
      </c>
      <c r="BX192">
        <v>0</v>
      </c>
      <c r="BY192">
        <v>0</v>
      </c>
      <c r="BZ192">
        <v>0</v>
      </c>
      <c r="CA192">
        <v>0</v>
      </c>
      <c r="CB192">
        <v>206.54</v>
      </c>
      <c r="CC192" t="s">
        <v>143</v>
      </c>
    </row>
    <row r="193" spans="1:81" x14ac:dyDescent="0.25">
      <c r="A193">
        <v>345</v>
      </c>
      <c r="B193">
        <v>2</v>
      </c>
      <c r="C193">
        <v>359</v>
      </c>
      <c r="D193" t="s">
        <v>1208</v>
      </c>
      <c r="E193" t="s">
        <v>121</v>
      </c>
      <c r="F193" t="s">
        <v>1209</v>
      </c>
      <c r="G193" t="s">
        <v>1210</v>
      </c>
      <c r="H193" t="s">
        <v>1211</v>
      </c>
      <c r="I193" t="s">
        <v>125</v>
      </c>
      <c r="J193" t="s">
        <v>554</v>
      </c>
      <c r="K193" t="s">
        <v>336</v>
      </c>
      <c r="L193" t="s">
        <v>128</v>
      </c>
      <c r="M193" t="s">
        <v>337</v>
      </c>
      <c r="N193" t="s">
        <v>1212</v>
      </c>
      <c r="O193" t="s">
        <v>131</v>
      </c>
      <c r="P193">
        <v>0</v>
      </c>
      <c r="Q193" t="s">
        <v>125</v>
      </c>
      <c r="R193">
        <v>3</v>
      </c>
      <c r="S193">
        <v>87</v>
      </c>
      <c r="T193" t="s">
        <v>132</v>
      </c>
      <c r="U193" t="s">
        <v>133</v>
      </c>
      <c r="V193">
        <v>204</v>
      </c>
      <c r="W193">
        <v>0</v>
      </c>
      <c r="X193">
        <v>204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134</v>
      </c>
      <c r="AE193" t="s">
        <v>134</v>
      </c>
      <c r="AF193" s="2">
        <v>45518</v>
      </c>
      <c r="AG193" s="2">
        <v>45913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135</v>
      </c>
      <c r="AO193" t="s">
        <v>135</v>
      </c>
      <c r="AP193" t="s">
        <v>136</v>
      </c>
      <c r="AQ193" t="s">
        <v>137</v>
      </c>
      <c r="AR193" t="s">
        <v>138</v>
      </c>
      <c r="AS193" t="s">
        <v>150</v>
      </c>
      <c r="AT193" t="s">
        <v>140</v>
      </c>
      <c r="AU193">
        <v>999</v>
      </c>
      <c r="AV193">
        <v>99</v>
      </c>
      <c r="AW193">
        <v>9</v>
      </c>
      <c r="AX193" t="s">
        <v>135</v>
      </c>
      <c r="AY193" t="s">
        <v>250</v>
      </c>
      <c r="AZ193" t="s">
        <v>135</v>
      </c>
      <c r="BA193">
        <v>0</v>
      </c>
      <c r="BB193">
        <v>0</v>
      </c>
      <c r="BC193">
        <v>0</v>
      </c>
      <c r="BD193">
        <v>700</v>
      </c>
      <c r="BE193">
        <v>70</v>
      </c>
      <c r="BF193">
        <v>9</v>
      </c>
      <c r="BG193" t="s">
        <v>135</v>
      </c>
      <c r="BH193" t="s">
        <v>250</v>
      </c>
      <c r="BI193" t="s">
        <v>135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30.95</v>
      </c>
      <c r="CC193" t="s">
        <v>339</v>
      </c>
    </row>
    <row r="194" spans="1:81" x14ac:dyDescent="0.25">
      <c r="A194">
        <v>345</v>
      </c>
      <c r="B194">
        <v>2</v>
      </c>
      <c r="C194">
        <v>360</v>
      </c>
      <c r="D194" t="s">
        <v>1213</v>
      </c>
      <c r="E194" t="s">
        <v>121</v>
      </c>
      <c r="F194" t="s">
        <v>1214</v>
      </c>
      <c r="G194" t="s">
        <v>1215</v>
      </c>
      <c r="H194" t="s">
        <v>1216</v>
      </c>
      <c r="I194" t="s">
        <v>125</v>
      </c>
      <c r="J194" t="s">
        <v>1217</v>
      </c>
      <c r="K194" t="s">
        <v>473</v>
      </c>
      <c r="L194" t="s">
        <v>128</v>
      </c>
      <c r="M194" t="s">
        <v>474</v>
      </c>
      <c r="N194" t="s">
        <v>1218</v>
      </c>
      <c r="O194" t="s">
        <v>167</v>
      </c>
      <c r="P194">
        <v>0</v>
      </c>
      <c r="Q194" t="s">
        <v>125</v>
      </c>
      <c r="R194">
        <v>6</v>
      </c>
      <c r="S194">
        <v>37</v>
      </c>
      <c r="T194" t="s">
        <v>132</v>
      </c>
      <c r="U194" t="s">
        <v>133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234</v>
      </c>
      <c r="AE194" t="s">
        <v>134</v>
      </c>
      <c r="AF194" s="2">
        <v>45518</v>
      </c>
      <c r="AG194" s="2">
        <v>46021</v>
      </c>
      <c r="AH194" s="1">
        <v>1793.85</v>
      </c>
      <c r="AI194" s="1">
        <v>4052.3</v>
      </c>
      <c r="AJ194" s="1">
        <v>25113.95</v>
      </c>
      <c r="AK194" s="1">
        <v>3166.12</v>
      </c>
      <c r="AL194">
        <v>0</v>
      </c>
      <c r="AM194">
        <v>0</v>
      </c>
      <c r="AN194" t="s">
        <v>135</v>
      </c>
      <c r="AO194" t="s">
        <v>135</v>
      </c>
      <c r="AP194" t="s">
        <v>136</v>
      </c>
      <c r="AQ194" t="s">
        <v>137</v>
      </c>
      <c r="AR194" t="s">
        <v>138</v>
      </c>
      <c r="AS194" t="s">
        <v>139</v>
      </c>
      <c r="AT194" t="s">
        <v>140</v>
      </c>
      <c r="AU194">
        <v>105</v>
      </c>
      <c r="AV194">
        <v>10</v>
      </c>
      <c r="AW194">
        <v>1</v>
      </c>
      <c r="AX194" s="2">
        <v>45810</v>
      </c>
      <c r="AY194" t="s">
        <v>141</v>
      </c>
      <c r="AZ194" s="2">
        <v>46027</v>
      </c>
      <c r="BA194">
        <v>0</v>
      </c>
      <c r="BB194">
        <v>0</v>
      </c>
      <c r="BC194">
        <v>0</v>
      </c>
      <c r="BD194">
        <v>700</v>
      </c>
      <c r="BE194">
        <v>70</v>
      </c>
      <c r="BF194">
        <v>9</v>
      </c>
      <c r="BG194" s="2">
        <v>45536</v>
      </c>
      <c r="BH194" t="s">
        <v>142</v>
      </c>
      <c r="BI194" s="2">
        <v>46026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s="1">
        <v>8945.76</v>
      </c>
      <c r="BQ194" s="1">
        <v>8945.76</v>
      </c>
      <c r="BR194">
        <v>0</v>
      </c>
      <c r="BS194">
        <v>0</v>
      </c>
      <c r="BT194">
        <v>0</v>
      </c>
      <c r="BU194">
        <v>0</v>
      </c>
      <c r="BV194" s="1">
        <v>11162.44</v>
      </c>
      <c r="BW194" s="1">
        <v>11162.44</v>
      </c>
      <c r="BX194">
        <v>0</v>
      </c>
      <c r="BY194">
        <v>0</v>
      </c>
      <c r="BZ194">
        <v>0</v>
      </c>
      <c r="CA194">
        <v>0</v>
      </c>
      <c r="CB194" s="1">
        <v>6075.52</v>
      </c>
      <c r="CC194" t="s">
        <v>161</v>
      </c>
    </row>
    <row r="195" spans="1:81" x14ac:dyDescent="0.25">
      <c r="A195">
        <v>345</v>
      </c>
      <c r="B195">
        <v>2</v>
      </c>
      <c r="C195">
        <v>361</v>
      </c>
      <c r="D195" t="s">
        <v>1219</v>
      </c>
      <c r="E195" t="s">
        <v>121</v>
      </c>
      <c r="F195" t="s">
        <v>1220</v>
      </c>
      <c r="G195" t="s">
        <v>1221</v>
      </c>
      <c r="H195" t="s">
        <v>1222</v>
      </c>
      <c r="I195" t="s">
        <v>125</v>
      </c>
      <c r="J195" t="s">
        <v>1223</v>
      </c>
      <c r="K195" t="s">
        <v>466</v>
      </c>
      <c r="L195" t="s">
        <v>128</v>
      </c>
      <c r="M195" t="s">
        <v>467</v>
      </c>
      <c r="N195" t="s">
        <v>1224</v>
      </c>
      <c r="O195" t="s">
        <v>167</v>
      </c>
      <c r="P195">
        <v>0</v>
      </c>
      <c r="Q195" t="s">
        <v>125</v>
      </c>
      <c r="R195">
        <v>6</v>
      </c>
      <c r="S195">
        <v>36</v>
      </c>
      <c r="T195" t="s">
        <v>132</v>
      </c>
      <c r="U195" t="s">
        <v>133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134</v>
      </c>
      <c r="AE195" t="s">
        <v>134</v>
      </c>
      <c r="AF195" s="2">
        <v>45518</v>
      </c>
      <c r="AG195" s="2">
        <v>46014</v>
      </c>
      <c r="AH195">
        <v>502.46</v>
      </c>
      <c r="AI195">
        <v>896.1</v>
      </c>
      <c r="AJ195" s="1">
        <v>5024.63</v>
      </c>
      <c r="AK195">
        <v>0</v>
      </c>
      <c r="AL195">
        <v>896.1</v>
      </c>
      <c r="AM195">
        <v>0</v>
      </c>
      <c r="AN195" t="s">
        <v>135</v>
      </c>
      <c r="AO195" t="s">
        <v>135</v>
      </c>
      <c r="AP195" t="s">
        <v>136</v>
      </c>
      <c r="AQ195" t="s">
        <v>137</v>
      </c>
      <c r="AR195" t="s">
        <v>138</v>
      </c>
      <c r="AS195" t="s">
        <v>139</v>
      </c>
      <c r="AT195" t="s">
        <v>140</v>
      </c>
      <c r="AU195">
        <v>100</v>
      </c>
      <c r="AV195">
        <v>10</v>
      </c>
      <c r="AW195">
        <v>1</v>
      </c>
      <c r="AX195" s="2">
        <v>45859</v>
      </c>
      <c r="AY195" t="s">
        <v>141</v>
      </c>
      <c r="AZ195" s="2">
        <v>46027</v>
      </c>
      <c r="BA195">
        <v>0</v>
      </c>
      <c r="BB195">
        <v>0</v>
      </c>
      <c r="BC195">
        <v>0</v>
      </c>
      <c r="BD195">
        <v>700</v>
      </c>
      <c r="BE195">
        <v>70</v>
      </c>
      <c r="BF195">
        <v>9</v>
      </c>
      <c r="BG195" s="2">
        <v>45536</v>
      </c>
      <c r="BH195" t="s">
        <v>142</v>
      </c>
      <c r="BI195" s="2">
        <v>46026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s="1">
        <v>1696.92</v>
      </c>
      <c r="BQ195" s="1">
        <v>1696.92</v>
      </c>
      <c r="BR195">
        <v>0</v>
      </c>
      <c r="BS195">
        <v>0</v>
      </c>
      <c r="BT195">
        <v>0</v>
      </c>
      <c r="BU195">
        <v>0</v>
      </c>
      <c r="BV195" s="1">
        <v>2351.15</v>
      </c>
      <c r="BW195" s="1">
        <v>2351.15</v>
      </c>
      <c r="BX195">
        <v>0</v>
      </c>
      <c r="BY195">
        <v>0</v>
      </c>
      <c r="BZ195">
        <v>0</v>
      </c>
      <c r="CA195">
        <v>0</v>
      </c>
      <c r="CB195" s="1">
        <v>1783.52</v>
      </c>
      <c r="CC195" t="s">
        <v>161</v>
      </c>
    </row>
    <row r="196" spans="1:81" x14ac:dyDescent="0.25">
      <c r="A196">
        <v>345</v>
      </c>
      <c r="B196">
        <v>2</v>
      </c>
      <c r="C196">
        <v>363</v>
      </c>
      <c r="D196" t="s">
        <v>1225</v>
      </c>
      <c r="E196" t="s">
        <v>121</v>
      </c>
      <c r="F196" t="s">
        <v>1226</v>
      </c>
      <c r="G196" t="s">
        <v>1227</v>
      </c>
      <c r="H196" t="s">
        <v>1228</v>
      </c>
      <c r="I196" t="s">
        <v>125</v>
      </c>
      <c r="J196" t="s">
        <v>667</v>
      </c>
      <c r="K196" t="s">
        <v>336</v>
      </c>
      <c r="L196" t="s">
        <v>128</v>
      </c>
      <c r="M196" t="s">
        <v>337</v>
      </c>
      <c r="N196" t="s">
        <v>1229</v>
      </c>
      <c r="O196" t="s">
        <v>1146</v>
      </c>
      <c r="P196">
        <v>0</v>
      </c>
      <c r="Q196" t="s">
        <v>125</v>
      </c>
      <c r="R196">
        <v>6</v>
      </c>
      <c r="S196">
        <v>33</v>
      </c>
      <c r="T196" t="s">
        <v>132</v>
      </c>
      <c r="U196" t="s">
        <v>133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134</v>
      </c>
      <c r="AE196" t="s">
        <v>134</v>
      </c>
      <c r="AF196" s="2">
        <v>45518</v>
      </c>
      <c r="AG196" s="2">
        <v>46002</v>
      </c>
      <c r="AH196">
        <v>267.14999999999998</v>
      </c>
      <c r="AI196">
        <v>395.7</v>
      </c>
      <c r="AJ196" s="1">
        <v>1335.76</v>
      </c>
      <c r="AK196">
        <v>0</v>
      </c>
      <c r="AL196">
        <v>0</v>
      </c>
      <c r="AM196">
        <v>0</v>
      </c>
      <c r="AN196" t="s">
        <v>135</v>
      </c>
      <c r="AO196" t="s">
        <v>135</v>
      </c>
      <c r="AP196" t="s">
        <v>136</v>
      </c>
      <c r="AQ196" t="s">
        <v>137</v>
      </c>
      <c r="AR196" t="s">
        <v>138</v>
      </c>
      <c r="AS196" t="s">
        <v>139</v>
      </c>
      <c r="AT196" t="s">
        <v>140</v>
      </c>
      <c r="AU196">
        <v>101</v>
      </c>
      <c r="AV196">
        <v>10</v>
      </c>
      <c r="AW196">
        <v>1</v>
      </c>
      <c r="AX196" s="2">
        <v>45840</v>
      </c>
      <c r="AY196" t="s">
        <v>168</v>
      </c>
      <c r="AZ196" s="2">
        <v>46022</v>
      </c>
      <c r="BA196">
        <v>0</v>
      </c>
      <c r="BB196">
        <v>0</v>
      </c>
      <c r="BC196">
        <v>0</v>
      </c>
      <c r="BD196">
        <v>700</v>
      </c>
      <c r="BE196">
        <v>70</v>
      </c>
      <c r="BF196">
        <v>9</v>
      </c>
      <c r="BG196" s="2">
        <v>45536</v>
      </c>
      <c r="BH196" t="s">
        <v>142</v>
      </c>
      <c r="BI196" s="2">
        <v>46026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567.6</v>
      </c>
      <c r="BQ196">
        <v>567.6</v>
      </c>
      <c r="BR196">
        <v>0</v>
      </c>
      <c r="BS196">
        <v>0</v>
      </c>
      <c r="BT196">
        <v>0</v>
      </c>
      <c r="BU196">
        <v>0</v>
      </c>
      <c r="BV196">
        <v>371.74</v>
      </c>
      <c r="BW196">
        <v>371.74</v>
      </c>
      <c r="BX196">
        <v>0</v>
      </c>
      <c r="BY196">
        <v>0</v>
      </c>
      <c r="BZ196">
        <v>0</v>
      </c>
      <c r="CA196">
        <v>0</v>
      </c>
      <c r="CB196">
        <v>359.54</v>
      </c>
      <c r="CC196" t="s">
        <v>339</v>
      </c>
    </row>
    <row r="197" spans="1:81" x14ac:dyDescent="0.25">
      <c r="A197">
        <v>345</v>
      </c>
      <c r="B197">
        <v>2</v>
      </c>
      <c r="C197">
        <v>364</v>
      </c>
      <c r="D197" t="s">
        <v>1230</v>
      </c>
      <c r="E197" t="s">
        <v>121</v>
      </c>
      <c r="F197" t="s">
        <v>1231</v>
      </c>
      <c r="G197" t="s">
        <v>1232</v>
      </c>
      <c r="H197" t="s">
        <v>1233</v>
      </c>
      <c r="I197" t="s">
        <v>125</v>
      </c>
      <c r="J197" t="s">
        <v>967</v>
      </c>
      <c r="K197" t="s">
        <v>466</v>
      </c>
      <c r="L197" t="s">
        <v>128</v>
      </c>
      <c r="M197" t="s">
        <v>467</v>
      </c>
      <c r="N197" t="s">
        <v>1234</v>
      </c>
      <c r="O197" t="s">
        <v>167</v>
      </c>
      <c r="P197">
        <v>0</v>
      </c>
      <c r="Q197" t="s">
        <v>125</v>
      </c>
      <c r="R197">
        <v>6</v>
      </c>
      <c r="S197">
        <v>36</v>
      </c>
      <c r="T197" t="s">
        <v>132</v>
      </c>
      <c r="U197" t="s">
        <v>133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134</v>
      </c>
      <c r="AE197" t="s">
        <v>134</v>
      </c>
      <c r="AF197" s="2">
        <v>45518</v>
      </c>
      <c r="AG197" s="2">
        <v>46020</v>
      </c>
      <c r="AH197">
        <v>171.14</v>
      </c>
      <c r="AI197">
        <v>260.86</v>
      </c>
      <c r="AJ197" s="1">
        <v>2053.69</v>
      </c>
      <c r="AK197">
        <v>0</v>
      </c>
      <c r="AL197">
        <v>0</v>
      </c>
      <c r="AM197">
        <v>0</v>
      </c>
      <c r="AN197" t="s">
        <v>135</v>
      </c>
      <c r="AO197" t="s">
        <v>135</v>
      </c>
      <c r="AP197" t="s">
        <v>136</v>
      </c>
      <c r="AQ197" t="s">
        <v>137</v>
      </c>
      <c r="AR197" t="s">
        <v>138</v>
      </c>
      <c r="AS197" t="s">
        <v>139</v>
      </c>
      <c r="AT197" t="s">
        <v>140</v>
      </c>
      <c r="AU197">
        <v>100</v>
      </c>
      <c r="AV197">
        <v>10</v>
      </c>
      <c r="AW197">
        <v>1</v>
      </c>
      <c r="AX197" s="2">
        <v>45534</v>
      </c>
      <c r="AY197" t="s">
        <v>151</v>
      </c>
      <c r="AZ197" s="2">
        <v>46024</v>
      </c>
      <c r="BA197">
        <v>0</v>
      </c>
      <c r="BB197">
        <v>0</v>
      </c>
      <c r="BC197">
        <v>0</v>
      </c>
      <c r="BD197">
        <v>700</v>
      </c>
      <c r="BE197">
        <v>70</v>
      </c>
      <c r="BF197">
        <v>9</v>
      </c>
      <c r="BG197" s="2">
        <v>45536</v>
      </c>
      <c r="BH197" t="s">
        <v>142</v>
      </c>
      <c r="BI197" s="2">
        <v>46026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953.41</v>
      </c>
      <c r="BQ197">
        <v>953.41</v>
      </c>
      <c r="BR197">
        <v>0</v>
      </c>
      <c r="BS197">
        <v>0</v>
      </c>
      <c r="BT197">
        <v>0</v>
      </c>
      <c r="BU197">
        <v>0</v>
      </c>
      <c r="BV197">
        <v>706.82</v>
      </c>
      <c r="BW197">
        <v>706.82</v>
      </c>
      <c r="BX197">
        <v>0</v>
      </c>
      <c r="BY197">
        <v>0</v>
      </c>
      <c r="BZ197">
        <v>0</v>
      </c>
      <c r="CA197">
        <v>0</v>
      </c>
      <c r="CB197">
        <v>685.41</v>
      </c>
      <c r="CC197" t="s">
        <v>161</v>
      </c>
    </row>
    <row r="198" spans="1:81" x14ac:dyDescent="0.25">
      <c r="A198">
        <v>345</v>
      </c>
      <c r="B198">
        <v>2</v>
      </c>
      <c r="C198">
        <v>365</v>
      </c>
      <c r="D198" t="s">
        <v>1235</v>
      </c>
      <c r="E198" t="s">
        <v>121</v>
      </c>
      <c r="F198" t="s">
        <v>1236</v>
      </c>
      <c r="G198" t="s">
        <v>1237</v>
      </c>
      <c r="H198" t="s">
        <v>1238</v>
      </c>
      <c r="I198" t="s">
        <v>125</v>
      </c>
      <c r="J198" t="s">
        <v>126</v>
      </c>
      <c r="K198" t="s">
        <v>466</v>
      </c>
      <c r="L198" t="s">
        <v>128</v>
      </c>
      <c r="M198" t="s">
        <v>467</v>
      </c>
      <c r="N198" t="s">
        <v>1239</v>
      </c>
      <c r="O198" t="s">
        <v>131</v>
      </c>
      <c r="P198">
        <v>0</v>
      </c>
      <c r="Q198" t="s">
        <v>125</v>
      </c>
      <c r="R198">
        <v>6</v>
      </c>
      <c r="S198">
        <v>44</v>
      </c>
      <c r="T198" t="s">
        <v>132</v>
      </c>
      <c r="U198" t="s">
        <v>133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134</v>
      </c>
      <c r="AE198" t="s">
        <v>234</v>
      </c>
      <c r="AF198" s="2">
        <v>45518</v>
      </c>
      <c r="AG198" s="2">
        <v>46009</v>
      </c>
      <c r="AH198" s="1">
        <v>2168.4499999999998</v>
      </c>
      <c r="AI198" s="1">
        <v>5122.7700000000004</v>
      </c>
      <c r="AJ198" s="1">
        <v>13010.74</v>
      </c>
      <c r="AK198">
        <v>0</v>
      </c>
      <c r="AL198">
        <v>0</v>
      </c>
      <c r="AM198">
        <v>0</v>
      </c>
      <c r="AN198" t="s">
        <v>135</v>
      </c>
      <c r="AO198" t="s">
        <v>135</v>
      </c>
      <c r="AP198" t="s">
        <v>136</v>
      </c>
      <c r="AQ198" t="s">
        <v>137</v>
      </c>
      <c r="AR198" t="s">
        <v>138</v>
      </c>
      <c r="AS198" t="s">
        <v>150</v>
      </c>
      <c r="AT198" t="s">
        <v>140</v>
      </c>
      <c r="AU198">
        <v>501</v>
      </c>
      <c r="AV198">
        <v>10</v>
      </c>
      <c r="AW198">
        <v>1</v>
      </c>
      <c r="AX198" s="2">
        <v>45854</v>
      </c>
      <c r="AY198" t="s">
        <v>168</v>
      </c>
      <c r="AZ198" s="2">
        <v>46022</v>
      </c>
      <c r="BA198">
        <v>0</v>
      </c>
      <c r="BB198">
        <v>0</v>
      </c>
      <c r="BC198">
        <v>0</v>
      </c>
      <c r="BD198">
        <v>700</v>
      </c>
      <c r="BE198">
        <v>70</v>
      </c>
      <c r="BF198">
        <v>9</v>
      </c>
      <c r="BG198" s="2">
        <v>45536</v>
      </c>
      <c r="BH198" t="s">
        <v>142</v>
      </c>
      <c r="BI198" s="2">
        <v>46026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s="1">
        <v>2598.06</v>
      </c>
      <c r="BQ198" s="1">
        <v>2598.06</v>
      </c>
      <c r="BR198">
        <v>0</v>
      </c>
      <c r="BS198">
        <v>0</v>
      </c>
      <c r="BT198">
        <v>0</v>
      </c>
      <c r="BU198">
        <v>0</v>
      </c>
      <c r="BV198" s="1">
        <v>6178.7</v>
      </c>
      <c r="BW198" s="1">
        <v>6178.7</v>
      </c>
      <c r="BX198">
        <v>0</v>
      </c>
      <c r="BY198">
        <v>0</v>
      </c>
      <c r="BZ198">
        <v>0</v>
      </c>
      <c r="CA198">
        <v>0</v>
      </c>
      <c r="CB198" s="1">
        <v>3484.54</v>
      </c>
      <c r="CC198" t="s">
        <v>143</v>
      </c>
    </row>
    <row r="199" spans="1:81" x14ac:dyDescent="0.25">
      <c r="A199">
        <v>345</v>
      </c>
      <c r="B199">
        <v>2</v>
      </c>
      <c r="C199">
        <v>366</v>
      </c>
      <c r="D199" t="s">
        <v>1240</v>
      </c>
      <c r="E199" t="s">
        <v>121</v>
      </c>
      <c r="F199" t="s">
        <v>1241</v>
      </c>
      <c r="G199" t="s">
        <v>1242</v>
      </c>
      <c r="H199" t="s">
        <v>563</v>
      </c>
      <c r="I199" t="s">
        <v>125</v>
      </c>
      <c r="J199" t="s">
        <v>565</v>
      </c>
      <c r="K199" t="s">
        <v>336</v>
      </c>
      <c r="L199" t="s">
        <v>128</v>
      </c>
      <c r="M199" t="s">
        <v>337</v>
      </c>
      <c r="N199" t="s">
        <v>1243</v>
      </c>
      <c r="O199" t="s">
        <v>167</v>
      </c>
      <c r="P199">
        <v>0</v>
      </c>
      <c r="Q199" t="s">
        <v>125</v>
      </c>
      <c r="R199">
        <v>6</v>
      </c>
      <c r="S199">
        <v>36</v>
      </c>
      <c r="T199" t="s">
        <v>132</v>
      </c>
      <c r="U199" t="s">
        <v>133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134</v>
      </c>
      <c r="AE199" t="s">
        <v>134</v>
      </c>
      <c r="AF199" s="2">
        <v>45518</v>
      </c>
      <c r="AG199" s="2">
        <v>46008</v>
      </c>
      <c r="AH199">
        <v>579.92999999999995</v>
      </c>
      <c r="AI199">
        <v>710.69</v>
      </c>
      <c r="AJ199" s="1">
        <v>3479.61</v>
      </c>
      <c r="AK199">
        <v>0</v>
      </c>
      <c r="AL199">
        <v>0</v>
      </c>
      <c r="AM199">
        <v>0</v>
      </c>
      <c r="AN199" t="s">
        <v>135</v>
      </c>
      <c r="AO199" t="s">
        <v>135</v>
      </c>
      <c r="AP199" t="s">
        <v>136</v>
      </c>
      <c r="AQ199" t="s">
        <v>137</v>
      </c>
      <c r="AR199" t="s">
        <v>138</v>
      </c>
      <c r="AS199" t="s">
        <v>139</v>
      </c>
      <c r="AT199" t="s">
        <v>140</v>
      </c>
      <c r="AU199">
        <v>104</v>
      </c>
      <c r="AV199">
        <v>10</v>
      </c>
      <c r="AW199">
        <v>1</v>
      </c>
      <c r="AX199" s="2">
        <v>45537</v>
      </c>
      <c r="AY199" t="s">
        <v>141</v>
      </c>
      <c r="AZ199" s="2">
        <v>46027</v>
      </c>
      <c r="BA199">
        <v>0</v>
      </c>
      <c r="BB199">
        <v>0</v>
      </c>
      <c r="BC199">
        <v>0</v>
      </c>
      <c r="BD199">
        <v>700</v>
      </c>
      <c r="BE199">
        <v>70</v>
      </c>
      <c r="BF199">
        <v>9</v>
      </c>
      <c r="BG199" s="2">
        <v>45536</v>
      </c>
      <c r="BH199" t="s">
        <v>142</v>
      </c>
      <c r="BI199" s="2">
        <v>46026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s="1">
        <v>1930.35</v>
      </c>
      <c r="BQ199" s="1">
        <v>1930.35</v>
      </c>
      <c r="BR199">
        <v>0</v>
      </c>
      <c r="BS199">
        <v>0</v>
      </c>
      <c r="BT199">
        <v>0</v>
      </c>
      <c r="BU199">
        <v>0</v>
      </c>
      <c r="BV199" s="1">
        <v>1034.6300000000001</v>
      </c>
      <c r="BW199" s="1">
        <v>1034.6300000000001</v>
      </c>
      <c r="BX199">
        <v>0</v>
      </c>
      <c r="BY199">
        <v>0</v>
      </c>
      <c r="BZ199">
        <v>0</v>
      </c>
      <c r="CA199">
        <v>0</v>
      </c>
      <c r="CB199" s="1">
        <v>1975.65</v>
      </c>
      <c r="CC199" t="s">
        <v>161</v>
      </c>
    </row>
    <row r="200" spans="1:81" x14ac:dyDescent="0.25">
      <c r="A200">
        <v>345</v>
      </c>
      <c r="B200">
        <v>2</v>
      </c>
      <c r="C200">
        <v>367</v>
      </c>
      <c r="D200" t="s">
        <v>1244</v>
      </c>
      <c r="E200" t="s">
        <v>121</v>
      </c>
      <c r="F200" t="s">
        <v>1245</v>
      </c>
      <c r="G200" t="s">
        <v>1246</v>
      </c>
      <c r="H200" t="s">
        <v>1247</v>
      </c>
      <c r="I200" t="s">
        <v>125</v>
      </c>
      <c r="J200" t="s">
        <v>897</v>
      </c>
      <c r="K200" t="s">
        <v>473</v>
      </c>
      <c r="L200" t="s">
        <v>128</v>
      </c>
      <c r="M200" t="s">
        <v>474</v>
      </c>
      <c r="N200" t="s">
        <v>1248</v>
      </c>
      <c r="O200" t="s">
        <v>149</v>
      </c>
      <c r="P200">
        <v>0</v>
      </c>
      <c r="Q200" t="s">
        <v>125</v>
      </c>
      <c r="R200">
        <v>6</v>
      </c>
      <c r="S200">
        <v>40</v>
      </c>
      <c r="T200" t="s">
        <v>132</v>
      </c>
      <c r="U200" t="s">
        <v>133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134</v>
      </c>
      <c r="AE200" t="s">
        <v>134</v>
      </c>
      <c r="AF200" s="2">
        <v>45518</v>
      </c>
      <c r="AG200" s="2">
        <v>46017</v>
      </c>
      <c r="AH200">
        <v>544.49</v>
      </c>
      <c r="AI200" s="1">
        <v>1440.14</v>
      </c>
      <c r="AJ200" s="1">
        <v>5444.91</v>
      </c>
      <c r="AK200">
        <v>0</v>
      </c>
      <c r="AL200">
        <v>0</v>
      </c>
      <c r="AM200">
        <v>0</v>
      </c>
      <c r="AN200" t="s">
        <v>135</v>
      </c>
      <c r="AO200" t="s">
        <v>135</v>
      </c>
      <c r="AP200" t="s">
        <v>136</v>
      </c>
      <c r="AQ200" t="s">
        <v>137</v>
      </c>
      <c r="AR200" t="s">
        <v>138</v>
      </c>
      <c r="AS200" t="s">
        <v>139</v>
      </c>
      <c r="AT200" t="s">
        <v>140</v>
      </c>
      <c r="AU200">
        <v>102</v>
      </c>
      <c r="AV200">
        <v>10</v>
      </c>
      <c r="AW200">
        <v>1</v>
      </c>
      <c r="AX200" s="2">
        <v>45846</v>
      </c>
      <c r="AY200" t="s">
        <v>377</v>
      </c>
      <c r="AZ200" s="2">
        <v>46028</v>
      </c>
      <c r="BA200">
        <v>0</v>
      </c>
      <c r="BB200">
        <v>0</v>
      </c>
      <c r="BC200">
        <v>0</v>
      </c>
      <c r="BD200">
        <v>700</v>
      </c>
      <c r="BE200">
        <v>70</v>
      </c>
      <c r="BF200">
        <v>9</v>
      </c>
      <c r="BG200" s="2">
        <v>45536</v>
      </c>
      <c r="BH200" t="s">
        <v>142</v>
      </c>
      <c r="BI200" s="2">
        <v>46026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s="1">
        <v>2090.96</v>
      </c>
      <c r="BQ200" s="1">
        <v>2090.96</v>
      </c>
      <c r="BR200">
        <v>0</v>
      </c>
      <c r="BS200">
        <v>0</v>
      </c>
      <c r="BT200">
        <v>0</v>
      </c>
      <c r="BU200">
        <v>0</v>
      </c>
      <c r="BV200" s="1">
        <v>2440.1999999999998</v>
      </c>
      <c r="BW200" s="1">
        <v>2440.1999999999998</v>
      </c>
      <c r="BX200">
        <v>0</v>
      </c>
      <c r="BY200">
        <v>0</v>
      </c>
      <c r="BZ200">
        <v>0</v>
      </c>
      <c r="CA200">
        <v>0</v>
      </c>
      <c r="CB200" s="1">
        <v>1385.24</v>
      </c>
      <c r="CC200" t="s">
        <v>152</v>
      </c>
    </row>
    <row r="201" spans="1:81" x14ac:dyDescent="0.25">
      <c r="A201">
        <v>345</v>
      </c>
      <c r="B201">
        <v>2</v>
      </c>
      <c r="C201">
        <v>368</v>
      </c>
      <c r="D201" t="s">
        <v>1249</v>
      </c>
      <c r="E201" t="s">
        <v>121</v>
      </c>
      <c r="F201" t="s">
        <v>1250</v>
      </c>
      <c r="G201" t="s">
        <v>1251</v>
      </c>
      <c r="H201" t="s">
        <v>1252</v>
      </c>
      <c r="I201" t="s">
        <v>125</v>
      </c>
      <c r="J201" t="s">
        <v>126</v>
      </c>
      <c r="K201" t="s">
        <v>466</v>
      </c>
      <c r="L201" t="s">
        <v>128</v>
      </c>
      <c r="M201" t="s">
        <v>467</v>
      </c>
      <c r="N201" t="s">
        <v>1253</v>
      </c>
      <c r="O201" t="s">
        <v>167</v>
      </c>
      <c r="P201">
        <v>0</v>
      </c>
      <c r="Q201" t="s">
        <v>125</v>
      </c>
      <c r="R201">
        <v>5</v>
      </c>
      <c r="S201">
        <v>74</v>
      </c>
      <c r="T201" t="s">
        <v>132</v>
      </c>
      <c r="U201" t="s">
        <v>133</v>
      </c>
      <c r="V201" s="1">
        <v>1000</v>
      </c>
      <c r="W201">
        <v>0</v>
      </c>
      <c r="X201" s="1">
        <v>1000</v>
      </c>
      <c r="Y201">
        <v>7</v>
      </c>
      <c r="Z201">
        <v>0</v>
      </c>
      <c r="AA201">
        <v>5</v>
      </c>
      <c r="AB201">
        <v>0</v>
      </c>
      <c r="AC201">
        <v>0</v>
      </c>
      <c r="AD201" t="s">
        <v>134</v>
      </c>
      <c r="AE201" t="s">
        <v>134</v>
      </c>
      <c r="AF201" s="2">
        <v>45518</v>
      </c>
      <c r="AG201" s="2">
        <v>45959</v>
      </c>
      <c r="AH201">
        <v>44.26</v>
      </c>
      <c r="AI201">
        <v>44.26</v>
      </c>
      <c r="AJ201">
        <v>44.26</v>
      </c>
      <c r="AK201">
        <v>0</v>
      </c>
      <c r="AL201">
        <v>0</v>
      </c>
      <c r="AM201">
        <v>0</v>
      </c>
      <c r="AN201" t="s">
        <v>135</v>
      </c>
      <c r="AO201" t="s">
        <v>135</v>
      </c>
      <c r="AP201" t="s">
        <v>136</v>
      </c>
      <c r="AQ201" t="s">
        <v>137</v>
      </c>
      <c r="AR201" t="s">
        <v>138</v>
      </c>
      <c r="AS201" t="s">
        <v>139</v>
      </c>
      <c r="AT201" t="s">
        <v>140</v>
      </c>
      <c r="AU201">
        <v>105</v>
      </c>
      <c r="AV201">
        <v>10</v>
      </c>
      <c r="AW201">
        <v>1</v>
      </c>
      <c r="AX201" s="2">
        <v>45867</v>
      </c>
      <c r="AY201" t="s">
        <v>377</v>
      </c>
      <c r="AZ201" s="2">
        <v>46028</v>
      </c>
      <c r="BA201">
        <v>0</v>
      </c>
      <c r="BB201">
        <v>0</v>
      </c>
      <c r="BC201">
        <v>0</v>
      </c>
      <c r="BD201">
        <v>999</v>
      </c>
      <c r="BE201">
        <v>99</v>
      </c>
      <c r="BF201">
        <v>9</v>
      </c>
      <c r="BG201" t="s">
        <v>135</v>
      </c>
      <c r="BH201" t="s">
        <v>250</v>
      </c>
      <c r="BI201" t="s">
        <v>135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112.07</v>
      </c>
      <c r="CC201" t="s">
        <v>161</v>
      </c>
    </row>
    <row r="202" spans="1:81" x14ac:dyDescent="0.25">
      <c r="A202">
        <v>345</v>
      </c>
      <c r="B202">
        <v>2</v>
      </c>
      <c r="C202">
        <v>369</v>
      </c>
      <c r="D202" t="s">
        <v>1254</v>
      </c>
      <c r="E202" t="s">
        <v>121</v>
      </c>
      <c r="F202" t="s">
        <v>1255</v>
      </c>
      <c r="G202" t="s">
        <v>1256</v>
      </c>
      <c r="H202" t="s">
        <v>1257</v>
      </c>
      <c r="I202" t="s">
        <v>125</v>
      </c>
      <c r="J202" t="s">
        <v>126</v>
      </c>
      <c r="K202" t="s">
        <v>473</v>
      </c>
      <c r="L202" t="s">
        <v>128</v>
      </c>
      <c r="M202" t="s">
        <v>474</v>
      </c>
      <c r="N202" t="s">
        <v>1258</v>
      </c>
      <c r="O202" t="s">
        <v>131</v>
      </c>
      <c r="P202">
        <v>0</v>
      </c>
      <c r="Q202" t="s">
        <v>125</v>
      </c>
      <c r="R202">
        <v>6</v>
      </c>
      <c r="S202">
        <v>41</v>
      </c>
      <c r="T202" t="s">
        <v>132</v>
      </c>
      <c r="U202" t="s">
        <v>133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134</v>
      </c>
      <c r="AE202" t="s">
        <v>134</v>
      </c>
      <c r="AF202" s="2">
        <v>45518</v>
      </c>
      <c r="AG202" s="2">
        <v>46018</v>
      </c>
      <c r="AH202">
        <v>414.09</v>
      </c>
      <c r="AI202">
        <v>517.05999999999995</v>
      </c>
      <c r="AJ202" s="1">
        <v>5383.18</v>
      </c>
      <c r="AK202">
        <v>0</v>
      </c>
      <c r="AL202">
        <v>0</v>
      </c>
      <c r="AM202">
        <v>0</v>
      </c>
      <c r="AN202" t="s">
        <v>135</v>
      </c>
      <c r="AO202" t="s">
        <v>135</v>
      </c>
      <c r="AP202" t="s">
        <v>136</v>
      </c>
      <c r="AQ202" t="s">
        <v>137</v>
      </c>
      <c r="AR202" t="s">
        <v>138</v>
      </c>
      <c r="AS202" t="s">
        <v>139</v>
      </c>
      <c r="AT202" t="s">
        <v>140</v>
      </c>
      <c r="AU202">
        <v>105</v>
      </c>
      <c r="AV202">
        <v>10</v>
      </c>
      <c r="AW202">
        <v>1</v>
      </c>
      <c r="AX202" s="2">
        <v>45532</v>
      </c>
      <c r="AY202" t="s">
        <v>168</v>
      </c>
      <c r="AZ202" s="2">
        <v>46022</v>
      </c>
      <c r="BA202">
        <v>0</v>
      </c>
      <c r="BB202">
        <v>0</v>
      </c>
      <c r="BC202">
        <v>0</v>
      </c>
      <c r="BD202">
        <v>700</v>
      </c>
      <c r="BE202">
        <v>70</v>
      </c>
      <c r="BF202">
        <v>9</v>
      </c>
      <c r="BG202" s="2">
        <v>45536</v>
      </c>
      <c r="BH202" t="s">
        <v>142</v>
      </c>
      <c r="BI202" s="2">
        <v>46026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s="1">
        <v>1844.58</v>
      </c>
      <c r="BQ202" s="1">
        <v>1844.58</v>
      </c>
      <c r="BR202">
        <v>0</v>
      </c>
      <c r="BS202">
        <v>0</v>
      </c>
      <c r="BT202">
        <v>0</v>
      </c>
      <c r="BU202">
        <v>0</v>
      </c>
      <c r="BV202" s="1">
        <v>1900.65</v>
      </c>
      <c r="BW202" s="1">
        <v>1900.65</v>
      </c>
      <c r="BX202">
        <v>0</v>
      </c>
      <c r="BY202">
        <v>0</v>
      </c>
      <c r="BZ202">
        <v>0</v>
      </c>
      <c r="CA202">
        <v>0</v>
      </c>
      <c r="CB202" s="1">
        <v>1679.68</v>
      </c>
      <c r="CC202" t="s">
        <v>161</v>
      </c>
    </row>
    <row r="203" spans="1:81" x14ac:dyDescent="0.25">
      <c r="A203">
        <v>345</v>
      </c>
      <c r="B203">
        <v>2</v>
      </c>
      <c r="C203">
        <v>371</v>
      </c>
      <c r="D203" t="s">
        <v>1259</v>
      </c>
      <c r="E203" t="s">
        <v>121</v>
      </c>
      <c r="F203" t="s">
        <v>1260</v>
      </c>
      <c r="G203" t="s">
        <v>1261</v>
      </c>
      <c r="H203" t="s">
        <v>1262</v>
      </c>
      <c r="I203" t="s">
        <v>125</v>
      </c>
      <c r="J203" t="s">
        <v>1263</v>
      </c>
      <c r="K203" t="s">
        <v>466</v>
      </c>
      <c r="L203" t="s">
        <v>128</v>
      </c>
      <c r="M203" t="s">
        <v>467</v>
      </c>
      <c r="N203" t="s">
        <v>1102</v>
      </c>
      <c r="O203" t="s">
        <v>149</v>
      </c>
      <c r="P203">
        <v>0</v>
      </c>
      <c r="Q203" t="s">
        <v>125</v>
      </c>
      <c r="R203">
        <v>6</v>
      </c>
      <c r="S203">
        <v>40</v>
      </c>
      <c r="T203" t="s">
        <v>132</v>
      </c>
      <c r="U203" t="s">
        <v>133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134</v>
      </c>
      <c r="AE203" t="s">
        <v>134</v>
      </c>
      <c r="AF203" s="2">
        <v>45518</v>
      </c>
      <c r="AG203" s="2">
        <v>46011</v>
      </c>
      <c r="AH203">
        <v>675.66</v>
      </c>
      <c r="AI203" s="1">
        <v>3421.83</v>
      </c>
      <c r="AJ203" s="1">
        <v>6756.69</v>
      </c>
      <c r="AK203">
        <v>0</v>
      </c>
      <c r="AL203">
        <v>0</v>
      </c>
      <c r="AM203">
        <v>0</v>
      </c>
      <c r="AN203" t="s">
        <v>135</v>
      </c>
      <c r="AO203" t="s">
        <v>135</v>
      </c>
      <c r="AP203" t="s">
        <v>136</v>
      </c>
      <c r="AQ203" t="s">
        <v>137</v>
      </c>
      <c r="AR203" t="s">
        <v>138</v>
      </c>
      <c r="AS203" t="s">
        <v>139</v>
      </c>
      <c r="AT203" t="s">
        <v>140</v>
      </c>
      <c r="AU203">
        <v>105</v>
      </c>
      <c r="AV203">
        <v>10</v>
      </c>
      <c r="AW203">
        <v>1</v>
      </c>
      <c r="AX203" s="2">
        <v>45841</v>
      </c>
      <c r="AY203" t="s">
        <v>308</v>
      </c>
      <c r="AZ203" s="2">
        <v>46023</v>
      </c>
      <c r="BA203">
        <v>0</v>
      </c>
      <c r="BB203">
        <v>0</v>
      </c>
      <c r="BC203">
        <v>0</v>
      </c>
      <c r="BD203">
        <v>700</v>
      </c>
      <c r="BE203">
        <v>70</v>
      </c>
      <c r="BF203">
        <v>9</v>
      </c>
      <c r="BG203" s="2">
        <v>45536</v>
      </c>
      <c r="BH203" t="s">
        <v>142</v>
      </c>
      <c r="BI203" s="2">
        <v>46026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s="1">
        <v>5089.62</v>
      </c>
      <c r="BQ203" s="1">
        <v>5089.62</v>
      </c>
      <c r="BR203">
        <v>0</v>
      </c>
      <c r="BS203">
        <v>0</v>
      </c>
      <c r="BT203">
        <v>0</v>
      </c>
      <c r="BU203">
        <v>0</v>
      </c>
      <c r="BV203">
        <v>554.63</v>
      </c>
      <c r="BW203">
        <v>554.63</v>
      </c>
      <c r="BX203">
        <v>0</v>
      </c>
      <c r="BY203">
        <v>0</v>
      </c>
      <c r="BZ203">
        <v>0</v>
      </c>
      <c r="CA203">
        <v>0</v>
      </c>
      <c r="CB203" s="1">
        <v>2887.51</v>
      </c>
      <c r="CC203" t="s">
        <v>152</v>
      </c>
    </row>
    <row r="204" spans="1:81" x14ac:dyDescent="0.25">
      <c r="A204">
        <v>345</v>
      </c>
      <c r="B204">
        <v>2</v>
      </c>
      <c r="C204">
        <v>373</v>
      </c>
      <c r="D204" t="s">
        <v>1264</v>
      </c>
      <c r="E204" t="s">
        <v>121</v>
      </c>
      <c r="F204" t="s">
        <v>1265</v>
      </c>
      <c r="G204" t="s">
        <v>1266</v>
      </c>
      <c r="H204" t="s">
        <v>1267</v>
      </c>
      <c r="I204" t="s">
        <v>125</v>
      </c>
      <c r="J204" t="s">
        <v>126</v>
      </c>
      <c r="K204" t="s">
        <v>466</v>
      </c>
      <c r="L204" t="s">
        <v>128</v>
      </c>
      <c r="M204" t="s">
        <v>467</v>
      </c>
      <c r="N204" t="s">
        <v>1268</v>
      </c>
      <c r="O204" t="s">
        <v>149</v>
      </c>
      <c r="P204">
        <v>0</v>
      </c>
      <c r="Q204" t="s">
        <v>125</v>
      </c>
      <c r="R204">
        <v>6</v>
      </c>
      <c r="S204">
        <v>41</v>
      </c>
      <c r="T204" t="s">
        <v>132</v>
      </c>
      <c r="U204" t="s">
        <v>133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134</v>
      </c>
      <c r="AE204" t="s">
        <v>134</v>
      </c>
      <c r="AF204" s="2">
        <v>45518</v>
      </c>
      <c r="AG204" s="2">
        <v>46021</v>
      </c>
      <c r="AH204">
        <v>584.12</v>
      </c>
      <c r="AI204">
        <v>918.18</v>
      </c>
      <c r="AJ204" s="1">
        <v>7593.64</v>
      </c>
      <c r="AK204">
        <v>0</v>
      </c>
      <c r="AL204">
        <v>0</v>
      </c>
      <c r="AM204">
        <v>0</v>
      </c>
      <c r="AN204" t="s">
        <v>135</v>
      </c>
      <c r="AO204" t="s">
        <v>135</v>
      </c>
      <c r="AP204" t="s">
        <v>136</v>
      </c>
      <c r="AQ204" t="s">
        <v>137</v>
      </c>
      <c r="AR204" t="s">
        <v>138</v>
      </c>
      <c r="AS204" t="s">
        <v>139</v>
      </c>
      <c r="AT204" t="s">
        <v>140</v>
      </c>
      <c r="AU204">
        <v>105</v>
      </c>
      <c r="AV204">
        <v>10</v>
      </c>
      <c r="AW204">
        <v>1</v>
      </c>
      <c r="AX204" s="2">
        <v>45852</v>
      </c>
      <c r="AY204" t="s">
        <v>141</v>
      </c>
      <c r="AZ204" s="2">
        <v>46027</v>
      </c>
      <c r="BA204">
        <v>0</v>
      </c>
      <c r="BB204">
        <v>0</v>
      </c>
      <c r="BC204">
        <v>0</v>
      </c>
      <c r="BD204">
        <v>700</v>
      </c>
      <c r="BE204">
        <v>70</v>
      </c>
      <c r="BF204">
        <v>9</v>
      </c>
      <c r="BG204" s="2">
        <v>45536</v>
      </c>
      <c r="BH204" t="s">
        <v>142</v>
      </c>
      <c r="BI204" s="2">
        <v>46026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s="1">
        <v>2606.4</v>
      </c>
      <c r="BQ204" s="1">
        <v>2606.4</v>
      </c>
      <c r="BR204">
        <v>0</v>
      </c>
      <c r="BS204">
        <v>0</v>
      </c>
      <c r="BT204">
        <v>0</v>
      </c>
      <c r="BU204">
        <v>0</v>
      </c>
      <c r="BV204" s="1">
        <v>2171.5100000000002</v>
      </c>
      <c r="BW204" s="1">
        <v>2171.5100000000002</v>
      </c>
      <c r="BX204">
        <v>0</v>
      </c>
      <c r="BY204">
        <v>0</v>
      </c>
      <c r="BZ204">
        <v>0</v>
      </c>
      <c r="CA204">
        <v>0</v>
      </c>
      <c r="CB204" s="1">
        <v>3035.93</v>
      </c>
      <c r="CC204" t="s">
        <v>152</v>
      </c>
    </row>
    <row r="205" spans="1:81" x14ac:dyDescent="0.25">
      <c r="A205">
        <v>345</v>
      </c>
      <c r="B205">
        <v>2</v>
      </c>
      <c r="C205">
        <v>374</v>
      </c>
      <c r="D205" t="s">
        <v>1269</v>
      </c>
      <c r="E205" t="s">
        <v>121</v>
      </c>
      <c r="F205" t="s">
        <v>1270</v>
      </c>
      <c r="G205" t="s">
        <v>1271</v>
      </c>
      <c r="H205" t="s">
        <v>1272</v>
      </c>
      <c r="I205" t="s">
        <v>125</v>
      </c>
      <c r="J205" t="s">
        <v>1263</v>
      </c>
      <c r="K205" t="s">
        <v>466</v>
      </c>
      <c r="L205" t="s">
        <v>128</v>
      </c>
      <c r="M205" t="s">
        <v>467</v>
      </c>
      <c r="N205" t="s">
        <v>1273</v>
      </c>
      <c r="O205" t="s">
        <v>167</v>
      </c>
      <c r="P205">
        <v>0</v>
      </c>
      <c r="Q205" t="s">
        <v>125</v>
      </c>
      <c r="R205">
        <v>6</v>
      </c>
      <c r="S205">
        <v>34</v>
      </c>
      <c r="T205" t="s">
        <v>132</v>
      </c>
      <c r="U205" t="s">
        <v>133</v>
      </c>
      <c r="V205" s="1">
        <v>8000</v>
      </c>
      <c r="W205">
        <v>0</v>
      </c>
      <c r="X205" s="1">
        <v>8000</v>
      </c>
      <c r="Y205">
        <v>7</v>
      </c>
      <c r="Z205">
        <v>0</v>
      </c>
      <c r="AA205">
        <v>7</v>
      </c>
      <c r="AB205">
        <v>0</v>
      </c>
      <c r="AC205">
        <v>7</v>
      </c>
      <c r="AD205" t="s">
        <v>134</v>
      </c>
      <c r="AE205" t="s">
        <v>134</v>
      </c>
      <c r="AF205" s="2">
        <v>45518</v>
      </c>
      <c r="AG205" s="2">
        <v>46008</v>
      </c>
      <c r="AH205">
        <v>693.4</v>
      </c>
      <c r="AI205" s="1">
        <v>1565.44</v>
      </c>
      <c r="AJ205" s="1">
        <v>3467.01</v>
      </c>
      <c r="AK205">
        <v>0</v>
      </c>
      <c r="AL205">
        <v>0</v>
      </c>
      <c r="AM205">
        <v>0</v>
      </c>
      <c r="AN205" t="s">
        <v>135</v>
      </c>
      <c r="AO205" t="s">
        <v>135</v>
      </c>
      <c r="AP205" t="s">
        <v>136</v>
      </c>
      <c r="AQ205" t="s">
        <v>137</v>
      </c>
      <c r="AR205" t="s">
        <v>138</v>
      </c>
      <c r="AS205" t="s">
        <v>150</v>
      </c>
      <c r="AT205" t="s">
        <v>140</v>
      </c>
      <c r="AU205">
        <v>500</v>
      </c>
      <c r="AV205">
        <v>10</v>
      </c>
      <c r="AW205">
        <v>1</v>
      </c>
      <c r="AX205" s="2">
        <v>45853</v>
      </c>
      <c r="AY205" t="s">
        <v>377</v>
      </c>
      <c r="AZ205" s="2">
        <v>46028</v>
      </c>
      <c r="BA205">
        <v>0</v>
      </c>
      <c r="BB205">
        <v>0</v>
      </c>
      <c r="BC205">
        <v>0</v>
      </c>
      <c r="BD205">
        <v>700</v>
      </c>
      <c r="BE205">
        <v>70</v>
      </c>
      <c r="BF205">
        <v>9</v>
      </c>
      <c r="BG205" s="2">
        <v>45536</v>
      </c>
      <c r="BH205" t="s">
        <v>142</v>
      </c>
      <c r="BI205" s="2">
        <v>46026</v>
      </c>
      <c r="BJ205">
        <v>0</v>
      </c>
      <c r="BK205">
        <v>0</v>
      </c>
      <c r="BL205">
        <v>0</v>
      </c>
      <c r="BM205">
        <v>7</v>
      </c>
      <c r="BN205">
        <v>7</v>
      </c>
      <c r="BO205">
        <v>694.11</v>
      </c>
      <c r="BP205">
        <v>0</v>
      </c>
      <c r="BQ205">
        <v>694.11</v>
      </c>
      <c r="BR205">
        <v>0</v>
      </c>
      <c r="BS205">
        <v>7</v>
      </c>
      <c r="BT205">
        <v>7</v>
      </c>
      <c r="BU205" s="1">
        <v>1873.48</v>
      </c>
      <c r="BV205">
        <v>0</v>
      </c>
      <c r="BW205" s="1">
        <v>1873.48</v>
      </c>
      <c r="BX205">
        <v>0</v>
      </c>
      <c r="BY205">
        <v>0</v>
      </c>
      <c r="BZ205">
        <v>0</v>
      </c>
      <c r="CA205">
        <v>0</v>
      </c>
      <c r="CB205">
        <v>980.68</v>
      </c>
      <c r="CC205" t="s">
        <v>161</v>
      </c>
    </row>
    <row r="206" spans="1:81" x14ac:dyDescent="0.25">
      <c r="A206">
        <v>345</v>
      </c>
      <c r="B206">
        <v>2</v>
      </c>
      <c r="C206">
        <v>377</v>
      </c>
      <c r="D206" t="s">
        <v>1274</v>
      </c>
      <c r="E206" t="s">
        <v>121</v>
      </c>
      <c r="F206" t="s">
        <v>1275</v>
      </c>
      <c r="G206" t="s">
        <v>1276</v>
      </c>
      <c r="H206" t="s">
        <v>1277</v>
      </c>
      <c r="I206" t="s">
        <v>125</v>
      </c>
      <c r="J206" t="s">
        <v>1278</v>
      </c>
      <c r="K206" t="s">
        <v>336</v>
      </c>
      <c r="L206" t="s">
        <v>128</v>
      </c>
      <c r="M206" t="s">
        <v>337</v>
      </c>
      <c r="N206" t="s">
        <v>1279</v>
      </c>
      <c r="O206" t="s">
        <v>131</v>
      </c>
      <c r="P206">
        <v>0</v>
      </c>
      <c r="Q206" t="s">
        <v>125</v>
      </c>
      <c r="R206">
        <v>6</v>
      </c>
      <c r="S206">
        <v>41</v>
      </c>
      <c r="T206" t="s">
        <v>132</v>
      </c>
      <c r="U206" t="s">
        <v>133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134</v>
      </c>
      <c r="AE206" t="s">
        <v>134</v>
      </c>
      <c r="AF206" s="2">
        <v>45518</v>
      </c>
      <c r="AG206" s="2">
        <v>46017</v>
      </c>
      <c r="AH206" s="1">
        <v>8075.97</v>
      </c>
      <c r="AI206" s="1">
        <v>19695.87</v>
      </c>
      <c r="AJ206" s="1">
        <v>88835.7</v>
      </c>
      <c r="AK206">
        <v>0</v>
      </c>
      <c r="AL206">
        <v>0</v>
      </c>
      <c r="AM206">
        <v>0</v>
      </c>
      <c r="AN206" t="s">
        <v>135</v>
      </c>
      <c r="AO206" t="s">
        <v>135</v>
      </c>
      <c r="AP206" t="s">
        <v>136</v>
      </c>
      <c r="AQ206" t="s">
        <v>137</v>
      </c>
      <c r="AR206" t="s">
        <v>138</v>
      </c>
      <c r="AS206" t="s">
        <v>139</v>
      </c>
      <c r="AT206" t="s">
        <v>140</v>
      </c>
      <c r="AU206">
        <v>501</v>
      </c>
      <c r="AV206">
        <v>10</v>
      </c>
      <c r="AW206">
        <v>1</v>
      </c>
      <c r="AX206" s="2">
        <v>45860</v>
      </c>
      <c r="AY206" t="s">
        <v>377</v>
      </c>
      <c r="AZ206" s="2">
        <v>46028</v>
      </c>
      <c r="BA206">
        <v>0</v>
      </c>
      <c r="BB206">
        <v>0</v>
      </c>
      <c r="BC206">
        <v>0</v>
      </c>
      <c r="BD206">
        <v>700</v>
      </c>
      <c r="BE206">
        <v>70</v>
      </c>
      <c r="BF206">
        <v>9</v>
      </c>
      <c r="BG206" s="2">
        <v>45536</v>
      </c>
      <c r="BH206" t="s">
        <v>142</v>
      </c>
      <c r="BI206" s="2">
        <v>46026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s="1">
        <v>41901.660000000003</v>
      </c>
      <c r="BQ206" s="1">
        <v>41901.660000000003</v>
      </c>
      <c r="BR206">
        <v>0</v>
      </c>
      <c r="BS206">
        <v>0</v>
      </c>
      <c r="BT206">
        <v>0</v>
      </c>
      <c r="BU206">
        <v>0</v>
      </c>
      <c r="BV206" s="1">
        <v>29846.28</v>
      </c>
      <c r="BW206" s="1">
        <v>29846.28</v>
      </c>
      <c r="BX206">
        <v>0</v>
      </c>
      <c r="BY206">
        <v>0</v>
      </c>
      <c r="BZ206">
        <v>0</v>
      </c>
      <c r="CA206">
        <v>0</v>
      </c>
      <c r="CB206" s="1">
        <v>32410.47</v>
      </c>
      <c r="CC206" t="s">
        <v>143</v>
      </c>
    </row>
    <row r="207" spans="1:81" x14ac:dyDescent="0.25">
      <c r="A207">
        <v>345</v>
      </c>
      <c r="B207">
        <v>2</v>
      </c>
      <c r="C207">
        <v>378</v>
      </c>
      <c r="D207" t="s">
        <v>1280</v>
      </c>
      <c r="E207" t="s">
        <v>121</v>
      </c>
      <c r="F207" t="s">
        <v>1281</v>
      </c>
      <c r="G207" t="s">
        <v>1282</v>
      </c>
      <c r="H207" t="s">
        <v>1283</v>
      </c>
      <c r="I207" t="s">
        <v>125</v>
      </c>
      <c r="J207" t="s">
        <v>527</v>
      </c>
      <c r="K207" t="s">
        <v>473</v>
      </c>
      <c r="L207" t="s">
        <v>128</v>
      </c>
      <c r="M207" t="s">
        <v>474</v>
      </c>
      <c r="N207" t="s">
        <v>1284</v>
      </c>
      <c r="O207" t="s">
        <v>131</v>
      </c>
      <c r="P207">
        <v>0</v>
      </c>
      <c r="Q207" t="s">
        <v>125</v>
      </c>
      <c r="R207">
        <v>6</v>
      </c>
      <c r="S207">
        <v>39</v>
      </c>
      <c r="T207" t="s">
        <v>132</v>
      </c>
      <c r="U207" t="s">
        <v>133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134</v>
      </c>
      <c r="AE207" t="s">
        <v>134</v>
      </c>
      <c r="AF207" s="2">
        <v>45518</v>
      </c>
      <c r="AG207" s="2">
        <v>46018</v>
      </c>
      <c r="AH207">
        <v>367.02</v>
      </c>
      <c r="AI207">
        <v>512.88</v>
      </c>
      <c r="AJ207" s="1">
        <v>1101.06</v>
      </c>
      <c r="AK207">
        <v>0</v>
      </c>
      <c r="AL207">
        <v>0</v>
      </c>
      <c r="AM207">
        <v>0</v>
      </c>
      <c r="AN207" t="s">
        <v>135</v>
      </c>
      <c r="AO207" t="s">
        <v>135</v>
      </c>
      <c r="AP207" t="s">
        <v>136</v>
      </c>
      <c r="AQ207" t="s">
        <v>137</v>
      </c>
      <c r="AR207" t="s">
        <v>138</v>
      </c>
      <c r="AS207" t="s">
        <v>139</v>
      </c>
      <c r="AT207" t="s">
        <v>140</v>
      </c>
      <c r="AU207">
        <v>105</v>
      </c>
      <c r="AV207">
        <v>10</v>
      </c>
      <c r="AW207">
        <v>1</v>
      </c>
      <c r="AX207" s="2">
        <v>45826</v>
      </c>
      <c r="AY207" t="s">
        <v>168</v>
      </c>
      <c r="AZ207" s="2">
        <v>46022</v>
      </c>
      <c r="BA207">
        <v>0</v>
      </c>
      <c r="BB207">
        <v>0</v>
      </c>
      <c r="BC207">
        <v>0</v>
      </c>
      <c r="BD207">
        <v>700</v>
      </c>
      <c r="BE207">
        <v>70</v>
      </c>
      <c r="BF207">
        <v>9</v>
      </c>
      <c r="BG207" s="2">
        <v>45536</v>
      </c>
      <c r="BH207" t="s">
        <v>142</v>
      </c>
      <c r="BI207" s="2">
        <v>46026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s="1">
        <v>1101.06</v>
      </c>
      <c r="BW207" s="1">
        <v>1101.06</v>
      </c>
      <c r="BX207">
        <v>0</v>
      </c>
      <c r="BY207">
        <v>0</v>
      </c>
      <c r="BZ207">
        <v>0</v>
      </c>
      <c r="CA207">
        <v>0</v>
      </c>
      <c r="CB207">
        <v>146.46</v>
      </c>
      <c r="CC207" t="s">
        <v>143</v>
      </c>
    </row>
    <row r="208" spans="1:81" x14ac:dyDescent="0.25">
      <c r="A208">
        <v>345</v>
      </c>
      <c r="B208">
        <v>2</v>
      </c>
      <c r="C208">
        <v>379</v>
      </c>
      <c r="D208" t="s">
        <v>1285</v>
      </c>
      <c r="E208" t="s">
        <v>121</v>
      </c>
      <c r="F208" t="s">
        <v>1286</v>
      </c>
      <c r="G208" t="s">
        <v>1287</v>
      </c>
      <c r="H208" t="s">
        <v>1288</v>
      </c>
      <c r="I208" t="s">
        <v>125</v>
      </c>
      <c r="J208" t="s">
        <v>126</v>
      </c>
      <c r="K208" t="s">
        <v>336</v>
      </c>
      <c r="L208" t="s">
        <v>128</v>
      </c>
      <c r="M208" t="s">
        <v>337</v>
      </c>
      <c r="N208" t="s">
        <v>1289</v>
      </c>
      <c r="O208" t="s">
        <v>131</v>
      </c>
      <c r="P208">
        <v>0</v>
      </c>
      <c r="Q208" t="s">
        <v>125</v>
      </c>
      <c r="R208">
        <v>6</v>
      </c>
      <c r="S208">
        <v>49</v>
      </c>
      <c r="T208" t="s">
        <v>132</v>
      </c>
      <c r="U208" t="s">
        <v>133</v>
      </c>
      <c r="V208" s="1">
        <v>18600</v>
      </c>
      <c r="W208">
        <v>0</v>
      </c>
      <c r="X208" s="1">
        <v>18600</v>
      </c>
      <c r="Y208">
        <v>7</v>
      </c>
      <c r="Z208">
        <v>0</v>
      </c>
      <c r="AA208">
        <v>9</v>
      </c>
      <c r="AB208">
        <v>0</v>
      </c>
      <c r="AC208">
        <v>1</v>
      </c>
      <c r="AD208" t="s">
        <v>234</v>
      </c>
      <c r="AE208" t="s">
        <v>134</v>
      </c>
      <c r="AF208" s="2">
        <v>45518</v>
      </c>
      <c r="AG208" s="2">
        <v>46017</v>
      </c>
      <c r="AH208" s="1">
        <v>9245.4599999999991</v>
      </c>
      <c r="AI208" s="1">
        <v>20068.66</v>
      </c>
      <c r="AJ208" s="1">
        <v>175663.87</v>
      </c>
      <c r="AK208">
        <v>0</v>
      </c>
      <c r="AL208">
        <v>0</v>
      </c>
      <c r="AM208">
        <v>0</v>
      </c>
      <c r="AN208" t="s">
        <v>135</v>
      </c>
      <c r="AO208" t="s">
        <v>135</v>
      </c>
      <c r="AP208" t="s">
        <v>136</v>
      </c>
      <c r="AQ208" t="s">
        <v>137</v>
      </c>
      <c r="AR208" t="s">
        <v>138</v>
      </c>
      <c r="AS208" t="s">
        <v>139</v>
      </c>
      <c r="AT208" t="s">
        <v>140</v>
      </c>
      <c r="AU208">
        <v>501</v>
      </c>
      <c r="AV208">
        <v>10</v>
      </c>
      <c r="AW208">
        <v>1</v>
      </c>
      <c r="AX208" s="2">
        <v>45860</v>
      </c>
      <c r="AY208" t="s">
        <v>377</v>
      </c>
      <c r="AZ208" s="2">
        <v>46028</v>
      </c>
      <c r="BA208">
        <v>0</v>
      </c>
      <c r="BB208">
        <v>0</v>
      </c>
      <c r="BC208">
        <v>0</v>
      </c>
      <c r="BD208">
        <v>700</v>
      </c>
      <c r="BE208">
        <v>70</v>
      </c>
      <c r="BF208">
        <v>9</v>
      </c>
      <c r="BG208" s="2">
        <v>45536</v>
      </c>
      <c r="BH208" t="s">
        <v>142</v>
      </c>
      <c r="BI208" s="2">
        <v>46026</v>
      </c>
      <c r="BJ208">
        <v>0</v>
      </c>
      <c r="BK208">
        <v>0</v>
      </c>
      <c r="BL208">
        <v>0</v>
      </c>
      <c r="BM208">
        <v>5.87</v>
      </c>
      <c r="BN208">
        <v>4.8499999999999996</v>
      </c>
      <c r="BO208" s="1">
        <v>46679.72</v>
      </c>
      <c r="BP208" s="1">
        <v>9833.85</v>
      </c>
      <c r="BQ208" s="1">
        <v>56513.57</v>
      </c>
      <c r="BR208" s="1">
        <v>10656.55</v>
      </c>
      <c r="BS208">
        <v>5.73</v>
      </c>
      <c r="BT208">
        <v>4.4800000000000004</v>
      </c>
      <c r="BU208" s="1">
        <v>51700</v>
      </c>
      <c r="BV208" s="1">
        <v>14471.18</v>
      </c>
      <c r="BW208" s="1">
        <v>66171.179999999993</v>
      </c>
      <c r="BX208">
        <v>0</v>
      </c>
      <c r="BY208">
        <v>0</v>
      </c>
      <c r="BZ208">
        <v>0</v>
      </c>
      <c r="CA208">
        <v>0</v>
      </c>
      <c r="CB208" s="1">
        <v>52516.41</v>
      </c>
      <c r="CC208" t="s">
        <v>339</v>
      </c>
    </row>
    <row r="209" spans="1:81" x14ac:dyDescent="0.25">
      <c r="A209">
        <v>345</v>
      </c>
      <c r="B209">
        <v>2</v>
      </c>
      <c r="C209">
        <v>380</v>
      </c>
      <c r="D209" t="s">
        <v>1290</v>
      </c>
      <c r="E209" t="s">
        <v>121</v>
      </c>
      <c r="F209" t="s">
        <v>1291</v>
      </c>
      <c r="G209" t="s">
        <v>1292</v>
      </c>
      <c r="H209" t="s">
        <v>1293</v>
      </c>
      <c r="I209" t="s">
        <v>125</v>
      </c>
      <c r="J209" t="s">
        <v>897</v>
      </c>
      <c r="K209" t="s">
        <v>473</v>
      </c>
      <c r="L209" t="s">
        <v>128</v>
      </c>
      <c r="M209" t="s">
        <v>474</v>
      </c>
      <c r="N209" t="s">
        <v>1294</v>
      </c>
      <c r="O209" t="s">
        <v>167</v>
      </c>
      <c r="P209">
        <v>0</v>
      </c>
      <c r="Q209" t="s">
        <v>125</v>
      </c>
      <c r="R209">
        <v>6</v>
      </c>
      <c r="S209">
        <v>36</v>
      </c>
      <c r="T209" t="s">
        <v>132</v>
      </c>
      <c r="U209" t="s">
        <v>133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234</v>
      </c>
      <c r="AE209" t="s">
        <v>234</v>
      </c>
      <c r="AF209" s="2">
        <v>45518</v>
      </c>
      <c r="AG209" s="2">
        <v>46017</v>
      </c>
      <c r="AH209" s="1">
        <v>1093.1300000000001</v>
      </c>
      <c r="AI209" s="1">
        <v>1500.14</v>
      </c>
      <c r="AJ209" s="1">
        <v>7651.95</v>
      </c>
      <c r="AK209">
        <v>0</v>
      </c>
      <c r="AL209">
        <v>0</v>
      </c>
      <c r="AM209">
        <v>0</v>
      </c>
      <c r="AN209" t="s">
        <v>135</v>
      </c>
      <c r="AO209" t="s">
        <v>135</v>
      </c>
      <c r="AP209" t="s">
        <v>136</v>
      </c>
      <c r="AQ209" t="s">
        <v>137</v>
      </c>
      <c r="AR209" t="s">
        <v>138</v>
      </c>
      <c r="AS209" t="s">
        <v>139</v>
      </c>
      <c r="AT209" t="s">
        <v>140</v>
      </c>
      <c r="AU209">
        <v>102</v>
      </c>
      <c r="AV209">
        <v>10</v>
      </c>
      <c r="AW209">
        <v>1</v>
      </c>
      <c r="AX209" s="2">
        <v>45811</v>
      </c>
      <c r="AY209" t="s">
        <v>377</v>
      </c>
      <c r="AZ209" s="2">
        <v>46028</v>
      </c>
      <c r="BA209">
        <v>0</v>
      </c>
      <c r="BB209">
        <v>0</v>
      </c>
      <c r="BC209">
        <v>0</v>
      </c>
      <c r="BD209">
        <v>700</v>
      </c>
      <c r="BE209">
        <v>70</v>
      </c>
      <c r="BF209">
        <v>9</v>
      </c>
      <c r="BG209" s="2">
        <v>45536</v>
      </c>
      <c r="BH209" t="s">
        <v>142</v>
      </c>
      <c r="BI209" s="2">
        <v>46026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667.6</v>
      </c>
      <c r="BQ209">
        <v>667.6</v>
      </c>
      <c r="BR209">
        <v>0</v>
      </c>
      <c r="BS209">
        <v>0</v>
      </c>
      <c r="BT209">
        <v>0</v>
      </c>
      <c r="BU209">
        <v>0</v>
      </c>
      <c r="BV209" s="1">
        <v>3885.67</v>
      </c>
      <c r="BW209" s="1">
        <v>3885.67</v>
      </c>
      <c r="BX209">
        <v>0</v>
      </c>
      <c r="BY209">
        <v>0</v>
      </c>
      <c r="BZ209">
        <v>0</v>
      </c>
      <c r="CA209">
        <v>0</v>
      </c>
      <c r="CB209" s="1">
        <v>2019.98</v>
      </c>
      <c r="CC209" t="s">
        <v>161</v>
      </c>
    </row>
    <row r="210" spans="1:81" x14ac:dyDescent="0.25">
      <c r="A210">
        <v>345</v>
      </c>
      <c r="B210">
        <v>2</v>
      </c>
      <c r="C210">
        <v>381</v>
      </c>
      <c r="D210" t="s">
        <v>1295</v>
      </c>
      <c r="E210" t="s">
        <v>121</v>
      </c>
      <c r="F210" t="s">
        <v>1296</v>
      </c>
      <c r="G210" t="s">
        <v>1297</v>
      </c>
      <c r="H210" t="s">
        <v>1298</v>
      </c>
      <c r="I210" t="s">
        <v>125</v>
      </c>
      <c r="J210" t="s">
        <v>126</v>
      </c>
      <c r="K210" t="s">
        <v>466</v>
      </c>
      <c r="L210" t="s">
        <v>128</v>
      </c>
      <c r="M210" t="s">
        <v>467</v>
      </c>
      <c r="N210" t="s">
        <v>1299</v>
      </c>
      <c r="O210" t="s">
        <v>131</v>
      </c>
      <c r="P210">
        <v>0</v>
      </c>
      <c r="Q210" t="s">
        <v>125</v>
      </c>
      <c r="R210">
        <v>6</v>
      </c>
      <c r="S210">
        <v>44</v>
      </c>
      <c r="T210" t="s">
        <v>132</v>
      </c>
      <c r="U210" t="s">
        <v>133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134</v>
      </c>
      <c r="AE210" t="s">
        <v>134</v>
      </c>
      <c r="AF210" s="2">
        <v>45518</v>
      </c>
      <c r="AG210" s="2">
        <v>46020</v>
      </c>
      <c r="AH210">
        <v>200.98</v>
      </c>
      <c r="AI210">
        <v>289.42</v>
      </c>
      <c r="AJ210" s="1">
        <v>2009.89</v>
      </c>
      <c r="AK210">
        <v>0</v>
      </c>
      <c r="AL210">
        <v>0</v>
      </c>
      <c r="AM210">
        <v>0</v>
      </c>
      <c r="AN210" t="s">
        <v>135</v>
      </c>
      <c r="AO210" t="s">
        <v>135</v>
      </c>
      <c r="AP210" t="s">
        <v>136</v>
      </c>
      <c r="AQ210" t="s">
        <v>137</v>
      </c>
      <c r="AR210" t="s">
        <v>138</v>
      </c>
      <c r="AS210" t="s">
        <v>150</v>
      </c>
      <c r="AT210" t="s">
        <v>140</v>
      </c>
      <c r="AU210">
        <v>105</v>
      </c>
      <c r="AV210">
        <v>10</v>
      </c>
      <c r="AW210">
        <v>1</v>
      </c>
      <c r="AX210" s="2">
        <v>45841</v>
      </c>
      <c r="AY210" t="s">
        <v>308</v>
      </c>
      <c r="AZ210" s="2">
        <v>46023</v>
      </c>
      <c r="BA210">
        <v>0</v>
      </c>
      <c r="BB210">
        <v>0</v>
      </c>
      <c r="BC210">
        <v>0</v>
      </c>
      <c r="BD210">
        <v>700</v>
      </c>
      <c r="BE210">
        <v>70</v>
      </c>
      <c r="BF210">
        <v>9</v>
      </c>
      <c r="BG210" s="2">
        <v>45536</v>
      </c>
      <c r="BH210" t="s">
        <v>142</v>
      </c>
      <c r="BI210" s="2">
        <v>46026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542.72</v>
      </c>
      <c r="BQ210">
        <v>542.72</v>
      </c>
      <c r="BR210">
        <v>0</v>
      </c>
      <c r="BS210">
        <v>0</v>
      </c>
      <c r="BT210">
        <v>0</v>
      </c>
      <c r="BU210">
        <v>0</v>
      </c>
      <c r="BV210">
        <v>902.31</v>
      </c>
      <c r="BW210">
        <v>902.31</v>
      </c>
      <c r="BX210">
        <v>0</v>
      </c>
      <c r="BY210">
        <v>0</v>
      </c>
      <c r="BZ210">
        <v>0</v>
      </c>
      <c r="CA210">
        <v>0</v>
      </c>
      <c r="CB210">
        <v>575.49</v>
      </c>
      <c r="CC210" t="s">
        <v>143</v>
      </c>
    </row>
    <row r="211" spans="1:81" x14ac:dyDescent="0.25">
      <c r="A211">
        <v>345</v>
      </c>
      <c r="B211">
        <v>2</v>
      </c>
      <c r="C211">
        <v>382</v>
      </c>
      <c r="D211" t="s">
        <v>1300</v>
      </c>
      <c r="E211" t="s">
        <v>121</v>
      </c>
      <c r="F211" t="s">
        <v>1301</v>
      </c>
      <c r="G211" t="s">
        <v>1302</v>
      </c>
      <c r="H211" t="s">
        <v>1303</v>
      </c>
      <c r="I211" t="s">
        <v>1304</v>
      </c>
      <c r="J211" t="s">
        <v>126</v>
      </c>
      <c r="K211" t="s">
        <v>473</v>
      </c>
      <c r="L211" t="s">
        <v>128</v>
      </c>
      <c r="M211" t="s">
        <v>474</v>
      </c>
      <c r="N211" t="s">
        <v>1305</v>
      </c>
      <c r="O211" t="s">
        <v>195</v>
      </c>
      <c r="P211">
        <v>0</v>
      </c>
      <c r="Q211" t="s">
        <v>125</v>
      </c>
      <c r="R211">
        <v>6</v>
      </c>
      <c r="S211">
        <v>36</v>
      </c>
      <c r="T211" t="s">
        <v>132</v>
      </c>
      <c r="U211" t="s">
        <v>133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134</v>
      </c>
      <c r="AE211" t="s">
        <v>134</v>
      </c>
      <c r="AF211" s="2">
        <v>45518</v>
      </c>
      <c r="AG211" s="2">
        <v>46008</v>
      </c>
      <c r="AH211">
        <v>195.3</v>
      </c>
      <c r="AI211">
        <v>301.08</v>
      </c>
      <c r="AJ211">
        <v>585.91</v>
      </c>
      <c r="AK211">
        <v>0</v>
      </c>
      <c r="AL211">
        <v>0</v>
      </c>
      <c r="AM211">
        <v>0</v>
      </c>
      <c r="AN211" t="s">
        <v>135</v>
      </c>
      <c r="AO211" t="s">
        <v>135</v>
      </c>
      <c r="AP211" t="s">
        <v>136</v>
      </c>
      <c r="AQ211" t="s">
        <v>137</v>
      </c>
      <c r="AR211" t="s">
        <v>138</v>
      </c>
      <c r="AS211" t="s">
        <v>139</v>
      </c>
      <c r="AT211" t="s">
        <v>140</v>
      </c>
      <c r="AU211">
        <v>105</v>
      </c>
      <c r="AV211">
        <v>10</v>
      </c>
      <c r="AW211">
        <v>1</v>
      </c>
      <c r="AX211" s="2">
        <v>45811</v>
      </c>
      <c r="AY211" t="s">
        <v>377</v>
      </c>
      <c r="AZ211" s="2">
        <v>46028</v>
      </c>
      <c r="BA211">
        <v>0</v>
      </c>
      <c r="BB211">
        <v>0</v>
      </c>
      <c r="BC211">
        <v>0</v>
      </c>
      <c r="BD211">
        <v>700</v>
      </c>
      <c r="BE211">
        <v>70</v>
      </c>
      <c r="BF211">
        <v>9</v>
      </c>
      <c r="BG211" s="2">
        <v>45536</v>
      </c>
      <c r="BH211" t="s">
        <v>142</v>
      </c>
      <c r="BI211" s="2">
        <v>46026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212.95</v>
      </c>
      <c r="BQ211">
        <v>212.95</v>
      </c>
      <c r="BR211">
        <v>0</v>
      </c>
      <c r="BS211">
        <v>0</v>
      </c>
      <c r="BT211">
        <v>0</v>
      </c>
      <c r="BU211">
        <v>0</v>
      </c>
      <c r="BV211">
        <v>71.88</v>
      </c>
      <c r="BW211">
        <v>71.88</v>
      </c>
      <c r="BX211">
        <v>0</v>
      </c>
      <c r="BY211">
        <v>0</v>
      </c>
      <c r="BZ211">
        <v>0</v>
      </c>
      <c r="CA211">
        <v>0</v>
      </c>
      <c r="CB211">
        <v>255.39</v>
      </c>
      <c r="CC211" t="s">
        <v>161</v>
      </c>
    </row>
    <row r="212" spans="1:81" x14ac:dyDescent="0.25">
      <c r="A212">
        <v>345</v>
      </c>
      <c r="B212">
        <v>2</v>
      </c>
      <c r="C212">
        <v>383</v>
      </c>
      <c r="D212" t="s">
        <v>1306</v>
      </c>
      <c r="E212" t="s">
        <v>121</v>
      </c>
      <c r="F212" t="s">
        <v>1307</v>
      </c>
      <c r="G212" t="s">
        <v>1308</v>
      </c>
      <c r="H212" t="s">
        <v>1309</v>
      </c>
      <c r="I212" t="s">
        <v>125</v>
      </c>
      <c r="J212" t="s">
        <v>1144</v>
      </c>
      <c r="K212" t="s">
        <v>473</v>
      </c>
      <c r="L212" t="s">
        <v>128</v>
      </c>
      <c r="M212" t="s">
        <v>474</v>
      </c>
      <c r="N212" t="s">
        <v>1310</v>
      </c>
      <c r="O212" t="s">
        <v>131</v>
      </c>
      <c r="P212">
        <v>0</v>
      </c>
      <c r="Q212" t="s">
        <v>125</v>
      </c>
      <c r="R212">
        <v>6</v>
      </c>
      <c r="S212">
        <v>42</v>
      </c>
      <c r="T212" t="s">
        <v>132</v>
      </c>
      <c r="U212" t="s">
        <v>133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134</v>
      </c>
      <c r="AE212" t="s">
        <v>134</v>
      </c>
      <c r="AF212" s="2">
        <v>45518</v>
      </c>
      <c r="AG212" s="2">
        <v>46021</v>
      </c>
      <c r="AH212" s="1">
        <v>1620.06</v>
      </c>
      <c r="AI212" s="1">
        <v>2542.54</v>
      </c>
      <c r="AJ212" s="1">
        <v>21060.78</v>
      </c>
      <c r="AK212" s="1">
        <v>1761.86</v>
      </c>
      <c r="AL212">
        <v>0</v>
      </c>
      <c r="AM212">
        <v>0</v>
      </c>
      <c r="AN212" t="s">
        <v>135</v>
      </c>
      <c r="AO212" t="s">
        <v>135</v>
      </c>
      <c r="AP212" t="s">
        <v>136</v>
      </c>
      <c r="AQ212" t="s">
        <v>137</v>
      </c>
      <c r="AR212" t="s">
        <v>138</v>
      </c>
      <c r="AS212" t="s">
        <v>139</v>
      </c>
      <c r="AT212" t="s">
        <v>140</v>
      </c>
      <c r="AU212">
        <v>105</v>
      </c>
      <c r="AV212">
        <v>10</v>
      </c>
      <c r="AW212">
        <v>1</v>
      </c>
      <c r="AX212" s="2">
        <v>45810</v>
      </c>
      <c r="AY212" t="s">
        <v>141</v>
      </c>
      <c r="AZ212" s="2">
        <v>46027</v>
      </c>
      <c r="BA212">
        <v>0</v>
      </c>
      <c r="BB212">
        <v>0</v>
      </c>
      <c r="BC212">
        <v>0</v>
      </c>
      <c r="BD212">
        <v>700</v>
      </c>
      <c r="BE212">
        <v>70</v>
      </c>
      <c r="BF212">
        <v>9</v>
      </c>
      <c r="BG212" s="2">
        <v>45536</v>
      </c>
      <c r="BH212" t="s">
        <v>142</v>
      </c>
      <c r="BI212" s="2">
        <v>46026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s="1">
        <v>4727.68</v>
      </c>
      <c r="BQ212" s="1">
        <v>4727.68</v>
      </c>
      <c r="BR212">
        <v>0</v>
      </c>
      <c r="BS212">
        <v>0</v>
      </c>
      <c r="BT212">
        <v>0</v>
      </c>
      <c r="BU212">
        <v>0</v>
      </c>
      <c r="BV212" s="1">
        <v>8933.4</v>
      </c>
      <c r="BW212" s="1">
        <v>8933.4</v>
      </c>
      <c r="BX212">
        <v>0</v>
      </c>
      <c r="BY212">
        <v>0</v>
      </c>
      <c r="BZ212">
        <v>0</v>
      </c>
      <c r="CA212">
        <v>0</v>
      </c>
      <c r="CB212" s="1">
        <v>6555.52</v>
      </c>
      <c r="CC212" t="s">
        <v>143</v>
      </c>
    </row>
    <row r="213" spans="1:81" x14ac:dyDescent="0.25">
      <c r="A213">
        <v>345</v>
      </c>
      <c r="B213">
        <v>2</v>
      </c>
      <c r="C213">
        <v>384</v>
      </c>
      <c r="D213" t="s">
        <v>1311</v>
      </c>
      <c r="E213" t="s">
        <v>121</v>
      </c>
      <c r="F213" t="s">
        <v>1312</v>
      </c>
      <c r="G213" t="s">
        <v>1313</v>
      </c>
      <c r="H213" t="s">
        <v>1314</v>
      </c>
      <c r="I213" t="s">
        <v>125</v>
      </c>
      <c r="J213" t="s">
        <v>606</v>
      </c>
      <c r="K213" t="s">
        <v>336</v>
      </c>
      <c r="L213" t="s">
        <v>128</v>
      </c>
      <c r="M213" t="s">
        <v>337</v>
      </c>
      <c r="N213" t="s">
        <v>1315</v>
      </c>
      <c r="O213" t="s">
        <v>167</v>
      </c>
      <c r="P213">
        <v>0</v>
      </c>
      <c r="Q213" t="s">
        <v>125</v>
      </c>
      <c r="R213">
        <v>6</v>
      </c>
      <c r="S213">
        <v>37</v>
      </c>
      <c r="T213" t="s">
        <v>132</v>
      </c>
      <c r="U213" t="s">
        <v>133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134</v>
      </c>
      <c r="AE213" t="s">
        <v>134</v>
      </c>
      <c r="AF213" s="2">
        <v>45518</v>
      </c>
      <c r="AG213" s="2">
        <v>46017</v>
      </c>
      <c r="AH213">
        <v>874.6</v>
      </c>
      <c r="AI213" s="1">
        <v>1105.69</v>
      </c>
      <c r="AJ213" s="1">
        <v>11369.83</v>
      </c>
      <c r="AK213">
        <v>0</v>
      </c>
      <c r="AL213">
        <v>0</v>
      </c>
      <c r="AM213">
        <v>0</v>
      </c>
      <c r="AN213" t="s">
        <v>135</v>
      </c>
      <c r="AO213" t="s">
        <v>135</v>
      </c>
      <c r="AP213" t="s">
        <v>136</v>
      </c>
      <c r="AQ213" t="s">
        <v>137</v>
      </c>
      <c r="AR213" t="s">
        <v>138</v>
      </c>
      <c r="AS213" t="s">
        <v>139</v>
      </c>
      <c r="AT213" t="s">
        <v>140</v>
      </c>
      <c r="AU213">
        <v>101</v>
      </c>
      <c r="AV213">
        <v>10</v>
      </c>
      <c r="AW213">
        <v>1</v>
      </c>
      <c r="AX213" s="2">
        <v>45812</v>
      </c>
      <c r="AY213" t="s">
        <v>168</v>
      </c>
      <c r="AZ213" s="2">
        <v>46022</v>
      </c>
      <c r="BA213">
        <v>0</v>
      </c>
      <c r="BB213">
        <v>0</v>
      </c>
      <c r="BC213">
        <v>0</v>
      </c>
      <c r="BD213">
        <v>700</v>
      </c>
      <c r="BE213">
        <v>70</v>
      </c>
      <c r="BF213">
        <v>9</v>
      </c>
      <c r="BG213" s="2">
        <v>45536</v>
      </c>
      <c r="BH213" t="s">
        <v>142</v>
      </c>
      <c r="BI213" s="2">
        <v>46026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s="1">
        <v>3529.62</v>
      </c>
      <c r="BQ213" s="1">
        <v>3529.62</v>
      </c>
      <c r="BR213">
        <v>0</v>
      </c>
      <c r="BS213">
        <v>0</v>
      </c>
      <c r="BT213">
        <v>0</v>
      </c>
      <c r="BU213">
        <v>0</v>
      </c>
      <c r="BV213" s="1">
        <v>3736</v>
      </c>
      <c r="BW213" s="1">
        <v>3736</v>
      </c>
      <c r="BX213">
        <v>0</v>
      </c>
      <c r="BY213">
        <v>0</v>
      </c>
      <c r="BZ213">
        <v>0</v>
      </c>
      <c r="CA213">
        <v>0</v>
      </c>
      <c r="CB213" s="1">
        <v>3579.48</v>
      </c>
      <c r="CC213" t="s">
        <v>161</v>
      </c>
    </row>
    <row r="214" spans="1:81" x14ac:dyDescent="0.25">
      <c r="A214">
        <v>345</v>
      </c>
      <c r="B214">
        <v>2</v>
      </c>
      <c r="C214">
        <v>385</v>
      </c>
      <c r="D214" t="s">
        <v>1316</v>
      </c>
      <c r="E214" t="s">
        <v>121</v>
      </c>
      <c r="F214" t="s">
        <v>1317</v>
      </c>
      <c r="G214" t="s">
        <v>1318</v>
      </c>
      <c r="H214" t="s">
        <v>1319</v>
      </c>
      <c r="I214" t="s">
        <v>125</v>
      </c>
      <c r="J214" t="s">
        <v>126</v>
      </c>
      <c r="K214" t="s">
        <v>473</v>
      </c>
      <c r="L214" t="s">
        <v>128</v>
      </c>
      <c r="M214" t="s">
        <v>474</v>
      </c>
      <c r="N214" t="s">
        <v>1320</v>
      </c>
      <c r="O214" t="s">
        <v>131</v>
      </c>
      <c r="P214">
        <v>0</v>
      </c>
      <c r="Q214" t="s">
        <v>125</v>
      </c>
      <c r="R214">
        <v>6</v>
      </c>
      <c r="S214">
        <v>44</v>
      </c>
      <c r="T214" t="s">
        <v>132</v>
      </c>
      <c r="U214" t="s">
        <v>133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134</v>
      </c>
      <c r="AE214" t="s">
        <v>134</v>
      </c>
      <c r="AF214" s="2">
        <v>45518</v>
      </c>
      <c r="AG214" s="2">
        <v>46017</v>
      </c>
      <c r="AH214">
        <v>916.38</v>
      </c>
      <c r="AI214" s="1">
        <v>1585.48</v>
      </c>
      <c r="AJ214" s="1">
        <v>5498.28</v>
      </c>
      <c r="AK214">
        <v>0</v>
      </c>
      <c r="AL214">
        <v>0</v>
      </c>
      <c r="AM214">
        <v>0</v>
      </c>
      <c r="AN214" t="s">
        <v>135</v>
      </c>
      <c r="AO214" t="s">
        <v>135</v>
      </c>
      <c r="AP214" t="s">
        <v>136</v>
      </c>
      <c r="AQ214" t="s">
        <v>137</v>
      </c>
      <c r="AR214" t="s">
        <v>138</v>
      </c>
      <c r="AS214" t="s">
        <v>150</v>
      </c>
      <c r="AT214" t="s">
        <v>140</v>
      </c>
      <c r="AU214">
        <v>105</v>
      </c>
      <c r="AV214">
        <v>10</v>
      </c>
      <c r="AW214">
        <v>1</v>
      </c>
      <c r="AX214" s="2">
        <v>45811</v>
      </c>
      <c r="AY214" t="s">
        <v>377</v>
      </c>
      <c r="AZ214" s="2">
        <v>46028</v>
      </c>
      <c r="BA214">
        <v>0</v>
      </c>
      <c r="BB214">
        <v>0</v>
      </c>
      <c r="BC214">
        <v>0</v>
      </c>
      <c r="BD214">
        <v>700</v>
      </c>
      <c r="BE214">
        <v>70</v>
      </c>
      <c r="BF214">
        <v>9</v>
      </c>
      <c r="BG214" s="2">
        <v>45536</v>
      </c>
      <c r="BH214" t="s">
        <v>142</v>
      </c>
      <c r="BI214" s="2">
        <v>46026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s="1">
        <v>1585.48</v>
      </c>
      <c r="BQ214" s="1">
        <v>1585.48</v>
      </c>
      <c r="BR214">
        <v>0</v>
      </c>
      <c r="BS214">
        <v>0</v>
      </c>
      <c r="BT214">
        <v>0</v>
      </c>
      <c r="BU214">
        <v>0</v>
      </c>
      <c r="BV214" s="1">
        <v>1785.62</v>
      </c>
      <c r="BW214" s="1">
        <v>1785.62</v>
      </c>
      <c r="BX214">
        <v>0</v>
      </c>
      <c r="BY214">
        <v>0</v>
      </c>
      <c r="BZ214">
        <v>0</v>
      </c>
      <c r="CA214">
        <v>0</v>
      </c>
      <c r="CB214" s="1">
        <v>1237.55</v>
      </c>
      <c r="CC214" t="s">
        <v>143</v>
      </c>
    </row>
    <row r="215" spans="1:81" x14ac:dyDescent="0.25">
      <c r="A215">
        <v>345</v>
      </c>
      <c r="B215">
        <v>2</v>
      </c>
      <c r="C215">
        <v>386</v>
      </c>
      <c r="D215" t="s">
        <v>1321</v>
      </c>
      <c r="E215" t="s">
        <v>121</v>
      </c>
      <c r="F215" t="s">
        <v>1322</v>
      </c>
      <c r="G215" t="s">
        <v>1323</v>
      </c>
      <c r="H215" t="s">
        <v>1324</v>
      </c>
      <c r="I215" t="s">
        <v>125</v>
      </c>
      <c r="J215" t="s">
        <v>688</v>
      </c>
      <c r="K215" t="s">
        <v>336</v>
      </c>
      <c r="L215" t="s">
        <v>128</v>
      </c>
      <c r="M215" t="s">
        <v>1325</v>
      </c>
      <c r="N215" t="s">
        <v>1326</v>
      </c>
      <c r="O215" t="s">
        <v>131</v>
      </c>
      <c r="P215">
        <v>0</v>
      </c>
      <c r="Q215" t="s">
        <v>125</v>
      </c>
      <c r="R215">
        <v>6</v>
      </c>
      <c r="S215">
        <v>40</v>
      </c>
      <c r="T215" t="s">
        <v>132</v>
      </c>
      <c r="U215" t="s">
        <v>133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134</v>
      </c>
      <c r="AE215" t="s">
        <v>134</v>
      </c>
      <c r="AF215" s="2">
        <v>45518</v>
      </c>
      <c r="AG215" s="2">
        <v>46020</v>
      </c>
      <c r="AH215">
        <v>731.57</v>
      </c>
      <c r="AI215" s="1">
        <v>2035.64</v>
      </c>
      <c r="AJ215" s="1">
        <v>6584.16</v>
      </c>
      <c r="AK215">
        <v>0</v>
      </c>
      <c r="AL215">
        <v>0</v>
      </c>
      <c r="AM215">
        <v>0</v>
      </c>
      <c r="AN215" t="s">
        <v>135</v>
      </c>
      <c r="AO215" t="s">
        <v>135</v>
      </c>
      <c r="AP215" t="s">
        <v>136</v>
      </c>
      <c r="AQ215" t="s">
        <v>137</v>
      </c>
      <c r="AR215" t="s">
        <v>138</v>
      </c>
      <c r="AS215" t="s">
        <v>139</v>
      </c>
      <c r="AT215" t="s">
        <v>140</v>
      </c>
      <c r="AU215">
        <v>102</v>
      </c>
      <c r="AV215">
        <v>10</v>
      </c>
      <c r="AW215">
        <v>1</v>
      </c>
      <c r="AX215" s="2">
        <v>45814</v>
      </c>
      <c r="AY215" t="s">
        <v>151</v>
      </c>
      <c r="AZ215" s="2">
        <v>46024</v>
      </c>
      <c r="BA215">
        <v>0</v>
      </c>
      <c r="BB215">
        <v>0</v>
      </c>
      <c r="BC215">
        <v>0</v>
      </c>
      <c r="BD215">
        <v>700</v>
      </c>
      <c r="BE215">
        <v>70</v>
      </c>
      <c r="BF215">
        <v>9</v>
      </c>
      <c r="BG215" s="2">
        <v>45536</v>
      </c>
      <c r="BH215" t="s">
        <v>142</v>
      </c>
      <c r="BI215" s="2">
        <v>46026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s="1">
        <v>3539.61</v>
      </c>
      <c r="BQ215" s="1">
        <v>3539.61</v>
      </c>
      <c r="BR215">
        <v>0</v>
      </c>
      <c r="BS215">
        <v>0</v>
      </c>
      <c r="BT215">
        <v>0</v>
      </c>
      <c r="BU215">
        <v>0</v>
      </c>
      <c r="BV215" s="1">
        <v>2716.47</v>
      </c>
      <c r="BW215" s="1">
        <v>2716.47</v>
      </c>
      <c r="BX215">
        <v>0</v>
      </c>
      <c r="BY215">
        <v>0</v>
      </c>
      <c r="BZ215">
        <v>0</v>
      </c>
      <c r="CA215">
        <v>0</v>
      </c>
      <c r="CB215" s="1">
        <v>2080.5100000000002</v>
      </c>
      <c r="CC215" t="s">
        <v>143</v>
      </c>
    </row>
    <row r="216" spans="1:81" x14ac:dyDescent="0.25">
      <c r="A216">
        <v>345</v>
      </c>
      <c r="B216">
        <v>2</v>
      </c>
      <c r="C216">
        <v>387</v>
      </c>
      <c r="D216" t="s">
        <v>1327</v>
      </c>
      <c r="E216" t="s">
        <v>121</v>
      </c>
      <c r="F216" t="s">
        <v>1328</v>
      </c>
      <c r="G216" t="s">
        <v>1329</v>
      </c>
      <c r="H216" t="s">
        <v>1330</v>
      </c>
      <c r="I216" t="s">
        <v>125</v>
      </c>
      <c r="J216" t="s">
        <v>126</v>
      </c>
      <c r="K216" t="s">
        <v>466</v>
      </c>
      <c r="L216" t="s">
        <v>128</v>
      </c>
      <c r="M216" t="s">
        <v>467</v>
      </c>
      <c r="N216" t="s">
        <v>1331</v>
      </c>
      <c r="O216" t="s">
        <v>131</v>
      </c>
      <c r="P216">
        <v>0</v>
      </c>
      <c r="Q216" t="s">
        <v>125</v>
      </c>
      <c r="R216">
        <v>6</v>
      </c>
      <c r="S216">
        <v>44</v>
      </c>
      <c r="T216" t="s">
        <v>132</v>
      </c>
      <c r="U216" t="s">
        <v>133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234</v>
      </c>
      <c r="AE216" t="s">
        <v>134</v>
      </c>
      <c r="AF216" s="2">
        <v>45518</v>
      </c>
      <c r="AG216" s="2">
        <v>46004</v>
      </c>
      <c r="AH216">
        <v>419.5</v>
      </c>
      <c r="AI216">
        <v>584.85</v>
      </c>
      <c r="AJ216" s="1">
        <v>2936.56</v>
      </c>
      <c r="AK216">
        <v>0</v>
      </c>
      <c r="AL216">
        <v>0</v>
      </c>
      <c r="AM216">
        <v>0</v>
      </c>
      <c r="AN216" t="s">
        <v>135</v>
      </c>
      <c r="AO216" t="s">
        <v>135</v>
      </c>
      <c r="AP216" t="s">
        <v>136</v>
      </c>
      <c r="AQ216" t="s">
        <v>137</v>
      </c>
      <c r="AR216" t="s">
        <v>138</v>
      </c>
      <c r="AS216" t="s">
        <v>150</v>
      </c>
      <c r="AT216" t="s">
        <v>140</v>
      </c>
      <c r="AU216">
        <v>105</v>
      </c>
      <c r="AV216">
        <v>10</v>
      </c>
      <c r="AW216">
        <v>1</v>
      </c>
      <c r="AX216" s="2">
        <v>45842</v>
      </c>
      <c r="AY216" t="s">
        <v>151</v>
      </c>
      <c r="AZ216" s="2">
        <v>46024</v>
      </c>
      <c r="BA216">
        <v>0</v>
      </c>
      <c r="BB216">
        <v>0</v>
      </c>
      <c r="BC216">
        <v>0</v>
      </c>
      <c r="BD216">
        <v>700</v>
      </c>
      <c r="BE216">
        <v>70</v>
      </c>
      <c r="BF216">
        <v>9</v>
      </c>
      <c r="BG216" s="2">
        <v>45536</v>
      </c>
      <c r="BH216" t="s">
        <v>142</v>
      </c>
      <c r="BI216" s="2">
        <v>46026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s="1">
        <v>2014.86</v>
      </c>
      <c r="BQ216" s="1">
        <v>2014.86</v>
      </c>
      <c r="BR216">
        <v>0</v>
      </c>
      <c r="BS216">
        <v>0</v>
      </c>
      <c r="BT216">
        <v>0</v>
      </c>
      <c r="BU216">
        <v>0</v>
      </c>
      <c r="BV216">
        <v>221.2</v>
      </c>
      <c r="BW216">
        <v>221.2</v>
      </c>
      <c r="BX216">
        <v>0</v>
      </c>
      <c r="BY216">
        <v>0</v>
      </c>
      <c r="BZ216">
        <v>0</v>
      </c>
      <c r="CA216">
        <v>0</v>
      </c>
      <c r="CB216" s="1">
        <v>1224.8</v>
      </c>
      <c r="CC216" t="s">
        <v>143</v>
      </c>
    </row>
    <row r="217" spans="1:81" x14ac:dyDescent="0.25">
      <c r="A217">
        <v>345</v>
      </c>
      <c r="B217">
        <v>2</v>
      </c>
      <c r="C217">
        <v>388</v>
      </c>
      <c r="D217" t="s">
        <v>1332</v>
      </c>
      <c r="E217" t="s">
        <v>121</v>
      </c>
      <c r="F217" t="s">
        <v>1333</v>
      </c>
      <c r="G217" t="s">
        <v>1334</v>
      </c>
      <c r="H217" t="s">
        <v>1335</v>
      </c>
      <c r="I217" t="s">
        <v>125</v>
      </c>
      <c r="J217" t="s">
        <v>126</v>
      </c>
      <c r="K217" t="s">
        <v>466</v>
      </c>
      <c r="L217" t="s">
        <v>128</v>
      </c>
      <c r="M217" t="s">
        <v>467</v>
      </c>
      <c r="N217" t="s">
        <v>1336</v>
      </c>
      <c r="O217" t="s">
        <v>131</v>
      </c>
      <c r="P217">
        <v>0</v>
      </c>
      <c r="Q217" t="s">
        <v>125</v>
      </c>
      <c r="R217">
        <v>3</v>
      </c>
      <c r="S217">
        <v>86</v>
      </c>
      <c r="T217" t="s">
        <v>132</v>
      </c>
      <c r="U217" t="s">
        <v>133</v>
      </c>
      <c r="V217" s="1">
        <v>11200</v>
      </c>
      <c r="W217">
        <v>0</v>
      </c>
      <c r="X217" s="1">
        <v>11200</v>
      </c>
      <c r="Y217">
        <v>7</v>
      </c>
      <c r="Z217">
        <v>0</v>
      </c>
      <c r="AA217">
        <v>0</v>
      </c>
      <c r="AB217">
        <v>0</v>
      </c>
      <c r="AC217">
        <v>0</v>
      </c>
      <c r="AD217" t="s">
        <v>234</v>
      </c>
      <c r="AE217" t="s">
        <v>134</v>
      </c>
      <c r="AF217" s="2">
        <v>45518</v>
      </c>
      <c r="AG217" s="2">
        <v>46009</v>
      </c>
      <c r="AH217" s="1">
        <v>7163.4</v>
      </c>
      <c r="AI217" s="1">
        <v>21770.99</v>
      </c>
      <c r="AJ217" s="1">
        <v>85960.81</v>
      </c>
      <c r="AK217">
        <v>0</v>
      </c>
      <c r="AL217">
        <v>0</v>
      </c>
      <c r="AM217">
        <v>0</v>
      </c>
      <c r="AN217" t="s">
        <v>135</v>
      </c>
      <c r="AO217" t="s">
        <v>135</v>
      </c>
      <c r="AP217" t="s">
        <v>136</v>
      </c>
      <c r="AQ217" t="s">
        <v>137</v>
      </c>
      <c r="AR217" t="s">
        <v>138</v>
      </c>
      <c r="AS217" t="s">
        <v>150</v>
      </c>
      <c r="AT217" t="s">
        <v>140</v>
      </c>
      <c r="AU217">
        <v>501</v>
      </c>
      <c r="AV217">
        <v>10</v>
      </c>
      <c r="AW217">
        <v>1</v>
      </c>
      <c r="AX217" s="2">
        <v>45854</v>
      </c>
      <c r="AY217" t="s">
        <v>168</v>
      </c>
      <c r="AZ217" s="2">
        <v>46022</v>
      </c>
      <c r="BA217">
        <v>0</v>
      </c>
      <c r="BB217">
        <v>0</v>
      </c>
      <c r="BC217">
        <v>0</v>
      </c>
      <c r="BD217">
        <v>700</v>
      </c>
      <c r="BE217">
        <v>70</v>
      </c>
      <c r="BF217">
        <v>9</v>
      </c>
      <c r="BG217" s="2">
        <v>45536</v>
      </c>
      <c r="BH217" t="s">
        <v>142</v>
      </c>
      <c r="BI217" s="2">
        <v>46026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s="1">
        <v>29532.47</v>
      </c>
      <c r="BQ217" s="1">
        <v>29532.47</v>
      </c>
      <c r="BR217">
        <v>0</v>
      </c>
      <c r="BS217">
        <v>0</v>
      </c>
      <c r="BT217">
        <v>0</v>
      </c>
      <c r="BU217">
        <v>0</v>
      </c>
      <c r="BV217" s="1">
        <v>36949.65</v>
      </c>
      <c r="BW217" s="1">
        <v>36949.65</v>
      </c>
      <c r="BX217">
        <v>0</v>
      </c>
      <c r="BY217">
        <v>0</v>
      </c>
      <c r="BZ217">
        <v>0</v>
      </c>
      <c r="CA217">
        <v>0</v>
      </c>
      <c r="CB217" s="1">
        <v>23020.19</v>
      </c>
      <c r="CC217" t="s">
        <v>143</v>
      </c>
    </row>
    <row r="218" spans="1:81" x14ac:dyDescent="0.25">
      <c r="A218">
        <v>345</v>
      </c>
      <c r="B218">
        <v>2</v>
      </c>
      <c r="C218">
        <v>390</v>
      </c>
      <c r="D218" t="s">
        <v>1337</v>
      </c>
      <c r="E218" t="s">
        <v>121</v>
      </c>
      <c r="F218" t="s">
        <v>1338</v>
      </c>
      <c r="G218" t="s">
        <v>1339</v>
      </c>
      <c r="H218" t="s">
        <v>629</v>
      </c>
      <c r="I218" t="s">
        <v>125</v>
      </c>
      <c r="J218" t="s">
        <v>630</v>
      </c>
      <c r="K218" t="s">
        <v>336</v>
      </c>
      <c r="L218" t="s">
        <v>128</v>
      </c>
      <c r="M218" t="s">
        <v>337</v>
      </c>
      <c r="N218" t="s">
        <v>1340</v>
      </c>
      <c r="O218" t="s">
        <v>131</v>
      </c>
      <c r="P218">
        <v>0</v>
      </c>
      <c r="Q218" t="s">
        <v>125</v>
      </c>
      <c r="R218">
        <v>6</v>
      </c>
      <c r="S218">
        <v>39</v>
      </c>
      <c r="T218" t="s">
        <v>132</v>
      </c>
      <c r="U218" t="s">
        <v>133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134</v>
      </c>
      <c r="AE218" t="s">
        <v>134</v>
      </c>
      <c r="AF218" s="2">
        <v>45518</v>
      </c>
      <c r="AG218" s="2">
        <v>45951</v>
      </c>
      <c r="AH218">
        <v>331.22</v>
      </c>
      <c r="AI218">
        <v>383.68</v>
      </c>
      <c r="AJ218">
        <v>662.44</v>
      </c>
      <c r="AK218">
        <v>0</v>
      </c>
      <c r="AL218">
        <v>0</v>
      </c>
      <c r="AM218">
        <v>0</v>
      </c>
      <c r="AN218" t="s">
        <v>135</v>
      </c>
      <c r="AO218" t="s">
        <v>135</v>
      </c>
      <c r="AP218" t="s">
        <v>136</v>
      </c>
      <c r="AQ218" t="s">
        <v>137</v>
      </c>
      <c r="AR218" t="s">
        <v>138</v>
      </c>
      <c r="AS218" t="s">
        <v>139</v>
      </c>
      <c r="AT218" t="s">
        <v>140</v>
      </c>
      <c r="AU218">
        <v>104</v>
      </c>
      <c r="AV218">
        <v>10</v>
      </c>
      <c r="AW218">
        <v>1</v>
      </c>
      <c r="AX218" s="2">
        <v>45537</v>
      </c>
      <c r="AY218" t="s">
        <v>141</v>
      </c>
      <c r="AZ218" s="2">
        <v>46027</v>
      </c>
      <c r="BA218">
        <v>0</v>
      </c>
      <c r="BB218">
        <v>0</v>
      </c>
      <c r="BC218">
        <v>0</v>
      </c>
      <c r="BD218">
        <v>700</v>
      </c>
      <c r="BE218">
        <v>70</v>
      </c>
      <c r="BF218">
        <v>9</v>
      </c>
      <c r="BG218" s="2">
        <v>45536</v>
      </c>
      <c r="BH218" t="s">
        <v>142</v>
      </c>
      <c r="BI218" s="2">
        <v>46026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573.49</v>
      </c>
      <c r="CC218" t="s">
        <v>143</v>
      </c>
    </row>
    <row r="219" spans="1:81" x14ac:dyDescent="0.25">
      <c r="A219">
        <v>345</v>
      </c>
      <c r="B219">
        <v>2</v>
      </c>
      <c r="C219">
        <v>392</v>
      </c>
      <c r="D219" t="s">
        <v>1341</v>
      </c>
      <c r="E219" t="s">
        <v>121</v>
      </c>
      <c r="F219" t="s">
        <v>1342</v>
      </c>
      <c r="G219" t="s">
        <v>1343</v>
      </c>
      <c r="H219" t="s">
        <v>1344</v>
      </c>
      <c r="I219" t="s">
        <v>125</v>
      </c>
      <c r="J219" t="s">
        <v>126</v>
      </c>
      <c r="K219" t="s">
        <v>473</v>
      </c>
      <c r="L219" t="s">
        <v>128</v>
      </c>
      <c r="M219" t="s">
        <v>474</v>
      </c>
      <c r="N219" t="s">
        <v>1345</v>
      </c>
      <c r="O219" t="s">
        <v>167</v>
      </c>
      <c r="P219">
        <v>0</v>
      </c>
      <c r="Q219" t="s">
        <v>125</v>
      </c>
      <c r="R219">
        <v>6</v>
      </c>
      <c r="S219">
        <v>36</v>
      </c>
      <c r="T219" t="s">
        <v>132</v>
      </c>
      <c r="U219" t="s">
        <v>133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134</v>
      </c>
      <c r="AE219" t="s">
        <v>134</v>
      </c>
      <c r="AF219" s="2">
        <v>45518</v>
      </c>
      <c r="AG219" s="2">
        <v>46018</v>
      </c>
      <c r="AH219">
        <v>527.41999999999996</v>
      </c>
      <c r="AI219">
        <v>721.5</v>
      </c>
      <c r="AJ219" s="1">
        <v>5801.72</v>
      </c>
      <c r="AK219">
        <v>0</v>
      </c>
      <c r="AL219">
        <v>0</v>
      </c>
      <c r="AM219">
        <v>0</v>
      </c>
      <c r="AN219" t="s">
        <v>135</v>
      </c>
      <c r="AO219" t="s">
        <v>135</v>
      </c>
      <c r="AP219" t="s">
        <v>136</v>
      </c>
      <c r="AQ219" t="s">
        <v>137</v>
      </c>
      <c r="AR219" t="s">
        <v>138</v>
      </c>
      <c r="AS219" t="s">
        <v>139</v>
      </c>
      <c r="AT219" t="s">
        <v>140</v>
      </c>
      <c r="AU219">
        <v>105</v>
      </c>
      <c r="AV219">
        <v>10</v>
      </c>
      <c r="AW219">
        <v>1</v>
      </c>
      <c r="AX219" s="2">
        <v>45812</v>
      </c>
      <c r="AY219" t="s">
        <v>168</v>
      </c>
      <c r="AZ219" s="2">
        <v>46022</v>
      </c>
      <c r="BA219">
        <v>0</v>
      </c>
      <c r="BB219">
        <v>0</v>
      </c>
      <c r="BC219">
        <v>0</v>
      </c>
      <c r="BD219">
        <v>700</v>
      </c>
      <c r="BE219">
        <v>70</v>
      </c>
      <c r="BF219">
        <v>9</v>
      </c>
      <c r="BG219" s="2">
        <v>45536</v>
      </c>
      <c r="BH219" t="s">
        <v>142</v>
      </c>
      <c r="BI219" s="2">
        <v>46026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652.59</v>
      </c>
      <c r="BQ219">
        <v>652.59</v>
      </c>
      <c r="BR219">
        <v>0</v>
      </c>
      <c r="BS219">
        <v>0</v>
      </c>
      <c r="BT219">
        <v>0</v>
      </c>
      <c r="BU219">
        <v>0</v>
      </c>
      <c r="BV219" s="1">
        <v>2442.65</v>
      </c>
      <c r="BW219" s="1">
        <v>2442.65</v>
      </c>
      <c r="BX219">
        <v>0</v>
      </c>
      <c r="BY219">
        <v>0</v>
      </c>
      <c r="BZ219">
        <v>0</v>
      </c>
      <c r="CA219">
        <v>0</v>
      </c>
      <c r="CB219" s="1">
        <v>1930.19</v>
      </c>
      <c r="CC219" t="s">
        <v>161</v>
      </c>
    </row>
    <row r="220" spans="1:81" x14ac:dyDescent="0.25">
      <c r="A220">
        <v>345</v>
      </c>
      <c r="B220">
        <v>2</v>
      </c>
      <c r="C220">
        <v>393</v>
      </c>
      <c r="D220" t="s">
        <v>1346</v>
      </c>
      <c r="E220" t="s">
        <v>121</v>
      </c>
      <c r="F220" t="s">
        <v>1347</v>
      </c>
      <c r="G220" t="s">
        <v>1348</v>
      </c>
      <c r="H220" t="s">
        <v>1164</v>
      </c>
      <c r="I220" t="s">
        <v>125</v>
      </c>
      <c r="J220" t="s">
        <v>126</v>
      </c>
      <c r="K220" t="s">
        <v>473</v>
      </c>
      <c r="L220" t="s">
        <v>128</v>
      </c>
      <c r="M220" t="s">
        <v>474</v>
      </c>
      <c r="N220" t="s">
        <v>1349</v>
      </c>
      <c r="O220" t="s">
        <v>131</v>
      </c>
      <c r="P220">
        <v>0</v>
      </c>
      <c r="Q220" t="s">
        <v>125</v>
      </c>
      <c r="R220">
        <v>6</v>
      </c>
      <c r="S220">
        <v>39</v>
      </c>
      <c r="T220" t="s">
        <v>132</v>
      </c>
      <c r="U220" t="s">
        <v>133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134</v>
      </c>
      <c r="AE220" t="s">
        <v>134</v>
      </c>
      <c r="AF220" s="2">
        <v>45518</v>
      </c>
      <c r="AG220" s="2">
        <v>46008</v>
      </c>
      <c r="AH220">
        <v>440.09</v>
      </c>
      <c r="AI220">
        <v>767.43</v>
      </c>
      <c r="AJ220" s="1">
        <v>2200.4699999999998</v>
      </c>
      <c r="AK220">
        <v>0</v>
      </c>
      <c r="AL220">
        <v>767.43</v>
      </c>
      <c r="AM220">
        <v>0</v>
      </c>
      <c r="AN220" t="s">
        <v>135</v>
      </c>
      <c r="AO220" t="s">
        <v>135</v>
      </c>
      <c r="AP220" t="s">
        <v>136</v>
      </c>
      <c r="AQ220" t="s">
        <v>137</v>
      </c>
      <c r="AR220" t="s">
        <v>138</v>
      </c>
      <c r="AS220" t="s">
        <v>139</v>
      </c>
      <c r="AT220" t="s">
        <v>140</v>
      </c>
      <c r="AU220">
        <v>105</v>
      </c>
      <c r="AV220">
        <v>10</v>
      </c>
      <c r="AW220">
        <v>1</v>
      </c>
      <c r="AX220" s="2">
        <v>45811</v>
      </c>
      <c r="AY220" t="s">
        <v>377</v>
      </c>
      <c r="AZ220" s="2">
        <v>46028</v>
      </c>
      <c r="BA220">
        <v>0</v>
      </c>
      <c r="BB220">
        <v>0</v>
      </c>
      <c r="BC220">
        <v>0</v>
      </c>
      <c r="BD220">
        <v>700</v>
      </c>
      <c r="BE220">
        <v>70</v>
      </c>
      <c r="BF220">
        <v>9</v>
      </c>
      <c r="BG220" s="2">
        <v>45536</v>
      </c>
      <c r="BH220" t="s">
        <v>142</v>
      </c>
      <c r="BI220" s="2">
        <v>46026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672.03</v>
      </c>
      <c r="BQ220">
        <v>672.03</v>
      </c>
      <c r="BR220">
        <v>0</v>
      </c>
      <c r="BS220">
        <v>0</v>
      </c>
      <c r="BT220">
        <v>0</v>
      </c>
      <c r="BU220">
        <v>0</v>
      </c>
      <c r="BV220" s="1">
        <v>1229.0899999999999</v>
      </c>
      <c r="BW220" s="1">
        <v>1229.0899999999999</v>
      </c>
      <c r="BX220">
        <v>0</v>
      </c>
      <c r="BY220">
        <v>0</v>
      </c>
      <c r="BZ220">
        <v>0</v>
      </c>
      <c r="CA220">
        <v>0</v>
      </c>
      <c r="CB220" s="1">
        <v>1009.06</v>
      </c>
      <c r="CC220" t="s">
        <v>143</v>
      </c>
    </row>
    <row r="221" spans="1:81" x14ac:dyDescent="0.25">
      <c r="A221">
        <v>345</v>
      </c>
      <c r="B221">
        <v>2</v>
      </c>
      <c r="C221">
        <v>394</v>
      </c>
      <c r="D221" t="s">
        <v>1350</v>
      </c>
      <c r="E221" t="s">
        <v>121</v>
      </c>
      <c r="F221" t="s">
        <v>1351</v>
      </c>
      <c r="G221" t="s">
        <v>1352</v>
      </c>
      <c r="H221" t="s">
        <v>1353</v>
      </c>
      <c r="I221" t="s">
        <v>125</v>
      </c>
      <c r="J221" t="s">
        <v>937</v>
      </c>
      <c r="K221" t="s">
        <v>473</v>
      </c>
      <c r="L221" t="s">
        <v>128</v>
      </c>
      <c r="M221" t="s">
        <v>474</v>
      </c>
      <c r="N221" t="s">
        <v>1354</v>
      </c>
      <c r="O221" t="s">
        <v>131</v>
      </c>
      <c r="P221">
        <v>0</v>
      </c>
      <c r="Q221" t="s">
        <v>125</v>
      </c>
      <c r="R221">
        <v>6</v>
      </c>
      <c r="S221">
        <v>40</v>
      </c>
      <c r="T221" t="s">
        <v>132</v>
      </c>
      <c r="U221" t="s">
        <v>133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134</v>
      </c>
      <c r="AE221" t="s">
        <v>134</v>
      </c>
      <c r="AF221" s="2">
        <v>45518</v>
      </c>
      <c r="AG221" s="2">
        <v>46021</v>
      </c>
      <c r="AH221">
        <v>967.05</v>
      </c>
      <c r="AI221" s="1">
        <v>1576.65</v>
      </c>
      <c r="AJ221" s="1">
        <v>6769.38</v>
      </c>
      <c r="AK221">
        <v>500.79</v>
      </c>
      <c r="AL221">
        <v>0</v>
      </c>
      <c r="AM221">
        <v>0</v>
      </c>
      <c r="AN221" t="s">
        <v>135</v>
      </c>
      <c r="AO221" t="s">
        <v>135</v>
      </c>
      <c r="AP221" t="s">
        <v>136</v>
      </c>
      <c r="AQ221" t="s">
        <v>137</v>
      </c>
      <c r="AR221" t="s">
        <v>138</v>
      </c>
      <c r="AS221" t="s">
        <v>139</v>
      </c>
      <c r="AT221" t="s">
        <v>140</v>
      </c>
      <c r="AU221">
        <v>105</v>
      </c>
      <c r="AV221">
        <v>10</v>
      </c>
      <c r="AW221">
        <v>1</v>
      </c>
      <c r="AX221" s="2">
        <v>45838</v>
      </c>
      <c r="AY221" t="s">
        <v>141</v>
      </c>
      <c r="AZ221" s="2">
        <v>46027</v>
      </c>
      <c r="BA221">
        <v>0</v>
      </c>
      <c r="BB221">
        <v>0</v>
      </c>
      <c r="BC221">
        <v>0</v>
      </c>
      <c r="BD221">
        <v>700</v>
      </c>
      <c r="BE221">
        <v>70</v>
      </c>
      <c r="BF221">
        <v>9</v>
      </c>
      <c r="BG221" s="2">
        <v>45536</v>
      </c>
      <c r="BH221" t="s">
        <v>142</v>
      </c>
      <c r="BI221" s="2">
        <v>46026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s="1">
        <v>1992.87</v>
      </c>
      <c r="BQ221" s="1">
        <v>1992.87</v>
      </c>
      <c r="BR221">
        <v>0</v>
      </c>
      <c r="BS221">
        <v>0</v>
      </c>
      <c r="BT221">
        <v>0</v>
      </c>
      <c r="BU221">
        <v>0</v>
      </c>
      <c r="BV221" s="1">
        <v>3168.27</v>
      </c>
      <c r="BW221" s="1">
        <v>3168.27</v>
      </c>
      <c r="BX221">
        <v>0</v>
      </c>
      <c r="BY221">
        <v>0</v>
      </c>
      <c r="BZ221">
        <v>0</v>
      </c>
      <c r="CA221">
        <v>0</v>
      </c>
      <c r="CB221" s="1">
        <v>2272.59</v>
      </c>
      <c r="CC221" t="s">
        <v>143</v>
      </c>
    </row>
    <row r="222" spans="1:81" x14ac:dyDescent="0.25">
      <c r="A222">
        <v>345</v>
      </c>
      <c r="B222">
        <v>2</v>
      </c>
      <c r="C222">
        <v>395</v>
      </c>
      <c r="D222" t="s">
        <v>1355</v>
      </c>
      <c r="E222" t="s">
        <v>121</v>
      </c>
      <c r="F222" t="s">
        <v>1356</v>
      </c>
      <c r="G222" t="s">
        <v>1357</v>
      </c>
      <c r="H222" t="s">
        <v>1358</v>
      </c>
      <c r="I222" t="s">
        <v>125</v>
      </c>
      <c r="J222" t="s">
        <v>459</v>
      </c>
      <c r="K222" t="s">
        <v>336</v>
      </c>
      <c r="L222" t="s">
        <v>128</v>
      </c>
      <c r="M222" t="s">
        <v>337</v>
      </c>
      <c r="N222" t="s">
        <v>1359</v>
      </c>
      <c r="O222" t="s">
        <v>131</v>
      </c>
      <c r="P222">
        <v>0</v>
      </c>
      <c r="Q222" t="s">
        <v>125</v>
      </c>
      <c r="R222">
        <v>6</v>
      </c>
      <c r="S222">
        <v>42</v>
      </c>
      <c r="T222" t="s">
        <v>132</v>
      </c>
      <c r="U222" t="s">
        <v>133</v>
      </c>
      <c r="V222" s="1">
        <v>10000</v>
      </c>
      <c r="W222">
        <v>0</v>
      </c>
      <c r="X222" s="1">
        <v>10000</v>
      </c>
      <c r="Y222">
        <v>2</v>
      </c>
      <c r="Z222">
        <v>0</v>
      </c>
      <c r="AA222">
        <v>4</v>
      </c>
      <c r="AB222">
        <v>0</v>
      </c>
      <c r="AC222">
        <v>0</v>
      </c>
      <c r="AD222" t="s">
        <v>134</v>
      </c>
      <c r="AE222" t="s">
        <v>134</v>
      </c>
      <c r="AF222" s="2">
        <v>45518</v>
      </c>
      <c r="AG222" s="2">
        <v>46011</v>
      </c>
      <c r="AH222" s="1">
        <v>2205.3200000000002</v>
      </c>
      <c r="AI222" s="1">
        <v>3560.43</v>
      </c>
      <c r="AJ222" s="1">
        <v>13231.96</v>
      </c>
      <c r="AK222">
        <v>0</v>
      </c>
      <c r="AL222">
        <v>0</v>
      </c>
      <c r="AM222">
        <v>0</v>
      </c>
      <c r="AN222" t="s">
        <v>135</v>
      </c>
      <c r="AO222" t="s">
        <v>135</v>
      </c>
      <c r="AP222" t="s">
        <v>136</v>
      </c>
      <c r="AQ222" t="s">
        <v>137</v>
      </c>
      <c r="AR222" t="s">
        <v>138</v>
      </c>
      <c r="AS222" t="s">
        <v>150</v>
      </c>
      <c r="AT222" t="s">
        <v>140</v>
      </c>
      <c r="AU222">
        <v>500</v>
      </c>
      <c r="AV222">
        <v>10</v>
      </c>
      <c r="AW222">
        <v>1</v>
      </c>
      <c r="AX222" s="2">
        <v>45861</v>
      </c>
      <c r="AY222" t="s">
        <v>168</v>
      </c>
      <c r="AZ222" s="2">
        <v>46022</v>
      </c>
      <c r="BA222">
        <v>0</v>
      </c>
      <c r="BB222">
        <v>0</v>
      </c>
      <c r="BC222">
        <v>0</v>
      </c>
      <c r="BD222">
        <v>700</v>
      </c>
      <c r="BE222">
        <v>70</v>
      </c>
      <c r="BF222">
        <v>9</v>
      </c>
      <c r="BG222" s="2">
        <v>45536</v>
      </c>
      <c r="BH222" t="s">
        <v>142</v>
      </c>
      <c r="BI222" s="2">
        <v>46026</v>
      </c>
      <c r="BJ222">
        <v>0</v>
      </c>
      <c r="BK222">
        <v>0</v>
      </c>
      <c r="BL222">
        <v>0</v>
      </c>
      <c r="BM222">
        <v>2</v>
      </c>
      <c r="BN222">
        <v>2</v>
      </c>
      <c r="BO222" s="1">
        <v>3560.43</v>
      </c>
      <c r="BP222">
        <v>0</v>
      </c>
      <c r="BQ222" s="1">
        <v>3560.43</v>
      </c>
      <c r="BR222">
        <v>0</v>
      </c>
      <c r="BS222">
        <v>3.09</v>
      </c>
      <c r="BT222">
        <v>3.09</v>
      </c>
      <c r="BU222" s="1">
        <v>5582.22</v>
      </c>
      <c r="BV222">
        <v>0</v>
      </c>
      <c r="BW222" s="1">
        <v>5582.22</v>
      </c>
      <c r="BX222">
        <v>0</v>
      </c>
      <c r="BY222">
        <v>0</v>
      </c>
      <c r="BZ222">
        <v>0</v>
      </c>
      <c r="CA222">
        <v>0</v>
      </c>
      <c r="CB222" s="1">
        <v>3978.28</v>
      </c>
      <c r="CC222" t="s">
        <v>143</v>
      </c>
    </row>
    <row r="223" spans="1:81" x14ac:dyDescent="0.25">
      <c r="A223">
        <v>345</v>
      </c>
      <c r="B223">
        <v>2</v>
      </c>
      <c r="C223">
        <v>397</v>
      </c>
      <c r="D223" t="s">
        <v>1360</v>
      </c>
      <c r="E223" t="s">
        <v>121</v>
      </c>
      <c r="F223" t="s">
        <v>1361</v>
      </c>
      <c r="G223" t="s">
        <v>1362</v>
      </c>
      <c r="H223" t="s">
        <v>1363</v>
      </c>
      <c r="I223" t="s">
        <v>125</v>
      </c>
      <c r="J223" t="s">
        <v>126</v>
      </c>
      <c r="K223" t="s">
        <v>466</v>
      </c>
      <c r="L223" t="s">
        <v>128</v>
      </c>
      <c r="M223" t="s">
        <v>467</v>
      </c>
      <c r="N223" t="s">
        <v>1364</v>
      </c>
      <c r="O223" t="s">
        <v>167</v>
      </c>
      <c r="P223">
        <v>0</v>
      </c>
      <c r="Q223" t="s">
        <v>125</v>
      </c>
      <c r="R223">
        <v>6</v>
      </c>
      <c r="S223">
        <v>34</v>
      </c>
      <c r="T223" t="s">
        <v>132</v>
      </c>
      <c r="U223" t="s">
        <v>133</v>
      </c>
      <c r="V223" s="1">
        <v>1000</v>
      </c>
      <c r="W223">
        <v>0</v>
      </c>
      <c r="X223" s="1">
        <v>1000</v>
      </c>
      <c r="Y223">
        <v>7</v>
      </c>
      <c r="Z223">
        <v>0</v>
      </c>
      <c r="AA223">
        <v>5</v>
      </c>
      <c r="AB223">
        <v>0</v>
      </c>
      <c r="AC223">
        <v>0</v>
      </c>
      <c r="AD223" t="s">
        <v>134</v>
      </c>
      <c r="AE223" t="s">
        <v>134</v>
      </c>
      <c r="AF223" s="2">
        <v>45518</v>
      </c>
      <c r="AG223" s="2">
        <v>45969</v>
      </c>
      <c r="AH223">
        <v>479.28</v>
      </c>
      <c r="AI223">
        <v>671.99</v>
      </c>
      <c r="AJ223" s="1">
        <v>2396.4</v>
      </c>
      <c r="AK223">
        <v>0</v>
      </c>
      <c r="AL223">
        <v>0</v>
      </c>
      <c r="AM223">
        <v>0</v>
      </c>
      <c r="AN223" t="s">
        <v>135</v>
      </c>
      <c r="AO223" t="s">
        <v>135</v>
      </c>
      <c r="AP223" t="s">
        <v>136</v>
      </c>
      <c r="AQ223" t="s">
        <v>137</v>
      </c>
      <c r="AR223" t="s">
        <v>138</v>
      </c>
      <c r="AS223" t="s">
        <v>139</v>
      </c>
      <c r="AT223" t="s">
        <v>140</v>
      </c>
      <c r="AU223">
        <v>105</v>
      </c>
      <c r="AV223">
        <v>10</v>
      </c>
      <c r="AW223">
        <v>1</v>
      </c>
      <c r="AX223" s="2">
        <v>45813</v>
      </c>
      <c r="AY223" t="s">
        <v>308</v>
      </c>
      <c r="AZ223" s="2">
        <v>46023</v>
      </c>
      <c r="BA223">
        <v>0</v>
      </c>
      <c r="BB223">
        <v>0</v>
      </c>
      <c r="BC223">
        <v>0</v>
      </c>
      <c r="BD223">
        <v>700</v>
      </c>
      <c r="BE223">
        <v>70</v>
      </c>
      <c r="BF223">
        <v>9</v>
      </c>
      <c r="BG223" s="2">
        <v>45536</v>
      </c>
      <c r="BH223" t="s">
        <v>142</v>
      </c>
      <c r="BI223" s="2">
        <v>46026</v>
      </c>
      <c r="BJ223">
        <v>0</v>
      </c>
      <c r="BK223">
        <v>0</v>
      </c>
      <c r="BL223">
        <v>0</v>
      </c>
      <c r="BM223">
        <v>3.83</v>
      </c>
      <c r="BN223">
        <v>3.83</v>
      </c>
      <c r="BO223">
        <v>739.12</v>
      </c>
      <c r="BP223">
        <v>0</v>
      </c>
      <c r="BQ223">
        <v>739.12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s="1">
        <v>1109.01</v>
      </c>
      <c r="CC223" t="s">
        <v>161</v>
      </c>
    </row>
    <row r="224" spans="1:81" x14ac:dyDescent="0.25">
      <c r="A224">
        <v>345</v>
      </c>
      <c r="B224">
        <v>2</v>
      </c>
      <c r="C224">
        <v>398</v>
      </c>
      <c r="D224" t="s">
        <v>1365</v>
      </c>
      <c r="E224" t="s">
        <v>121</v>
      </c>
      <c r="F224" t="s">
        <v>1366</v>
      </c>
      <c r="G224" t="s">
        <v>1367</v>
      </c>
      <c r="H224" t="s">
        <v>1368</v>
      </c>
      <c r="I224" t="s">
        <v>125</v>
      </c>
      <c r="J224" t="s">
        <v>1369</v>
      </c>
      <c r="K224" t="s">
        <v>336</v>
      </c>
      <c r="L224" t="s">
        <v>128</v>
      </c>
      <c r="M224" t="s">
        <v>337</v>
      </c>
      <c r="N224" t="s">
        <v>1370</v>
      </c>
      <c r="O224" t="s">
        <v>131</v>
      </c>
      <c r="P224">
        <v>0</v>
      </c>
      <c r="Q224" t="s">
        <v>125</v>
      </c>
      <c r="R224">
        <v>6</v>
      </c>
      <c r="S224">
        <v>40</v>
      </c>
      <c r="T224" t="s">
        <v>132</v>
      </c>
      <c r="U224" t="s">
        <v>133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134</v>
      </c>
      <c r="AE224" t="s">
        <v>134</v>
      </c>
      <c r="AF224" s="2">
        <v>45518</v>
      </c>
      <c r="AG224" s="2">
        <v>46019</v>
      </c>
      <c r="AH224">
        <v>490.41</v>
      </c>
      <c r="AI224" s="1">
        <v>1747.5</v>
      </c>
      <c r="AJ224" s="1">
        <v>3923.34</v>
      </c>
      <c r="AK224">
        <v>0</v>
      </c>
      <c r="AL224">
        <v>0</v>
      </c>
      <c r="AM224">
        <v>0</v>
      </c>
      <c r="AN224" t="s">
        <v>135</v>
      </c>
      <c r="AO224" t="s">
        <v>135</v>
      </c>
      <c r="AP224" t="s">
        <v>136</v>
      </c>
      <c r="AQ224" t="s">
        <v>137</v>
      </c>
      <c r="AR224" t="s">
        <v>138</v>
      </c>
      <c r="AS224" t="s">
        <v>139</v>
      </c>
      <c r="AT224" t="s">
        <v>140</v>
      </c>
      <c r="AU224">
        <v>102</v>
      </c>
      <c r="AV224">
        <v>10</v>
      </c>
      <c r="AW224">
        <v>1</v>
      </c>
      <c r="AX224" s="2">
        <v>45849</v>
      </c>
      <c r="AY224" t="s">
        <v>151</v>
      </c>
      <c r="AZ224" s="2">
        <v>46024</v>
      </c>
      <c r="BA224">
        <v>0</v>
      </c>
      <c r="BB224">
        <v>0</v>
      </c>
      <c r="BC224">
        <v>0</v>
      </c>
      <c r="BD224">
        <v>700</v>
      </c>
      <c r="BE224">
        <v>70</v>
      </c>
      <c r="BF224">
        <v>9</v>
      </c>
      <c r="BG224" s="2">
        <v>45536</v>
      </c>
      <c r="BH224" t="s">
        <v>142</v>
      </c>
      <c r="BI224" s="2">
        <v>46026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s="1">
        <v>1069.78</v>
      </c>
      <c r="BQ224" s="1">
        <v>1069.78</v>
      </c>
      <c r="BR224">
        <v>0</v>
      </c>
      <c r="BS224">
        <v>0</v>
      </c>
      <c r="BT224">
        <v>0</v>
      </c>
      <c r="BU224">
        <v>0</v>
      </c>
      <c r="BV224">
        <v>730.92</v>
      </c>
      <c r="BW224">
        <v>730.92</v>
      </c>
      <c r="BX224">
        <v>0</v>
      </c>
      <c r="BY224">
        <v>0</v>
      </c>
      <c r="BZ224">
        <v>0</v>
      </c>
      <c r="CA224">
        <v>0</v>
      </c>
      <c r="CB224" s="1">
        <v>1485.03</v>
      </c>
      <c r="CC224" t="s">
        <v>143</v>
      </c>
    </row>
    <row r="225" spans="1:81" x14ac:dyDescent="0.25">
      <c r="A225">
        <v>345</v>
      </c>
      <c r="B225">
        <v>2</v>
      </c>
      <c r="C225">
        <v>399</v>
      </c>
      <c r="D225" t="s">
        <v>1371</v>
      </c>
      <c r="E225" t="s">
        <v>121</v>
      </c>
      <c r="F225" t="s">
        <v>1372</v>
      </c>
      <c r="G225" t="s">
        <v>1373</v>
      </c>
      <c r="H225" t="s">
        <v>1374</v>
      </c>
      <c r="I225" t="s">
        <v>125</v>
      </c>
      <c r="J225" t="s">
        <v>1375</v>
      </c>
      <c r="K225" t="s">
        <v>473</v>
      </c>
      <c r="L225" t="s">
        <v>128</v>
      </c>
      <c r="M225" t="s">
        <v>474</v>
      </c>
      <c r="N225" t="s">
        <v>1376</v>
      </c>
      <c r="O225" t="s">
        <v>131</v>
      </c>
      <c r="P225">
        <v>0</v>
      </c>
      <c r="Q225" t="s">
        <v>125</v>
      </c>
      <c r="R225">
        <v>6</v>
      </c>
      <c r="S225">
        <v>45</v>
      </c>
      <c r="T225" t="s">
        <v>132</v>
      </c>
      <c r="U225" t="s">
        <v>133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134</v>
      </c>
      <c r="AE225" t="s">
        <v>134</v>
      </c>
      <c r="AF225" s="2">
        <v>45518</v>
      </c>
      <c r="AG225" s="2">
        <v>46017</v>
      </c>
      <c r="AH225">
        <v>511.43</v>
      </c>
      <c r="AI225">
        <v>682.57</v>
      </c>
      <c r="AJ225" s="1">
        <v>6648.71</v>
      </c>
      <c r="AK225">
        <v>0</v>
      </c>
      <c r="AL225">
        <v>0</v>
      </c>
      <c r="AM225">
        <v>0</v>
      </c>
      <c r="AN225" t="s">
        <v>135</v>
      </c>
      <c r="AO225" t="s">
        <v>135</v>
      </c>
      <c r="AP225" t="s">
        <v>136</v>
      </c>
      <c r="AQ225" t="s">
        <v>137</v>
      </c>
      <c r="AR225" t="s">
        <v>138</v>
      </c>
      <c r="AS225" t="s">
        <v>150</v>
      </c>
      <c r="AT225" t="s">
        <v>140</v>
      </c>
      <c r="AU225">
        <v>102</v>
      </c>
      <c r="AV225">
        <v>10</v>
      </c>
      <c r="AW225">
        <v>1</v>
      </c>
      <c r="AX225" s="2">
        <v>45846</v>
      </c>
      <c r="AY225" t="s">
        <v>377</v>
      </c>
      <c r="AZ225" s="2">
        <v>46028</v>
      </c>
      <c r="BA225">
        <v>0</v>
      </c>
      <c r="BB225">
        <v>0</v>
      </c>
      <c r="BC225">
        <v>0</v>
      </c>
      <c r="BD225">
        <v>700</v>
      </c>
      <c r="BE225">
        <v>70</v>
      </c>
      <c r="BF225">
        <v>9</v>
      </c>
      <c r="BG225" s="2">
        <v>45536</v>
      </c>
      <c r="BH225" t="s">
        <v>142</v>
      </c>
      <c r="BI225" s="2">
        <v>46026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s="1">
        <v>2477.42</v>
      </c>
      <c r="BQ225" s="1">
        <v>2477.42</v>
      </c>
      <c r="BR225">
        <v>0</v>
      </c>
      <c r="BS225">
        <v>0</v>
      </c>
      <c r="BT225">
        <v>0</v>
      </c>
      <c r="BU225">
        <v>0</v>
      </c>
      <c r="BV225" s="1">
        <v>1505.28</v>
      </c>
      <c r="BW225" s="1">
        <v>1505.28</v>
      </c>
      <c r="BX225">
        <v>0</v>
      </c>
      <c r="BY225">
        <v>0</v>
      </c>
      <c r="BZ225">
        <v>0</v>
      </c>
      <c r="CA225">
        <v>0</v>
      </c>
      <c r="CB225" s="1">
        <v>2338.2199999999998</v>
      </c>
      <c r="CC225" t="s">
        <v>143</v>
      </c>
    </row>
    <row r="226" spans="1:81" x14ac:dyDescent="0.25">
      <c r="A226">
        <v>345</v>
      </c>
      <c r="B226">
        <v>2</v>
      </c>
      <c r="C226">
        <v>401</v>
      </c>
      <c r="D226" t="s">
        <v>1377</v>
      </c>
      <c r="E226" t="s">
        <v>121</v>
      </c>
      <c r="F226" t="s">
        <v>1378</v>
      </c>
      <c r="G226" t="s">
        <v>1379</v>
      </c>
      <c r="H226" t="s">
        <v>629</v>
      </c>
      <c r="I226" t="s">
        <v>125</v>
      </c>
      <c r="J226" t="s">
        <v>630</v>
      </c>
      <c r="K226" t="s">
        <v>336</v>
      </c>
      <c r="L226" t="s">
        <v>128</v>
      </c>
      <c r="M226" t="s">
        <v>337</v>
      </c>
      <c r="N226" t="s">
        <v>1380</v>
      </c>
      <c r="O226" t="s">
        <v>167</v>
      </c>
      <c r="P226">
        <v>0</v>
      </c>
      <c r="Q226" t="s">
        <v>125</v>
      </c>
      <c r="R226">
        <v>6</v>
      </c>
      <c r="S226">
        <v>36</v>
      </c>
      <c r="T226" t="s">
        <v>132</v>
      </c>
      <c r="U226" t="s">
        <v>133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134</v>
      </c>
      <c r="AE226" t="s">
        <v>134</v>
      </c>
      <c r="AF226" s="2">
        <v>45518</v>
      </c>
      <c r="AG226" s="2">
        <v>46014</v>
      </c>
      <c r="AH226">
        <v>685</v>
      </c>
      <c r="AI226">
        <v>997.1</v>
      </c>
      <c r="AJ226" s="1">
        <v>4795.04</v>
      </c>
      <c r="AK226">
        <v>0</v>
      </c>
      <c r="AL226">
        <v>0</v>
      </c>
      <c r="AM226">
        <v>0</v>
      </c>
      <c r="AN226" t="s">
        <v>135</v>
      </c>
      <c r="AO226" t="s">
        <v>135</v>
      </c>
      <c r="AP226" t="s">
        <v>136</v>
      </c>
      <c r="AQ226" t="s">
        <v>137</v>
      </c>
      <c r="AR226" t="s">
        <v>138</v>
      </c>
      <c r="AS226" t="s">
        <v>139</v>
      </c>
      <c r="AT226" t="s">
        <v>140</v>
      </c>
      <c r="AU226">
        <v>104</v>
      </c>
      <c r="AV226">
        <v>10</v>
      </c>
      <c r="AW226">
        <v>1</v>
      </c>
      <c r="AX226" s="2">
        <v>45537</v>
      </c>
      <c r="AY226" t="s">
        <v>141</v>
      </c>
      <c r="AZ226" s="2">
        <v>46027</v>
      </c>
      <c r="BA226">
        <v>0</v>
      </c>
      <c r="BB226">
        <v>0</v>
      </c>
      <c r="BC226">
        <v>0</v>
      </c>
      <c r="BD226">
        <v>700</v>
      </c>
      <c r="BE226">
        <v>70</v>
      </c>
      <c r="BF226">
        <v>9</v>
      </c>
      <c r="BG226" s="2">
        <v>45536</v>
      </c>
      <c r="BH226" t="s">
        <v>142</v>
      </c>
      <c r="BI226" s="2">
        <v>46026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s="1">
        <v>1784.45</v>
      </c>
      <c r="BQ226" s="1">
        <v>1784.45</v>
      </c>
      <c r="BR226">
        <v>0</v>
      </c>
      <c r="BS226">
        <v>0</v>
      </c>
      <c r="BT226">
        <v>0</v>
      </c>
      <c r="BU226">
        <v>0</v>
      </c>
      <c r="BV226" s="1">
        <v>2013.49</v>
      </c>
      <c r="BW226" s="1">
        <v>2013.49</v>
      </c>
      <c r="BX226">
        <v>0</v>
      </c>
      <c r="BY226">
        <v>0</v>
      </c>
      <c r="BZ226">
        <v>0</v>
      </c>
      <c r="CA226">
        <v>0</v>
      </c>
      <c r="CB226" s="1">
        <v>1642.46</v>
      </c>
      <c r="CC226" t="s">
        <v>161</v>
      </c>
    </row>
    <row r="227" spans="1:81" x14ac:dyDescent="0.25">
      <c r="A227">
        <v>345</v>
      </c>
      <c r="B227">
        <v>2</v>
      </c>
      <c r="C227">
        <v>402</v>
      </c>
      <c r="D227" t="s">
        <v>1381</v>
      </c>
      <c r="E227" t="s">
        <v>121</v>
      </c>
      <c r="F227" t="s">
        <v>1382</v>
      </c>
      <c r="G227" t="s">
        <v>1383</v>
      </c>
      <c r="H227" t="s">
        <v>961</v>
      </c>
      <c r="I227" t="s">
        <v>125</v>
      </c>
      <c r="J227" t="s">
        <v>667</v>
      </c>
      <c r="K227" t="s">
        <v>336</v>
      </c>
      <c r="L227" t="s">
        <v>128</v>
      </c>
      <c r="M227" t="s">
        <v>337</v>
      </c>
      <c r="N227" t="s">
        <v>1384</v>
      </c>
      <c r="O227" t="s">
        <v>167</v>
      </c>
      <c r="P227">
        <v>0</v>
      </c>
      <c r="Q227" t="s">
        <v>125</v>
      </c>
      <c r="R227">
        <v>6</v>
      </c>
      <c r="S227">
        <v>37</v>
      </c>
      <c r="T227" t="s">
        <v>132</v>
      </c>
      <c r="U227" t="s">
        <v>133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134</v>
      </c>
      <c r="AE227" t="s">
        <v>134</v>
      </c>
      <c r="AF227" s="2">
        <v>45518</v>
      </c>
      <c r="AG227" s="2">
        <v>46020</v>
      </c>
      <c r="AH227">
        <v>146.41</v>
      </c>
      <c r="AI227">
        <v>311.7</v>
      </c>
      <c r="AJ227" s="1">
        <v>1024.93</v>
      </c>
      <c r="AK227">
        <v>0</v>
      </c>
      <c r="AL227">
        <v>0</v>
      </c>
      <c r="AM227">
        <v>0</v>
      </c>
      <c r="AN227" t="s">
        <v>135</v>
      </c>
      <c r="AO227" t="s">
        <v>135</v>
      </c>
      <c r="AP227" t="s">
        <v>136</v>
      </c>
      <c r="AQ227" t="s">
        <v>137</v>
      </c>
      <c r="AR227" t="s">
        <v>138</v>
      </c>
      <c r="AS227" t="s">
        <v>139</v>
      </c>
      <c r="AT227" t="s">
        <v>140</v>
      </c>
      <c r="AU227">
        <v>101</v>
      </c>
      <c r="AV227">
        <v>10</v>
      </c>
      <c r="AW227">
        <v>1</v>
      </c>
      <c r="AX227" s="2">
        <v>45856</v>
      </c>
      <c r="AY227" t="s">
        <v>151</v>
      </c>
      <c r="AZ227" s="2">
        <v>46024</v>
      </c>
      <c r="BA227">
        <v>0</v>
      </c>
      <c r="BB227">
        <v>0</v>
      </c>
      <c r="BC227">
        <v>0</v>
      </c>
      <c r="BD227">
        <v>700</v>
      </c>
      <c r="BE227">
        <v>70</v>
      </c>
      <c r="BF227">
        <v>9</v>
      </c>
      <c r="BG227" s="2">
        <v>45536</v>
      </c>
      <c r="BH227" t="s">
        <v>142</v>
      </c>
      <c r="BI227" s="2">
        <v>46026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230.11</v>
      </c>
      <c r="BQ227">
        <v>230.11</v>
      </c>
      <c r="BR227">
        <v>0</v>
      </c>
      <c r="BS227">
        <v>0</v>
      </c>
      <c r="BT227">
        <v>0</v>
      </c>
      <c r="BU227">
        <v>0</v>
      </c>
      <c r="BV227">
        <v>548.9</v>
      </c>
      <c r="BW227">
        <v>548.9</v>
      </c>
      <c r="BX227">
        <v>0</v>
      </c>
      <c r="BY227">
        <v>0</v>
      </c>
      <c r="BZ227">
        <v>0</v>
      </c>
      <c r="CA227">
        <v>0</v>
      </c>
      <c r="CB227">
        <v>257.51</v>
      </c>
      <c r="CC227" t="s">
        <v>161</v>
      </c>
    </row>
    <row r="228" spans="1:81" x14ac:dyDescent="0.25">
      <c r="A228">
        <v>345</v>
      </c>
      <c r="B228">
        <v>2</v>
      </c>
      <c r="C228">
        <v>403</v>
      </c>
      <c r="D228" t="s">
        <v>1385</v>
      </c>
      <c r="E228" t="s">
        <v>121</v>
      </c>
      <c r="F228" t="s">
        <v>1386</v>
      </c>
      <c r="G228" t="s">
        <v>1387</v>
      </c>
      <c r="H228" t="s">
        <v>1388</v>
      </c>
      <c r="I228" t="s">
        <v>125</v>
      </c>
      <c r="J228" t="s">
        <v>944</v>
      </c>
      <c r="K228" t="s">
        <v>466</v>
      </c>
      <c r="L228" t="s">
        <v>128</v>
      </c>
      <c r="M228" t="s">
        <v>467</v>
      </c>
      <c r="N228" t="s">
        <v>1389</v>
      </c>
      <c r="O228" t="s">
        <v>159</v>
      </c>
      <c r="P228">
        <v>0</v>
      </c>
      <c r="Q228" t="s">
        <v>125</v>
      </c>
      <c r="R228">
        <v>6</v>
      </c>
      <c r="S228">
        <v>36</v>
      </c>
      <c r="T228" t="s">
        <v>132</v>
      </c>
      <c r="U228" t="s">
        <v>133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134</v>
      </c>
      <c r="AE228" t="s">
        <v>134</v>
      </c>
      <c r="AF228" s="2">
        <v>45518</v>
      </c>
      <c r="AG228" s="2">
        <v>46018</v>
      </c>
      <c r="AH228">
        <v>658</v>
      </c>
      <c r="AI228" s="1">
        <v>1227.08</v>
      </c>
      <c r="AJ228" s="1">
        <v>7238.07</v>
      </c>
      <c r="AK228">
        <v>0</v>
      </c>
      <c r="AL228">
        <v>0</v>
      </c>
      <c r="AM228">
        <v>0</v>
      </c>
      <c r="AN228" t="s">
        <v>135</v>
      </c>
      <c r="AO228" t="s">
        <v>135</v>
      </c>
      <c r="AP228" t="s">
        <v>136</v>
      </c>
      <c r="AQ228" t="s">
        <v>137</v>
      </c>
      <c r="AR228" t="s">
        <v>138</v>
      </c>
      <c r="AS228" t="s">
        <v>139</v>
      </c>
      <c r="AT228" t="s">
        <v>140</v>
      </c>
      <c r="AU228">
        <v>100</v>
      </c>
      <c r="AV228">
        <v>10</v>
      </c>
      <c r="AW228">
        <v>1</v>
      </c>
      <c r="AX228" s="2">
        <v>45848</v>
      </c>
      <c r="AY228" t="s">
        <v>308</v>
      </c>
      <c r="AZ228" s="2">
        <v>46023</v>
      </c>
      <c r="BA228">
        <v>0</v>
      </c>
      <c r="BB228">
        <v>0</v>
      </c>
      <c r="BC228">
        <v>0</v>
      </c>
      <c r="BD228">
        <v>700</v>
      </c>
      <c r="BE228">
        <v>70</v>
      </c>
      <c r="BF228">
        <v>9</v>
      </c>
      <c r="BG228" s="2">
        <v>45536</v>
      </c>
      <c r="BH228" t="s">
        <v>142</v>
      </c>
      <c r="BI228" s="2">
        <v>46026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s="1">
        <v>1790.2</v>
      </c>
      <c r="BQ228" s="1">
        <v>1790.2</v>
      </c>
      <c r="BR228">
        <v>0</v>
      </c>
      <c r="BS228">
        <v>0</v>
      </c>
      <c r="BT228">
        <v>0</v>
      </c>
      <c r="BU228">
        <v>0</v>
      </c>
      <c r="BV228" s="1">
        <v>2665.4</v>
      </c>
      <c r="BW228" s="1">
        <v>2665.4</v>
      </c>
      <c r="BX228">
        <v>0</v>
      </c>
      <c r="BY228">
        <v>0</v>
      </c>
      <c r="BZ228">
        <v>0</v>
      </c>
      <c r="CA228">
        <v>0</v>
      </c>
      <c r="CB228" s="1">
        <v>2053.7800000000002</v>
      </c>
      <c r="CC228" t="s">
        <v>161</v>
      </c>
    </row>
    <row r="229" spans="1:81" x14ac:dyDescent="0.25">
      <c r="A229">
        <v>345</v>
      </c>
      <c r="B229">
        <v>2</v>
      </c>
      <c r="C229">
        <v>405</v>
      </c>
      <c r="D229" t="s">
        <v>1390</v>
      </c>
      <c r="E229" t="s">
        <v>121</v>
      </c>
      <c r="F229" t="s">
        <v>1391</v>
      </c>
      <c r="G229" t="s">
        <v>1392</v>
      </c>
      <c r="H229" t="s">
        <v>1393</v>
      </c>
      <c r="I229" t="s">
        <v>125</v>
      </c>
      <c r="J229" t="s">
        <v>126</v>
      </c>
      <c r="K229" t="s">
        <v>466</v>
      </c>
      <c r="L229" t="s">
        <v>128</v>
      </c>
      <c r="M229" t="s">
        <v>467</v>
      </c>
      <c r="N229" t="s">
        <v>1394</v>
      </c>
      <c r="O229" t="s">
        <v>167</v>
      </c>
      <c r="P229">
        <v>0</v>
      </c>
      <c r="Q229" t="s">
        <v>125</v>
      </c>
      <c r="R229">
        <v>6</v>
      </c>
      <c r="S229">
        <v>39</v>
      </c>
      <c r="T229" t="s">
        <v>132</v>
      </c>
      <c r="U229" t="s">
        <v>133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134</v>
      </c>
      <c r="AE229" t="s">
        <v>134</v>
      </c>
      <c r="AF229" s="2">
        <v>45518</v>
      </c>
      <c r="AG229" s="2">
        <v>46020</v>
      </c>
      <c r="AH229">
        <v>257.92</v>
      </c>
      <c r="AI229">
        <v>413.2</v>
      </c>
      <c r="AJ229" s="1">
        <v>1289.6099999999999</v>
      </c>
      <c r="AK229">
        <v>0</v>
      </c>
      <c r="AL229">
        <v>0</v>
      </c>
      <c r="AM229">
        <v>0</v>
      </c>
      <c r="AN229" t="s">
        <v>135</v>
      </c>
      <c r="AO229" t="s">
        <v>135</v>
      </c>
      <c r="AP229" t="s">
        <v>136</v>
      </c>
      <c r="AQ229" t="s">
        <v>137</v>
      </c>
      <c r="AR229" t="s">
        <v>138</v>
      </c>
      <c r="AS229" t="s">
        <v>150</v>
      </c>
      <c r="AT229" t="s">
        <v>140</v>
      </c>
      <c r="AU229">
        <v>105</v>
      </c>
      <c r="AV229">
        <v>10</v>
      </c>
      <c r="AW229">
        <v>1</v>
      </c>
      <c r="AX229" s="2">
        <v>45815</v>
      </c>
      <c r="AY229" t="s">
        <v>160</v>
      </c>
      <c r="AZ229" s="2">
        <v>46025</v>
      </c>
      <c r="BA229">
        <v>0</v>
      </c>
      <c r="BB229">
        <v>0</v>
      </c>
      <c r="BC229">
        <v>0</v>
      </c>
      <c r="BD229">
        <v>700</v>
      </c>
      <c r="BE229">
        <v>70</v>
      </c>
      <c r="BF229">
        <v>9</v>
      </c>
      <c r="BG229" s="2">
        <v>45536</v>
      </c>
      <c r="BH229" t="s">
        <v>142</v>
      </c>
      <c r="BI229" s="2">
        <v>46026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228.86</v>
      </c>
      <c r="BQ229">
        <v>228.86</v>
      </c>
      <c r="BR229">
        <v>0</v>
      </c>
      <c r="BS229">
        <v>0</v>
      </c>
      <c r="BT229">
        <v>0</v>
      </c>
      <c r="BU229">
        <v>0</v>
      </c>
      <c r="BV229">
        <v>802.27</v>
      </c>
      <c r="BW229">
        <v>802.27</v>
      </c>
      <c r="BX229">
        <v>0</v>
      </c>
      <c r="BY229">
        <v>0</v>
      </c>
      <c r="BZ229">
        <v>0</v>
      </c>
      <c r="CA229">
        <v>0</v>
      </c>
      <c r="CB229">
        <v>402.75</v>
      </c>
      <c r="CC229" t="s">
        <v>161</v>
      </c>
    </row>
    <row r="230" spans="1:81" x14ac:dyDescent="0.25">
      <c r="A230">
        <v>345</v>
      </c>
      <c r="B230">
        <v>2</v>
      </c>
      <c r="C230">
        <v>406</v>
      </c>
      <c r="D230" t="s">
        <v>1395</v>
      </c>
      <c r="E230" t="s">
        <v>121</v>
      </c>
      <c r="F230" t="s">
        <v>1396</v>
      </c>
      <c r="G230" t="s">
        <v>1397</v>
      </c>
      <c r="H230" t="s">
        <v>1398</v>
      </c>
      <c r="I230" t="s">
        <v>125</v>
      </c>
      <c r="J230" t="s">
        <v>1399</v>
      </c>
      <c r="K230" t="s">
        <v>336</v>
      </c>
      <c r="L230" t="s">
        <v>128</v>
      </c>
      <c r="M230" t="s">
        <v>337</v>
      </c>
      <c r="N230" t="s">
        <v>1400</v>
      </c>
      <c r="O230" t="s">
        <v>131</v>
      </c>
      <c r="P230">
        <v>0</v>
      </c>
      <c r="Q230" t="s">
        <v>125</v>
      </c>
      <c r="R230">
        <v>6</v>
      </c>
      <c r="S230">
        <v>41</v>
      </c>
      <c r="T230" t="s">
        <v>132</v>
      </c>
      <c r="U230" t="s">
        <v>133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134</v>
      </c>
      <c r="AE230" t="s">
        <v>134</v>
      </c>
      <c r="AF230" s="2">
        <v>45518</v>
      </c>
      <c r="AG230" s="2">
        <v>45999</v>
      </c>
      <c r="AH230">
        <v>171.25</v>
      </c>
      <c r="AI230">
        <v>171.25</v>
      </c>
      <c r="AJ230">
        <v>171.25</v>
      </c>
      <c r="AK230">
        <v>0</v>
      </c>
      <c r="AL230">
        <v>0</v>
      </c>
      <c r="AM230">
        <v>0</v>
      </c>
      <c r="AN230" t="s">
        <v>135</v>
      </c>
      <c r="AO230" t="s">
        <v>135</v>
      </c>
      <c r="AP230" t="s">
        <v>136</v>
      </c>
      <c r="AQ230" t="s">
        <v>137</v>
      </c>
      <c r="AR230" t="s">
        <v>138</v>
      </c>
      <c r="AS230" t="s">
        <v>139</v>
      </c>
      <c r="AT230" t="s">
        <v>140</v>
      </c>
      <c r="AU230">
        <v>100</v>
      </c>
      <c r="AV230">
        <v>10</v>
      </c>
      <c r="AW230">
        <v>1</v>
      </c>
      <c r="AX230" s="2">
        <v>45815</v>
      </c>
      <c r="AY230" t="s">
        <v>160</v>
      </c>
      <c r="AZ230" s="2">
        <v>46025</v>
      </c>
      <c r="BA230">
        <v>0</v>
      </c>
      <c r="BB230">
        <v>0</v>
      </c>
      <c r="BC230">
        <v>0</v>
      </c>
      <c r="BD230">
        <v>700</v>
      </c>
      <c r="BE230">
        <v>70</v>
      </c>
      <c r="BF230">
        <v>9</v>
      </c>
      <c r="BG230" s="2">
        <v>45536</v>
      </c>
      <c r="BH230" t="s">
        <v>142</v>
      </c>
      <c r="BI230" s="2">
        <v>46026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171.25</v>
      </c>
      <c r="BW230">
        <v>171.25</v>
      </c>
      <c r="BX230">
        <v>0</v>
      </c>
      <c r="BY230">
        <v>0</v>
      </c>
      <c r="BZ230">
        <v>0</v>
      </c>
      <c r="CA230">
        <v>0</v>
      </c>
      <c r="CB230">
        <v>0</v>
      </c>
      <c r="CC230" t="s">
        <v>143</v>
      </c>
    </row>
    <row r="231" spans="1:81" x14ac:dyDescent="0.25">
      <c r="A231">
        <v>345</v>
      </c>
      <c r="B231">
        <v>2</v>
      </c>
      <c r="C231">
        <v>407</v>
      </c>
      <c r="D231" t="s">
        <v>1401</v>
      </c>
      <c r="E231" t="s">
        <v>121</v>
      </c>
      <c r="F231" t="s">
        <v>1402</v>
      </c>
      <c r="G231" t="s">
        <v>1403</v>
      </c>
      <c r="H231" t="s">
        <v>1404</v>
      </c>
      <c r="I231" t="s">
        <v>125</v>
      </c>
      <c r="J231" t="s">
        <v>565</v>
      </c>
      <c r="K231" t="s">
        <v>336</v>
      </c>
      <c r="L231" t="s">
        <v>128</v>
      </c>
      <c r="M231" t="s">
        <v>337</v>
      </c>
      <c r="N231" t="s">
        <v>1405</v>
      </c>
      <c r="O231" t="s">
        <v>149</v>
      </c>
      <c r="P231">
        <v>0</v>
      </c>
      <c r="Q231" t="s">
        <v>125</v>
      </c>
      <c r="R231">
        <v>3</v>
      </c>
      <c r="S231">
        <v>88</v>
      </c>
      <c r="T231" t="s">
        <v>132</v>
      </c>
      <c r="U231" t="s">
        <v>133</v>
      </c>
      <c r="V231" s="1">
        <v>14200</v>
      </c>
      <c r="W231">
        <v>0</v>
      </c>
      <c r="X231" s="1">
        <v>14200</v>
      </c>
      <c r="Y231">
        <v>7</v>
      </c>
      <c r="Z231">
        <v>0</v>
      </c>
      <c r="AA231">
        <v>0</v>
      </c>
      <c r="AB231">
        <v>0</v>
      </c>
      <c r="AC231">
        <v>0</v>
      </c>
      <c r="AD231" t="s">
        <v>234</v>
      </c>
      <c r="AE231" t="s">
        <v>134</v>
      </c>
      <c r="AF231" s="2">
        <v>45518</v>
      </c>
      <c r="AG231" s="2">
        <v>46014</v>
      </c>
      <c r="AH231" s="1">
        <v>7884.81</v>
      </c>
      <c r="AI231" s="1">
        <v>23006.65</v>
      </c>
      <c r="AJ231" s="1">
        <v>102502.62</v>
      </c>
      <c r="AK231">
        <v>0</v>
      </c>
      <c r="AL231" s="1">
        <v>9286.1</v>
      </c>
      <c r="AM231">
        <v>0</v>
      </c>
      <c r="AN231" t="s">
        <v>135</v>
      </c>
      <c r="AO231" t="s">
        <v>135</v>
      </c>
      <c r="AP231" t="s">
        <v>136</v>
      </c>
      <c r="AQ231" t="s">
        <v>137</v>
      </c>
      <c r="AR231" t="s">
        <v>138</v>
      </c>
      <c r="AS231" t="s">
        <v>139</v>
      </c>
      <c r="AT231" t="s">
        <v>140</v>
      </c>
      <c r="AU231">
        <v>501</v>
      </c>
      <c r="AV231">
        <v>10</v>
      </c>
      <c r="AW231">
        <v>1</v>
      </c>
      <c r="AX231" s="2">
        <v>45859</v>
      </c>
      <c r="AY231" t="s">
        <v>141</v>
      </c>
      <c r="AZ231" s="2">
        <v>46027</v>
      </c>
      <c r="BA231">
        <v>0</v>
      </c>
      <c r="BB231">
        <v>0</v>
      </c>
      <c r="BC231">
        <v>0</v>
      </c>
      <c r="BD231">
        <v>700</v>
      </c>
      <c r="BE231">
        <v>70</v>
      </c>
      <c r="BF231">
        <v>9</v>
      </c>
      <c r="BG231" s="2">
        <v>45536</v>
      </c>
      <c r="BH231" t="s">
        <v>142</v>
      </c>
      <c r="BI231" s="2">
        <v>46026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s="1">
        <v>21348.05</v>
      </c>
      <c r="BQ231" s="1">
        <v>21348.05</v>
      </c>
      <c r="BR231">
        <v>0</v>
      </c>
      <c r="BS231">
        <v>0</v>
      </c>
      <c r="BT231">
        <v>0</v>
      </c>
      <c r="BU231">
        <v>0</v>
      </c>
      <c r="BV231" s="1">
        <v>46119.26</v>
      </c>
      <c r="BW231" s="1">
        <v>46119.26</v>
      </c>
      <c r="BX231">
        <v>0</v>
      </c>
      <c r="BY231">
        <v>0</v>
      </c>
      <c r="BZ231">
        <v>0</v>
      </c>
      <c r="CA231">
        <v>0</v>
      </c>
      <c r="CB231" s="1">
        <v>26491.84</v>
      </c>
      <c r="CC231" t="s">
        <v>152</v>
      </c>
    </row>
    <row r="232" spans="1:81" x14ac:dyDescent="0.25">
      <c r="A232">
        <v>345</v>
      </c>
      <c r="B232">
        <v>2</v>
      </c>
      <c r="C232">
        <v>408</v>
      </c>
      <c r="D232" t="s">
        <v>1406</v>
      </c>
      <c r="E232" t="s">
        <v>121</v>
      </c>
      <c r="F232" t="s">
        <v>1407</v>
      </c>
      <c r="G232" t="s">
        <v>1408</v>
      </c>
      <c r="H232" t="s">
        <v>1409</v>
      </c>
      <c r="I232" t="s">
        <v>125</v>
      </c>
      <c r="J232" t="s">
        <v>565</v>
      </c>
      <c r="K232" t="s">
        <v>336</v>
      </c>
      <c r="L232" t="s">
        <v>128</v>
      </c>
      <c r="M232" t="s">
        <v>337</v>
      </c>
      <c r="N232" t="s">
        <v>1410</v>
      </c>
      <c r="O232" t="s">
        <v>167</v>
      </c>
      <c r="P232">
        <v>0</v>
      </c>
      <c r="Q232" t="s">
        <v>125</v>
      </c>
      <c r="R232">
        <v>6</v>
      </c>
      <c r="S232">
        <v>40</v>
      </c>
      <c r="T232" t="s">
        <v>132</v>
      </c>
      <c r="U232" t="s">
        <v>133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134</v>
      </c>
      <c r="AE232" t="s">
        <v>134</v>
      </c>
      <c r="AF232" s="2">
        <v>45518</v>
      </c>
      <c r="AG232" s="2">
        <v>46014</v>
      </c>
      <c r="AH232" s="1">
        <v>2665.05</v>
      </c>
      <c r="AI232" s="1">
        <v>3702.14</v>
      </c>
      <c r="AJ232" s="1">
        <v>10660.21</v>
      </c>
      <c r="AK232">
        <v>0</v>
      </c>
      <c r="AL232">
        <v>0</v>
      </c>
      <c r="AM232">
        <v>0</v>
      </c>
      <c r="AN232" t="s">
        <v>135</v>
      </c>
      <c r="AO232" t="s">
        <v>135</v>
      </c>
      <c r="AP232" t="s">
        <v>136</v>
      </c>
      <c r="AQ232" t="s">
        <v>137</v>
      </c>
      <c r="AR232" t="s">
        <v>138</v>
      </c>
      <c r="AS232" t="s">
        <v>150</v>
      </c>
      <c r="AT232" t="s">
        <v>140</v>
      </c>
      <c r="AU232">
        <v>501</v>
      </c>
      <c r="AV232">
        <v>10</v>
      </c>
      <c r="AW232">
        <v>1</v>
      </c>
      <c r="AX232" s="2">
        <v>45859</v>
      </c>
      <c r="AY232" t="s">
        <v>141</v>
      </c>
      <c r="AZ232" s="2">
        <v>46027</v>
      </c>
      <c r="BA232">
        <v>0</v>
      </c>
      <c r="BB232">
        <v>0</v>
      </c>
      <c r="BC232">
        <v>0</v>
      </c>
      <c r="BD232">
        <v>700</v>
      </c>
      <c r="BE232">
        <v>70</v>
      </c>
      <c r="BF232">
        <v>9</v>
      </c>
      <c r="BG232" s="2">
        <v>45536</v>
      </c>
      <c r="BH232" t="s">
        <v>142</v>
      </c>
      <c r="BI232" s="2">
        <v>46026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s="1">
        <v>3693.87</v>
      </c>
      <c r="BQ232" s="1">
        <v>3693.87</v>
      </c>
      <c r="BR232">
        <v>0</v>
      </c>
      <c r="BS232">
        <v>0</v>
      </c>
      <c r="BT232">
        <v>0</v>
      </c>
      <c r="BU232">
        <v>0</v>
      </c>
      <c r="BV232" s="1">
        <v>5490.44</v>
      </c>
      <c r="BW232" s="1">
        <v>5490.44</v>
      </c>
      <c r="BX232">
        <v>0</v>
      </c>
      <c r="BY232">
        <v>0</v>
      </c>
      <c r="BZ232">
        <v>0</v>
      </c>
      <c r="CA232">
        <v>0</v>
      </c>
      <c r="CB232" s="1">
        <v>2708.97</v>
      </c>
      <c r="CC232" t="s">
        <v>161</v>
      </c>
    </row>
    <row r="233" spans="1:81" x14ac:dyDescent="0.25">
      <c r="A233">
        <v>345</v>
      </c>
      <c r="B233">
        <v>2</v>
      </c>
      <c r="C233">
        <v>409</v>
      </c>
      <c r="D233" t="s">
        <v>1411</v>
      </c>
      <c r="E233" t="s">
        <v>121</v>
      </c>
      <c r="F233" t="s">
        <v>1412</v>
      </c>
      <c r="G233" t="s">
        <v>1413</v>
      </c>
      <c r="H233" t="s">
        <v>1414</v>
      </c>
      <c r="I233" t="s">
        <v>125</v>
      </c>
      <c r="J233" t="s">
        <v>735</v>
      </c>
      <c r="K233" t="s">
        <v>336</v>
      </c>
      <c r="L233" t="s">
        <v>128</v>
      </c>
      <c r="M233" t="s">
        <v>337</v>
      </c>
      <c r="N233" t="s">
        <v>1415</v>
      </c>
      <c r="O233" t="s">
        <v>131</v>
      </c>
      <c r="P233">
        <v>0</v>
      </c>
      <c r="Q233" t="s">
        <v>125</v>
      </c>
      <c r="R233">
        <v>6</v>
      </c>
      <c r="S233">
        <v>38</v>
      </c>
      <c r="T233" t="s">
        <v>132</v>
      </c>
      <c r="U233" t="s">
        <v>133</v>
      </c>
      <c r="V233" s="1">
        <v>1100</v>
      </c>
      <c r="W233">
        <v>609.21</v>
      </c>
      <c r="X233">
        <v>490.79</v>
      </c>
      <c r="Y233">
        <v>7</v>
      </c>
      <c r="Z233">
        <v>0</v>
      </c>
      <c r="AA233">
        <v>7</v>
      </c>
      <c r="AB233">
        <v>0</v>
      </c>
      <c r="AC233">
        <v>0</v>
      </c>
      <c r="AD233" t="s">
        <v>134</v>
      </c>
      <c r="AE233" t="s">
        <v>234</v>
      </c>
      <c r="AF233" s="2">
        <v>45518</v>
      </c>
      <c r="AG233" s="2">
        <v>46020</v>
      </c>
      <c r="AH233">
        <v>597.12</v>
      </c>
      <c r="AI233" s="1">
        <v>1114.4100000000001</v>
      </c>
      <c r="AJ233" s="1">
        <v>4777.03</v>
      </c>
      <c r="AK233">
        <v>0</v>
      </c>
      <c r="AL233">
        <v>609.21</v>
      </c>
      <c r="AM233">
        <v>109.41</v>
      </c>
      <c r="AN233" t="s">
        <v>135</v>
      </c>
      <c r="AO233" t="s">
        <v>135</v>
      </c>
      <c r="AP233" t="s">
        <v>136</v>
      </c>
      <c r="AQ233" t="s">
        <v>137</v>
      </c>
      <c r="AR233" t="s">
        <v>138</v>
      </c>
      <c r="AS233" t="s">
        <v>139</v>
      </c>
      <c r="AT233" t="s">
        <v>140</v>
      </c>
      <c r="AU233">
        <v>104</v>
      </c>
      <c r="AV233">
        <v>10</v>
      </c>
      <c r="AW233">
        <v>1</v>
      </c>
      <c r="AX233" s="2">
        <v>45857</v>
      </c>
      <c r="AY233" t="s">
        <v>160</v>
      </c>
      <c r="AZ233" s="2">
        <v>46025</v>
      </c>
      <c r="BA233">
        <v>0</v>
      </c>
      <c r="BB233">
        <v>0</v>
      </c>
      <c r="BC233">
        <v>0</v>
      </c>
      <c r="BD233">
        <v>700</v>
      </c>
      <c r="BE233">
        <v>70</v>
      </c>
      <c r="BF233">
        <v>9</v>
      </c>
      <c r="BG233" s="2">
        <v>45536</v>
      </c>
      <c r="BH233" t="s">
        <v>142</v>
      </c>
      <c r="BI233" s="2">
        <v>46026</v>
      </c>
      <c r="BJ233">
        <v>0</v>
      </c>
      <c r="BK233">
        <v>0</v>
      </c>
      <c r="BL233">
        <v>0</v>
      </c>
      <c r="BM233">
        <v>7</v>
      </c>
      <c r="BN233">
        <v>7</v>
      </c>
      <c r="BO233">
        <v>666.52</v>
      </c>
      <c r="BP233">
        <v>0</v>
      </c>
      <c r="BQ233">
        <v>666.52</v>
      </c>
      <c r="BR233">
        <v>666.52</v>
      </c>
      <c r="BS233">
        <v>7</v>
      </c>
      <c r="BT233">
        <v>4.8</v>
      </c>
      <c r="BU233" s="1">
        <v>2151.12</v>
      </c>
      <c r="BV233">
        <v>987.65</v>
      </c>
      <c r="BW233" s="1">
        <v>3138.77</v>
      </c>
      <c r="BX233">
        <v>609.21</v>
      </c>
      <c r="BY233">
        <v>28.32</v>
      </c>
      <c r="BZ233">
        <v>0</v>
      </c>
      <c r="CA233">
        <v>0</v>
      </c>
      <c r="CB233" s="1">
        <v>1210.7</v>
      </c>
      <c r="CC233" t="s">
        <v>143</v>
      </c>
    </row>
    <row r="234" spans="1:81" x14ac:dyDescent="0.25">
      <c r="A234">
        <v>345</v>
      </c>
      <c r="B234">
        <v>2</v>
      </c>
      <c r="C234">
        <v>410</v>
      </c>
      <c r="D234" t="s">
        <v>1416</v>
      </c>
      <c r="E234" t="s">
        <v>121</v>
      </c>
      <c r="F234" t="s">
        <v>1417</v>
      </c>
      <c r="G234" t="s">
        <v>1418</v>
      </c>
      <c r="H234" t="s">
        <v>1419</v>
      </c>
      <c r="I234" t="s">
        <v>125</v>
      </c>
      <c r="J234" t="s">
        <v>735</v>
      </c>
      <c r="K234" t="s">
        <v>336</v>
      </c>
      <c r="L234" t="s">
        <v>128</v>
      </c>
      <c r="M234" t="s">
        <v>337</v>
      </c>
      <c r="N234" t="s">
        <v>1420</v>
      </c>
      <c r="O234" t="s">
        <v>149</v>
      </c>
      <c r="P234">
        <v>0</v>
      </c>
      <c r="Q234" t="s">
        <v>125</v>
      </c>
      <c r="R234">
        <v>6</v>
      </c>
      <c r="S234">
        <v>41</v>
      </c>
      <c r="T234" t="s">
        <v>132</v>
      </c>
      <c r="U234" t="s">
        <v>133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234</v>
      </c>
      <c r="AE234" t="s">
        <v>234</v>
      </c>
      <c r="AF234" s="2">
        <v>45518</v>
      </c>
      <c r="AG234" s="2">
        <v>46020</v>
      </c>
      <c r="AH234" s="1">
        <v>3487.65</v>
      </c>
      <c r="AI234" s="1">
        <v>6132.48</v>
      </c>
      <c r="AJ234" s="1">
        <v>27901.24</v>
      </c>
      <c r="AK234">
        <v>0</v>
      </c>
      <c r="AL234">
        <v>0</v>
      </c>
      <c r="AM234">
        <v>0</v>
      </c>
      <c r="AN234" t="s">
        <v>135</v>
      </c>
      <c r="AO234" t="s">
        <v>135</v>
      </c>
      <c r="AP234" t="s">
        <v>136</v>
      </c>
      <c r="AQ234" t="s">
        <v>137</v>
      </c>
      <c r="AR234" t="s">
        <v>138</v>
      </c>
      <c r="AS234" t="s">
        <v>139</v>
      </c>
      <c r="AT234" t="s">
        <v>140</v>
      </c>
      <c r="AU234">
        <v>104</v>
      </c>
      <c r="AV234">
        <v>10</v>
      </c>
      <c r="AW234">
        <v>1</v>
      </c>
      <c r="AX234" s="2">
        <v>45857</v>
      </c>
      <c r="AY234" t="s">
        <v>160</v>
      </c>
      <c r="AZ234" s="2">
        <v>46025</v>
      </c>
      <c r="BA234">
        <v>0</v>
      </c>
      <c r="BB234">
        <v>0</v>
      </c>
      <c r="BC234">
        <v>0</v>
      </c>
      <c r="BD234">
        <v>700</v>
      </c>
      <c r="BE234">
        <v>70</v>
      </c>
      <c r="BF234">
        <v>9</v>
      </c>
      <c r="BG234" s="2">
        <v>45536</v>
      </c>
      <c r="BH234" t="s">
        <v>142</v>
      </c>
      <c r="BI234" s="2">
        <v>46026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s="1">
        <v>7149.58</v>
      </c>
      <c r="BQ234" s="1">
        <v>7149.58</v>
      </c>
      <c r="BR234">
        <v>0</v>
      </c>
      <c r="BS234">
        <v>0</v>
      </c>
      <c r="BT234">
        <v>0</v>
      </c>
      <c r="BU234">
        <v>0</v>
      </c>
      <c r="BV234" s="1">
        <v>11027.44</v>
      </c>
      <c r="BW234" s="1">
        <v>11027.44</v>
      </c>
      <c r="BX234">
        <v>0</v>
      </c>
      <c r="BY234">
        <v>0</v>
      </c>
      <c r="BZ234">
        <v>0</v>
      </c>
      <c r="CA234">
        <v>0</v>
      </c>
      <c r="CB234" s="1">
        <v>8902.59</v>
      </c>
      <c r="CC234" t="s">
        <v>152</v>
      </c>
    </row>
    <row r="235" spans="1:81" x14ac:dyDescent="0.25">
      <c r="A235">
        <v>345</v>
      </c>
      <c r="B235">
        <v>2</v>
      </c>
      <c r="C235">
        <v>411</v>
      </c>
      <c r="D235" t="s">
        <v>1421</v>
      </c>
      <c r="E235" t="s">
        <v>121</v>
      </c>
      <c r="F235" t="s">
        <v>1422</v>
      </c>
      <c r="G235" t="s">
        <v>1423</v>
      </c>
      <c r="H235" t="s">
        <v>1424</v>
      </c>
      <c r="I235" t="s">
        <v>125</v>
      </c>
      <c r="J235" t="s">
        <v>126</v>
      </c>
      <c r="K235" t="s">
        <v>466</v>
      </c>
      <c r="L235" t="s">
        <v>128</v>
      </c>
      <c r="M235" t="s">
        <v>467</v>
      </c>
      <c r="N235" t="s">
        <v>1425</v>
      </c>
      <c r="O235" t="s">
        <v>131</v>
      </c>
      <c r="P235">
        <v>0</v>
      </c>
      <c r="Q235" t="s">
        <v>125</v>
      </c>
      <c r="R235">
        <v>6</v>
      </c>
      <c r="S235">
        <v>43</v>
      </c>
      <c r="T235" t="s">
        <v>132</v>
      </c>
      <c r="U235" t="s">
        <v>133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134</v>
      </c>
      <c r="AE235" t="s">
        <v>134</v>
      </c>
      <c r="AF235" s="2">
        <v>45518</v>
      </c>
      <c r="AG235" s="2">
        <v>46013</v>
      </c>
      <c r="AH235">
        <v>472.59</v>
      </c>
      <c r="AI235">
        <v>631.54</v>
      </c>
      <c r="AJ235" s="1">
        <v>1417.79</v>
      </c>
      <c r="AK235">
        <v>0</v>
      </c>
      <c r="AL235">
        <v>0</v>
      </c>
      <c r="AM235">
        <v>0</v>
      </c>
      <c r="AN235" t="s">
        <v>135</v>
      </c>
      <c r="AO235" t="s">
        <v>135</v>
      </c>
      <c r="AP235" t="s">
        <v>136</v>
      </c>
      <c r="AQ235" t="s">
        <v>137</v>
      </c>
      <c r="AR235" t="s">
        <v>138</v>
      </c>
      <c r="AS235" t="s">
        <v>150</v>
      </c>
      <c r="AT235" t="s">
        <v>140</v>
      </c>
      <c r="AU235">
        <v>105</v>
      </c>
      <c r="AV235">
        <v>10</v>
      </c>
      <c r="AW235">
        <v>1</v>
      </c>
      <c r="AX235" s="2">
        <v>45856</v>
      </c>
      <c r="AY235" t="s">
        <v>151</v>
      </c>
      <c r="AZ235" s="2">
        <v>46024</v>
      </c>
      <c r="BA235">
        <v>0</v>
      </c>
      <c r="BB235">
        <v>0</v>
      </c>
      <c r="BC235">
        <v>0</v>
      </c>
      <c r="BD235">
        <v>700</v>
      </c>
      <c r="BE235">
        <v>70</v>
      </c>
      <c r="BF235">
        <v>9</v>
      </c>
      <c r="BG235" s="2">
        <v>45536</v>
      </c>
      <c r="BH235" t="s">
        <v>142</v>
      </c>
      <c r="BI235" s="2">
        <v>46026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408.04</v>
      </c>
      <c r="BQ235">
        <v>408.04</v>
      </c>
      <c r="BR235">
        <v>0</v>
      </c>
      <c r="BS235">
        <v>0</v>
      </c>
      <c r="BT235">
        <v>0</v>
      </c>
      <c r="BU235">
        <v>0</v>
      </c>
      <c r="BV235">
        <v>631.54</v>
      </c>
      <c r="BW235">
        <v>631.54</v>
      </c>
      <c r="BX235">
        <v>0</v>
      </c>
      <c r="BY235">
        <v>0</v>
      </c>
      <c r="BZ235">
        <v>0</v>
      </c>
      <c r="CA235">
        <v>0</v>
      </c>
      <c r="CB235">
        <v>262.08</v>
      </c>
      <c r="CC235" t="s">
        <v>143</v>
      </c>
    </row>
    <row r="236" spans="1:81" x14ac:dyDescent="0.25">
      <c r="A236">
        <v>345</v>
      </c>
      <c r="B236">
        <v>2</v>
      </c>
      <c r="C236">
        <v>412</v>
      </c>
      <c r="D236" t="s">
        <v>1426</v>
      </c>
      <c r="E236" t="s">
        <v>121</v>
      </c>
      <c r="F236" t="s">
        <v>1427</v>
      </c>
      <c r="G236" t="s">
        <v>1428</v>
      </c>
      <c r="H236" t="s">
        <v>1429</v>
      </c>
      <c r="I236" t="s">
        <v>125</v>
      </c>
      <c r="J236" t="s">
        <v>583</v>
      </c>
      <c r="K236" t="s">
        <v>336</v>
      </c>
      <c r="L236" t="s">
        <v>128</v>
      </c>
      <c r="M236" t="s">
        <v>337</v>
      </c>
      <c r="N236" t="s">
        <v>1430</v>
      </c>
      <c r="O236" t="s">
        <v>131</v>
      </c>
      <c r="P236">
        <v>0</v>
      </c>
      <c r="Q236" t="s">
        <v>125</v>
      </c>
      <c r="R236">
        <v>6</v>
      </c>
      <c r="S236">
        <v>41</v>
      </c>
      <c r="T236" t="s">
        <v>132</v>
      </c>
      <c r="U236" t="s">
        <v>133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134</v>
      </c>
      <c r="AE236" t="s">
        <v>134</v>
      </c>
      <c r="AF236" s="2">
        <v>45518</v>
      </c>
      <c r="AG236" s="2">
        <v>46004</v>
      </c>
      <c r="AH236">
        <v>88.82</v>
      </c>
      <c r="AI236">
        <v>230.07</v>
      </c>
      <c r="AJ236">
        <v>532.94000000000005</v>
      </c>
      <c r="AK236">
        <v>0</v>
      </c>
      <c r="AL236">
        <v>0</v>
      </c>
      <c r="AM236">
        <v>0</v>
      </c>
      <c r="AN236" t="s">
        <v>135</v>
      </c>
      <c r="AO236" t="s">
        <v>135</v>
      </c>
      <c r="AP236" t="s">
        <v>136</v>
      </c>
      <c r="AQ236" t="s">
        <v>137</v>
      </c>
      <c r="AR236" t="s">
        <v>138</v>
      </c>
      <c r="AS236" t="s">
        <v>139</v>
      </c>
      <c r="AT236" t="s">
        <v>140</v>
      </c>
      <c r="AU236">
        <v>100</v>
      </c>
      <c r="AV236">
        <v>10</v>
      </c>
      <c r="AW236">
        <v>1</v>
      </c>
      <c r="AX236" s="2">
        <v>45842</v>
      </c>
      <c r="AY236" t="s">
        <v>151</v>
      </c>
      <c r="AZ236" s="2">
        <v>46024</v>
      </c>
      <c r="BA236">
        <v>0</v>
      </c>
      <c r="BB236">
        <v>0</v>
      </c>
      <c r="BC236">
        <v>0</v>
      </c>
      <c r="BD236">
        <v>700</v>
      </c>
      <c r="BE236">
        <v>70</v>
      </c>
      <c r="BF236">
        <v>9</v>
      </c>
      <c r="BG236" s="2">
        <v>45536</v>
      </c>
      <c r="BH236" t="s">
        <v>142</v>
      </c>
      <c r="BI236" s="2">
        <v>46026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316.95</v>
      </c>
      <c r="BQ236">
        <v>316.95</v>
      </c>
      <c r="BR236">
        <v>0</v>
      </c>
      <c r="BS236">
        <v>0</v>
      </c>
      <c r="BT236">
        <v>0</v>
      </c>
      <c r="BU236">
        <v>0</v>
      </c>
      <c r="BV236">
        <v>178.71</v>
      </c>
      <c r="BW236">
        <v>178.71</v>
      </c>
      <c r="BX236">
        <v>0</v>
      </c>
      <c r="BY236">
        <v>0</v>
      </c>
      <c r="BZ236">
        <v>0</v>
      </c>
      <c r="CA236">
        <v>0</v>
      </c>
      <c r="CB236">
        <v>136.04</v>
      </c>
      <c r="CC236" t="s">
        <v>143</v>
      </c>
    </row>
    <row r="237" spans="1:81" x14ac:dyDescent="0.25">
      <c r="A237">
        <v>345</v>
      </c>
      <c r="B237">
        <v>2</v>
      </c>
      <c r="C237">
        <v>413</v>
      </c>
      <c r="D237" t="s">
        <v>1431</v>
      </c>
      <c r="E237" t="s">
        <v>121</v>
      </c>
      <c r="F237" t="s">
        <v>1432</v>
      </c>
      <c r="G237" t="s">
        <v>1433</v>
      </c>
      <c r="H237" t="s">
        <v>1434</v>
      </c>
      <c r="I237" t="s">
        <v>125</v>
      </c>
      <c r="J237" t="s">
        <v>459</v>
      </c>
      <c r="K237" t="s">
        <v>336</v>
      </c>
      <c r="L237" t="s">
        <v>128</v>
      </c>
      <c r="M237" t="s">
        <v>337</v>
      </c>
      <c r="N237" t="s">
        <v>1435</v>
      </c>
      <c r="O237" t="s">
        <v>131</v>
      </c>
      <c r="P237">
        <v>0</v>
      </c>
      <c r="Q237" t="s">
        <v>125</v>
      </c>
      <c r="R237">
        <v>6</v>
      </c>
      <c r="S237">
        <v>45</v>
      </c>
      <c r="T237" t="s">
        <v>132</v>
      </c>
      <c r="U237" t="s">
        <v>133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234</v>
      </c>
      <c r="AE237" t="s">
        <v>134</v>
      </c>
      <c r="AF237" s="2">
        <v>45518</v>
      </c>
      <c r="AG237" s="2">
        <v>46020</v>
      </c>
      <c r="AH237" s="1">
        <v>3084.91</v>
      </c>
      <c r="AI237" s="1">
        <v>8369.4</v>
      </c>
      <c r="AJ237" s="1">
        <v>37018.959999999999</v>
      </c>
      <c r="AK237">
        <v>0</v>
      </c>
      <c r="AL237">
        <v>0</v>
      </c>
      <c r="AM237">
        <v>0</v>
      </c>
      <c r="AN237" t="s">
        <v>135</v>
      </c>
      <c r="AO237" t="s">
        <v>135</v>
      </c>
      <c r="AP237" t="s">
        <v>136</v>
      </c>
      <c r="AQ237" t="s">
        <v>137</v>
      </c>
      <c r="AR237" t="s">
        <v>138</v>
      </c>
      <c r="AS237" t="s">
        <v>150</v>
      </c>
      <c r="AT237" t="s">
        <v>140</v>
      </c>
      <c r="AU237">
        <v>500</v>
      </c>
      <c r="AV237">
        <v>10</v>
      </c>
      <c r="AW237">
        <v>1</v>
      </c>
      <c r="AX237" s="2">
        <v>45861</v>
      </c>
      <c r="AY237" t="s">
        <v>168</v>
      </c>
      <c r="AZ237" s="2">
        <v>46022</v>
      </c>
      <c r="BA237">
        <v>0</v>
      </c>
      <c r="BB237">
        <v>0</v>
      </c>
      <c r="BC237">
        <v>0</v>
      </c>
      <c r="BD237">
        <v>700</v>
      </c>
      <c r="BE237">
        <v>70</v>
      </c>
      <c r="BF237">
        <v>9</v>
      </c>
      <c r="BG237" s="2">
        <v>45536</v>
      </c>
      <c r="BH237" t="s">
        <v>142</v>
      </c>
      <c r="BI237" s="2">
        <v>46026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s="1">
        <v>7304.96</v>
      </c>
      <c r="BQ237" s="1">
        <v>7304.96</v>
      </c>
      <c r="BR237">
        <v>0</v>
      </c>
      <c r="BS237">
        <v>0</v>
      </c>
      <c r="BT237">
        <v>0</v>
      </c>
      <c r="BU237">
        <v>0</v>
      </c>
      <c r="BV237" s="1">
        <v>17195.91</v>
      </c>
      <c r="BW237" s="1">
        <v>17195.91</v>
      </c>
      <c r="BX237">
        <v>0</v>
      </c>
      <c r="BY237">
        <v>0</v>
      </c>
      <c r="BZ237">
        <v>0</v>
      </c>
      <c r="CA237">
        <v>0</v>
      </c>
      <c r="CB237" s="1">
        <v>10537.83</v>
      </c>
      <c r="CC237" t="s">
        <v>143</v>
      </c>
    </row>
    <row r="238" spans="1:81" x14ac:dyDescent="0.25">
      <c r="A238">
        <v>345</v>
      </c>
      <c r="B238">
        <v>2</v>
      </c>
      <c r="C238">
        <v>416</v>
      </c>
      <c r="D238" t="s">
        <v>1436</v>
      </c>
      <c r="E238" t="s">
        <v>121</v>
      </c>
      <c r="F238" t="s">
        <v>1437</v>
      </c>
      <c r="G238" t="s">
        <v>1438</v>
      </c>
      <c r="H238" t="s">
        <v>1439</v>
      </c>
      <c r="I238" t="s">
        <v>125</v>
      </c>
      <c r="J238" t="s">
        <v>126</v>
      </c>
      <c r="K238" t="s">
        <v>336</v>
      </c>
      <c r="L238" t="s">
        <v>128</v>
      </c>
      <c r="M238" t="s">
        <v>337</v>
      </c>
      <c r="N238" t="s">
        <v>1440</v>
      </c>
      <c r="O238" t="s">
        <v>131</v>
      </c>
      <c r="P238">
        <v>0</v>
      </c>
      <c r="Q238" t="s">
        <v>125</v>
      </c>
      <c r="R238">
        <v>6</v>
      </c>
      <c r="S238">
        <v>45</v>
      </c>
      <c r="T238" t="s">
        <v>132</v>
      </c>
      <c r="U238" t="s">
        <v>133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134</v>
      </c>
      <c r="AE238" t="s">
        <v>134</v>
      </c>
      <c r="AF238" s="2">
        <v>45518</v>
      </c>
      <c r="AG238" s="2">
        <v>46018</v>
      </c>
      <c r="AH238" s="1">
        <v>3206.55</v>
      </c>
      <c r="AI238" s="1">
        <v>5849.6</v>
      </c>
      <c r="AJ238" s="1">
        <v>38478.639999999999</v>
      </c>
      <c r="AK238">
        <v>0</v>
      </c>
      <c r="AL238">
        <v>0</v>
      </c>
      <c r="AM238">
        <v>0</v>
      </c>
      <c r="AN238" t="s">
        <v>135</v>
      </c>
      <c r="AO238" t="s">
        <v>135</v>
      </c>
      <c r="AP238" t="s">
        <v>136</v>
      </c>
      <c r="AQ238" t="s">
        <v>137</v>
      </c>
      <c r="AR238" t="s">
        <v>138</v>
      </c>
      <c r="AS238" t="s">
        <v>150</v>
      </c>
      <c r="AT238" t="s">
        <v>140</v>
      </c>
      <c r="AU238">
        <v>501</v>
      </c>
      <c r="AV238">
        <v>10</v>
      </c>
      <c r="AW238">
        <v>1</v>
      </c>
      <c r="AX238" s="2">
        <v>45860</v>
      </c>
      <c r="AY238" t="s">
        <v>377</v>
      </c>
      <c r="AZ238" s="2">
        <v>46028</v>
      </c>
      <c r="BA238">
        <v>0</v>
      </c>
      <c r="BB238">
        <v>0</v>
      </c>
      <c r="BC238">
        <v>0</v>
      </c>
      <c r="BD238">
        <v>700</v>
      </c>
      <c r="BE238">
        <v>70</v>
      </c>
      <c r="BF238">
        <v>9</v>
      </c>
      <c r="BG238" s="2">
        <v>45536</v>
      </c>
      <c r="BH238" t="s">
        <v>142</v>
      </c>
      <c r="BI238" s="2">
        <v>46026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 s="1">
        <v>11019.97</v>
      </c>
      <c r="BQ238" s="1">
        <v>11019.97</v>
      </c>
      <c r="BR238">
        <v>0</v>
      </c>
      <c r="BS238">
        <v>0</v>
      </c>
      <c r="BT238">
        <v>0</v>
      </c>
      <c r="BU238">
        <v>0</v>
      </c>
      <c r="BV238" s="1">
        <v>16786.43</v>
      </c>
      <c r="BW238" s="1">
        <v>16786.43</v>
      </c>
      <c r="BX238">
        <v>0</v>
      </c>
      <c r="BY238">
        <v>0</v>
      </c>
      <c r="BZ238">
        <v>0</v>
      </c>
      <c r="CA238">
        <v>0</v>
      </c>
      <c r="CB238" s="1">
        <v>10219.23</v>
      </c>
      <c r="CC238" t="s">
        <v>143</v>
      </c>
    </row>
    <row r="239" spans="1:81" x14ac:dyDescent="0.25">
      <c r="A239">
        <v>345</v>
      </c>
      <c r="B239">
        <v>2</v>
      </c>
      <c r="C239">
        <v>417</v>
      </c>
      <c r="D239" t="s">
        <v>1441</v>
      </c>
      <c r="E239" t="s">
        <v>121</v>
      </c>
      <c r="F239" t="s">
        <v>1442</v>
      </c>
      <c r="G239" t="s">
        <v>1443</v>
      </c>
      <c r="H239" t="s">
        <v>1444</v>
      </c>
      <c r="I239" t="s">
        <v>125</v>
      </c>
      <c r="J239" t="s">
        <v>126</v>
      </c>
      <c r="K239" t="s">
        <v>466</v>
      </c>
      <c r="L239" t="s">
        <v>128</v>
      </c>
      <c r="M239" t="s">
        <v>467</v>
      </c>
      <c r="N239" t="s">
        <v>1445</v>
      </c>
      <c r="O239" t="s">
        <v>131</v>
      </c>
      <c r="P239">
        <v>0</v>
      </c>
      <c r="Q239" t="s">
        <v>125</v>
      </c>
      <c r="R239">
        <v>6</v>
      </c>
      <c r="S239">
        <v>43</v>
      </c>
      <c r="T239" t="s">
        <v>132</v>
      </c>
      <c r="U239" t="s">
        <v>133</v>
      </c>
      <c r="V239" s="1">
        <v>14700</v>
      </c>
      <c r="W239">
        <v>0</v>
      </c>
      <c r="X239" s="1">
        <v>14700</v>
      </c>
      <c r="Y239">
        <v>2</v>
      </c>
      <c r="Z239">
        <v>0</v>
      </c>
      <c r="AA239">
        <v>0</v>
      </c>
      <c r="AB239">
        <v>0</v>
      </c>
      <c r="AC239">
        <v>0</v>
      </c>
      <c r="AD239" t="s">
        <v>134</v>
      </c>
      <c r="AE239" t="s">
        <v>134</v>
      </c>
      <c r="AF239" s="2">
        <v>45518</v>
      </c>
      <c r="AG239" s="2">
        <v>46021</v>
      </c>
      <c r="AH239" s="1">
        <v>9535.3700000000008</v>
      </c>
      <c r="AI239" s="1">
        <v>41117.07</v>
      </c>
      <c r="AJ239" s="1">
        <v>123959.9</v>
      </c>
      <c r="AK239">
        <v>0</v>
      </c>
      <c r="AL239">
        <v>0</v>
      </c>
      <c r="AM239">
        <v>0</v>
      </c>
      <c r="AN239" t="s">
        <v>135</v>
      </c>
      <c r="AO239" t="s">
        <v>135</v>
      </c>
      <c r="AP239" t="s">
        <v>136</v>
      </c>
      <c r="AQ239" t="s">
        <v>137</v>
      </c>
      <c r="AR239" t="s">
        <v>138</v>
      </c>
      <c r="AS239" t="s">
        <v>150</v>
      </c>
      <c r="AT239" t="s">
        <v>140</v>
      </c>
      <c r="AU239">
        <v>501</v>
      </c>
      <c r="AV239">
        <v>10</v>
      </c>
      <c r="AW239">
        <v>1</v>
      </c>
      <c r="AX239" s="2">
        <v>45854</v>
      </c>
      <c r="AY239" t="s">
        <v>168</v>
      </c>
      <c r="AZ239" s="2">
        <v>46022</v>
      </c>
      <c r="BA239">
        <v>0</v>
      </c>
      <c r="BB239">
        <v>0</v>
      </c>
      <c r="BC239">
        <v>0</v>
      </c>
      <c r="BD239">
        <v>700</v>
      </c>
      <c r="BE239">
        <v>70</v>
      </c>
      <c r="BF239">
        <v>9</v>
      </c>
      <c r="BG239" s="2">
        <v>45536</v>
      </c>
      <c r="BH239" t="s">
        <v>142</v>
      </c>
      <c r="BI239" s="2">
        <v>46026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s="1">
        <v>37175.5</v>
      </c>
      <c r="BQ239" s="1">
        <v>37175.5</v>
      </c>
      <c r="BR239">
        <v>0</v>
      </c>
      <c r="BS239">
        <v>0</v>
      </c>
      <c r="BT239">
        <v>0</v>
      </c>
      <c r="BU239">
        <v>0</v>
      </c>
      <c r="BV239" s="1">
        <v>67110.05</v>
      </c>
      <c r="BW239" s="1">
        <v>67110.05</v>
      </c>
      <c r="BX239">
        <v>0</v>
      </c>
      <c r="BY239">
        <v>0</v>
      </c>
      <c r="BZ239">
        <v>0</v>
      </c>
      <c r="CA239">
        <v>0</v>
      </c>
      <c r="CB239" s="1">
        <v>29247.59</v>
      </c>
      <c r="CC239" t="s">
        <v>143</v>
      </c>
    </row>
    <row r="240" spans="1:81" x14ac:dyDescent="0.25">
      <c r="A240">
        <v>345</v>
      </c>
      <c r="B240">
        <v>2</v>
      </c>
      <c r="C240">
        <v>420</v>
      </c>
      <c r="D240" t="s">
        <v>1446</v>
      </c>
      <c r="E240" t="s">
        <v>121</v>
      </c>
      <c r="F240" t="s">
        <v>1447</v>
      </c>
      <c r="G240" t="s">
        <v>1448</v>
      </c>
      <c r="H240" t="s">
        <v>1449</v>
      </c>
      <c r="I240" t="s">
        <v>125</v>
      </c>
      <c r="J240" t="s">
        <v>459</v>
      </c>
      <c r="K240" t="s">
        <v>336</v>
      </c>
      <c r="L240" t="s">
        <v>128</v>
      </c>
      <c r="M240" t="s">
        <v>337</v>
      </c>
      <c r="N240" t="s">
        <v>1450</v>
      </c>
      <c r="O240" t="s">
        <v>195</v>
      </c>
      <c r="P240">
        <v>0</v>
      </c>
      <c r="Q240" t="s">
        <v>125</v>
      </c>
      <c r="R240">
        <v>6</v>
      </c>
      <c r="S240">
        <v>42</v>
      </c>
      <c r="T240" t="s">
        <v>132</v>
      </c>
      <c r="U240" t="s">
        <v>133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134</v>
      </c>
      <c r="AE240" t="s">
        <v>134</v>
      </c>
      <c r="AF240" s="2">
        <v>45518</v>
      </c>
      <c r="AG240" s="2">
        <v>46008</v>
      </c>
      <c r="AH240">
        <v>145.93</v>
      </c>
      <c r="AI240">
        <v>207.78</v>
      </c>
      <c r="AJ240">
        <v>583.74</v>
      </c>
      <c r="AK240">
        <v>0</v>
      </c>
      <c r="AL240">
        <v>0</v>
      </c>
      <c r="AM240">
        <v>0</v>
      </c>
      <c r="AN240" t="s">
        <v>135</v>
      </c>
      <c r="AO240" t="s">
        <v>135</v>
      </c>
      <c r="AP240" t="s">
        <v>136</v>
      </c>
      <c r="AQ240" t="s">
        <v>137</v>
      </c>
      <c r="AR240" t="s">
        <v>138</v>
      </c>
      <c r="AS240" t="s">
        <v>150</v>
      </c>
      <c r="AT240" t="s">
        <v>140</v>
      </c>
      <c r="AU240">
        <v>100</v>
      </c>
      <c r="AV240">
        <v>10</v>
      </c>
      <c r="AW240">
        <v>1</v>
      </c>
      <c r="AX240" s="2">
        <v>45845</v>
      </c>
      <c r="AY240" t="s">
        <v>141</v>
      </c>
      <c r="AZ240" s="2">
        <v>46027</v>
      </c>
      <c r="BA240">
        <v>0</v>
      </c>
      <c r="BB240">
        <v>0</v>
      </c>
      <c r="BC240">
        <v>0</v>
      </c>
      <c r="BD240">
        <v>700</v>
      </c>
      <c r="BE240">
        <v>70</v>
      </c>
      <c r="BF240">
        <v>9</v>
      </c>
      <c r="BG240" s="2">
        <v>45536</v>
      </c>
      <c r="BH240" t="s">
        <v>142</v>
      </c>
      <c r="BI240" s="2">
        <v>46026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276.83999999999997</v>
      </c>
      <c r="BQ240">
        <v>276.83999999999997</v>
      </c>
      <c r="BR240">
        <v>0</v>
      </c>
      <c r="BS240">
        <v>0</v>
      </c>
      <c r="BT240">
        <v>0</v>
      </c>
      <c r="BU240">
        <v>0</v>
      </c>
      <c r="BV240">
        <v>207.78</v>
      </c>
      <c r="BW240">
        <v>207.78</v>
      </c>
      <c r="BX240">
        <v>0</v>
      </c>
      <c r="BY240">
        <v>0</v>
      </c>
      <c r="BZ240">
        <v>0</v>
      </c>
      <c r="CA240">
        <v>0</v>
      </c>
      <c r="CB240">
        <v>164.36</v>
      </c>
      <c r="CC240" t="s">
        <v>161</v>
      </c>
    </row>
    <row r="241" spans="1:81" x14ac:dyDescent="0.25">
      <c r="A241">
        <v>345</v>
      </c>
      <c r="B241">
        <v>2</v>
      </c>
      <c r="C241">
        <v>421</v>
      </c>
      <c r="D241" t="s">
        <v>1451</v>
      </c>
      <c r="E241" t="s">
        <v>121</v>
      </c>
      <c r="F241" t="s">
        <v>1452</v>
      </c>
      <c r="G241" t="s">
        <v>1453</v>
      </c>
      <c r="H241" t="s">
        <v>1454</v>
      </c>
      <c r="I241" t="s">
        <v>125</v>
      </c>
      <c r="J241" t="s">
        <v>1009</v>
      </c>
      <c r="K241" t="s">
        <v>336</v>
      </c>
      <c r="L241" t="s">
        <v>128</v>
      </c>
      <c r="M241" t="s">
        <v>337</v>
      </c>
      <c r="N241" t="s">
        <v>1455</v>
      </c>
      <c r="O241" t="s">
        <v>296</v>
      </c>
      <c r="P241">
        <v>0</v>
      </c>
      <c r="Q241" t="s">
        <v>125</v>
      </c>
      <c r="R241">
        <v>3</v>
      </c>
      <c r="S241">
        <v>86</v>
      </c>
      <c r="T241" t="s">
        <v>132</v>
      </c>
      <c r="U241" t="s">
        <v>133</v>
      </c>
      <c r="V241" s="1">
        <v>19100</v>
      </c>
      <c r="W241" s="1">
        <v>1445.73</v>
      </c>
      <c r="X241" s="1">
        <v>17654.27</v>
      </c>
      <c r="Y241">
        <v>7</v>
      </c>
      <c r="Z241">
        <v>0</v>
      </c>
      <c r="AA241">
        <v>7</v>
      </c>
      <c r="AB241">
        <v>0</v>
      </c>
      <c r="AC241">
        <v>0</v>
      </c>
      <c r="AD241" t="s">
        <v>234</v>
      </c>
      <c r="AE241" t="s">
        <v>134</v>
      </c>
      <c r="AF241" s="2">
        <v>45518</v>
      </c>
      <c r="AG241" s="2">
        <v>46014</v>
      </c>
      <c r="AH241" s="1">
        <v>1380.65</v>
      </c>
      <c r="AI241" s="1">
        <v>1980.49</v>
      </c>
      <c r="AJ241" s="1">
        <v>8283.94</v>
      </c>
      <c r="AK241" s="1">
        <v>1445.73</v>
      </c>
      <c r="AL241">
        <v>0</v>
      </c>
      <c r="AM241">
        <v>0</v>
      </c>
      <c r="AN241" t="s">
        <v>135</v>
      </c>
      <c r="AO241" t="s">
        <v>135</v>
      </c>
      <c r="AP241" t="s">
        <v>136</v>
      </c>
      <c r="AQ241" t="s">
        <v>137</v>
      </c>
      <c r="AR241" t="s">
        <v>138</v>
      </c>
      <c r="AS241" t="s">
        <v>150</v>
      </c>
      <c r="AT241" t="s">
        <v>140</v>
      </c>
      <c r="AU241">
        <v>501</v>
      </c>
      <c r="AV241">
        <v>10</v>
      </c>
      <c r="AW241">
        <v>1</v>
      </c>
      <c r="AX241" s="2">
        <v>45845</v>
      </c>
      <c r="AY241" t="s">
        <v>141</v>
      </c>
      <c r="AZ241" s="2">
        <v>46027</v>
      </c>
      <c r="BA241">
        <v>0</v>
      </c>
      <c r="BB241">
        <v>0</v>
      </c>
      <c r="BC241">
        <v>0</v>
      </c>
      <c r="BD241">
        <v>700</v>
      </c>
      <c r="BE241">
        <v>70</v>
      </c>
      <c r="BF241">
        <v>9</v>
      </c>
      <c r="BG241" s="2">
        <v>45536</v>
      </c>
      <c r="BH241" t="s">
        <v>142</v>
      </c>
      <c r="BI241" s="2">
        <v>46026</v>
      </c>
      <c r="BJ241">
        <v>0</v>
      </c>
      <c r="BK241">
        <v>0</v>
      </c>
      <c r="BL241">
        <v>0</v>
      </c>
      <c r="BM241">
        <v>2</v>
      </c>
      <c r="BN241">
        <v>0.73</v>
      </c>
      <c r="BO241" s="1">
        <v>1130.82</v>
      </c>
      <c r="BP241" s="1">
        <v>1980.49</v>
      </c>
      <c r="BQ241" s="1">
        <v>3111.31</v>
      </c>
      <c r="BR241">
        <v>0</v>
      </c>
      <c r="BS241">
        <v>4.24</v>
      </c>
      <c r="BT241">
        <v>4.24</v>
      </c>
      <c r="BU241" s="1">
        <v>3223.85</v>
      </c>
      <c r="BV241">
        <v>0</v>
      </c>
      <c r="BW241" s="1">
        <v>3223.85</v>
      </c>
      <c r="BX241">
        <v>0</v>
      </c>
      <c r="BY241">
        <v>0</v>
      </c>
      <c r="BZ241">
        <v>0</v>
      </c>
      <c r="CA241">
        <v>0</v>
      </c>
      <c r="CB241" s="1">
        <v>2074.83</v>
      </c>
      <c r="CC241" t="s">
        <v>297</v>
      </c>
    </row>
    <row r="242" spans="1:81" x14ac:dyDescent="0.25">
      <c r="A242">
        <v>345</v>
      </c>
      <c r="B242">
        <v>2</v>
      </c>
      <c r="C242">
        <v>422</v>
      </c>
      <c r="D242" t="s">
        <v>1456</v>
      </c>
      <c r="E242" t="s">
        <v>121</v>
      </c>
      <c r="F242" t="s">
        <v>1457</v>
      </c>
      <c r="G242" t="s">
        <v>1458</v>
      </c>
      <c r="H242" t="s">
        <v>1459</v>
      </c>
      <c r="I242" t="s">
        <v>125</v>
      </c>
      <c r="J242" t="s">
        <v>825</v>
      </c>
      <c r="K242" t="s">
        <v>336</v>
      </c>
      <c r="L242" t="s">
        <v>128</v>
      </c>
      <c r="M242" t="s">
        <v>337</v>
      </c>
      <c r="N242" t="s">
        <v>1460</v>
      </c>
      <c r="O242" t="s">
        <v>131</v>
      </c>
      <c r="P242">
        <v>0</v>
      </c>
      <c r="Q242" t="s">
        <v>125</v>
      </c>
      <c r="R242">
        <v>6</v>
      </c>
      <c r="S242">
        <v>41</v>
      </c>
      <c r="T242" t="s">
        <v>132</v>
      </c>
      <c r="U242" t="s">
        <v>133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134</v>
      </c>
      <c r="AE242" t="s">
        <v>134</v>
      </c>
      <c r="AF242" s="2">
        <v>45518</v>
      </c>
      <c r="AG242" s="2">
        <v>46021</v>
      </c>
      <c r="AH242" s="1">
        <v>11297.08</v>
      </c>
      <c r="AI242" s="1">
        <v>18806.689999999999</v>
      </c>
      <c r="AJ242" s="1">
        <v>135565.06</v>
      </c>
      <c r="AK242">
        <v>0</v>
      </c>
      <c r="AL242">
        <v>0</v>
      </c>
      <c r="AM242">
        <v>0</v>
      </c>
      <c r="AN242" t="s">
        <v>135</v>
      </c>
      <c r="AO242" t="s">
        <v>135</v>
      </c>
      <c r="AP242" t="s">
        <v>136</v>
      </c>
      <c r="AQ242" t="s">
        <v>137</v>
      </c>
      <c r="AR242" t="s">
        <v>138</v>
      </c>
      <c r="AS242" t="s">
        <v>139</v>
      </c>
      <c r="AT242" t="s">
        <v>140</v>
      </c>
      <c r="AU242">
        <v>501</v>
      </c>
      <c r="AV242">
        <v>10</v>
      </c>
      <c r="AW242">
        <v>1</v>
      </c>
      <c r="AX242" s="2">
        <v>45838</v>
      </c>
      <c r="AY242" t="s">
        <v>141</v>
      </c>
      <c r="AZ242" s="2">
        <v>46027</v>
      </c>
      <c r="BA242">
        <v>0</v>
      </c>
      <c r="BB242">
        <v>0</v>
      </c>
      <c r="BC242">
        <v>0</v>
      </c>
      <c r="BD242">
        <v>700</v>
      </c>
      <c r="BE242">
        <v>70</v>
      </c>
      <c r="BF242">
        <v>9</v>
      </c>
      <c r="BG242" s="2">
        <v>45536</v>
      </c>
      <c r="BH242" t="s">
        <v>142</v>
      </c>
      <c r="BI242" s="2">
        <v>46026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s="1">
        <v>47576.05</v>
      </c>
      <c r="BQ242" s="1">
        <v>47576.05</v>
      </c>
      <c r="BR242">
        <v>0</v>
      </c>
      <c r="BS242">
        <v>0</v>
      </c>
      <c r="BT242">
        <v>0</v>
      </c>
      <c r="BU242">
        <v>0</v>
      </c>
      <c r="BV242" s="1">
        <v>61615.25</v>
      </c>
      <c r="BW242" s="1">
        <v>61615.25</v>
      </c>
      <c r="BX242">
        <v>0</v>
      </c>
      <c r="BY242">
        <v>0</v>
      </c>
      <c r="BZ242">
        <v>0</v>
      </c>
      <c r="CA242">
        <v>0</v>
      </c>
      <c r="CB242" s="1">
        <v>33800.49</v>
      </c>
      <c r="CC242" t="s">
        <v>143</v>
      </c>
    </row>
    <row r="243" spans="1:81" x14ac:dyDescent="0.25">
      <c r="A243">
        <v>345</v>
      </c>
      <c r="B243">
        <v>2</v>
      </c>
      <c r="C243">
        <v>423</v>
      </c>
      <c r="D243" t="s">
        <v>1461</v>
      </c>
      <c r="E243" t="s">
        <v>121</v>
      </c>
      <c r="F243" t="s">
        <v>1462</v>
      </c>
      <c r="G243" t="s">
        <v>1463</v>
      </c>
      <c r="H243" t="s">
        <v>1464</v>
      </c>
      <c r="I243" t="s">
        <v>125</v>
      </c>
      <c r="J243" t="s">
        <v>1465</v>
      </c>
      <c r="K243" t="s">
        <v>466</v>
      </c>
      <c r="L243" t="s">
        <v>128</v>
      </c>
      <c r="M243" t="s">
        <v>467</v>
      </c>
      <c r="N243" t="s">
        <v>1466</v>
      </c>
      <c r="O243" t="s">
        <v>131</v>
      </c>
      <c r="P243">
        <v>0</v>
      </c>
      <c r="Q243" t="s">
        <v>125</v>
      </c>
      <c r="R243">
        <v>6</v>
      </c>
      <c r="S243">
        <v>44</v>
      </c>
      <c r="T243" t="s">
        <v>132</v>
      </c>
      <c r="U243" t="s">
        <v>133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134</v>
      </c>
      <c r="AE243" t="s">
        <v>134</v>
      </c>
      <c r="AF243" s="2">
        <v>45518</v>
      </c>
      <c r="AG243" s="2">
        <v>45995</v>
      </c>
      <c r="AH243">
        <v>195.52</v>
      </c>
      <c r="AI243">
        <v>252.6</v>
      </c>
      <c r="AJ243" s="1">
        <v>1368.69</v>
      </c>
      <c r="AK243">
        <v>0</v>
      </c>
      <c r="AL243">
        <v>0</v>
      </c>
      <c r="AM243">
        <v>0</v>
      </c>
      <c r="AN243" t="s">
        <v>135</v>
      </c>
      <c r="AO243" t="s">
        <v>135</v>
      </c>
      <c r="AP243" t="s">
        <v>136</v>
      </c>
      <c r="AQ243" t="s">
        <v>137</v>
      </c>
      <c r="AR243" t="s">
        <v>138</v>
      </c>
      <c r="AS243" t="s">
        <v>150</v>
      </c>
      <c r="AT243" t="s">
        <v>140</v>
      </c>
      <c r="AU243">
        <v>100</v>
      </c>
      <c r="AV243">
        <v>10</v>
      </c>
      <c r="AW243">
        <v>1</v>
      </c>
      <c r="AX243" s="2">
        <v>45812</v>
      </c>
      <c r="AY243" t="s">
        <v>168</v>
      </c>
      <c r="AZ243" s="2">
        <v>46022</v>
      </c>
      <c r="BA243">
        <v>0</v>
      </c>
      <c r="BB243">
        <v>0</v>
      </c>
      <c r="BC243">
        <v>0</v>
      </c>
      <c r="BD243">
        <v>700</v>
      </c>
      <c r="BE243">
        <v>70</v>
      </c>
      <c r="BF243">
        <v>9</v>
      </c>
      <c r="BG243" s="2">
        <v>45536</v>
      </c>
      <c r="BH243" t="s">
        <v>142</v>
      </c>
      <c r="BI243" s="2">
        <v>46026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854.11</v>
      </c>
      <c r="BQ243">
        <v>854.11</v>
      </c>
      <c r="BR243">
        <v>0</v>
      </c>
      <c r="BS243">
        <v>0</v>
      </c>
      <c r="BT243">
        <v>0</v>
      </c>
      <c r="BU243">
        <v>0</v>
      </c>
      <c r="BV243">
        <v>229.89</v>
      </c>
      <c r="BW243">
        <v>229.89</v>
      </c>
      <c r="BX243">
        <v>0</v>
      </c>
      <c r="BY243">
        <v>0</v>
      </c>
      <c r="BZ243">
        <v>0</v>
      </c>
      <c r="CA243">
        <v>0</v>
      </c>
      <c r="CB243">
        <v>429.79</v>
      </c>
      <c r="CC243" t="s">
        <v>143</v>
      </c>
    </row>
    <row r="244" spans="1:81" x14ac:dyDescent="0.25">
      <c r="A244">
        <v>345</v>
      </c>
      <c r="B244">
        <v>2</v>
      </c>
      <c r="C244">
        <v>424</v>
      </c>
      <c r="D244" t="s">
        <v>1467</v>
      </c>
      <c r="E244" t="s">
        <v>121</v>
      </c>
      <c r="F244" t="s">
        <v>1468</v>
      </c>
      <c r="G244" t="s">
        <v>1469</v>
      </c>
      <c r="H244" t="s">
        <v>1470</v>
      </c>
      <c r="I244" t="s">
        <v>125</v>
      </c>
      <c r="J244" t="s">
        <v>1263</v>
      </c>
      <c r="K244" t="s">
        <v>466</v>
      </c>
      <c r="L244" t="s">
        <v>128</v>
      </c>
      <c r="M244" t="s">
        <v>467</v>
      </c>
      <c r="N244" t="s">
        <v>1471</v>
      </c>
      <c r="O244" t="s">
        <v>159</v>
      </c>
      <c r="P244">
        <v>0</v>
      </c>
      <c r="Q244" t="s">
        <v>125</v>
      </c>
      <c r="R244">
        <v>6</v>
      </c>
      <c r="S244">
        <v>37</v>
      </c>
      <c r="T244" t="s">
        <v>132</v>
      </c>
      <c r="U244" t="s">
        <v>133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134</v>
      </c>
      <c r="AE244" t="s">
        <v>134</v>
      </c>
      <c r="AF244" s="2">
        <v>45518</v>
      </c>
      <c r="AG244" s="2">
        <v>46017</v>
      </c>
      <c r="AH244" s="1">
        <v>1728.37</v>
      </c>
      <c r="AI244" s="1">
        <v>4789.96</v>
      </c>
      <c r="AJ244" s="1">
        <v>17283.71</v>
      </c>
      <c r="AK244">
        <v>0</v>
      </c>
      <c r="AL244">
        <v>0</v>
      </c>
      <c r="AM244">
        <v>0</v>
      </c>
      <c r="AN244" t="s">
        <v>135</v>
      </c>
      <c r="AO244" t="s">
        <v>135</v>
      </c>
      <c r="AP244" t="s">
        <v>136</v>
      </c>
      <c r="AQ244" t="s">
        <v>137</v>
      </c>
      <c r="AR244" t="s">
        <v>138</v>
      </c>
      <c r="AS244" t="s">
        <v>139</v>
      </c>
      <c r="AT244" t="s">
        <v>140</v>
      </c>
      <c r="AU244">
        <v>106</v>
      </c>
      <c r="AV244">
        <v>10</v>
      </c>
      <c r="AW244">
        <v>1</v>
      </c>
      <c r="AX244" s="2">
        <v>45815</v>
      </c>
      <c r="AY244" t="s">
        <v>160</v>
      </c>
      <c r="AZ244" s="2">
        <v>46025</v>
      </c>
      <c r="BA244">
        <v>0</v>
      </c>
      <c r="BB244">
        <v>0</v>
      </c>
      <c r="BC244">
        <v>0</v>
      </c>
      <c r="BD244">
        <v>700</v>
      </c>
      <c r="BE244">
        <v>70</v>
      </c>
      <c r="BF244">
        <v>9</v>
      </c>
      <c r="BG244" s="2">
        <v>45536</v>
      </c>
      <c r="BH244" t="s">
        <v>142</v>
      </c>
      <c r="BI244" s="2">
        <v>46026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s="1">
        <v>5572.88</v>
      </c>
      <c r="BQ244" s="1">
        <v>5572.88</v>
      </c>
      <c r="BR244">
        <v>0</v>
      </c>
      <c r="BS244">
        <v>0</v>
      </c>
      <c r="BT244">
        <v>0</v>
      </c>
      <c r="BU244">
        <v>0</v>
      </c>
      <c r="BV244" s="1">
        <v>8488.17</v>
      </c>
      <c r="BW244" s="1">
        <v>8488.17</v>
      </c>
      <c r="BX244">
        <v>0</v>
      </c>
      <c r="BY244">
        <v>0</v>
      </c>
      <c r="BZ244">
        <v>0</v>
      </c>
      <c r="CA244">
        <v>0</v>
      </c>
      <c r="CB244" s="1">
        <v>4195.9799999999996</v>
      </c>
      <c r="CC244" t="s">
        <v>161</v>
      </c>
    </row>
    <row r="245" spans="1:81" x14ac:dyDescent="0.25">
      <c r="A245">
        <v>345</v>
      </c>
      <c r="B245">
        <v>2</v>
      </c>
      <c r="C245">
        <v>425</v>
      </c>
      <c r="D245" t="s">
        <v>1472</v>
      </c>
      <c r="E245" t="s">
        <v>121</v>
      </c>
      <c r="F245" t="s">
        <v>1473</v>
      </c>
      <c r="G245" t="s">
        <v>1474</v>
      </c>
      <c r="H245" t="s">
        <v>1475</v>
      </c>
      <c r="I245" t="s">
        <v>125</v>
      </c>
      <c r="J245" t="s">
        <v>126</v>
      </c>
      <c r="K245" t="s">
        <v>466</v>
      </c>
      <c r="L245" t="s">
        <v>128</v>
      </c>
      <c r="M245" t="s">
        <v>467</v>
      </c>
      <c r="N245" t="s">
        <v>1476</v>
      </c>
      <c r="O245" t="s">
        <v>131</v>
      </c>
      <c r="P245">
        <v>0</v>
      </c>
      <c r="Q245" t="s">
        <v>125</v>
      </c>
      <c r="R245">
        <v>3</v>
      </c>
      <c r="S245">
        <v>87</v>
      </c>
      <c r="T245" t="s">
        <v>132</v>
      </c>
      <c r="U245" t="s">
        <v>133</v>
      </c>
      <c r="V245" s="1">
        <v>50000</v>
      </c>
      <c r="W245">
        <v>0</v>
      </c>
      <c r="X245" s="1">
        <v>50000</v>
      </c>
      <c r="Y245">
        <v>7</v>
      </c>
      <c r="Z245">
        <v>0</v>
      </c>
      <c r="AA245">
        <v>2</v>
      </c>
      <c r="AB245">
        <v>0</v>
      </c>
      <c r="AC245">
        <v>0</v>
      </c>
      <c r="AD245" t="s">
        <v>134</v>
      </c>
      <c r="AE245" t="s">
        <v>134</v>
      </c>
      <c r="AF245" s="2">
        <v>45518</v>
      </c>
      <c r="AG245" s="2">
        <v>46019</v>
      </c>
      <c r="AH245" s="1">
        <v>3188.94</v>
      </c>
      <c r="AI245" s="1">
        <v>5166</v>
      </c>
      <c r="AJ245" s="1">
        <v>22322.6</v>
      </c>
      <c r="AK245">
        <v>0</v>
      </c>
      <c r="AL245">
        <v>0</v>
      </c>
      <c r="AM245">
        <v>0</v>
      </c>
      <c r="AN245" t="s">
        <v>135</v>
      </c>
      <c r="AO245" t="s">
        <v>135</v>
      </c>
      <c r="AP245" t="s">
        <v>136</v>
      </c>
      <c r="AQ245" t="s">
        <v>137</v>
      </c>
      <c r="AR245" t="s">
        <v>138</v>
      </c>
      <c r="AS245" t="s">
        <v>139</v>
      </c>
      <c r="AT245" t="s">
        <v>140</v>
      </c>
      <c r="AU245">
        <v>105</v>
      </c>
      <c r="AV245">
        <v>10</v>
      </c>
      <c r="AW245">
        <v>1</v>
      </c>
      <c r="AX245" s="2">
        <v>45813</v>
      </c>
      <c r="AY245" t="s">
        <v>308</v>
      </c>
      <c r="AZ245" s="2">
        <v>46023</v>
      </c>
      <c r="BA245">
        <v>0</v>
      </c>
      <c r="BB245">
        <v>0</v>
      </c>
      <c r="BC245">
        <v>0</v>
      </c>
      <c r="BD245">
        <v>700</v>
      </c>
      <c r="BE245">
        <v>70</v>
      </c>
      <c r="BF245">
        <v>9</v>
      </c>
      <c r="BG245" s="2">
        <v>45536</v>
      </c>
      <c r="BH245" t="s">
        <v>142</v>
      </c>
      <c r="BI245" s="2">
        <v>46026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s="1">
        <v>3851.68</v>
      </c>
      <c r="BQ245" s="1">
        <v>3851.68</v>
      </c>
      <c r="BR245">
        <v>0</v>
      </c>
      <c r="BS245">
        <v>0</v>
      </c>
      <c r="BT245">
        <v>0</v>
      </c>
      <c r="BU245">
        <v>0</v>
      </c>
      <c r="BV245" s="1">
        <v>10950.38</v>
      </c>
      <c r="BW245" s="1">
        <v>10950.38</v>
      </c>
      <c r="BX245">
        <v>0</v>
      </c>
      <c r="BY245">
        <v>0</v>
      </c>
      <c r="BZ245">
        <v>0</v>
      </c>
      <c r="CA245">
        <v>0</v>
      </c>
      <c r="CB245" s="1">
        <v>22968.67</v>
      </c>
      <c r="CC245" t="s">
        <v>143</v>
      </c>
    </row>
    <row r="246" spans="1:81" x14ac:dyDescent="0.25">
      <c r="A246">
        <v>345</v>
      </c>
      <c r="B246">
        <v>2</v>
      </c>
      <c r="C246">
        <v>426</v>
      </c>
      <c r="D246" t="s">
        <v>1477</v>
      </c>
      <c r="E246" t="s">
        <v>121</v>
      </c>
      <c r="F246" t="s">
        <v>1478</v>
      </c>
      <c r="G246" t="s">
        <v>1479</v>
      </c>
      <c r="H246" t="s">
        <v>1262</v>
      </c>
      <c r="I246" t="s">
        <v>125</v>
      </c>
      <c r="J246" t="s">
        <v>126</v>
      </c>
      <c r="K246" t="s">
        <v>466</v>
      </c>
      <c r="L246" t="s">
        <v>128</v>
      </c>
      <c r="M246" t="s">
        <v>467</v>
      </c>
      <c r="N246" t="s">
        <v>1480</v>
      </c>
      <c r="O246" t="s">
        <v>167</v>
      </c>
      <c r="P246">
        <v>0</v>
      </c>
      <c r="Q246" t="s">
        <v>125</v>
      </c>
      <c r="R246">
        <v>6</v>
      </c>
      <c r="S246">
        <v>39</v>
      </c>
      <c r="T246" t="s">
        <v>132</v>
      </c>
      <c r="U246" t="s">
        <v>133</v>
      </c>
      <c r="V246" s="1">
        <v>60000</v>
      </c>
      <c r="W246" s="1">
        <v>2235.7600000000002</v>
      </c>
      <c r="X246" s="1">
        <v>57764.24</v>
      </c>
      <c r="Y246">
        <v>7</v>
      </c>
      <c r="Z246">
        <v>0</v>
      </c>
      <c r="AA246">
        <v>7</v>
      </c>
      <c r="AB246">
        <v>0</v>
      </c>
      <c r="AC246">
        <v>0</v>
      </c>
      <c r="AD246" t="s">
        <v>134</v>
      </c>
      <c r="AE246" t="s">
        <v>134</v>
      </c>
      <c r="AF246" s="2">
        <v>45518</v>
      </c>
      <c r="AG246" s="2">
        <v>46014</v>
      </c>
      <c r="AH246" s="1">
        <v>9143.39</v>
      </c>
      <c r="AI246" s="1">
        <v>55119.21</v>
      </c>
      <c r="AJ246" s="1">
        <v>73147.179999999993</v>
      </c>
      <c r="AK246" s="1">
        <v>2235.7600000000002</v>
      </c>
      <c r="AL246">
        <v>0</v>
      </c>
      <c r="AM246">
        <v>0</v>
      </c>
      <c r="AN246" t="s">
        <v>135</v>
      </c>
      <c r="AO246" t="s">
        <v>135</v>
      </c>
      <c r="AP246" t="s">
        <v>136</v>
      </c>
      <c r="AQ246" t="s">
        <v>137</v>
      </c>
      <c r="AR246" t="s">
        <v>138</v>
      </c>
      <c r="AS246" t="s">
        <v>150</v>
      </c>
      <c r="AT246" t="s">
        <v>140</v>
      </c>
      <c r="AU246">
        <v>501</v>
      </c>
      <c r="AV246">
        <v>10</v>
      </c>
      <c r="AW246">
        <v>1</v>
      </c>
      <c r="AX246" s="2">
        <v>45854</v>
      </c>
      <c r="AY246" t="s">
        <v>168</v>
      </c>
      <c r="AZ246" s="2">
        <v>46022</v>
      </c>
      <c r="BA246">
        <v>0</v>
      </c>
      <c r="BB246">
        <v>0</v>
      </c>
      <c r="BC246">
        <v>0</v>
      </c>
      <c r="BD246">
        <v>700</v>
      </c>
      <c r="BE246">
        <v>70</v>
      </c>
      <c r="BF246">
        <v>9</v>
      </c>
      <c r="BG246" s="2">
        <v>45536</v>
      </c>
      <c r="BH246" t="s">
        <v>142</v>
      </c>
      <c r="BI246" s="2">
        <v>46026</v>
      </c>
      <c r="BJ246">
        <v>0</v>
      </c>
      <c r="BK246">
        <v>0</v>
      </c>
      <c r="BL246">
        <v>0</v>
      </c>
      <c r="BM246">
        <v>4</v>
      </c>
      <c r="BN246">
        <v>3.04</v>
      </c>
      <c r="BO246" s="1">
        <v>8171.55</v>
      </c>
      <c r="BP246" s="1">
        <v>2593.5</v>
      </c>
      <c r="BQ246" s="1">
        <v>10765.05</v>
      </c>
      <c r="BR246" s="1">
        <v>3436.2</v>
      </c>
      <c r="BS246">
        <v>7</v>
      </c>
      <c r="BT246">
        <v>7</v>
      </c>
      <c r="BU246" s="1">
        <v>58889.17</v>
      </c>
      <c r="BV246">
        <v>0</v>
      </c>
      <c r="BW246" s="1">
        <v>58889.17</v>
      </c>
      <c r="BX246">
        <v>0</v>
      </c>
      <c r="BY246">
        <v>0</v>
      </c>
      <c r="BZ246">
        <v>0</v>
      </c>
      <c r="CA246">
        <v>0</v>
      </c>
      <c r="CB246" s="1">
        <v>5768.94</v>
      </c>
      <c r="CC246" t="s">
        <v>161</v>
      </c>
    </row>
    <row r="247" spans="1:81" x14ac:dyDescent="0.25">
      <c r="A247">
        <v>345</v>
      </c>
      <c r="B247">
        <v>2</v>
      </c>
      <c r="C247">
        <v>427</v>
      </c>
      <c r="D247" t="s">
        <v>1481</v>
      </c>
      <c r="E247" t="s">
        <v>121</v>
      </c>
      <c r="F247" t="s">
        <v>1482</v>
      </c>
      <c r="G247" t="s">
        <v>1483</v>
      </c>
      <c r="H247" t="s">
        <v>1484</v>
      </c>
      <c r="I247" t="s">
        <v>125</v>
      </c>
      <c r="J247" t="s">
        <v>1263</v>
      </c>
      <c r="K247" t="s">
        <v>466</v>
      </c>
      <c r="L247" t="s">
        <v>128</v>
      </c>
      <c r="M247" t="s">
        <v>467</v>
      </c>
      <c r="N247" t="s">
        <v>1485</v>
      </c>
      <c r="O247" t="s">
        <v>131</v>
      </c>
      <c r="P247">
        <v>0</v>
      </c>
      <c r="Q247" t="s">
        <v>125</v>
      </c>
      <c r="R247">
        <v>3</v>
      </c>
      <c r="S247">
        <v>88</v>
      </c>
      <c r="T247" t="s">
        <v>132</v>
      </c>
      <c r="U247" t="s">
        <v>133</v>
      </c>
      <c r="V247" s="1">
        <v>33100</v>
      </c>
      <c r="W247" s="1">
        <v>13593.49</v>
      </c>
      <c r="X247" s="1">
        <v>19506.509999999998</v>
      </c>
      <c r="Y247">
        <v>7</v>
      </c>
      <c r="Z247">
        <v>0</v>
      </c>
      <c r="AA247">
        <v>9</v>
      </c>
      <c r="AB247">
        <v>0</v>
      </c>
      <c r="AC247">
        <v>2</v>
      </c>
      <c r="AD247" t="s">
        <v>134</v>
      </c>
      <c r="AE247" t="s">
        <v>134</v>
      </c>
      <c r="AF247" s="2">
        <v>45518</v>
      </c>
      <c r="AG247" s="2">
        <v>46015</v>
      </c>
      <c r="AH247" s="1">
        <v>8690.6</v>
      </c>
      <c r="AI247" s="1">
        <v>22814.400000000001</v>
      </c>
      <c r="AJ247" s="1">
        <v>121668.51</v>
      </c>
      <c r="AK247">
        <v>0</v>
      </c>
      <c r="AL247" s="1">
        <v>13593.49</v>
      </c>
      <c r="AM247">
        <v>62.48</v>
      </c>
      <c r="AN247" t="s">
        <v>135</v>
      </c>
      <c r="AO247" t="s">
        <v>135</v>
      </c>
      <c r="AP247" t="s">
        <v>136</v>
      </c>
      <c r="AQ247" t="s">
        <v>137</v>
      </c>
      <c r="AR247" t="s">
        <v>138</v>
      </c>
      <c r="AS247" t="s">
        <v>150</v>
      </c>
      <c r="AT247" t="s">
        <v>140</v>
      </c>
      <c r="AU247">
        <v>500</v>
      </c>
      <c r="AV247">
        <v>10</v>
      </c>
      <c r="AW247">
        <v>1</v>
      </c>
      <c r="AX247" s="2">
        <v>45825</v>
      </c>
      <c r="AY247" t="s">
        <v>377</v>
      </c>
      <c r="AZ247" s="2">
        <v>46028</v>
      </c>
      <c r="BA247">
        <v>0</v>
      </c>
      <c r="BB247">
        <v>0</v>
      </c>
      <c r="BC247">
        <v>0</v>
      </c>
      <c r="BD247">
        <v>700</v>
      </c>
      <c r="BE247">
        <v>70</v>
      </c>
      <c r="BF247">
        <v>9</v>
      </c>
      <c r="BG247" s="2">
        <v>45536</v>
      </c>
      <c r="BH247" t="s">
        <v>142</v>
      </c>
      <c r="BI247" s="2">
        <v>46026</v>
      </c>
      <c r="BJ247">
        <v>0</v>
      </c>
      <c r="BK247">
        <v>0</v>
      </c>
      <c r="BL247">
        <v>0</v>
      </c>
      <c r="BM247">
        <v>8.06</v>
      </c>
      <c r="BN247">
        <v>8.06</v>
      </c>
      <c r="BO247" s="1">
        <v>34555.83</v>
      </c>
      <c r="BP247">
        <v>0</v>
      </c>
      <c r="BQ247" s="1">
        <v>34555.83</v>
      </c>
      <c r="BR247" s="1">
        <v>8493.27</v>
      </c>
      <c r="BS247">
        <v>7</v>
      </c>
      <c r="BT247">
        <v>7</v>
      </c>
      <c r="BU247" s="1">
        <v>42243.16</v>
      </c>
      <c r="BV247">
        <v>0</v>
      </c>
      <c r="BW247" s="1">
        <v>42243.16</v>
      </c>
      <c r="BX247">
        <v>0</v>
      </c>
      <c r="BY247">
        <v>0</v>
      </c>
      <c r="BZ247">
        <v>0</v>
      </c>
      <c r="CA247">
        <v>0</v>
      </c>
      <c r="CB247" s="1">
        <v>37876.42</v>
      </c>
      <c r="CC247" t="s">
        <v>143</v>
      </c>
    </row>
    <row r="248" spans="1:81" x14ac:dyDescent="0.25">
      <c r="A248">
        <v>345</v>
      </c>
      <c r="B248">
        <v>2</v>
      </c>
      <c r="C248">
        <v>428</v>
      </c>
      <c r="D248" t="s">
        <v>1486</v>
      </c>
      <c r="E248" t="s">
        <v>121</v>
      </c>
      <c r="F248" t="s">
        <v>1487</v>
      </c>
      <c r="G248" t="s">
        <v>1488</v>
      </c>
      <c r="H248" t="s">
        <v>1489</v>
      </c>
      <c r="I248" t="s">
        <v>125</v>
      </c>
      <c r="J248" t="s">
        <v>1465</v>
      </c>
      <c r="K248" t="s">
        <v>466</v>
      </c>
      <c r="L248" t="s">
        <v>128</v>
      </c>
      <c r="M248" t="s">
        <v>467</v>
      </c>
      <c r="N248" t="s">
        <v>1490</v>
      </c>
      <c r="O248" t="s">
        <v>131</v>
      </c>
      <c r="P248">
        <v>0</v>
      </c>
      <c r="Q248" t="s">
        <v>125</v>
      </c>
      <c r="R248">
        <v>6</v>
      </c>
      <c r="S248">
        <v>40</v>
      </c>
      <c r="T248" t="s">
        <v>132</v>
      </c>
      <c r="U248" t="s">
        <v>133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134</v>
      </c>
      <c r="AE248" t="s">
        <v>134</v>
      </c>
      <c r="AF248" s="2">
        <v>45518</v>
      </c>
      <c r="AG248" s="2">
        <v>46017</v>
      </c>
      <c r="AH248">
        <v>483.73</v>
      </c>
      <c r="AI248">
        <v>766.77</v>
      </c>
      <c r="AJ248" s="1">
        <v>4837.38</v>
      </c>
      <c r="AK248">
        <v>0</v>
      </c>
      <c r="AL248">
        <v>0</v>
      </c>
      <c r="AM248">
        <v>0</v>
      </c>
      <c r="AN248" t="s">
        <v>135</v>
      </c>
      <c r="AO248" t="s">
        <v>135</v>
      </c>
      <c r="AP248" t="s">
        <v>136</v>
      </c>
      <c r="AQ248" t="s">
        <v>137</v>
      </c>
      <c r="AR248" t="s">
        <v>138</v>
      </c>
      <c r="AS248" t="s">
        <v>139</v>
      </c>
      <c r="AT248" t="s">
        <v>140</v>
      </c>
      <c r="AU248">
        <v>100</v>
      </c>
      <c r="AV248">
        <v>10</v>
      </c>
      <c r="AW248">
        <v>1</v>
      </c>
      <c r="AX248" s="2">
        <v>45812</v>
      </c>
      <c r="AY248" t="s">
        <v>168</v>
      </c>
      <c r="AZ248" s="2">
        <v>46022</v>
      </c>
      <c r="BA248">
        <v>0</v>
      </c>
      <c r="BB248">
        <v>0</v>
      </c>
      <c r="BC248">
        <v>0</v>
      </c>
      <c r="BD248">
        <v>700</v>
      </c>
      <c r="BE248">
        <v>70</v>
      </c>
      <c r="BF248">
        <v>9</v>
      </c>
      <c r="BG248" s="2">
        <v>45536</v>
      </c>
      <c r="BH248" t="s">
        <v>142</v>
      </c>
      <c r="BI248" s="2">
        <v>46026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s="1">
        <v>1415.52</v>
      </c>
      <c r="BQ248" s="1">
        <v>1415.52</v>
      </c>
      <c r="BR248">
        <v>0</v>
      </c>
      <c r="BS248">
        <v>0</v>
      </c>
      <c r="BT248">
        <v>0</v>
      </c>
      <c r="BU248">
        <v>0</v>
      </c>
      <c r="BV248" s="1">
        <v>2005.13</v>
      </c>
      <c r="BW248" s="1">
        <v>2005.13</v>
      </c>
      <c r="BX248">
        <v>0</v>
      </c>
      <c r="BY248">
        <v>0</v>
      </c>
      <c r="BZ248">
        <v>0</v>
      </c>
      <c r="CA248">
        <v>0</v>
      </c>
      <c r="CB248" s="1">
        <v>1388.11</v>
      </c>
      <c r="CC248" t="s">
        <v>143</v>
      </c>
    </row>
    <row r="249" spans="1:81" x14ac:dyDescent="0.25">
      <c r="A249">
        <v>345</v>
      </c>
      <c r="B249">
        <v>2</v>
      </c>
      <c r="C249">
        <v>429</v>
      </c>
      <c r="D249" t="s">
        <v>1491</v>
      </c>
      <c r="E249" t="s">
        <v>121</v>
      </c>
      <c r="F249" t="s">
        <v>1492</v>
      </c>
      <c r="G249" t="s">
        <v>1493</v>
      </c>
      <c r="H249" t="s">
        <v>1494</v>
      </c>
      <c r="I249" t="s">
        <v>125</v>
      </c>
      <c r="J249" t="s">
        <v>825</v>
      </c>
      <c r="K249" t="s">
        <v>336</v>
      </c>
      <c r="L249" t="s">
        <v>128</v>
      </c>
      <c r="M249" t="s">
        <v>337</v>
      </c>
      <c r="N249" t="s">
        <v>1495</v>
      </c>
      <c r="O249" t="s">
        <v>131</v>
      </c>
      <c r="P249">
        <v>0</v>
      </c>
      <c r="Q249" t="s">
        <v>125</v>
      </c>
      <c r="R249">
        <v>6</v>
      </c>
      <c r="S249">
        <v>39</v>
      </c>
      <c r="T249" t="s">
        <v>132</v>
      </c>
      <c r="U249" t="s">
        <v>133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134</v>
      </c>
      <c r="AE249" t="s">
        <v>134</v>
      </c>
      <c r="AF249" s="2">
        <v>45518</v>
      </c>
      <c r="AG249" s="2">
        <v>46021</v>
      </c>
      <c r="AH249">
        <v>264.41000000000003</v>
      </c>
      <c r="AI249">
        <v>342.81</v>
      </c>
      <c r="AJ249" s="1">
        <v>1850.9</v>
      </c>
      <c r="AK249">
        <v>0</v>
      </c>
      <c r="AL249">
        <v>0</v>
      </c>
      <c r="AM249">
        <v>0</v>
      </c>
      <c r="AN249" t="s">
        <v>135</v>
      </c>
      <c r="AO249" t="s">
        <v>135</v>
      </c>
      <c r="AP249" t="s">
        <v>136</v>
      </c>
      <c r="AQ249" t="s">
        <v>137</v>
      </c>
      <c r="AR249" t="s">
        <v>138</v>
      </c>
      <c r="AS249" t="s">
        <v>139</v>
      </c>
      <c r="AT249" t="s">
        <v>140</v>
      </c>
      <c r="AU249">
        <v>101</v>
      </c>
      <c r="AV249">
        <v>10</v>
      </c>
      <c r="AW249">
        <v>1</v>
      </c>
      <c r="AX249" s="2">
        <v>45838</v>
      </c>
      <c r="AY249" t="s">
        <v>141</v>
      </c>
      <c r="AZ249" s="2">
        <v>46027</v>
      </c>
      <c r="BA249">
        <v>0</v>
      </c>
      <c r="BB249">
        <v>0</v>
      </c>
      <c r="BC249">
        <v>0</v>
      </c>
      <c r="BD249">
        <v>700</v>
      </c>
      <c r="BE249">
        <v>70</v>
      </c>
      <c r="BF249">
        <v>9</v>
      </c>
      <c r="BG249" s="2">
        <v>45536</v>
      </c>
      <c r="BH249" t="s">
        <v>142</v>
      </c>
      <c r="BI249" s="2">
        <v>46026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293.88</v>
      </c>
      <c r="BQ249">
        <v>293.88</v>
      </c>
      <c r="BR249">
        <v>0</v>
      </c>
      <c r="BS249">
        <v>0</v>
      </c>
      <c r="BT249">
        <v>0</v>
      </c>
      <c r="BU249">
        <v>0</v>
      </c>
      <c r="BV249" s="1">
        <v>1119.9100000000001</v>
      </c>
      <c r="BW249" s="1">
        <v>1119.9100000000001</v>
      </c>
      <c r="BX249">
        <v>0</v>
      </c>
      <c r="BY249">
        <v>0</v>
      </c>
      <c r="BZ249">
        <v>0</v>
      </c>
      <c r="CA249">
        <v>0</v>
      </c>
      <c r="CB249">
        <v>551.98</v>
      </c>
      <c r="CC249" t="s">
        <v>143</v>
      </c>
    </row>
    <row r="250" spans="1:81" x14ac:dyDescent="0.25">
      <c r="A250">
        <v>345</v>
      </c>
      <c r="B250">
        <v>2</v>
      </c>
      <c r="C250">
        <v>430</v>
      </c>
      <c r="D250" t="s">
        <v>1496</v>
      </c>
      <c r="E250" t="s">
        <v>121</v>
      </c>
      <c r="F250" t="s">
        <v>1497</v>
      </c>
      <c r="G250" t="s">
        <v>1498</v>
      </c>
      <c r="H250" t="s">
        <v>1499</v>
      </c>
      <c r="I250" t="s">
        <v>125</v>
      </c>
      <c r="J250" t="s">
        <v>1263</v>
      </c>
      <c r="K250" t="s">
        <v>466</v>
      </c>
      <c r="L250" t="s">
        <v>128</v>
      </c>
      <c r="M250" t="s">
        <v>467</v>
      </c>
      <c r="N250" t="s">
        <v>1500</v>
      </c>
      <c r="O250" t="s">
        <v>167</v>
      </c>
      <c r="P250">
        <v>0</v>
      </c>
      <c r="Q250" t="s">
        <v>125</v>
      </c>
      <c r="R250">
        <v>4</v>
      </c>
      <c r="S250">
        <v>79</v>
      </c>
      <c r="T250" t="s">
        <v>132</v>
      </c>
      <c r="U250" t="s">
        <v>133</v>
      </c>
      <c r="V250" s="1">
        <v>15000</v>
      </c>
      <c r="W250">
        <v>0</v>
      </c>
      <c r="X250" s="1">
        <v>15000</v>
      </c>
      <c r="Y250">
        <v>7</v>
      </c>
      <c r="Z250">
        <v>0</v>
      </c>
      <c r="AA250">
        <v>5</v>
      </c>
      <c r="AB250">
        <v>0</v>
      </c>
      <c r="AC250">
        <v>12</v>
      </c>
      <c r="AD250" t="s">
        <v>234</v>
      </c>
      <c r="AE250" t="s">
        <v>134</v>
      </c>
      <c r="AF250" s="2">
        <v>45518</v>
      </c>
      <c r="AG250" s="2">
        <v>45952</v>
      </c>
      <c r="AH250" s="1">
        <v>3267.25</v>
      </c>
      <c r="AI250" s="1">
        <v>6258.95</v>
      </c>
      <c r="AJ250" s="1">
        <v>9801.77</v>
      </c>
      <c r="AK250">
        <v>0</v>
      </c>
      <c r="AL250">
        <v>0</v>
      </c>
      <c r="AM250">
        <v>0</v>
      </c>
      <c r="AN250" t="s">
        <v>135</v>
      </c>
      <c r="AO250" t="s">
        <v>135</v>
      </c>
      <c r="AP250" t="s">
        <v>136</v>
      </c>
      <c r="AQ250" t="s">
        <v>137</v>
      </c>
      <c r="AR250" t="s">
        <v>138</v>
      </c>
      <c r="AS250" t="s">
        <v>150</v>
      </c>
      <c r="AT250" t="s">
        <v>140</v>
      </c>
      <c r="AU250">
        <v>500</v>
      </c>
      <c r="AV250">
        <v>10</v>
      </c>
      <c r="AW250">
        <v>1</v>
      </c>
      <c r="AX250" s="2">
        <v>45825</v>
      </c>
      <c r="AY250" t="s">
        <v>377</v>
      </c>
      <c r="AZ250" s="2">
        <v>46028</v>
      </c>
      <c r="BA250">
        <v>0</v>
      </c>
      <c r="BB250">
        <v>0</v>
      </c>
      <c r="BC250">
        <v>0</v>
      </c>
      <c r="BD250">
        <v>700</v>
      </c>
      <c r="BE250">
        <v>70</v>
      </c>
      <c r="BF250">
        <v>9</v>
      </c>
      <c r="BG250" s="2">
        <v>45536</v>
      </c>
      <c r="BH250" t="s">
        <v>142</v>
      </c>
      <c r="BI250" s="2">
        <v>46026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s="1">
        <v>9825.4599999999991</v>
      </c>
      <c r="CC250" t="s">
        <v>161</v>
      </c>
    </row>
    <row r="251" spans="1:81" x14ac:dyDescent="0.25">
      <c r="A251">
        <v>345</v>
      </c>
      <c r="B251">
        <v>2</v>
      </c>
      <c r="C251">
        <v>431</v>
      </c>
      <c r="D251" t="s">
        <v>1501</v>
      </c>
      <c r="E251" t="s">
        <v>121</v>
      </c>
      <c r="F251" t="s">
        <v>1502</v>
      </c>
      <c r="G251" t="s">
        <v>1503</v>
      </c>
      <c r="H251" t="s">
        <v>1504</v>
      </c>
      <c r="I251" t="s">
        <v>125</v>
      </c>
      <c r="J251" t="s">
        <v>335</v>
      </c>
      <c r="K251" t="s">
        <v>336</v>
      </c>
      <c r="L251" t="s">
        <v>128</v>
      </c>
      <c r="M251" t="s">
        <v>337</v>
      </c>
      <c r="N251" t="s">
        <v>1505</v>
      </c>
      <c r="O251" t="s">
        <v>131</v>
      </c>
      <c r="P251">
        <v>0</v>
      </c>
      <c r="Q251" t="s">
        <v>125</v>
      </c>
      <c r="R251">
        <v>6</v>
      </c>
      <c r="S251">
        <v>42</v>
      </c>
      <c r="T251" t="s">
        <v>132</v>
      </c>
      <c r="U251" t="s">
        <v>133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134</v>
      </c>
      <c r="AE251" t="s">
        <v>134</v>
      </c>
      <c r="AF251" s="2">
        <v>45518</v>
      </c>
      <c r="AG251" s="2">
        <v>46020</v>
      </c>
      <c r="AH251">
        <v>562.48</v>
      </c>
      <c r="AI251" s="1">
        <v>3173.38</v>
      </c>
      <c r="AJ251" s="1">
        <v>3937.4</v>
      </c>
      <c r="AK251">
        <v>0</v>
      </c>
      <c r="AL251">
        <v>0</v>
      </c>
      <c r="AM251">
        <v>0</v>
      </c>
      <c r="AN251" t="s">
        <v>135</v>
      </c>
      <c r="AO251" t="s">
        <v>135</v>
      </c>
      <c r="AP251" t="s">
        <v>136</v>
      </c>
      <c r="AQ251" t="s">
        <v>137</v>
      </c>
      <c r="AR251" t="s">
        <v>138</v>
      </c>
      <c r="AS251" t="s">
        <v>139</v>
      </c>
      <c r="AT251" t="s">
        <v>140</v>
      </c>
      <c r="AU251">
        <v>101</v>
      </c>
      <c r="AV251">
        <v>10</v>
      </c>
      <c r="AW251">
        <v>1</v>
      </c>
      <c r="AX251" s="2">
        <v>45534</v>
      </c>
      <c r="AY251" t="s">
        <v>151</v>
      </c>
      <c r="AZ251" s="2">
        <v>46024</v>
      </c>
      <c r="BA251">
        <v>0</v>
      </c>
      <c r="BB251">
        <v>0</v>
      </c>
      <c r="BC251">
        <v>0</v>
      </c>
      <c r="BD251">
        <v>700</v>
      </c>
      <c r="BE251">
        <v>70</v>
      </c>
      <c r="BF251">
        <v>9</v>
      </c>
      <c r="BG251" s="2">
        <v>45536</v>
      </c>
      <c r="BH251" t="s">
        <v>142</v>
      </c>
      <c r="BI251" s="2">
        <v>46026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496.88</v>
      </c>
      <c r="BQ251">
        <v>496.88</v>
      </c>
      <c r="BR251">
        <v>0</v>
      </c>
      <c r="BS251">
        <v>0</v>
      </c>
      <c r="BT251">
        <v>0</v>
      </c>
      <c r="BU251">
        <v>0</v>
      </c>
      <c r="BV251" s="1">
        <v>3307.72</v>
      </c>
      <c r="BW251" s="1">
        <v>3307.72</v>
      </c>
      <c r="BX251">
        <v>0</v>
      </c>
      <c r="BY251">
        <v>0</v>
      </c>
      <c r="BZ251">
        <v>0</v>
      </c>
      <c r="CA251">
        <v>0</v>
      </c>
      <c r="CB251">
        <v>294.01</v>
      </c>
      <c r="CC251" t="s">
        <v>143</v>
      </c>
    </row>
    <row r="252" spans="1:81" x14ac:dyDescent="0.25">
      <c r="A252">
        <v>345</v>
      </c>
      <c r="B252">
        <v>2</v>
      </c>
      <c r="C252">
        <v>433</v>
      </c>
      <c r="D252" t="s">
        <v>1506</v>
      </c>
      <c r="E252" t="s">
        <v>121</v>
      </c>
      <c r="F252" t="s">
        <v>1507</v>
      </c>
      <c r="G252" t="s">
        <v>1508</v>
      </c>
      <c r="H252" t="s">
        <v>553</v>
      </c>
      <c r="I252" t="s">
        <v>125</v>
      </c>
      <c r="J252" t="s">
        <v>554</v>
      </c>
      <c r="K252" t="s">
        <v>336</v>
      </c>
      <c r="L252" t="s">
        <v>128</v>
      </c>
      <c r="M252" t="s">
        <v>337</v>
      </c>
      <c r="N252" t="s">
        <v>1509</v>
      </c>
      <c r="O252" t="s">
        <v>131</v>
      </c>
      <c r="P252">
        <v>0</v>
      </c>
      <c r="Q252" t="s">
        <v>125</v>
      </c>
      <c r="R252">
        <v>6</v>
      </c>
      <c r="S252">
        <v>40</v>
      </c>
      <c r="T252" t="s">
        <v>132</v>
      </c>
      <c r="U252" t="s">
        <v>133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134</v>
      </c>
      <c r="AE252" t="s">
        <v>134</v>
      </c>
      <c r="AF252" s="2">
        <v>45518</v>
      </c>
      <c r="AG252" s="2">
        <v>46010</v>
      </c>
      <c r="AH252">
        <v>301.13</v>
      </c>
      <c r="AI252">
        <v>507.04</v>
      </c>
      <c r="AJ252" s="1">
        <v>2409.11</v>
      </c>
      <c r="AK252">
        <v>0</v>
      </c>
      <c r="AL252">
        <v>0</v>
      </c>
      <c r="AM252">
        <v>0</v>
      </c>
      <c r="AN252" t="s">
        <v>135</v>
      </c>
      <c r="AO252" t="s">
        <v>135</v>
      </c>
      <c r="AP252" t="s">
        <v>136</v>
      </c>
      <c r="AQ252" t="s">
        <v>137</v>
      </c>
      <c r="AR252" t="s">
        <v>138</v>
      </c>
      <c r="AS252" t="s">
        <v>139</v>
      </c>
      <c r="AT252" t="s">
        <v>140</v>
      </c>
      <c r="AU252">
        <v>101</v>
      </c>
      <c r="AV252">
        <v>10</v>
      </c>
      <c r="AW252">
        <v>1</v>
      </c>
      <c r="AX252" s="2">
        <v>45813</v>
      </c>
      <c r="AY252" t="s">
        <v>308</v>
      </c>
      <c r="AZ252" s="2">
        <v>46023</v>
      </c>
      <c r="BA252">
        <v>0</v>
      </c>
      <c r="BB252">
        <v>0</v>
      </c>
      <c r="BC252">
        <v>0</v>
      </c>
      <c r="BD252">
        <v>700</v>
      </c>
      <c r="BE252">
        <v>70</v>
      </c>
      <c r="BF252">
        <v>9</v>
      </c>
      <c r="BG252" s="2">
        <v>45536</v>
      </c>
      <c r="BH252" t="s">
        <v>142</v>
      </c>
      <c r="BI252" s="2">
        <v>46026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949.89</v>
      </c>
      <c r="BQ252">
        <v>949.89</v>
      </c>
      <c r="BR252">
        <v>0</v>
      </c>
      <c r="BS252">
        <v>0</v>
      </c>
      <c r="BT252">
        <v>0</v>
      </c>
      <c r="BU252">
        <v>0</v>
      </c>
      <c r="BV252">
        <v>876.42</v>
      </c>
      <c r="BW252">
        <v>876.42</v>
      </c>
      <c r="BX252">
        <v>0</v>
      </c>
      <c r="BY252">
        <v>0</v>
      </c>
      <c r="BZ252">
        <v>0</v>
      </c>
      <c r="CA252">
        <v>0</v>
      </c>
      <c r="CB252">
        <v>666.12</v>
      </c>
      <c r="CC252" t="s">
        <v>143</v>
      </c>
    </row>
    <row r="253" spans="1:81" x14ac:dyDescent="0.25">
      <c r="A253">
        <v>345</v>
      </c>
      <c r="B253">
        <v>2</v>
      </c>
      <c r="C253">
        <v>434</v>
      </c>
      <c r="D253" t="s">
        <v>1510</v>
      </c>
      <c r="E253" t="s">
        <v>121</v>
      </c>
      <c r="F253" t="s">
        <v>1511</v>
      </c>
      <c r="G253" t="s">
        <v>1512</v>
      </c>
      <c r="H253" t="s">
        <v>1513</v>
      </c>
      <c r="I253" t="s">
        <v>125</v>
      </c>
      <c r="J253" t="s">
        <v>554</v>
      </c>
      <c r="K253" t="s">
        <v>336</v>
      </c>
      <c r="L253" t="s">
        <v>128</v>
      </c>
      <c r="M253" t="s">
        <v>337</v>
      </c>
      <c r="N253" t="s">
        <v>1514</v>
      </c>
      <c r="O253" t="s">
        <v>195</v>
      </c>
      <c r="P253">
        <v>0</v>
      </c>
      <c r="Q253" t="s">
        <v>125</v>
      </c>
      <c r="R253">
        <v>6</v>
      </c>
      <c r="S253">
        <v>38</v>
      </c>
      <c r="T253" t="s">
        <v>132</v>
      </c>
      <c r="U253" t="s">
        <v>133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134</v>
      </c>
      <c r="AE253" t="s">
        <v>134</v>
      </c>
      <c r="AF253" s="2">
        <v>45518</v>
      </c>
      <c r="AG253" s="2">
        <v>46011</v>
      </c>
      <c r="AH253" s="1">
        <v>4561.7</v>
      </c>
      <c r="AI253" s="1">
        <v>10756.34</v>
      </c>
      <c r="AJ253" s="1">
        <v>45617.05</v>
      </c>
      <c r="AK253">
        <v>0</v>
      </c>
      <c r="AL253">
        <v>0</v>
      </c>
      <c r="AM253">
        <v>0</v>
      </c>
      <c r="AN253" t="s">
        <v>135</v>
      </c>
      <c r="AO253" t="s">
        <v>135</v>
      </c>
      <c r="AP253" t="s">
        <v>136</v>
      </c>
      <c r="AQ253" t="s">
        <v>137</v>
      </c>
      <c r="AR253" t="s">
        <v>138</v>
      </c>
      <c r="AS253" t="s">
        <v>139</v>
      </c>
      <c r="AT253" t="s">
        <v>140</v>
      </c>
      <c r="AU253">
        <v>101</v>
      </c>
      <c r="AV253">
        <v>10</v>
      </c>
      <c r="AW253">
        <v>1</v>
      </c>
      <c r="AX253" s="2">
        <v>45813</v>
      </c>
      <c r="AY253" t="s">
        <v>308</v>
      </c>
      <c r="AZ253" s="2">
        <v>46023</v>
      </c>
      <c r="BA253">
        <v>0</v>
      </c>
      <c r="BB253">
        <v>0</v>
      </c>
      <c r="BC253">
        <v>0</v>
      </c>
      <c r="BD253">
        <v>700</v>
      </c>
      <c r="BE253">
        <v>70</v>
      </c>
      <c r="BF253">
        <v>9</v>
      </c>
      <c r="BG253" s="2">
        <v>45536</v>
      </c>
      <c r="BH253" t="s">
        <v>142</v>
      </c>
      <c r="BI253" s="2">
        <v>46026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s="1">
        <v>11895.19</v>
      </c>
      <c r="BQ253" s="1">
        <v>11895.19</v>
      </c>
      <c r="BR253">
        <v>0</v>
      </c>
      <c r="BS253">
        <v>0</v>
      </c>
      <c r="BT253">
        <v>0</v>
      </c>
      <c r="BU253">
        <v>0</v>
      </c>
      <c r="BV253" s="1">
        <v>24580.68</v>
      </c>
      <c r="BW253" s="1">
        <v>24580.68</v>
      </c>
      <c r="BX253">
        <v>0</v>
      </c>
      <c r="BY253">
        <v>0</v>
      </c>
      <c r="BZ253">
        <v>0</v>
      </c>
      <c r="CA253">
        <v>0</v>
      </c>
      <c r="CB253" s="1">
        <v>11268.7</v>
      </c>
      <c r="CC253" t="s">
        <v>161</v>
      </c>
    </row>
    <row r="254" spans="1:81" x14ac:dyDescent="0.25">
      <c r="A254">
        <v>345</v>
      </c>
      <c r="B254">
        <v>2</v>
      </c>
      <c r="C254">
        <v>437</v>
      </c>
      <c r="D254" t="s">
        <v>1515</v>
      </c>
      <c r="E254" t="s">
        <v>121</v>
      </c>
      <c r="F254" t="s">
        <v>1516</v>
      </c>
      <c r="G254" t="s">
        <v>1517</v>
      </c>
      <c r="H254" t="s">
        <v>1518</v>
      </c>
      <c r="I254" t="s">
        <v>125</v>
      </c>
      <c r="J254" t="s">
        <v>712</v>
      </c>
      <c r="K254" t="s">
        <v>466</v>
      </c>
      <c r="L254" t="s">
        <v>128</v>
      </c>
      <c r="M254" t="s">
        <v>467</v>
      </c>
      <c r="N254" t="s">
        <v>1519</v>
      </c>
      <c r="O254" t="s">
        <v>167</v>
      </c>
      <c r="P254">
        <v>0</v>
      </c>
      <c r="Q254" t="s">
        <v>125</v>
      </c>
      <c r="R254">
        <v>6</v>
      </c>
      <c r="S254">
        <v>35</v>
      </c>
      <c r="T254" t="s">
        <v>132</v>
      </c>
      <c r="U254" t="s">
        <v>133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134</v>
      </c>
      <c r="AE254" t="s">
        <v>134</v>
      </c>
      <c r="AF254" s="2">
        <v>45518</v>
      </c>
      <c r="AG254" s="2">
        <v>46004</v>
      </c>
      <c r="AH254">
        <v>297.73</v>
      </c>
      <c r="AI254">
        <v>369.87</v>
      </c>
      <c r="AJ254" s="1">
        <v>1786.41</v>
      </c>
      <c r="AK254">
        <v>0</v>
      </c>
      <c r="AL254">
        <v>0</v>
      </c>
      <c r="AM254">
        <v>0</v>
      </c>
      <c r="AN254" t="s">
        <v>135</v>
      </c>
      <c r="AO254" t="s">
        <v>135</v>
      </c>
      <c r="AP254" t="s">
        <v>136</v>
      </c>
      <c r="AQ254" t="s">
        <v>137</v>
      </c>
      <c r="AR254" t="s">
        <v>138</v>
      </c>
      <c r="AS254" t="s">
        <v>139</v>
      </c>
      <c r="AT254" t="s">
        <v>140</v>
      </c>
      <c r="AU254">
        <v>100</v>
      </c>
      <c r="AV254">
        <v>10</v>
      </c>
      <c r="AW254">
        <v>1</v>
      </c>
      <c r="AX254" s="2">
        <v>45856</v>
      </c>
      <c r="AY254" t="s">
        <v>151</v>
      </c>
      <c r="AZ254" s="2">
        <v>46024</v>
      </c>
      <c r="BA254">
        <v>0</v>
      </c>
      <c r="BB254">
        <v>0</v>
      </c>
      <c r="BC254">
        <v>0</v>
      </c>
      <c r="BD254">
        <v>700</v>
      </c>
      <c r="BE254">
        <v>70</v>
      </c>
      <c r="BF254">
        <v>9</v>
      </c>
      <c r="BG254" s="2">
        <v>45536</v>
      </c>
      <c r="BH254" t="s">
        <v>142</v>
      </c>
      <c r="BI254" s="2">
        <v>46026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735.79</v>
      </c>
      <c r="BW254">
        <v>735.79</v>
      </c>
      <c r="BX254">
        <v>0</v>
      </c>
      <c r="BY254">
        <v>0</v>
      </c>
      <c r="BZ254">
        <v>0</v>
      </c>
      <c r="CA254">
        <v>0</v>
      </c>
      <c r="CB254">
        <v>575.57000000000005</v>
      </c>
      <c r="CC254" t="s">
        <v>161</v>
      </c>
    </row>
    <row r="255" spans="1:81" x14ac:dyDescent="0.25">
      <c r="A255">
        <v>345</v>
      </c>
      <c r="B255">
        <v>2</v>
      </c>
      <c r="C255">
        <v>439</v>
      </c>
      <c r="D255" t="s">
        <v>1520</v>
      </c>
      <c r="E255" t="s">
        <v>121</v>
      </c>
      <c r="F255" t="s">
        <v>1521</v>
      </c>
      <c r="G255" t="s">
        <v>1522</v>
      </c>
      <c r="H255" t="s">
        <v>1523</v>
      </c>
      <c r="I255" t="s">
        <v>125</v>
      </c>
      <c r="J255" t="s">
        <v>1465</v>
      </c>
      <c r="K255" t="s">
        <v>466</v>
      </c>
      <c r="L255" t="s">
        <v>128</v>
      </c>
      <c r="M255" t="s">
        <v>467</v>
      </c>
      <c r="N255" t="s">
        <v>1524</v>
      </c>
      <c r="O255" t="s">
        <v>167</v>
      </c>
      <c r="P255">
        <v>0</v>
      </c>
      <c r="Q255" t="s">
        <v>125</v>
      </c>
      <c r="R255">
        <v>6</v>
      </c>
      <c r="S255">
        <v>37</v>
      </c>
      <c r="T255" t="s">
        <v>132</v>
      </c>
      <c r="U255" t="s">
        <v>133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134</v>
      </c>
      <c r="AE255" t="s">
        <v>134</v>
      </c>
      <c r="AF255" s="2">
        <v>45518</v>
      </c>
      <c r="AG255" s="2">
        <v>46017</v>
      </c>
      <c r="AH255">
        <v>309.98</v>
      </c>
      <c r="AI255">
        <v>617.41999999999996</v>
      </c>
      <c r="AJ255" s="1">
        <v>4339.7299999999996</v>
      </c>
      <c r="AK255">
        <v>0</v>
      </c>
      <c r="AL255">
        <v>0</v>
      </c>
      <c r="AM255">
        <v>0</v>
      </c>
      <c r="AN255" t="s">
        <v>135</v>
      </c>
      <c r="AO255" t="s">
        <v>135</v>
      </c>
      <c r="AP255" t="s">
        <v>136</v>
      </c>
      <c r="AQ255" t="s">
        <v>137</v>
      </c>
      <c r="AR255" t="s">
        <v>138</v>
      </c>
      <c r="AS255" t="s">
        <v>139</v>
      </c>
      <c r="AT255" t="s">
        <v>140</v>
      </c>
      <c r="AU255">
        <v>100</v>
      </c>
      <c r="AV255">
        <v>10</v>
      </c>
      <c r="AW255">
        <v>1</v>
      </c>
      <c r="AX255" s="2">
        <v>45812</v>
      </c>
      <c r="AY255" t="s">
        <v>168</v>
      </c>
      <c r="AZ255" s="2">
        <v>46022</v>
      </c>
      <c r="BA255">
        <v>0</v>
      </c>
      <c r="BB255">
        <v>0</v>
      </c>
      <c r="BC255">
        <v>0</v>
      </c>
      <c r="BD255">
        <v>700</v>
      </c>
      <c r="BE255">
        <v>70</v>
      </c>
      <c r="BF255">
        <v>9</v>
      </c>
      <c r="BG255" s="2">
        <v>45536</v>
      </c>
      <c r="BH255" t="s">
        <v>142</v>
      </c>
      <c r="BI255" s="2">
        <v>46026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s="1">
        <v>1554.4</v>
      </c>
      <c r="BQ255" s="1">
        <v>1554.4</v>
      </c>
      <c r="BR255">
        <v>0</v>
      </c>
      <c r="BS255">
        <v>0</v>
      </c>
      <c r="BT255">
        <v>0</v>
      </c>
      <c r="BU255">
        <v>0</v>
      </c>
      <c r="BV255" s="1">
        <v>1577.05</v>
      </c>
      <c r="BW255" s="1">
        <v>1577.05</v>
      </c>
      <c r="BX255">
        <v>0</v>
      </c>
      <c r="BY255">
        <v>0</v>
      </c>
      <c r="BZ255">
        <v>0</v>
      </c>
      <c r="CA255">
        <v>0</v>
      </c>
      <c r="CB255" s="1">
        <v>1312.39</v>
      </c>
      <c r="CC255" t="s">
        <v>161</v>
      </c>
    </row>
    <row r="256" spans="1:81" x14ac:dyDescent="0.25">
      <c r="A256">
        <v>345</v>
      </c>
      <c r="B256">
        <v>2</v>
      </c>
      <c r="C256">
        <v>441</v>
      </c>
      <c r="D256" t="s">
        <v>1525</v>
      </c>
      <c r="E256" t="s">
        <v>121</v>
      </c>
      <c r="F256" t="s">
        <v>1526</v>
      </c>
      <c r="G256" t="s">
        <v>1527</v>
      </c>
      <c r="H256" t="s">
        <v>1528</v>
      </c>
      <c r="I256" t="s">
        <v>1529</v>
      </c>
      <c r="J256" t="s">
        <v>606</v>
      </c>
      <c r="K256" t="s">
        <v>336</v>
      </c>
      <c r="L256" t="s">
        <v>128</v>
      </c>
      <c r="M256" t="s">
        <v>337</v>
      </c>
      <c r="N256" t="s">
        <v>1530</v>
      </c>
      <c r="O256" t="s">
        <v>167</v>
      </c>
      <c r="P256">
        <v>0</v>
      </c>
      <c r="Q256" t="s">
        <v>125</v>
      </c>
      <c r="R256">
        <v>5</v>
      </c>
      <c r="S256">
        <v>74</v>
      </c>
      <c r="T256" t="s">
        <v>132</v>
      </c>
      <c r="U256" t="s">
        <v>133</v>
      </c>
      <c r="V256" s="1">
        <v>1600</v>
      </c>
      <c r="W256">
        <v>0</v>
      </c>
      <c r="X256" s="1">
        <v>1600</v>
      </c>
      <c r="Y256">
        <v>7</v>
      </c>
      <c r="Z256">
        <v>0</v>
      </c>
      <c r="AA256">
        <v>0</v>
      </c>
      <c r="AB256">
        <v>0</v>
      </c>
      <c r="AC256">
        <v>0</v>
      </c>
      <c r="AD256" t="s">
        <v>134</v>
      </c>
      <c r="AE256" t="s">
        <v>134</v>
      </c>
      <c r="AF256" s="2">
        <v>45518</v>
      </c>
      <c r="AG256" s="2">
        <v>46018</v>
      </c>
      <c r="AH256">
        <v>511.56</v>
      </c>
      <c r="AI256">
        <v>511.56</v>
      </c>
      <c r="AJ256">
        <v>511.56</v>
      </c>
      <c r="AK256">
        <v>0</v>
      </c>
      <c r="AL256">
        <v>0</v>
      </c>
      <c r="AM256">
        <v>0</v>
      </c>
      <c r="AN256" t="s">
        <v>135</v>
      </c>
      <c r="AO256" t="s">
        <v>135</v>
      </c>
      <c r="AP256" t="s">
        <v>136</v>
      </c>
      <c r="AQ256" t="s">
        <v>137</v>
      </c>
      <c r="AR256" t="s">
        <v>138</v>
      </c>
      <c r="AS256" t="s">
        <v>139</v>
      </c>
      <c r="AT256" t="s">
        <v>140</v>
      </c>
      <c r="AU256">
        <v>999</v>
      </c>
      <c r="AV256">
        <v>99</v>
      </c>
      <c r="AW256">
        <v>9</v>
      </c>
      <c r="AX256" t="s">
        <v>135</v>
      </c>
      <c r="AY256" t="s">
        <v>250</v>
      </c>
      <c r="AZ256" t="s">
        <v>135</v>
      </c>
      <c r="BA256">
        <v>0</v>
      </c>
      <c r="BB256">
        <v>0</v>
      </c>
      <c r="BC256">
        <v>0</v>
      </c>
      <c r="BD256">
        <v>999</v>
      </c>
      <c r="BE256">
        <v>99</v>
      </c>
      <c r="BF256">
        <v>9</v>
      </c>
      <c r="BG256" t="s">
        <v>135</v>
      </c>
      <c r="BH256" t="s">
        <v>250</v>
      </c>
      <c r="BI256" t="s">
        <v>135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511.56</v>
      </c>
      <c r="BW256">
        <v>511.56</v>
      </c>
      <c r="BX256">
        <v>0</v>
      </c>
      <c r="BY256">
        <v>0</v>
      </c>
      <c r="BZ256">
        <v>0</v>
      </c>
      <c r="CA256">
        <v>0</v>
      </c>
      <c r="CB256">
        <v>259.54000000000002</v>
      </c>
      <c r="CC256" t="s">
        <v>161</v>
      </c>
    </row>
    <row r="257" spans="1:81" x14ac:dyDescent="0.25">
      <c r="A257">
        <v>345</v>
      </c>
      <c r="B257">
        <v>2</v>
      </c>
      <c r="C257">
        <v>442</v>
      </c>
      <c r="D257" t="s">
        <v>1531</v>
      </c>
      <c r="E257" t="s">
        <v>121</v>
      </c>
      <c r="F257" t="s">
        <v>1532</v>
      </c>
      <c r="G257" t="s">
        <v>1533</v>
      </c>
      <c r="H257" t="s">
        <v>1534</v>
      </c>
      <c r="I257" t="s">
        <v>498</v>
      </c>
      <c r="J257" t="s">
        <v>606</v>
      </c>
      <c r="K257" t="s">
        <v>336</v>
      </c>
      <c r="L257" t="s">
        <v>128</v>
      </c>
      <c r="M257" t="s">
        <v>337</v>
      </c>
      <c r="N257" t="s">
        <v>1535</v>
      </c>
      <c r="O257" t="s">
        <v>149</v>
      </c>
      <c r="P257">
        <v>0</v>
      </c>
      <c r="Q257" t="s">
        <v>125</v>
      </c>
      <c r="R257">
        <v>6</v>
      </c>
      <c r="S257">
        <v>39</v>
      </c>
      <c r="T257" t="s">
        <v>132</v>
      </c>
      <c r="U257" t="s">
        <v>133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134</v>
      </c>
      <c r="AE257" t="s">
        <v>134</v>
      </c>
      <c r="AF257" s="2">
        <v>45518</v>
      </c>
      <c r="AG257" s="2">
        <v>46008</v>
      </c>
      <c r="AH257">
        <v>518.59</v>
      </c>
      <c r="AI257" s="1">
        <v>1059.6099999999999</v>
      </c>
      <c r="AJ257" s="1">
        <v>2074.37</v>
      </c>
      <c r="AK257">
        <v>0</v>
      </c>
      <c r="AL257">
        <v>0</v>
      </c>
      <c r="AM257">
        <v>0</v>
      </c>
      <c r="AN257" t="s">
        <v>135</v>
      </c>
      <c r="AO257" t="s">
        <v>135</v>
      </c>
      <c r="AP257" t="s">
        <v>136</v>
      </c>
      <c r="AQ257" t="s">
        <v>137</v>
      </c>
      <c r="AR257" t="s">
        <v>138</v>
      </c>
      <c r="AS257" t="s">
        <v>139</v>
      </c>
      <c r="AT257" t="s">
        <v>140</v>
      </c>
      <c r="AU257">
        <v>101</v>
      </c>
      <c r="AV257">
        <v>10</v>
      </c>
      <c r="AW257">
        <v>1</v>
      </c>
      <c r="AX257" s="2">
        <v>45811</v>
      </c>
      <c r="AY257" t="s">
        <v>377</v>
      </c>
      <c r="AZ257" s="2">
        <v>46028</v>
      </c>
      <c r="BA257">
        <v>0</v>
      </c>
      <c r="BB257">
        <v>0</v>
      </c>
      <c r="BC257">
        <v>0</v>
      </c>
      <c r="BD257">
        <v>700</v>
      </c>
      <c r="BE257">
        <v>70</v>
      </c>
      <c r="BF257">
        <v>9</v>
      </c>
      <c r="BG257" s="2">
        <v>45536</v>
      </c>
      <c r="BH257" t="s">
        <v>142</v>
      </c>
      <c r="BI257" s="2">
        <v>46026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441.76</v>
      </c>
      <c r="BQ257">
        <v>441.76</v>
      </c>
      <c r="BR257">
        <v>0</v>
      </c>
      <c r="BS257">
        <v>0</v>
      </c>
      <c r="BT257">
        <v>0</v>
      </c>
      <c r="BU257">
        <v>0</v>
      </c>
      <c r="BV257" s="1">
        <v>1059.6099999999999</v>
      </c>
      <c r="BW257" s="1">
        <v>1059.6099999999999</v>
      </c>
      <c r="BX257">
        <v>0</v>
      </c>
      <c r="BY257">
        <v>0</v>
      </c>
      <c r="BZ257">
        <v>0</v>
      </c>
      <c r="CA257">
        <v>0</v>
      </c>
      <c r="CB257">
        <v>442.24</v>
      </c>
      <c r="CC257" t="s">
        <v>152</v>
      </c>
    </row>
    <row r="258" spans="1:81" x14ac:dyDescent="0.25">
      <c r="A258">
        <v>345</v>
      </c>
      <c r="B258">
        <v>2</v>
      </c>
      <c r="C258">
        <v>443</v>
      </c>
      <c r="D258" t="s">
        <v>1536</v>
      </c>
      <c r="E258" t="s">
        <v>121</v>
      </c>
      <c r="F258" t="s">
        <v>1537</v>
      </c>
      <c r="G258" t="s">
        <v>1538</v>
      </c>
      <c r="H258" t="s">
        <v>1539</v>
      </c>
      <c r="I258" t="s">
        <v>1540</v>
      </c>
      <c r="J258" t="s">
        <v>915</v>
      </c>
      <c r="K258" t="s">
        <v>473</v>
      </c>
      <c r="L258" t="s">
        <v>128</v>
      </c>
      <c r="M258" t="s">
        <v>474</v>
      </c>
      <c r="N258" t="s">
        <v>1541</v>
      </c>
      <c r="O258" t="s">
        <v>167</v>
      </c>
      <c r="P258">
        <v>0</v>
      </c>
      <c r="Q258" t="s">
        <v>125</v>
      </c>
      <c r="R258">
        <v>6</v>
      </c>
      <c r="S258">
        <v>40</v>
      </c>
      <c r="T258" t="s">
        <v>132</v>
      </c>
      <c r="U258" t="s">
        <v>133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134</v>
      </c>
      <c r="AE258" t="s">
        <v>134</v>
      </c>
      <c r="AF258" s="2">
        <v>45518</v>
      </c>
      <c r="AG258" s="2">
        <v>46017</v>
      </c>
      <c r="AH258">
        <v>588.99</v>
      </c>
      <c r="AI258" s="1">
        <v>1396.89</v>
      </c>
      <c r="AJ258" s="1">
        <v>7067.92</v>
      </c>
      <c r="AK258">
        <v>0</v>
      </c>
      <c r="AL258">
        <v>468.4</v>
      </c>
      <c r="AM258">
        <v>0</v>
      </c>
      <c r="AN258" t="s">
        <v>135</v>
      </c>
      <c r="AO258" t="s">
        <v>135</v>
      </c>
      <c r="AP258" t="s">
        <v>136</v>
      </c>
      <c r="AQ258" t="s">
        <v>137</v>
      </c>
      <c r="AR258" t="s">
        <v>138</v>
      </c>
      <c r="AS258" t="s">
        <v>150</v>
      </c>
      <c r="AT258" t="s">
        <v>140</v>
      </c>
      <c r="AU258">
        <v>102</v>
      </c>
      <c r="AV258">
        <v>10</v>
      </c>
      <c r="AW258">
        <v>1</v>
      </c>
      <c r="AX258" s="2">
        <v>45811</v>
      </c>
      <c r="AY258" t="s">
        <v>377</v>
      </c>
      <c r="AZ258" s="2">
        <v>46028</v>
      </c>
      <c r="BA258">
        <v>0</v>
      </c>
      <c r="BB258">
        <v>0</v>
      </c>
      <c r="BC258">
        <v>0</v>
      </c>
      <c r="BD258">
        <v>700</v>
      </c>
      <c r="BE258">
        <v>70</v>
      </c>
      <c r="BF258">
        <v>9</v>
      </c>
      <c r="BG258" s="2">
        <v>45536</v>
      </c>
      <c r="BH258" t="s">
        <v>142</v>
      </c>
      <c r="BI258" s="2">
        <v>46026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s="1">
        <v>2245.16</v>
      </c>
      <c r="BQ258" s="1">
        <v>2245.16</v>
      </c>
      <c r="BR258">
        <v>0</v>
      </c>
      <c r="BS258">
        <v>0</v>
      </c>
      <c r="BT258">
        <v>0</v>
      </c>
      <c r="BU258">
        <v>0</v>
      </c>
      <c r="BV258" s="1">
        <v>2738.47</v>
      </c>
      <c r="BW258" s="1">
        <v>2738.47</v>
      </c>
      <c r="BX258">
        <v>0</v>
      </c>
      <c r="BY258">
        <v>0</v>
      </c>
      <c r="BZ258">
        <v>0</v>
      </c>
      <c r="CA258">
        <v>0</v>
      </c>
      <c r="CB258" s="1">
        <v>2047.77</v>
      </c>
      <c r="CC258" t="s">
        <v>161</v>
      </c>
    </row>
    <row r="259" spans="1:81" x14ac:dyDescent="0.25">
      <c r="A259">
        <v>345</v>
      </c>
      <c r="B259">
        <v>2</v>
      </c>
      <c r="C259">
        <v>444</v>
      </c>
      <c r="D259" t="s">
        <v>1542</v>
      </c>
      <c r="E259" t="s">
        <v>121</v>
      </c>
      <c r="F259" t="s">
        <v>1543</v>
      </c>
      <c r="G259" t="s">
        <v>1544</v>
      </c>
      <c r="H259" t="s">
        <v>1545</v>
      </c>
      <c r="I259" t="s">
        <v>125</v>
      </c>
      <c r="J259" t="s">
        <v>126</v>
      </c>
      <c r="K259" t="s">
        <v>473</v>
      </c>
      <c r="L259" t="s">
        <v>128</v>
      </c>
      <c r="M259" t="s">
        <v>474</v>
      </c>
      <c r="N259" t="s">
        <v>1546</v>
      </c>
      <c r="O259" t="s">
        <v>131</v>
      </c>
      <c r="P259">
        <v>0</v>
      </c>
      <c r="Q259" t="s">
        <v>125</v>
      </c>
      <c r="R259">
        <v>6</v>
      </c>
      <c r="S259">
        <v>43</v>
      </c>
      <c r="T259" t="s">
        <v>132</v>
      </c>
      <c r="U259" t="s">
        <v>133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134</v>
      </c>
      <c r="AE259" t="s">
        <v>134</v>
      </c>
      <c r="AF259" s="2">
        <v>45518</v>
      </c>
      <c r="AG259" s="2">
        <v>46018</v>
      </c>
      <c r="AH259">
        <v>286.74</v>
      </c>
      <c r="AI259">
        <v>344.48</v>
      </c>
      <c r="AJ259" s="1">
        <v>1146.97</v>
      </c>
      <c r="AK259">
        <v>0</v>
      </c>
      <c r="AL259">
        <v>0</v>
      </c>
      <c r="AM259">
        <v>0</v>
      </c>
      <c r="AN259" t="s">
        <v>135</v>
      </c>
      <c r="AO259" t="s">
        <v>135</v>
      </c>
      <c r="AP259" t="s">
        <v>136</v>
      </c>
      <c r="AQ259" t="s">
        <v>137</v>
      </c>
      <c r="AR259" t="s">
        <v>138</v>
      </c>
      <c r="AS259" t="s">
        <v>150</v>
      </c>
      <c r="AT259" t="s">
        <v>140</v>
      </c>
      <c r="AU259">
        <v>105</v>
      </c>
      <c r="AV259">
        <v>10</v>
      </c>
      <c r="AW259">
        <v>1</v>
      </c>
      <c r="AX259" s="2">
        <v>45532</v>
      </c>
      <c r="AY259" t="s">
        <v>168</v>
      </c>
      <c r="AZ259" s="2">
        <v>46022</v>
      </c>
      <c r="BA259">
        <v>0</v>
      </c>
      <c r="BB259">
        <v>0</v>
      </c>
      <c r="BC259">
        <v>0</v>
      </c>
      <c r="BD259">
        <v>700</v>
      </c>
      <c r="BE259">
        <v>70</v>
      </c>
      <c r="BF259">
        <v>9</v>
      </c>
      <c r="BG259" s="2">
        <v>45536</v>
      </c>
      <c r="BH259" t="s">
        <v>142</v>
      </c>
      <c r="BI259" s="2">
        <v>46026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324.06</v>
      </c>
      <c r="BQ259">
        <v>324.06</v>
      </c>
      <c r="BR259">
        <v>0</v>
      </c>
      <c r="BS259">
        <v>0</v>
      </c>
      <c r="BT259">
        <v>0</v>
      </c>
      <c r="BU259">
        <v>0</v>
      </c>
      <c r="BV259">
        <v>569.46</v>
      </c>
      <c r="BW259">
        <v>569.46</v>
      </c>
      <c r="BX259">
        <v>0</v>
      </c>
      <c r="BY259">
        <v>0</v>
      </c>
      <c r="BZ259">
        <v>0</v>
      </c>
      <c r="CA259">
        <v>0</v>
      </c>
      <c r="CB259">
        <v>260.54000000000002</v>
      </c>
      <c r="CC259" t="s">
        <v>161</v>
      </c>
    </row>
    <row r="260" spans="1:81" x14ac:dyDescent="0.25">
      <c r="A260">
        <v>345</v>
      </c>
      <c r="B260">
        <v>2</v>
      </c>
      <c r="C260">
        <v>445</v>
      </c>
      <c r="D260" t="s">
        <v>1547</v>
      </c>
      <c r="E260" t="s">
        <v>121</v>
      </c>
      <c r="F260" t="s">
        <v>1548</v>
      </c>
      <c r="G260" t="s">
        <v>1549</v>
      </c>
      <c r="H260" t="s">
        <v>1550</v>
      </c>
      <c r="I260" t="s">
        <v>125</v>
      </c>
      <c r="J260" t="s">
        <v>667</v>
      </c>
      <c r="K260" t="s">
        <v>336</v>
      </c>
      <c r="L260" t="s">
        <v>128</v>
      </c>
      <c r="M260" t="s">
        <v>337</v>
      </c>
      <c r="N260" t="s">
        <v>1551</v>
      </c>
      <c r="O260" t="s">
        <v>131</v>
      </c>
      <c r="P260">
        <v>0</v>
      </c>
      <c r="Q260" t="s">
        <v>125</v>
      </c>
      <c r="R260">
        <v>6</v>
      </c>
      <c r="S260">
        <v>44</v>
      </c>
      <c r="T260" t="s">
        <v>132</v>
      </c>
      <c r="U260" t="s">
        <v>133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234</v>
      </c>
      <c r="AE260" t="s">
        <v>134</v>
      </c>
      <c r="AF260" s="2">
        <v>45518</v>
      </c>
      <c r="AG260" s="2">
        <v>46020</v>
      </c>
      <c r="AH260">
        <v>367.25</v>
      </c>
      <c r="AI260">
        <v>499.5</v>
      </c>
      <c r="AJ260" s="1">
        <v>2570.79</v>
      </c>
      <c r="AK260">
        <v>0</v>
      </c>
      <c r="AL260">
        <v>0</v>
      </c>
      <c r="AM260">
        <v>0</v>
      </c>
      <c r="AN260" t="s">
        <v>135</v>
      </c>
      <c r="AO260" t="s">
        <v>135</v>
      </c>
      <c r="AP260" t="s">
        <v>136</v>
      </c>
      <c r="AQ260" t="s">
        <v>137</v>
      </c>
      <c r="AR260" t="s">
        <v>138</v>
      </c>
      <c r="AS260" t="s">
        <v>150</v>
      </c>
      <c r="AT260" t="s">
        <v>140</v>
      </c>
      <c r="AU260">
        <v>101</v>
      </c>
      <c r="AV260">
        <v>10</v>
      </c>
      <c r="AW260">
        <v>1</v>
      </c>
      <c r="AX260" s="2">
        <v>45842</v>
      </c>
      <c r="AY260" t="s">
        <v>151</v>
      </c>
      <c r="AZ260" s="2">
        <v>46024</v>
      </c>
      <c r="BA260">
        <v>0</v>
      </c>
      <c r="BB260">
        <v>0</v>
      </c>
      <c r="BC260">
        <v>0</v>
      </c>
      <c r="BD260">
        <v>700</v>
      </c>
      <c r="BE260">
        <v>70</v>
      </c>
      <c r="BF260">
        <v>9</v>
      </c>
      <c r="BG260" s="2">
        <v>45536</v>
      </c>
      <c r="BH260" t="s">
        <v>142</v>
      </c>
      <c r="BI260" s="2">
        <v>46026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s="1">
        <v>1054.0999999999999</v>
      </c>
      <c r="BQ260" s="1">
        <v>1054.0999999999999</v>
      </c>
      <c r="BR260">
        <v>0</v>
      </c>
      <c r="BS260">
        <v>0</v>
      </c>
      <c r="BT260">
        <v>0</v>
      </c>
      <c r="BU260">
        <v>0</v>
      </c>
      <c r="BV260" s="1">
        <v>1216.8</v>
      </c>
      <c r="BW260" s="1">
        <v>1216.8</v>
      </c>
      <c r="BX260">
        <v>0</v>
      </c>
      <c r="BY260">
        <v>0</v>
      </c>
      <c r="BZ260">
        <v>0</v>
      </c>
      <c r="CA260">
        <v>0</v>
      </c>
      <c r="CB260">
        <v>858.8</v>
      </c>
      <c r="CC260" t="s">
        <v>143</v>
      </c>
    </row>
    <row r="261" spans="1:81" x14ac:dyDescent="0.25">
      <c r="A261">
        <v>345</v>
      </c>
      <c r="B261">
        <v>2</v>
      </c>
      <c r="C261">
        <v>446</v>
      </c>
      <c r="D261" t="s">
        <v>1552</v>
      </c>
      <c r="E261" t="s">
        <v>121</v>
      </c>
      <c r="F261" t="s">
        <v>1553</v>
      </c>
      <c r="G261" t="s">
        <v>1554</v>
      </c>
      <c r="H261" t="s">
        <v>1555</v>
      </c>
      <c r="I261" t="s">
        <v>125</v>
      </c>
      <c r="J261" t="s">
        <v>1556</v>
      </c>
      <c r="K261" t="s">
        <v>473</v>
      </c>
      <c r="L261" t="s">
        <v>128</v>
      </c>
      <c r="M261" t="s">
        <v>474</v>
      </c>
      <c r="N261" t="s">
        <v>1557</v>
      </c>
      <c r="O261" t="s">
        <v>131</v>
      </c>
      <c r="P261">
        <v>0</v>
      </c>
      <c r="Q261" t="s">
        <v>125</v>
      </c>
      <c r="R261">
        <v>6</v>
      </c>
      <c r="S261">
        <v>44</v>
      </c>
      <c r="T261" t="s">
        <v>132</v>
      </c>
      <c r="U261" t="s">
        <v>133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134</v>
      </c>
      <c r="AE261" t="s">
        <v>134</v>
      </c>
      <c r="AF261" s="2">
        <v>45518</v>
      </c>
      <c r="AG261" s="2">
        <v>46018</v>
      </c>
      <c r="AH261" s="1">
        <v>1084.26</v>
      </c>
      <c r="AI261" s="1">
        <v>1778.66</v>
      </c>
      <c r="AJ261" s="1">
        <v>9758.3700000000008</v>
      </c>
      <c r="AK261">
        <v>0</v>
      </c>
      <c r="AL261">
        <v>0</v>
      </c>
      <c r="AM261">
        <v>0</v>
      </c>
      <c r="AN261" t="s">
        <v>135</v>
      </c>
      <c r="AO261" t="s">
        <v>135</v>
      </c>
      <c r="AP261" t="s">
        <v>136</v>
      </c>
      <c r="AQ261" t="s">
        <v>137</v>
      </c>
      <c r="AR261" t="s">
        <v>138</v>
      </c>
      <c r="AS261" t="s">
        <v>150</v>
      </c>
      <c r="AT261" t="s">
        <v>140</v>
      </c>
      <c r="AU261">
        <v>102</v>
      </c>
      <c r="AV261">
        <v>10</v>
      </c>
      <c r="AW261">
        <v>1</v>
      </c>
      <c r="AX261" s="2">
        <v>45848</v>
      </c>
      <c r="AY261" t="s">
        <v>308</v>
      </c>
      <c r="AZ261" s="2">
        <v>46023</v>
      </c>
      <c r="BA261">
        <v>0</v>
      </c>
      <c r="BB261">
        <v>0</v>
      </c>
      <c r="BC261">
        <v>0</v>
      </c>
      <c r="BD261">
        <v>700</v>
      </c>
      <c r="BE261">
        <v>70</v>
      </c>
      <c r="BF261">
        <v>9</v>
      </c>
      <c r="BG261" s="2">
        <v>45536</v>
      </c>
      <c r="BH261" t="s">
        <v>142</v>
      </c>
      <c r="BI261" s="2">
        <v>46026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s="1">
        <v>3269.13</v>
      </c>
      <c r="BQ261" s="1">
        <v>3269.13</v>
      </c>
      <c r="BR261">
        <v>0</v>
      </c>
      <c r="BS261">
        <v>0</v>
      </c>
      <c r="BT261">
        <v>0</v>
      </c>
      <c r="BU261">
        <v>0</v>
      </c>
      <c r="BV261" s="1">
        <v>4388.07</v>
      </c>
      <c r="BW261" s="1">
        <v>4388.07</v>
      </c>
      <c r="BX261">
        <v>0</v>
      </c>
      <c r="BY261">
        <v>0</v>
      </c>
      <c r="BZ261">
        <v>0</v>
      </c>
      <c r="CA261">
        <v>0</v>
      </c>
      <c r="CB261" s="1">
        <v>2498.4699999999998</v>
      </c>
      <c r="CC261" t="s">
        <v>143</v>
      </c>
    </row>
    <row r="262" spans="1:81" x14ac:dyDescent="0.25">
      <c r="A262">
        <v>345</v>
      </c>
      <c r="B262">
        <v>2</v>
      </c>
      <c r="C262">
        <v>447</v>
      </c>
      <c r="D262" t="s">
        <v>1558</v>
      </c>
      <c r="E262" t="s">
        <v>121</v>
      </c>
      <c r="F262" t="s">
        <v>1559</v>
      </c>
      <c r="G262" t="s">
        <v>1560</v>
      </c>
      <c r="H262" t="s">
        <v>1561</v>
      </c>
      <c r="I262" t="s">
        <v>1562</v>
      </c>
      <c r="J262" t="s">
        <v>825</v>
      </c>
      <c r="K262" t="s">
        <v>336</v>
      </c>
      <c r="L262" t="s">
        <v>128</v>
      </c>
      <c r="M262" t="s">
        <v>337</v>
      </c>
      <c r="N262" t="s">
        <v>1563</v>
      </c>
      <c r="O262" t="s">
        <v>131</v>
      </c>
      <c r="P262">
        <v>0</v>
      </c>
      <c r="Q262" t="s">
        <v>125</v>
      </c>
      <c r="R262">
        <v>6</v>
      </c>
      <c r="S262">
        <v>39</v>
      </c>
      <c r="T262" t="s">
        <v>132</v>
      </c>
      <c r="U262" t="s">
        <v>133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134</v>
      </c>
      <c r="AE262" t="s">
        <v>134</v>
      </c>
      <c r="AF262" s="2">
        <v>45518</v>
      </c>
      <c r="AG262" s="2">
        <v>46007</v>
      </c>
      <c r="AH262">
        <v>158.96</v>
      </c>
      <c r="AI262">
        <v>377.92</v>
      </c>
      <c r="AJ262">
        <v>794.84</v>
      </c>
      <c r="AK262">
        <v>0</v>
      </c>
      <c r="AL262">
        <v>0</v>
      </c>
      <c r="AM262">
        <v>0</v>
      </c>
      <c r="AN262" t="s">
        <v>135</v>
      </c>
      <c r="AO262" t="s">
        <v>135</v>
      </c>
      <c r="AP262" t="s">
        <v>136</v>
      </c>
      <c r="AQ262" t="s">
        <v>137</v>
      </c>
      <c r="AR262" t="s">
        <v>138</v>
      </c>
      <c r="AS262" t="s">
        <v>139</v>
      </c>
      <c r="AT262" t="s">
        <v>140</v>
      </c>
      <c r="AU262">
        <v>101</v>
      </c>
      <c r="AV262">
        <v>10</v>
      </c>
      <c r="AW262">
        <v>1</v>
      </c>
      <c r="AX262" s="2">
        <v>45838</v>
      </c>
      <c r="AY262" t="s">
        <v>141</v>
      </c>
      <c r="AZ262" s="2">
        <v>46027</v>
      </c>
      <c r="BA262">
        <v>0</v>
      </c>
      <c r="BB262">
        <v>0</v>
      </c>
      <c r="BC262">
        <v>0</v>
      </c>
      <c r="BD262">
        <v>700</v>
      </c>
      <c r="BE262">
        <v>70</v>
      </c>
      <c r="BF262">
        <v>9</v>
      </c>
      <c r="BG262" s="2">
        <v>45536</v>
      </c>
      <c r="BH262" t="s">
        <v>142</v>
      </c>
      <c r="BI262" s="2">
        <v>46026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198.72</v>
      </c>
      <c r="BQ262">
        <v>198.72</v>
      </c>
      <c r="BR262">
        <v>0</v>
      </c>
      <c r="BS262">
        <v>0</v>
      </c>
      <c r="BT262">
        <v>0</v>
      </c>
      <c r="BU262">
        <v>0</v>
      </c>
      <c r="BV262">
        <v>95.24</v>
      </c>
      <c r="BW262">
        <v>95.24</v>
      </c>
      <c r="BX262">
        <v>0</v>
      </c>
      <c r="BY262">
        <v>0</v>
      </c>
      <c r="BZ262">
        <v>0</v>
      </c>
      <c r="CA262">
        <v>0</v>
      </c>
      <c r="CB262">
        <v>320.24</v>
      </c>
      <c r="CC262" t="s">
        <v>339</v>
      </c>
    </row>
    <row r="263" spans="1:81" x14ac:dyDescent="0.25">
      <c r="A263">
        <v>345</v>
      </c>
      <c r="B263">
        <v>2</v>
      </c>
      <c r="C263">
        <v>449</v>
      </c>
      <c r="D263" t="s">
        <v>1564</v>
      </c>
      <c r="E263" t="s">
        <v>121</v>
      </c>
      <c r="F263" t="s">
        <v>1565</v>
      </c>
      <c r="G263" t="s">
        <v>1566</v>
      </c>
      <c r="H263" t="s">
        <v>553</v>
      </c>
      <c r="I263" t="s">
        <v>382</v>
      </c>
      <c r="J263" t="s">
        <v>554</v>
      </c>
      <c r="K263" t="s">
        <v>336</v>
      </c>
      <c r="L263" t="s">
        <v>128</v>
      </c>
      <c r="M263" t="s">
        <v>337</v>
      </c>
      <c r="N263" t="s">
        <v>1567</v>
      </c>
      <c r="O263" t="s">
        <v>131</v>
      </c>
      <c r="P263">
        <v>0</v>
      </c>
      <c r="Q263" t="s">
        <v>125</v>
      </c>
      <c r="R263">
        <v>6</v>
      </c>
      <c r="S263">
        <v>41</v>
      </c>
      <c r="T263" t="s">
        <v>132</v>
      </c>
      <c r="U263" t="s">
        <v>133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134</v>
      </c>
      <c r="AE263" t="s">
        <v>134</v>
      </c>
      <c r="AF263" s="2">
        <v>45518</v>
      </c>
      <c r="AG263" s="2">
        <v>46010</v>
      </c>
      <c r="AH263" s="1">
        <v>1658.89</v>
      </c>
      <c r="AI263" s="1">
        <v>2634.84</v>
      </c>
      <c r="AJ263" s="1">
        <v>18247.810000000001</v>
      </c>
      <c r="AK263">
        <v>0</v>
      </c>
      <c r="AL263">
        <v>0</v>
      </c>
      <c r="AM263">
        <v>0</v>
      </c>
      <c r="AN263" t="s">
        <v>135</v>
      </c>
      <c r="AO263" t="s">
        <v>135</v>
      </c>
      <c r="AP263" t="s">
        <v>136</v>
      </c>
      <c r="AQ263" t="s">
        <v>137</v>
      </c>
      <c r="AR263" t="s">
        <v>138</v>
      </c>
      <c r="AS263" t="s">
        <v>139</v>
      </c>
      <c r="AT263" t="s">
        <v>140</v>
      </c>
      <c r="AU263">
        <v>101</v>
      </c>
      <c r="AV263">
        <v>10</v>
      </c>
      <c r="AW263">
        <v>1</v>
      </c>
      <c r="AX263" s="2">
        <v>45813</v>
      </c>
      <c r="AY263" t="s">
        <v>308</v>
      </c>
      <c r="AZ263" s="2">
        <v>46023</v>
      </c>
      <c r="BA263">
        <v>0</v>
      </c>
      <c r="BB263">
        <v>0</v>
      </c>
      <c r="BC263">
        <v>0</v>
      </c>
      <c r="BD263">
        <v>700</v>
      </c>
      <c r="BE263">
        <v>70</v>
      </c>
      <c r="BF263">
        <v>9</v>
      </c>
      <c r="BG263" s="2">
        <v>45536</v>
      </c>
      <c r="BH263" t="s">
        <v>142</v>
      </c>
      <c r="BI263" s="2">
        <v>46026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s="1">
        <v>6452.75</v>
      </c>
      <c r="BQ263" s="1">
        <v>6452.75</v>
      </c>
      <c r="BR263">
        <v>0</v>
      </c>
      <c r="BS263">
        <v>0</v>
      </c>
      <c r="BT263">
        <v>0</v>
      </c>
      <c r="BU263">
        <v>0</v>
      </c>
      <c r="BV263" s="1">
        <v>5478.06</v>
      </c>
      <c r="BW263" s="1">
        <v>5478.06</v>
      </c>
      <c r="BX263">
        <v>0</v>
      </c>
      <c r="BY263">
        <v>0</v>
      </c>
      <c r="BZ263">
        <v>0</v>
      </c>
      <c r="CA263">
        <v>0</v>
      </c>
      <c r="CB263" s="1">
        <v>6366.23</v>
      </c>
      <c r="CC263" t="s">
        <v>143</v>
      </c>
    </row>
    <row r="264" spans="1:81" x14ac:dyDescent="0.25">
      <c r="A264">
        <v>345</v>
      </c>
      <c r="B264">
        <v>2</v>
      </c>
      <c r="C264">
        <v>450</v>
      </c>
      <c r="D264" t="s">
        <v>1568</v>
      </c>
      <c r="E264" t="s">
        <v>121</v>
      </c>
      <c r="F264" t="s">
        <v>1569</v>
      </c>
      <c r="G264" t="s">
        <v>1570</v>
      </c>
      <c r="H264" t="s">
        <v>1164</v>
      </c>
      <c r="I264" t="s">
        <v>125</v>
      </c>
      <c r="J264" t="s">
        <v>126</v>
      </c>
      <c r="K264" t="s">
        <v>473</v>
      </c>
      <c r="L264" t="s">
        <v>128</v>
      </c>
      <c r="M264" t="s">
        <v>474</v>
      </c>
      <c r="N264" t="s">
        <v>1571</v>
      </c>
      <c r="O264" t="s">
        <v>159</v>
      </c>
      <c r="P264">
        <v>0</v>
      </c>
      <c r="Q264" t="s">
        <v>125</v>
      </c>
      <c r="R264">
        <v>6</v>
      </c>
      <c r="S264">
        <v>36</v>
      </c>
      <c r="T264" t="s">
        <v>132</v>
      </c>
      <c r="U264" t="s">
        <v>133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134</v>
      </c>
      <c r="AE264" t="s">
        <v>134</v>
      </c>
      <c r="AF264" s="2">
        <v>45518</v>
      </c>
      <c r="AG264" s="2">
        <v>45994</v>
      </c>
      <c r="AH264">
        <v>430.67</v>
      </c>
      <c r="AI264">
        <v>591.04999999999995</v>
      </c>
      <c r="AJ264" s="1">
        <v>3014.69</v>
      </c>
      <c r="AK264">
        <v>0</v>
      </c>
      <c r="AL264">
        <v>0</v>
      </c>
      <c r="AM264">
        <v>0</v>
      </c>
      <c r="AN264" t="s">
        <v>135</v>
      </c>
      <c r="AO264" t="s">
        <v>135</v>
      </c>
      <c r="AP264" t="s">
        <v>136</v>
      </c>
      <c r="AQ264" t="s">
        <v>137</v>
      </c>
      <c r="AR264" t="s">
        <v>138</v>
      </c>
      <c r="AS264" t="s">
        <v>139</v>
      </c>
      <c r="AT264" t="s">
        <v>140</v>
      </c>
      <c r="AU264">
        <v>105</v>
      </c>
      <c r="AV264">
        <v>10</v>
      </c>
      <c r="AW264">
        <v>1</v>
      </c>
      <c r="AX264" s="2">
        <v>45839</v>
      </c>
      <c r="AY264" t="s">
        <v>377</v>
      </c>
      <c r="AZ264" s="2">
        <v>46028</v>
      </c>
      <c r="BA264">
        <v>0</v>
      </c>
      <c r="BB264">
        <v>0</v>
      </c>
      <c r="BC264">
        <v>0</v>
      </c>
      <c r="BD264">
        <v>700</v>
      </c>
      <c r="BE264">
        <v>70</v>
      </c>
      <c r="BF264">
        <v>9</v>
      </c>
      <c r="BG264" s="2">
        <v>45536</v>
      </c>
      <c r="BH264" t="s">
        <v>142</v>
      </c>
      <c r="BI264" s="2">
        <v>46026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s="1">
        <v>1711.84</v>
      </c>
      <c r="BQ264" s="1">
        <v>1711.84</v>
      </c>
      <c r="BR264">
        <v>0</v>
      </c>
      <c r="BS264">
        <v>0</v>
      </c>
      <c r="BT264">
        <v>0</v>
      </c>
      <c r="BU264">
        <v>0</v>
      </c>
      <c r="BV264">
        <v>221.1</v>
      </c>
      <c r="BW264">
        <v>221.1</v>
      </c>
      <c r="BX264">
        <v>0</v>
      </c>
      <c r="BY264">
        <v>0</v>
      </c>
      <c r="BZ264">
        <v>0</v>
      </c>
      <c r="CA264">
        <v>0</v>
      </c>
      <c r="CB264" s="1">
        <v>1184.76</v>
      </c>
      <c r="CC264" t="s">
        <v>161</v>
      </c>
    </row>
    <row r="265" spans="1:81" x14ac:dyDescent="0.25">
      <c r="A265">
        <v>345</v>
      </c>
      <c r="B265">
        <v>2</v>
      </c>
      <c r="C265">
        <v>451</v>
      </c>
      <c r="D265" t="s">
        <v>1572</v>
      </c>
      <c r="E265" t="s">
        <v>121</v>
      </c>
      <c r="F265" t="s">
        <v>1573</v>
      </c>
      <c r="G265" t="s">
        <v>1574</v>
      </c>
      <c r="H265" t="s">
        <v>1575</v>
      </c>
      <c r="I265" t="s">
        <v>125</v>
      </c>
      <c r="J265" t="s">
        <v>126</v>
      </c>
      <c r="K265" t="s">
        <v>473</v>
      </c>
      <c r="L265" t="s">
        <v>128</v>
      </c>
      <c r="M265" t="s">
        <v>474</v>
      </c>
      <c r="N265" t="s">
        <v>1576</v>
      </c>
      <c r="O265" t="s">
        <v>131</v>
      </c>
      <c r="P265">
        <v>0</v>
      </c>
      <c r="Q265" t="s">
        <v>125</v>
      </c>
      <c r="R265">
        <v>6</v>
      </c>
      <c r="S265">
        <v>41</v>
      </c>
      <c r="T265" t="s">
        <v>132</v>
      </c>
      <c r="U265" t="s">
        <v>133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134</v>
      </c>
      <c r="AE265" t="s">
        <v>134</v>
      </c>
      <c r="AF265" s="2">
        <v>45518</v>
      </c>
      <c r="AG265" s="2">
        <v>46017</v>
      </c>
      <c r="AH265" s="1">
        <v>1553.63</v>
      </c>
      <c r="AI265" s="1">
        <v>3569.2</v>
      </c>
      <c r="AJ265" s="1">
        <v>20197.23</v>
      </c>
      <c r="AK265">
        <v>0</v>
      </c>
      <c r="AL265" s="1">
        <v>3569.2</v>
      </c>
      <c r="AM265">
        <v>0</v>
      </c>
      <c r="AN265" t="s">
        <v>135</v>
      </c>
      <c r="AO265" t="s">
        <v>135</v>
      </c>
      <c r="AP265" t="s">
        <v>136</v>
      </c>
      <c r="AQ265" t="s">
        <v>137</v>
      </c>
      <c r="AR265" t="s">
        <v>138</v>
      </c>
      <c r="AS265" t="s">
        <v>139</v>
      </c>
      <c r="AT265" t="s">
        <v>140</v>
      </c>
      <c r="AU265">
        <v>105</v>
      </c>
      <c r="AV265">
        <v>10</v>
      </c>
      <c r="AW265">
        <v>1</v>
      </c>
      <c r="AX265" s="2">
        <v>45839</v>
      </c>
      <c r="AY265" t="s">
        <v>377</v>
      </c>
      <c r="AZ265" s="2">
        <v>46028</v>
      </c>
      <c r="BA265">
        <v>0</v>
      </c>
      <c r="BB265">
        <v>0</v>
      </c>
      <c r="BC265">
        <v>0</v>
      </c>
      <c r="BD265">
        <v>700</v>
      </c>
      <c r="BE265">
        <v>70</v>
      </c>
      <c r="BF265">
        <v>9</v>
      </c>
      <c r="BG265" s="2">
        <v>45536</v>
      </c>
      <c r="BH265" t="s">
        <v>142</v>
      </c>
      <c r="BI265" s="2">
        <v>46026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s="1">
        <v>5538.73</v>
      </c>
      <c r="BQ265" s="1">
        <v>5538.73</v>
      </c>
      <c r="BR265">
        <v>0</v>
      </c>
      <c r="BS265">
        <v>0</v>
      </c>
      <c r="BT265">
        <v>0</v>
      </c>
      <c r="BU265">
        <v>0</v>
      </c>
      <c r="BV265" s="1">
        <v>10205.42</v>
      </c>
      <c r="BW265" s="1">
        <v>10205.42</v>
      </c>
      <c r="BX265">
        <v>0</v>
      </c>
      <c r="BY265">
        <v>0</v>
      </c>
      <c r="BZ265">
        <v>0</v>
      </c>
      <c r="CA265">
        <v>0</v>
      </c>
      <c r="CB265" s="1">
        <v>4677.3100000000004</v>
      </c>
      <c r="CC265" t="s">
        <v>143</v>
      </c>
    </row>
    <row r="266" spans="1:81" x14ac:dyDescent="0.25">
      <c r="A266">
        <v>345</v>
      </c>
      <c r="B266">
        <v>2</v>
      </c>
      <c r="C266">
        <v>452</v>
      </c>
      <c r="D266" t="s">
        <v>1577</v>
      </c>
      <c r="E266" t="s">
        <v>121</v>
      </c>
      <c r="F266" t="s">
        <v>1578</v>
      </c>
      <c r="G266" t="s">
        <v>1579</v>
      </c>
      <c r="H266" t="s">
        <v>1580</v>
      </c>
      <c r="I266" t="s">
        <v>125</v>
      </c>
      <c r="J266" t="s">
        <v>851</v>
      </c>
      <c r="K266" t="s">
        <v>466</v>
      </c>
      <c r="L266" t="s">
        <v>128</v>
      </c>
      <c r="M266" t="s">
        <v>467</v>
      </c>
      <c r="N266" t="s">
        <v>1581</v>
      </c>
      <c r="O266" t="s">
        <v>149</v>
      </c>
      <c r="P266">
        <v>0</v>
      </c>
      <c r="Q266" t="s">
        <v>125</v>
      </c>
      <c r="R266">
        <v>6</v>
      </c>
      <c r="S266">
        <v>44</v>
      </c>
      <c r="T266" t="s">
        <v>132</v>
      </c>
      <c r="U266" t="s">
        <v>133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134</v>
      </c>
      <c r="AE266" t="s">
        <v>134</v>
      </c>
      <c r="AF266" s="2">
        <v>45518</v>
      </c>
      <c r="AG266" s="2">
        <v>46018</v>
      </c>
      <c r="AH266">
        <v>341.93</v>
      </c>
      <c r="AI266">
        <v>664.05</v>
      </c>
      <c r="AJ266" s="1">
        <v>2735.44</v>
      </c>
      <c r="AK266">
        <v>0</v>
      </c>
      <c r="AL266">
        <v>0</v>
      </c>
      <c r="AM266">
        <v>0</v>
      </c>
      <c r="AN266" t="s">
        <v>135</v>
      </c>
      <c r="AO266" t="s">
        <v>135</v>
      </c>
      <c r="AP266" t="s">
        <v>136</v>
      </c>
      <c r="AQ266" t="s">
        <v>137</v>
      </c>
      <c r="AR266" t="s">
        <v>138</v>
      </c>
      <c r="AS266" t="s">
        <v>150</v>
      </c>
      <c r="AT266" t="s">
        <v>140</v>
      </c>
      <c r="AU266">
        <v>100</v>
      </c>
      <c r="AV266">
        <v>10</v>
      </c>
      <c r="AW266">
        <v>1</v>
      </c>
      <c r="AX266" s="2">
        <v>45848</v>
      </c>
      <c r="AY266" t="s">
        <v>308</v>
      </c>
      <c r="AZ266" s="2">
        <v>46023</v>
      </c>
      <c r="BA266">
        <v>0</v>
      </c>
      <c r="BB266">
        <v>0</v>
      </c>
      <c r="BC266">
        <v>0</v>
      </c>
      <c r="BD266">
        <v>700</v>
      </c>
      <c r="BE266">
        <v>70</v>
      </c>
      <c r="BF266">
        <v>9</v>
      </c>
      <c r="BG266" s="2">
        <v>45536</v>
      </c>
      <c r="BH266" t="s">
        <v>142</v>
      </c>
      <c r="BI266" s="2">
        <v>46026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910.72</v>
      </c>
      <c r="BQ266">
        <v>910.72</v>
      </c>
      <c r="BR266">
        <v>0</v>
      </c>
      <c r="BS266">
        <v>0</v>
      </c>
      <c r="BT266">
        <v>0</v>
      </c>
      <c r="BU266">
        <v>0</v>
      </c>
      <c r="BV266" s="1">
        <v>1233.93</v>
      </c>
      <c r="BW266" s="1">
        <v>1233.93</v>
      </c>
      <c r="BX266">
        <v>0</v>
      </c>
      <c r="BY266">
        <v>0</v>
      </c>
      <c r="BZ266">
        <v>0</v>
      </c>
      <c r="CA266">
        <v>0</v>
      </c>
      <c r="CB266">
        <v>566.97</v>
      </c>
      <c r="CC266" t="s">
        <v>152</v>
      </c>
    </row>
    <row r="267" spans="1:81" x14ac:dyDescent="0.25">
      <c r="A267">
        <v>345</v>
      </c>
      <c r="B267">
        <v>2</v>
      </c>
      <c r="C267">
        <v>453</v>
      </c>
      <c r="D267" t="s">
        <v>1582</v>
      </c>
      <c r="E267" t="s">
        <v>121</v>
      </c>
      <c r="F267" t="s">
        <v>1583</v>
      </c>
      <c r="G267" t="s">
        <v>1584</v>
      </c>
      <c r="H267" t="s">
        <v>1585</v>
      </c>
      <c r="I267" t="s">
        <v>125</v>
      </c>
      <c r="J267" t="s">
        <v>126</v>
      </c>
      <c r="K267" t="s">
        <v>336</v>
      </c>
      <c r="L267" t="s">
        <v>128</v>
      </c>
      <c r="M267" t="s">
        <v>337</v>
      </c>
      <c r="N267" t="s">
        <v>1586</v>
      </c>
      <c r="O267" t="s">
        <v>159</v>
      </c>
      <c r="P267">
        <v>0</v>
      </c>
      <c r="Q267" t="s">
        <v>125</v>
      </c>
      <c r="R267">
        <v>6</v>
      </c>
      <c r="S267">
        <v>39</v>
      </c>
      <c r="T267" t="s">
        <v>132</v>
      </c>
      <c r="U267" t="s">
        <v>133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134</v>
      </c>
      <c r="AE267" t="s">
        <v>134</v>
      </c>
      <c r="AF267" s="2">
        <v>45518</v>
      </c>
      <c r="AG267" s="2">
        <v>46006</v>
      </c>
      <c r="AH267">
        <v>199.02</v>
      </c>
      <c r="AI267">
        <v>289.14</v>
      </c>
      <c r="AJ267">
        <v>597.08000000000004</v>
      </c>
      <c r="AK267">
        <v>0</v>
      </c>
      <c r="AL267">
        <v>0</v>
      </c>
      <c r="AM267">
        <v>0</v>
      </c>
      <c r="AN267" t="s">
        <v>135</v>
      </c>
      <c r="AO267" t="s">
        <v>135</v>
      </c>
      <c r="AP267" t="s">
        <v>136</v>
      </c>
      <c r="AQ267" t="s">
        <v>137</v>
      </c>
      <c r="AR267" t="s">
        <v>138</v>
      </c>
      <c r="AS267" t="s">
        <v>150</v>
      </c>
      <c r="AT267" t="s">
        <v>140</v>
      </c>
      <c r="AU267">
        <v>101</v>
      </c>
      <c r="AV267">
        <v>10</v>
      </c>
      <c r="AW267">
        <v>1</v>
      </c>
      <c r="AX267" s="2">
        <v>45843</v>
      </c>
      <c r="AY267" t="s">
        <v>160</v>
      </c>
      <c r="AZ267" s="2">
        <v>46025</v>
      </c>
      <c r="BA267">
        <v>0</v>
      </c>
      <c r="BB267">
        <v>0</v>
      </c>
      <c r="BC267">
        <v>0</v>
      </c>
      <c r="BD267">
        <v>700</v>
      </c>
      <c r="BE267">
        <v>70</v>
      </c>
      <c r="BF267">
        <v>9</v>
      </c>
      <c r="BG267" s="2">
        <v>45536</v>
      </c>
      <c r="BH267" t="s">
        <v>142</v>
      </c>
      <c r="BI267" s="2">
        <v>46026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461.84</v>
      </c>
      <c r="BW267">
        <v>461.84</v>
      </c>
      <c r="BX267">
        <v>0</v>
      </c>
      <c r="BY267">
        <v>0</v>
      </c>
      <c r="BZ267">
        <v>0</v>
      </c>
      <c r="CA267">
        <v>0</v>
      </c>
      <c r="CB267">
        <v>150.84</v>
      </c>
      <c r="CC267" t="s">
        <v>161</v>
      </c>
    </row>
    <row r="268" spans="1:81" x14ac:dyDescent="0.25">
      <c r="A268">
        <v>345</v>
      </c>
      <c r="B268">
        <v>2</v>
      </c>
      <c r="C268">
        <v>454</v>
      </c>
      <c r="D268" t="s">
        <v>1587</v>
      </c>
      <c r="E268" t="s">
        <v>121</v>
      </c>
      <c r="F268" t="s">
        <v>1588</v>
      </c>
      <c r="G268" t="s">
        <v>1589</v>
      </c>
      <c r="H268" t="s">
        <v>594</v>
      </c>
      <c r="I268" t="s">
        <v>1590</v>
      </c>
      <c r="J268" t="s">
        <v>565</v>
      </c>
      <c r="K268" t="s">
        <v>336</v>
      </c>
      <c r="L268" t="s">
        <v>128</v>
      </c>
      <c r="M268" t="s">
        <v>337</v>
      </c>
      <c r="N268" t="s">
        <v>1591</v>
      </c>
      <c r="O268" t="s">
        <v>167</v>
      </c>
      <c r="P268">
        <v>0</v>
      </c>
      <c r="Q268" t="s">
        <v>125</v>
      </c>
      <c r="R268">
        <v>6</v>
      </c>
      <c r="S268">
        <v>36</v>
      </c>
      <c r="T268" t="s">
        <v>132</v>
      </c>
      <c r="U268" t="s">
        <v>133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134</v>
      </c>
      <c r="AE268" t="s">
        <v>134</v>
      </c>
      <c r="AF268" s="2">
        <v>45518</v>
      </c>
      <c r="AG268" s="2">
        <v>46014</v>
      </c>
      <c r="AH268">
        <v>450.83</v>
      </c>
      <c r="AI268">
        <v>578.79999999999995</v>
      </c>
      <c r="AJ268" s="1">
        <v>3155.82</v>
      </c>
      <c r="AK268">
        <v>0</v>
      </c>
      <c r="AL268">
        <v>436.2</v>
      </c>
      <c r="AM268">
        <v>0</v>
      </c>
      <c r="AN268" t="s">
        <v>135</v>
      </c>
      <c r="AO268" t="s">
        <v>135</v>
      </c>
      <c r="AP268" t="s">
        <v>136</v>
      </c>
      <c r="AQ268" t="s">
        <v>137</v>
      </c>
      <c r="AR268" t="s">
        <v>138</v>
      </c>
      <c r="AS268" t="s">
        <v>139</v>
      </c>
      <c r="AT268" t="s">
        <v>140</v>
      </c>
      <c r="AU268">
        <v>104</v>
      </c>
      <c r="AV268">
        <v>10</v>
      </c>
      <c r="AW268">
        <v>1</v>
      </c>
      <c r="AX268" s="2">
        <v>45537</v>
      </c>
      <c r="AY268" t="s">
        <v>141</v>
      </c>
      <c r="AZ268" s="2">
        <v>46027</v>
      </c>
      <c r="BA268">
        <v>0</v>
      </c>
      <c r="BB268">
        <v>0</v>
      </c>
      <c r="BC268">
        <v>0</v>
      </c>
      <c r="BD268">
        <v>700</v>
      </c>
      <c r="BE268">
        <v>70</v>
      </c>
      <c r="BF268">
        <v>9</v>
      </c>
      <c r="BG268" s="2">
        <v>45536</v>
      </c>
      <c r="BH268" t="s">
        <v>142</v>
      </c>
      <c r="BI268" s="2">
        <v>46026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760.81</v>
      </c>
      <c r="BQ268">
        <v>760.81</v>
      </c>
      <c r="BR268">
        <v>0</v>
      </c>
      <c r="BS268">
        <v>0</v>
      </c>
      <c r="BT268">
        <v>0</v>
      </c>
      <c r="BU268">
        <v>0</v>
      </c>
      <c r="BV268" s="1">
        <v>1250.05</v>
      </c>
      <c r="BW268" s="1">
        <v>1250.05</v>
      </c>
      <c r="BX268">
        <v>0</v>
      </c>
      <c r="BY268">
        <v>0</v>
      </c>
      <c r="BZ268">
        <v>0</v>
      </c>
      <c r="CA268">
        <v>0</v>
      </c>
      <c r="CB268" s="1">
        <v>1134.19</v>
      </c>
      <c r="CC268" t="s">
        <v>161</v>
      </c>
    </row>
    <row r="269" spans="1:81" x14ac:dyDescent="0.25">
      <c r="A269">
        <v>345</v>
      </c>
      <c r="B269">
        <v>2</v>
      </c>
      <c r="C269">
        <v>455</v>
      </c>
      <c r="D269" t="s">
        <v>1592</v>
      </c>
      <c r="E269" t="s">
        <v>121</v>
      </c>
      <c r="F269" t="s">
        <v>1593</v>
      </c>
      <c r="G269" t="s">
        <v>1594</v>
      </c>
      <c r="H269" t="s">
        <v>1595</v>
      </c>
      <c r="I269" t="s">
        <v>125</v>
      </c>
      <c r="J269" t="s">
        <v>572</v>
      </c>
      <c r="K269" t="s">
        <v>466</v>
      </c>
      <c r="L269" t="s">
        <v>128</v>
      </c>
      <c r="M269" t="s">
        <v>467</v>
      </c>
      <c r="N269" t="s">
        <v>1596</v>
      </c>
      <c r="O269" t="s">
        <v>167</v>
      </c>
      <c r="P269">
        <v>0</v>
      </c>
      <c r="Q269" t="s">
        <v>125</v>
      </c>
      <c r="R269">
        <v>6</v>
      </c>
      <c r="S269">
        <v>35</v>
      </c>
      <c r="T269" t="s">
        <v>132</v>
      </c>
      <c r="U269" t="s">
        <v>133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134</v>
      </c>
      <c r="AE269" t="s">
        <v>134</v>
      </c>
      <c r="AF269" s="2">
        <v>45518</v>
      </c>
      <c r="AG269" s="2">
        <v>45997</v>
      </c>
      <c r="AH269">
        <v>262.67</v>
      </c>
      <c r="AI269">
        <v>349.58</v>
      </c>
      <c r="AJ269">
        <v>788.03</v>
      </c>
      <c r="AK269">
        <v>0</v>
      </c>
      <c r="AL269">
        <v>0</v>
      </c>
      <c r="AM269">
        <v>0</v>
      </c>
      <c r="AN269" t="s">
        <v>135</v>
      </c>
      <c r="AO269" t="s">
        <v>135</v>
      </c>
      <c r="AP269" t="s">
        <v>136</v>
      </c>
      <c r="AQ269" t="s">
        <v>137</v>
      </c>
      <c r="AR269" t="s">
        <v>138</v>
      </c>
      <c r="AS269" t="s">
        <v>139</v>
      </c>
      <c r="AT269" t="s">
        <v>140</v>
      </c>
      <c r="AU269">
        <v>100</v>
      </c>
      <c r="AV269">
        <v>10</v>
      </c>
      <c r="AW269">
        <v>1</v>
      </c>
      <c r="AX269" s="2">
        <v>45856</v>
      </c>
      <c r="AY269" t="s">
        <v>151</v>
      </c>
      <c r="AZ269" s="2">
        <v>46024</v>
      </c>
      <c r="BA269">
        <v>0</v>
      </c>
      <c r="BB269">
        <v>0</v>
      </c>
      <c r="BC269">
        <v>0</v>
      </c>
      <c r="BD269">
        <v>700</v>
      </c>
      <c r="BE269">
        <v>70</v>
      </c>
      <c r="BF269">
        <v>9</v>
      </c>
      <c r="BG269" s="2">
        <v>45536</v>
      </c>
      <c r="BH269" t="s">
        <v>142</v>
      </c>
      <c r="BI269" s="2">
        <v>46026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323.85000000000002</v>
      </c>
      <c r="BQ269">
        <v>323.85000000000002</v>
      </c>
      <c r="BR269">
        <v>0</v>
      </c>
      <c r="BS269">
        <v>0</v>
      </c>
      <c r="BT269">
        <v>0</v>
      </c>
      <c r="BU269">
        <v>0</v>
      </c>
      <c r="BV269">
        <v>349.58</v>
      </c>
      <c r="BW269">
        <v>349.58</v>
      </c>
      <c r="BX269">
        <v>0</v>
      </c>
      <c r="BY269">
        <v>0</v>
      </c>
      <c r="BZ269">
        <v>0</v>
      </c>
      <c r="CA269">
        <v>0</v>
      </c>
      <c r="CB269">
        <v>163.51</v>
      </c>
      <c r="CC269" t="s">
        <v>161</v>
      </c>
    </row>
    <row r="270" spans="1:81" x14ac:dyDescent="0.25">
      <c r="A270">
        <v>345</v>
      </c>
      <c r="B270">
        <v>2</v>
      </c>
      <c r="C270">
        <v>456</v>
      </c>
      <c r="D270" t="s">
        <v>1597</v>
      </c>
      <c r="E270" t="s">
        <v>121</v>
      </c>
      <c r="F270" t="s">
        <v>1598</v>
      </c>
      <c r="G270" t="s">
        <v>1599</v>
      </c>
      <c r="H270" t="s">
        <v>1600</v>
      </c>
      <c r="I270" t="s">
        <v>1601</v>
      </c>
      <c r="J270" t="s">
        <v>1180</v>
      </c>
      <c r="K270" t="s">
        <v>466</v>
      </c>
      <c r="L270" t="s">
        <v>128</v>
      </c>
      <c r="M270" t="s">
        <v>467</v>
      </c>
      <c r="N270" t="s">
        <v>1602</v>
      </c>
      <c r="O270" t="s">
        <v>167</v>
      </c>
      <c r="P270">
        <v>0</v>
      </c>
      <c r="Q270" t="s">
        <v>125</v>
      </c>
      <c r="R270">
        <v>6</v>
      </c>
      <c r="S270">
        <v>37</v>
      </c>
      <c r="T270" t="s">
        <v>132</v>
      </c>
      <c r="U270" t="s">
        <v>133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134</v>
      </c>
      <c r="AE270" t="s">
        <v>134</v>
      </c>
      <c r="AF270" s="2">
        <v>45518</v>
      </c>
      <c r="AG270" s="2">
        <v>46019</v>
      </c>
      <c r="AH270" s="1">
        <v>1282.96</v>
      </c>
      <c r="AI270" s="1">
        <v>2606.44</v>
      </c>
      <c r="AJ270" s="1">
        <v>14112.63</v>
      </c>
      <c r="AK270">
        <v>0</v>
      </c>
      <c r="AL270">
        <v>0</v>
      </c>
      <c r="AM270">
        <v>0</v>
      </c>
      <c r="AN270" t="s">
        <v>135</v>
      </c>
      <c r="AO270" t="s">
        <v>135</v>
      </c>
      <c r="AP270" t="s">
        <v>136</v>
      </c>
      <c r="AQ270" t="s">
        <v>137</v>
      </c>
      <c r="AR270" t="s">
        <v>138</v>
      </c>
      <c r="AS270" t="s">
        <v>139</v>
      </c>
      <c r="AT270" t="s">
        <v>140</v>
      </c>
      <c r="AU270">
        <v>105</v>
      </c>
      <c r="AV270">
        <v>10</v>
      </c>
      <c r="AW270">
        <v>1</v>
      </c>
      <c r="AX270" s="2">
        <v>45813</v>
      </c>
      <c r="AY270" t="s">
        <v>308</v>
      </c>
      <c r="AZ270" s="2">
        <v>46023</v>
      </c>
      <c r="BA270">
        <v>0</v>
      </c>
      <c r="BB270">
        <v>0</v>
      </c>
      <c r="BC270">
        <v>0</v>
      </c>
      <c r="BD270">
        <v>700</v>
      </c>
      <c r="BE270">
        <v>70</v>
      </c>
      <c r="BF270">
        <v>9</v>
      </c>
      <c r="BG270" s="2">
        <v>45536</v>
      </c>
      <c r="BH270" t="s">
        <v>142</v>
      </c>
      <c r="BI270" s="2">
        <v>46026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s="1">
        <v>4219.8900000000003</v>
      </c>
      <c r="BQ270" s="1">
        <v>4219.8900000000003</v>
      </c>
      <c r="BR270">
        <v>0</v>
      </c>
      <c r="BS270">
        <v>0</v>
      </c>
      <c r="BT270">
        <v>0</v>
      </c>
      <c r="BU270">
        <v>0</v>
      </c>
      <c r="BV270" s="1">
        <v>5328.06</v>
      </c>
      <c r="BW270" s="1">
        <v>5328.06</v>
      </c>
      <c r="BX270">
        <v>0</v>
      </c>
      <c r="BY270">
        <v>0</v>
      </c>
      <c r="BZ270">
        <v>0</v>
      </c>
      <c r="CA270">
        <v>0</v>
      </c>
      <c r="CB270" s="1">
        <v>3889.32</v>
      </c>
      <c r="CC270" t="s">
        <v>161</v>
      </c>
    </row>
    <row r="271" spans="1:81" x14ac:dyDescent="0.25">
      <c r="A271">
        <v>345</v>
      </c>
      <c r="B271">
        <v>2</v>
      </c>
      <c r="C271">
        <v>457</v>
      </c>
      <c r="D271" t="s">
        <v>1603</v>
      </c>
      <c r="E271" t="s">
        <v>121</v>
      </c>
      <c r="F271" t="s">
        <v>1604</v>
      </c>
      <c r="G271" t="s">
        <v>1605</v>
      </c>
      <c r="H271" t="s">
        <v>1606</v>
      </c>
      <c r="I271" t="s">
        <v>125</v>
      </c>
      <c r="J271" t="s">
        <v>606</v>
      </c>
      <c r="K271" t="s">
        <v>336</v>
      </c>
      <c r="L271" t="s">
        <v>128</v>
      </c>
      <c r="M271" t="s">
        <v>337</v>
      </c>
      <c r="N271" t="s">
        <v>1607</v>
      </c>
      <c r="O271" t="s">
        <v>131</v>
      </c>
      <c r="P271">
        <v>0</v>
      </c>
      <c r="Q271" t="s">
        <v>125</v>
      </c>
      <c r="R271">
        <v>6</v>
      </c>
      <c r="S271">
        <v>40</v>
      </c>
      <c r="T271" t="s">
        <v>132</v>
      </c>
      <c r="U271" t="s">
        <v>133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134</v>
      </c>
      <c r="AE271" t="s">
        <v>134</v>
      </c>
      <c r="AF271" s="2">
        <v>45518</v>
      </c>
      <c r="AG271" s="2">
        <v>46015</v>
      </c>
      <c r="AH271">
        <v>767.16</v>
      </c>
      <c r="AI271" s="1">
        <v>1739.55</v>
      </c>
      <c r="AJ271" s="1">
        <v>4603</v>
      </c>
      <c r="AK271">
        <v>0</v>
      </c>
      <c r="AL271">
        <v>0</v>
      </c>
      <c r="AM271">
        <v>0</v>
      </c>
      <c r="AN271" t="s">
        <v>135</v>
      </c>
      <c r="AO271" t="s">
        <v>135</v>
      </c>
      <c r="AP271" t="s">
        <v>136</v>
      </c>
      <c r="AQ271" t="s">
        <v>137</v>
      </c>
      <c r="AR271" t="s">
        <v>138</v>
      </c>
      <c r="AS271" t="s">
        <v>139</v>
      </c>
      <c r="AT271" t="s">
        <v>140</v>
      </c>
      <c r="AU271">
        <v>101</v>
      </c>
      <c r="AV271">
        <v>10</v>
      </c>
      <c r="AW271">
        <v>1</v>
      </c>
      <c r="AX271" s="2">
        <v>45811</v>
      </c>
      <c r="AY271" t="s">
        <v>377</v>
      </c>
      <c r="AZ271" s="2">
        <v>46028</v>
      </c>
      <c r="BA271">
        <v>0</v>
      </c>
      <c r="BB271">
        <v>0</v>
      </c>
      <c r="BC271">
        <v>0</v>
      </c>
      <c r="BD271">
        <v>700</v>
      </c>
      <c r="BE271">
        <v>70</v>
      </c>
      <c r="BF271">
        <v>9</v>
      </c>
      <c r="BG271" s="2">
        <v>45536</v>
      </c>
      <c r="BH271" t="s">
        <v>142</v>
      </c>
      <c r="BI271" s="2">
        <v>46026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s="1">
        <v>1739.55</v>
      </c>
      <c r="BQ271" s="1">
        <v>1739.55</v>
      </c>
      <c r="BR271">
        <v>0</v>
      </c>
      <c r="BS271">
        <v>0</v>
      </c>
      <c r="BT271">
        <v>0</v>
      </c>
      <c r="BU271">
        <v>0</v>
      </c>
      <c r="BV271">
        <v>603.76</v>
      </c>
      <c r="BW271">
        <v>603.76</v>
      </c>
      <c r="BX271">
        <v>0</v>
      </c>
      <c r="BY271">
        <v>0</v>
      </c>
      <c r="BZ271">
        <v>0</v>
      </c>
      <c r="CA271">
        <v>0</v>
      </c>
      <c r="CB271" s="1">
        <v>1900.99</v>
      </c>
      <c r="CC271" t="s">
        <v>143</v>
      </c>
    </row>
    <row r="272" spans="1:81" x14ac:dyDescent="0.25">
      <c r="A272">
        <v>345</v>
      </c>
      <c r="B272">
        <v>2</v>
      </c>
      <c r="C272">
        <v>458</v>
      </c>
      <c r="D272" t="s">
        <v>1608</v>
      </c>
      <c r="E272" t="s">
        <v>121</v>
      </c>
      <c r="F272" t="s">
        <v>1609</v>
      </c>
      <c r="G272" t="s">
        <v>1610</v>
      </c>
      <c r="H272" t="s">
        <v>1611</v>
      </c>
      <c r="I272" t="s">
        <v>125</v>
      </c>
      <c r="J272" t="s">
        <v>126</v>
      </c>
      <c r="K272" t="s">
        <v>336</v>
      </c>
      <c r="L272" t="s">
        <v>128</v>
      </c>
      <c r="M272" t="s">
        <v>337</v>
      </c>
      <c r="N272" t="s">
        <v>1612</v>
      </c>
      <c r="O272" t="s">
        <v>201</v>
      </c>
      <c r="P272">
        <v>0</v>
      </c>
      <c r="Q272" t="s">
        <v>125</v>
      </c>
      <c r="R272">
        <v>4</v>
      </c>
      <c r="S272">
        <v>80</v>
      </c>
      <c r="T272" t="s">
        <v>132</v>
      </c>
      <c r="U272" t="s">
        <v>133</v>
      </c>
      <c r="V272" s="1">
        <v>33500</v>
      </c>
      <c r="W272">
        <v>0</v>
      </c>
      <c r="X272" s="1">
        <v>33500</v>
      </c>
      <c r="Y272">
        <v>7</v>
      </c>
      <c r="Z272">
        <v>0</v>
      </c>
      <c r="AA272">
        <v>0</v>
      </c>
      <c r="AB272">
        <v>0</v>
      </c>
      <c r="AC272">
        <v>0</v>
      </c>
      <c r="AD272" t="s">
        <v>134</v>
      </c>
      <c r="AE272" t="s">
        <v>134</v>
      </c>
      <c r="AF272" s="2">
        <v>45518</v>
      </c>
      <c r="AG272" s="2">
        <v>46019</v>
      </c>
      <c r="AH272" s="1">
        <v>16828.68</v>
      </c>
      <c r="AI272" s="1">
        <v>50910.96</v>
      </c>
      <c r="AJ272" s="1">
        <v>252430.24</v>
      </c>
      <c r="AK272">
        <v>0</v>
      </c>
      <c r="AL272">
        <v>0</v>
      </c>
      <c r="AM272">
        <v>0</v>
      </c>
      <c r="AN272" t="s">
        <v>135</v>
      </c>
      <c r="AO272" t="s">
        <v>135</v>
      </c>
      <c r="AP272" t="s">
        <v>136</v>
      </c>
      <c r="AQ272" t="s">
        <v>137</v>
      </c>
      <c r="AR272" t="s">
        <v>138</v>
      </c>
      <c r="AS272" t="s">
        <v>139</v>
      </c>
      <c r="AT272" t="s">
        <v>140</v>
      </c>
      <c r="AU272">
        <v>501</v>
      </c>
      <c r="AV272">
        <v>10</v>
      </c>
      <c r="AW272">
        <v>1</v>
      </c>
      <c r="AX272" s="2">
        <v>45860</v>
      </c>
      <c r="AY272" t="s">
        <v>377</v>
      </c>
      <c r="AZ272" s="2">
        <v>46028</v>
      </c>
      <c r="BA272">
        <v>0</v>
      </c>
      <c r="BB272">
        <v>0</v>
      </c>
      <c r="BC272">
        <v>0</v>
      </c>
      <c r="BD272">
        <v>700</v>
      </c>
      <c r="BE272">
        <v>70</v>
      </c>
      <c r="BF272">
        <v>9</v>
      </c>
      <c r="BG272" s="2">
        <v>45536</v>
      </c>
      <c r="BH272" t="s">
        <v>142</v>
      </c>
      <c r="BI272" s="2">
        <v>46026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s="1">
        <v>59160.46</v>
      </c>
      <c r="BQ272" s="1">
        <v>71939.759999999995</v>
      </c>
      <c r="BR272">
        <v>0</v>
      </c>
      <c r="BS272">
        <v>0</v>
      </c>
      <c r="BT272">
        <v>0</v>
      </c>
      <c r="BU272">
        <v>0</v>
      </c>
      <c r="BV272" s="1">
        <v>137897.82999999999</v>
      </c>
      <c r="BW272" s="1">
        <v>137897.82999999999</v>
      </c>
      <c r="BX272">
        <v>0</v>
      </c>
      <c r="BY272">
        <v>0</v>
      </c>
      <c r="BZ272">
        <v>0</v>
      </c>
      <c r="CA272">
        <v>0</v>
      </c>
      <c r="CB272" s="1">
        <v>83457.13</v>
      </c>
      <c r="CC272" t="s">
        <v>339</v>
      </c>
    </row>
    <row r="273" spans="1:81" x14ac:dyDescent="0.25">
      <c r="A273">
        <v>345</v>
      </c>
      <c r="B273">
        <v>2</v>
      </c>
      <c r="C273">
        <v>459</v>
      </c>
      <c r="D273" t="s">
        <v>1613</v>
      </c>
      <c r="E273" t="s">
        <v>121</v>
      </c>
      <c r="F273" t="s">
        <v>1614</v>
      </c>
      <c r="G273" t="s">
        <v>1615</v>
      </c>
      <c r="H273" t="s">
        <v>1616</v>
      </c>
      <c r="I273" t="s">
        <v>125</v>
      </c>
      <c r="J273" t="s">
        <v>126</v>
      </c>
      <c r="K273" t="s">
        <v>466</v>
      </c>
      <c r="L273" t="s">
        <v>128</v>
      </c>
      <c r="M273" t="s">
        <v>467</v>
      </c>
      <c r="N273" t="s">
        <v>1617</v>
      </c>
      <c r="O273" t="s">
        <v>149</v>
      </c>
      <c r="P273">
        <v>0</v>
      </c>
      <c r="Q273" t="s">
        <v>125</v>
      </c>
      <c r="R273">
        <v>6</v>
      </c>
      <c r="S273">
        <v>41</v>
      </c>
      <c r="T273" t="s">
        <v>132</v>
      </c>
      <c r="U273" t="s">
        <v>133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134</v>
      </c>
      <c r="AE273" t="s">
        <v>134</v>
      </c>
      <c r="AF273" s="2">
        <v>45518</v>
      </c>
      <c r="AG273" s="2">
        <v>46019</v>
      </c>
      <c r="AH273" s="1">
        <v>1823.15</v>
      </c>
      <c r="AI273" s="1">
        <v>2661.2</v>
      </c>
      <c r="AJ273" s="1">
        <v>20054.68</v>
      </c>
      <c r="AK273">
        <v>0</v>
      </c>
      <c r="AL273">
        <v>0</v>
      </c>
      <c r="AM273">
        <v>0</v>
      </c>
      <c r="AN273" t="s">
        <v>135</v>
      </c>
      <c r="AO273" t="s">
        <v>135</v>
      </c>
      <c r="AP273" t="s">
        <v>136</v>
      </c>
      <c r="AQ273" t="s">
        <v>137</v>
      </c>
      <c r="AR273" t="s">
        <v>138</v>
      </c>
      <c r="AS273" t="s">
        <v>139</v>
      </c>
      <c r="AT273" t="s">
        <v>140</v>
      </c>
      <c r="AU273">
        <v>105</v>
      </c>
      <c r="AV273">
        <v>10</v>
      </c>
      <c r="AW273">
        <v>1</v>
      </c>
      <c r="AX273" s="2">
        <v>45815</v>
      </c>
      <c r="AY273" t="s">
        <v>160</v>
      </c>
      <c r="AZ273" s="2">
        <v>46025</v>
      </c>
      <c r="BA273">
        <v>0</v>
      </c>
      <c r="BB273">
        <v>0</v>
      </c>
      <c r="BC273">
        <v>0</v>
      </c>
      <c r="BD273">
        <v>700</v>
      </c>
      <c r="BE273">
        <v>70</v>
      </c>
      <c r="BF273">
        <v>9</v>
      </c>
      <c r="BG273" s="2">
        <v>45536</v>
      </c>
      <c r="BH273" t="s">
        <v>142</v>
      </c>
      <c r="BI273" s="2">
        <v>46026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s="1">
        <v>6255.15</v>
      </c>
      <c r="BQ273" s="1">
        <v>6255.15</v>
      </c>
      <c r="BR273">
        <v>0</v>
      </c>
      <c r="BS273">
        <v>0</v>
      </c>
      <c r="BT273">
        <v>0</v>
      </c>
      <c r="BU273">
        <v>0</v>
      </c>
      <c r="BV273" s="1">
        <v>7497.95</v>
      </c>
      <c r="BW273" s="1">
        <v>7497.95</v>
      </c>
      <c r="BX273">
        <v>0</v>
      </c>
      <c r="BY273">
        <v>0</v>
      </c>
      <c r="BZ273">
        <v>0</v>
      </c>
      <c r="CA273">
        <v>0</v>
      </c>
      <c r="CB273" s="1">
        <v>6062.36</v>
      </c>
      <c r="CC273" t="s">
        <v>152</v>
      </c>
    </row>
    <row r="274" spans="1:81" x14ac:dyDescent="0.25">
      <c r="A274">
        <v>345</v>
      </c>
      <c r="B274">
        <v>2</v>
      </c>
      <c r="C274">
        <v>460</v>
      </c>
      <c r="D274" t="s">
        <v>1618</v>
      </c>
      <c r="E274" t="s">
        <v>121</v>
      </c>
      <c r="F274" t="s">
        <v>1619</v>
      </c>
      <c r="G274" t="s">
        <v>1620</v>
      </c>
      <c r="H274" t="s">
        <v>1621</v>
      </c>
      <c r="I274" t="s">
        <v>125</v>
      </c>
      <c r="J274" t="s">
        <v>1622</v>
      </c>
      <c r="K274" t="s">
        <v>336</v>
      </c>
      <c r="L274" t="s">
        <v>128</v>
      </c>
      <c r="M274" t="s">
        <v>337</v>
      </c>
      <c r="N274" t="s">
        <v>1623</v>
      </c>
      <c r="O274" t="s">
        <v>131</v>
      </c>
      <c r="P274">
        <v>0</v>
      </c>
      <c r="Q274" t="s">
        <v>125</v>
      </c>
      <c r="R274">
        <v>6</v>
      </c>
      <c r="S274">
        <v>39</v>
      </c>
      <c r="T274" t="s">
        <v>132</v>
      </c>
      <c r="U274" t="s">
        <v>133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134</v>
      </c>
      <c r="AE274" t="s">
        <v>134</v>
      </c>
      <c r="AF274" s="2">
        <v>45518</v>
      </c>
      <c r="AG274" s="2">
        <v>46006</v>
      </c>
      <c r="AH274">
        <v>502.48</v>
      </c>
      <c r="AI274">
        <v>724.58</v>
      </c>
      <c r="AJ274" s="1">
        <v>3014.91</v>
      </c>
      <c r="AK274">
        <v>0</v>
      </c>
      <c r="AL274">
        <v>0</v>
      </c>
      <c r="AM274">
        <v>0</v>
      </c>
      <c r="AN274" t="s">
        <v>135</v>
      </c>
      <c r="AO274" t="s">
        <v>135</v>
      </c>
      <c r="AP274" t="s">
        <v>136</v>
      </c>
      <c r="AQ274" t="s">
        <v>137</v>
      </c>
      <c r="AR274" t="s">
        <v>138</v>
      </c>
      <c r="AS274" t="s">
        <v>139</v>
      </c>
      <c r="AT274" t="s">
        <v>140</v>
      </c>
      <c r="AU274">
        <v>101</v>
      </c>
      <c r="AV274">
        <v>10</v>
      </c>
      <c r="AW274">
        <v>1</v>
      </c>
      <c r="AX274" s="2">
        <v>45535</v>
      </c>
      <c r="AY274" t="s">
        <v>160</v>
      </c>
      <c r="AZ274" s="2">
        <v>46025</v>
      </c>
      <c r="BA274">
        <v>0</v>
      </c>
      <c r="BB274">
        <v>0</v>
      </c>
      <c r="BC274">
        <v>0</v>
      </c>
      <c r="BD274">
        <v>700</v>
      </c>
      <c r="BE274">
        <v>70</v>
      </c>
      <c r="BF274">
        <v>9</v>
      </c>
      <c r="BG274" s="2">
        <v>45536</v>
      </c>
      <c r="BH274" t="s">
        <v>142</v>
      </c>
      <c r="BI274" s="2">
        <v>46026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681.9</v>
      </c>
      <c r="BQ274">
        <v>681.9</v>
      </c>
      <c r="BR274">
        <v>0</v>
      </c>
      <c r="BS274">
        <v>0</v>
      </c>
      <c r="BT274">
        <v>0</v>
      </c>
      <c r="BU274">
        <v>0</v>
      </c>
      <c r="BV274" s="1">
        <v>1067.43</v>
      </c>
      <c r="BW274" s="1">
        <v>1067.43</v>
      </c>
      <c r="BX274">
        <v>0</v>
      </c>
      <c r="BY274">
        <v>0</v>
      </c>
      <c r="BZ274">
        <v>0</v>
      </c>
      <c r="CA274">
        <v>0</v>
      </c>
      <c r="CB274" s="1">
        <v>1190.02</v>
      </c>
      <c r="CC274" t="s">
        <v>143</v>
      </c>
    </row>
    <row r="275" spans="1:81" x14ac:dyDescent="0.25">
      <c r="A275">
        <v>345</v>
      </c>
      <c r="B275">
        <v>2</v>
      </c>
      <c r="C275">
        <v>461</v>
      </c>
      <c r="D275" t="s">
        <v>1624</v>
      </c>
      <c r="E275" t="s">
        <v>121</v>
      </c>
      <c r="F275" t="s">
        <v>1625</v>
      </c>
      <c r="G275" t="s">
        <v>1626</v>
      </c>
      <c r="H275" t="s">
        <v>1627</v>
      </c>
      <c r="I275" t="s">
        <v>1628</v>
      </c>
      <c r="J275" t="s">
        <v>825</v>
      </c>
      <c r="K275" t="s">
        <v>336</v>
      </c>
      <c r="L275" t="s">
        <v>128</v>
      </c>
      <c r="M275" t="s">
        <v>337</v>
      </c>
      <c r="N275" t="s">
        <v>736</v>
      </c>
      <c r="O275" t="s">
        <v>167</v>
      </c>
      <c r="P275">
        <v>0</v>
      </c>
      <c r="Q275" t="s">
        <v>125</v>
      </c>
      <c r="R275">
        <v>6</v>
      </c>
      <c r="S275">
        <v>37</v>
      </c>
      <c r="T275" t="s">
        <v>132</v>
      </c>
      <c r="U275" t="s">
        <v>133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134</v>
      </c>
      <c r="AE275" t="s">
        <v>134</v>
      </c>
      <c r="AF275" s="2">
        <v>45518</v>
      </c>
      <c r="AG275" s="2">
        <v>46014</v>
      </c>
      <c r="AH275">
        <v>160.81</v>
      </c>
      <c r="AI275">
        <v>260.12</v>
      </c>
      <c r="AJ275">
        <v>482.45</v>
      </c>
      <c r="AK275">
        <v>0</v>
      </c>
      <c r="AL275">
        <v>0</v>
      </c>
      <c r="AM275">
        <v>0</v>
      </c>
      <c r="AN275" t="s">
        <v>135</v>
      </c>
      <c r="AO275" t="s">
        <v>135</v>
      </c>
      <c r="AP275" t="s">
        <v>136</v>
      </c>
      <c r="AQ275" t="s">
        <v>137</v>
      </c>
      <c r="AR275" t="s">
        <v>138</v>
      </c>
      <c r="AS275" t="s">
        <v>139</v>
      </c>
      <c r="AT275" t="s">
        <v>140</v>
      </c>
      <c r="AU275">
        <v>101</v>
      </c>
      <c r="AV275">
        <v>10</v>
      </c>
      <c r="AW275">
        <v>1</v>
      </c>
      <c r="AX275" s="2">
        <v>45859</v>
      </c>
      <c r="AY275" t="s">
        <v>141</v>
      </c>
      <c r="AZ275" s="2">
        <v>46027</v>
      </c>
      <c r="BA275">
        <v>0</v>
      </c>
      <c r="BB275">
        <v>0</v>
      </c>
      <c r="BC275">
        <v>0</v>
      </c>
      <c r="BD275">
        <v>700</v>
      </c>
      <c r="BE275">
        <v>70</v>
      </c>
      <c r="BF275">
        <v>9</v>
      </c>
      <c r="BG275" s="2">
        <v>45536</v>
      </c>
      <c r="BH275" t="s">
        <v>142</v>
      </c>
      <c r="BI275" s="2">
        <v>46026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130.06</v>
      </c>
      <c r="BQ275">
        <v>130.06</v>
      </c>
      <c r="BR275">
        <v>0</v>
      </c>
      <c r="BS275">
        <v>0</v>
      </c>
      <c r="BT275">
        <v>0</v>
      </c>
      <c r="BU275">
        <v>0</v>
      </c>
      <c r="BV275">
        <v>143.34</v>
      </c>
      <c r="BW275">
        <v>143.34</v>
      </c>
      <c r="BX275">
        <v>0</v>
      </c>
      <c r="BY275">
        <v>0</v>
      </c>
      <c r="BZ275">
        <v>0</v>
      </c>
      <c r="CA275">
        <v>0</v>
      </c>
      <c r="CB275">
        <v>103.15</v>
      </c>
      <c r="CC275" t="s">
        <v>161</v>
      </c>
    </row>
    <row r="276" spans="1:81" x14ac:dyDescent="0.25">
      <c r="A276">
        <v>345</v>
      </c>
      <c r="B276">
        <v>2</v>
      </c>
      <c r="C276">
        <v>464</v>
      </c>
      <c r="D276" t="s">
        <v>1629</v>
      </c>
      <c r="E276" t="s">
        <v>121</v>
      </c>
      <c r="F276" t="s">
        <v>1630</v>
      </c>
      <c r="G276" t="s">
        <v>1631</v>
      </c>
      <c r="H276" t="s">
        <v>1632</v>
      </c>
      <c r="I276" t="s">
        <v>1633</v>
      </c>
      <c r="J276" t="s">
        <v>931</v>
      </c>
      <c r="K276" t="s">
        <v>466</v>
      </c>
      <c r="L276" t="s">
        <v>128</v>
      </c>
      <c r="M276" t="s">
        <v>467</v>
      </c>
      <c r="N276" t="s">
        <v>1634</v>
      </c>
      <c r="O276" t="s">
        <v>167</v>
      </c>
      <c r="P276">
        <v>0</v>
      </c>
      <c r="Q276" t="s">
        <v>125</v>
      </c>
      <c r="R276">
        <v>4</v>
      </c>
      <c r="S276">
        <v>76</v>
      </c>
      <c r="T276" t="s">
        <v>132</v>
      </c>
      <c r="U276" t="s">
        <v>133</v>
      </c>
      <c r="V276" s="1">
        <v>1000</v>
      </c>
      <c r="W276">
        <v>0</v>
      </c>
      <c r="X276" s="1">
        <v>1000</v>
      </c>
      <c r="Y276">
        <v>7</v>
      </c>
      <c r="Z276">
        <v>0</v>
      </c>
      <c r="AA276">
        <v>0</v>
      </c>
      <c r="AB276">
        <v>0</v>
      </c>
      <c r="AC276">
        <v>0</v>
      </c>
      <c r="AD276" t="s">
        <v>134</v>
      </c>
      <c r="AE276" t="s">
        <v>134</v>
      </c>
      <c r="AF276" s="2">
        <v>45518</v>
      </c>
      <c r="AG276" s="2">
        <v>46017</v>
      </c>
      <c r="AH276">
        <v>512.5</v>
      </c>
      <c r="AI276">
        <v>639.91999999999996</v>
      </c>
      <c r="AJ276" s="1">
        <v>3075.05</v>
      </c>
      <c r="AK276">
        <v>0</v>
      </c>
      <c r="AL276">
        <v>0</v>
      </c>
      <c r="AM276">
        <v>0</v>
      </c>
      <c r="AN276" t="s">
        <v>135</v>
      </c>
      <c r="AO276" t="s">
        <v>135</v>
      </c>
      <c r="AP276" t="s">
        <v>136</v>
      </c>
      <c r="AQ276" t="s">
        <v>137</v>
      </c>
      <c r="AR276" t="s">
        <v>138</v>
      </c>
      <c r="AS276" t="s">
        <v>139</v>
      </c>
      <c r="AT276" t="s">
        <v>140</v>
      </c>
      <c r="AU276">
        <v>105</v>
      </c>
      <c r="AV276">
        <v>10</v>
      </c>
      <c r="AW276">
        <v>1</v>
      </c>
      <c r="AX276" s="2">
        <v>45846</v>
      </c>
      <c r="AY276" t="s">
        <v>377</v>
      </c>
      <c r="AZ276" s="2">
        <v>46028</v>
      </c>
      <c r="BA276">
        <v>0</v>
      </c>
      <c r="BB276">
        <v>0</v>
      </c>
      <c r="BC276">
        <v>0</v>
      </c>
      <c r="BD276">
        <v>700</v>
      </c>
      <c r="BE276">
        <v>70</v>
      </c>
      <c r="BF276">
        <v>9</v>
      </c>
      <c r="BG276" s="2">
        <v>45536</v>
      </c>
      <c r="BH276" t="s">
        <v>142</v>
      </c>
      <c r="BI276" s="2">
        <v>46026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888.5</v>
      </c>
      <c r="BQ276">
        <v>888.5</v>
      </c>
      <c r="BR276">
        <v>0</v>
      </c>
      <c r="BS276">
        <v>0</v>
      </c>
      <c r="BT276">
        <v>0</v>
      </c>
      <c r="BU276">
        <v>0</v>
      </c>
      <c r="BV276" s="1">
        <v>1150.3900000000001</v>
      </c>
      <c r="BW276" s="1">
        <v>1150.3900000000001</v>
      </c>
      <c r="BX276">
        <v>0</v>
      </c>
      <c r="BY276">
        <v>0</v>
      </c>
      <c r="BZ276">
        <v>0</v>
      </c>
      <c r="CA276">
        <v>0</v>
      </c>
      <c r="CB276" s="1">
        <v>1024.48</v>
      </c>
      <c r="CC276" t="s">
        <v>161</v>
      </c>
    </row>
    <row r="277" spans="1:81" x14ac:dyDescent="0.25">
      <c r="A277">
        <v>345</v>
      </c>
      <c r="B277">
        <v>2</v>
      </c>
      <c r="C277">
        <v>465</v>
      </c>
      <c r="D277" t="s">
        <v>1635</v>
      </c>
      <c r="E277" t="s">
        <v>121</v>
      </c>
      <c r="F277" t="s">
        <v>1636</v>
      </c>
      <c r="G277" t="s">
        <v>1637</v>
      </c>
      <c r="H277" t="s">
        <v>1638</v>
      </c>
      <c r="I277" t="s">
        <v>125</v>
      </c>
      <c r="J277" t="s">
        <v>1201</v>
      </c>
      <c r="K277" t="s">
        <v>466</v>
      </c>
      <c r="L277" t="s">
        <v>128</v>
      </c>
      <c r="M277" t="s">
        <v>467</v>
      </c>
      <c r="N277" t="s">
        <v>1639</v>
      </c>
      <c r="O277" t="s">
        <v>159</v>
      </c>
      <c r="P277">
        <v>0</v>
      </c>
      <c r="Q277" t="s">
        <v>125</v>
      </c>
      <c r="R277">
        <v>6</v>
      </c>
      <c r="S277">
        <v>36</v>
      </c>
      <c r="T277" t="s">
        <v>132</v>
      </c>
      <c r="U277" t="s">
        <v>133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134</v>
      </c>
      <c r="AE277" t="s">
        <v>134</v>
      </c>
      <c r="AF277" s="2">
        <v>45518</v>
      </c>
      <c r="AG277" s="2">
        <v>46017</v>
      </c>
      <c r="AH277">
        <v>431.55</v>
      </c>
      <c r="AI277">
        <v>564.44000000000005</v>
      </c>
      <c r="AJ277" s="1">
        <v>5610.16</v>
      </c>
      <c r="AK277">
        <v>0</v>
      </c>
      <c r="AL277">
        <v>539.34</v>
      </c>
      <c r="AM277">
        <v>0</v>
      </c>
      <c r="AN277" t="s">
        <v>135</v>
      </c>
      <c r="AO277" t="s">
        <v>135</v>
      </c>
      <c r="AP277" t="s">
        <v>136</v>
      </c>
      <c r="AQ277" t="s">
        <v>137</v>
      </c>
      <c r="AR277" t="s">
        <v>138</v>
      </c>
      <c r="AS277" t="s">
        <v>139</v>
      </c>
      <c r="AT277" t="s">
        <v>140</v>
      </c>
      <c r="AU277">
        <v>103</v>
      </c>
      <c r="AV277">
        <v>10</v>
      </c>
      <c r="AW277">
        <v>1</v>
      </c>
      <c r="AX277" s="2">
        <v>45867</v>
      </c>
      <c r="AY277" t="s">
        <v>377</v>
      </c>
      <c r="AZ277" s="2">
        <v>46028</v>
      </c>
      <c r="BA277">
        <v>0</v>
      </c>
      <c r="BB277">
        <v>0</v>
      </c>
      <c r="BC277">
        <v>0</v>
      </c>
      <c r="BD277">
        <v>700</v>
      </c>
      <c r="BE277">
        <v>70</v>
      </c>
      <c r="BF277">
        <v>9</v>
      </c>
      <c r="BG277" s="2">
        <v>45536</v>
      </c>
      <c r="BH277" t="s">
        <v>142</v>
      </c>
      <c r="BI277" s="2">
        <v>46026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 s="1">
        <v>1227.6600000000001</v>
      </c>
      <c r="BQ277" s="1">
        <v>1227.6600000000001</v>
      </c>
      <c r="BR277">
        <v>0</v>
      </c>
      <c r="BS277">
        <v>0</v>
      </c>
      <c r="BT277">
        <v>0</v>
      </c>
      <c r="BU277">
        <v>0</v>
      </c>
      <c r="BV277" s="1">
        <v>2442.4699999999998</v>
      </c>
      <c r="BW277" s="1">
        <v>2442.4699999999998</v>
      </c>
      <c r="BX277">
        <v>0</v>
      </c>
      <c r="BY277">
        <v>0</v>
      </c>
      <c r="BZ277">
        <v>0</v>
      </c>
      <c r="CA277">
        <v>0</v>
      </c>
      <c r="CB277" s="1">
        <v>1393.95</v>
      </c>
      <c r="CC277" t="s">
        <v>161</v>
      </c>
    </row>
    <row r="278" spans="1:81" x14ac:dyDescent="0.25">
      <c r="A278">
        <v>345</v>
      </c>
      <c r="B278">
        <v>2</v>
      </c>
      <c r="C278">
        <v>466</v>
      </c>
      <c r="D278" t="s">
        <v>1640</v>
      </c>
      <c r="E278" t="s">
        <v>121</v>
      </c>
      <c r="F278" t="s">
        <v>1641</v>
      </c>
      <c r="G278" t="s">
        <v>1642</v>
      </c>
      <c r="H278" t="s">
        <v>966</v>
      </c>
      <c r="I278" t="s">
        <v>1643</v>
      </c>
      <c r="J278" t="s">
        <v>583</v>
      </c>
      <c r="K278" t="s">
        <v>466</v>
      </c>
      <c r="L278" t="s">
        <v>128</v>
      </c>
      <c r="M278" t="s">
        <v>467</v>
      </c>
      <c r="N278" t="s">
        <v>1644</v>
      </c>
      <c r="O278" t="s">
        <v>167</v>
      </c>
      <c r="P278">
        <v>0</v>
      </c>
      <c r="Q278" t="s">
        <v>125</v>
      </c>
      <c r="R278">
        <v>6</v>
      </c>
      <c r="S278">
        <v>37</v>
      </c>
      <c r="T278" t="s">
        <v>132</v>
      </c>
      <c r="U278" t="s">
        <v>133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134</v>
      </c>
      <c r="AE278" t="s">
        <v>134</v>
      </c>
      <c r="AF278" s="2">
        <v>45518</v>
      </c>
      <c r="AG278" s="2">
        <v>46020</v>
      </c>
      <c r="AH278">
        <v>92.48</v>
      </c>
      <c r="AI278">
        <v>177.19</v>
      </c>
      <c r="AJ278">
        <v>184.97</v>
      </c>
      <c r="AK278">
        <v>0</v>
      </c>
      <c r="AL278">
        <v>0</v>
      </c>
      <c r="AM278">
        <v>0</v>
      </c>
      <c r="AN278" t="s">
        <v>135</v>
      </c>
      <c r="AO278" t="s">
        <v>135</v>
      </c>
      <c r="AP278" t="s">
        <v>136</v>
      </c>
      <c r="AQ278" t="s">
        <v>137</v>
      </c>
      <c r="AR278" t="s">
        <v>138</v>
      </c>
      <c r="AS278" t="s">
        <v>139</v>
      </c>
      <c r="AT278" t="s">
        <v>140</v>
      </c>
      <c r="AU278">
        <v>100</v>
      </c>
      <c r="AV278">
        <v>10</v>
      </c>
      <c r="AW278">
        <v>1</v>
      </c>
      <c r="AX278" s="2">
        <v>45534</v>
      </c>
      <c r="AY278" t="s">
        <v>151</v>
      </c>
      <c r="AZ278" s="2">
        <v>46024</v>
      </c>
      <c r="BA278">
        <v>0</v>
      </c>
      <c r="BB278">
        <v>0</v>
      </c>
      <c r="BC278">
        <v>0</v>
      </c>
      <c r="BD278">
        <v>700</v>
      </c>
      <c r="BE278">
        <v>70</v>
      </c>
      <c r="BF278">
        <v>9</v>
      </c>
      <c r="BG278" s="2">
        <v>45536</v>
      </c>
      <c r="BH278" t="s">
        <v>142</v>
      </c>
      <c r="BI278" s="2">
        <v>46026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7.78</v>
      </c>
      <c r="BQ278">
        <v>7.78</v>
      </c>
      <c r="BR278">
        <v>0</v>
      </c>
      <c r="BS278">
        <v>0</v>
      </c>
      <c r="BT278">
        <v>0</v>
      </c>
      <c r="BU278">
        <v>0</v>
      </c>
      <c r="BV278">
        <v>177.19</v>
      </c>
      <c r="BW278">
        <v>177.19</v>
      </c>
      <c r="BX278">
        <v>0</v>
      </c>
      <c r="BY278">
        <v>0</v>
      </c>
      <c r="BZ278">
        <v>0</v>
      </c>
      <c r="CA278">
        <v>0</v>
      </c>
      <c r="CB278">
        <v>2.59</v>
      </c>
      <c r="CC278" t="s">
        <v>161</v>
      </c>
    </row>
    <row r="279" spans="1:81" x14ac:dyDescent="0.25">
      <c r="A279">
        <v>345</v>
      </c>
      <c r="B279">
        <v>2</v>
      </c>
      <c r="C279">
        <v>468</v>
      </c>
      <c r="D279" t="s">
        <v>1645</v>
      </c>
      <c r="E279" t="s">
        <v>121</v>
      </c>
      <c r="F279" t="s">
        <v>1646</v>
      </c>
      <c r="G279" t="s">
        <v>1647</v>
      </c>
      <c r="H279" t="s">
        <v>1648</v>
      </c>
      <c r="I279" t="s">
        <v>125</v>
      </c>
      <c r="J279" t="s">
        <v>126</v>
      </c>
      <c r="K279" t="s">
        <v>466</v>
      </c>
      <c r="L279" t="s">
        <v>128</v>
      </c>
      <c r="M279" t="s">
        <v>467</v>
      </c>
      <c r="N279" t="s">
        <v>1649</v>
      </c>
      <c r="O279" t="s">
        <v>1650</v>
      </c>
      <c r="P279">
        <v>0</v>
      </c>
      <c r="Q279" t="s">
        <v>125</v>
      </c>
      <c r="R279">
        <v>6</v>
      </c>
      <c r="S279">
        <v>43</v>
      </c>
      <c r="T279" t="s">
        <v>132</v>
      </c>
      <c r="U279" t="s">
        <v>133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134</v>
      </c>
      <c r="AE279" t="s">
        <v>134</v>
      </c>
      <c r="AF279" s="2">
        <v>45518</v>
      </c>
      <c r="AG279" s="2">
        <v>46020</v>
      </c>
      <c r="AH279" s="1">
        <v>6244.63</v>
      </c>
      <c r="AI279" s="1">
        <v>13841.12</v>
      </c>
      <c r="AJ279" s="1">
        <v>68691.03</v>
      </c>
      <c r="AK279">
        <v>0</v>
      </c>
      <c r="AL279">
        <v>0</v>
      </c>
      <c r="AM279">
        <v>0</v>
      </c>
      <c r="AN279" t="s">
        <v>135</v>
      </c>
      <c r="AO279" t="s">
        <v>135</v>
      </c>
      <c r="AP279" t="s">
        <v>136</v>
      </c>
      <c r="AQ279" t="s">
        <v>137</v>
      </c>
      <c r="AR279" t="s">
        <v>138</v>
      </c>
      <c r="AS279" t="s">
        <v>150</v>
      </c>
      <c r="AT279" t="s">
        <v>140</v>
      </c>
      <c r="AU279">
        <v>501</v>
      </c>
      <c r="AV279">
        <v>10</v>
      </c>
      <c r="AW279">
        <v>1</v>
      </c>
      <c r="AX279" s="2">
        <v>45854</v>
      </c>
      <c r="AY279" t="s">
        <v>168</v>
      </c>
      <c r="AZ279" s="2">
        <v>46022</v>
      </c>
      <c r="BA279">
        <v>0</v>
      </c>
      <c r="BB279">
        <v>0</v>
      </c>
      <c r="BC279">
        <v>0</v>
      </c>
      <c r="BD279">
        <v>700</v>
      </c>
      <c r="BE279">
        <v>70</v>
      </c>
      <c r="BF279">
        <v>9</v>
      </c>
      <c r="BG279" s="2">
        <v>45536</v>
      </c>
      <c r="BH279" t="s">
        <v>142</v>
      </c>
      <c r="BI279" s="2">
        <v>46026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s="1">
        <v>30754.23</v>
      </c>
      <c r="BQ279" s="1">
        <v>30754.23</v>
      </c>
      <c r="BR279">
        <v>0</v>
      </c>
      <c r="BS279">
        <v>0</v>
      </c>
      <c r="BT279">
        <v>0</v>
      </c>
      <c r="BU279">
        <v>0</v>
      </c>
      <c r="BV279" s="1">
        <v>25722.1</v>
      </c>
      <c r="BW279" s="1">
        <v>25722.1</v>
      </c>
      <c r="BX279">
        <v>0</v>
      </c>
      <c r="BY279">
        <v>0</v>
      </c>
      <c r="BZ279">
        <v>0</v>
      </c>
      <c r="CA279">
        <v>0</v>
      </c>
      <c r="CB279" s="1">
        <v>23564.26</v>
      </c>
      <c r="CC279" t="s">
        <v>143</v>
      </c>
    </row>
    <row r="280" spans="1:81" x14ac:dyDescent="0.25">
      <c r="A280">
        <v>345</v>
      </c>
      <c r="B280">
        <v>2</v>
      </c>
      <c r="C280">
        <v>469</v>
      </c>
      <c r="D280" t="s">
        <v>1651</v>
      </c>
      <c r="E280" t="s">
        <v>121</v>
      </c>
      <c r="F280" t="s">
        <v>1652</v>
      </c>
      <c r="G280" t="s">
        <v>1653</v>
      </c>
      <c r="H280" t="s">
        <v>1654</v>
      </c>
      <c r="I280" t="s">
        <v>1655</v>
      </c>
      <c r="J280" t="s">
        <v>992</v>
      </c>
      <c r="K280" t="s">
        <v>466</v>
      </c>
      <c r="L280" t="s">
        <v>128</v>
      </c>
      <c r="M280" t="s">
        <v>467</v>
      </c>
      <c r="N280" t="s">
        <v>1656</v>
      </c>
      <c r="O280" t="s">
        <v>131</v>
      </c>
      <c r="P280">
        <v>0</v>
      </c>
      <c r="Q280" t="s">
        <v>125</v>
      </c>
      <c r="R280">
        <v>6</v>
      </c>
      <c r="S280">
        <v>46</v>
      </c>
      <c r="T280" t="s">
        <v>132</v>
      </c>
      <c r="U280" t="s">
        <v>133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134</v>
      </c>
      <c r="AE280" t="s">
        <v>134</v>
      </c>
      <c r="AF280" s="2">
        <v>45518</v>
      </c>
      <c r="AG280" s="2">
        <v>45996</v>
      </c>
      <c r="AH280">
        <v>158.59</v>
      </c>
      <c r="AI280">
        <v>226.81</v>
      </c>
      <c r="AJ280">
        <v>951.56</v>
      </c>
      <c r="AK280">
        <v>0</v>
      </c>
      <c r="AL280">
        <v>0</v>
      </c>
      <c r="AM280">
        <v>0</v>
      </c>
      <c r="AN280" t="s">
        <v>135</v>
      </c>
      <c r="AO280" t="s">
        <v>135</v>
      </c>
      <c r="AP280" t="s">
        <v>136</v>
      </c>
      <c r="AQ280" t="s">
        <v>137</v>
      </c>
      <c r="AR280" t="s">
        <v>138</v>
      </c>
      <c r="AS280" t="s">
        <v>150</v>
      </c>
      <c r="AT280" t="s">
        <v>140</v>
      </c>
      <c r="AU280">
        <v>100</v>
      </c>
      <c r="AV280">
        <v>10</v>
      </c>
      <c r="AW280">
        <v>1</v>
      </c>
      <c r="AX280" s="2">
        <v>45848</v>
      </c>
      <c r="AY280" t="s">
        <v>308</v>
      </c>
      <c r="AZ280" s="2">
        <v>46023</v>
      </c>
      <c r="BA280">
        <v>0</v>
      </c>
      <c r="BB280">
        <v>0</v>
      </c>
      <c r="BC280">
        <v>0</v>
      </c>
      <c r="BD280">
        <v>700</v>
      </c>
      <c r="BE280">
        <v>70</v>
      </c>
      <c r="BF280">
        <v>9</v>
      </c>
      <c r="BG280" s="2">
        <v>45536</v>
      </c>
      <c r="BH280" t="s">
        <v>142</v>
      </c>
      <c r="BI280" s="2">
        <v>46026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186.44</v>
      </c>
      <c r="BQ280">
        <v>186.44</v>
      </c>
      <c r="BR280">
        <v>0</v>
      </c>
      <c r="BS280">
        <v>0</v>
      </c>
      <c r="BT280">
        <v>0</v>
      </c>
      <c r="BU280">
        <v>0</v>
      </c>
      <c r="BV280">
        <v>222.18</v>
      </c>
      <c r="BW280">
        <v>222.18</v>
      </c>
      <c r="BX280">
        <v>0</v>
      </c>
      <c r="BY280">
        <v>0</v>
      </c>
      <c r="BZ280">
        <v>0</v>
      </c>
      <c r="CA280">
        <v>0</v>
      </c>
      <c r="CB280">
        <v>318.67</v>
      </c>
      <c r="CC280" t="s">
        <v>143</v>
      </c>
    </row>
    <row r="281" spans="1:81" x14ac:dyDescent="0.25">
      <c r="A281">
        <v>345</v>
      </c>
      <c r="B281">
        <v>2</v>
      </c>
      <c r="C281">
        <v>472</v>
      </c>
      <c r="D281" t="s">
        <v>1657</v>
      </c>
      <c r="E281" t="s">
        <v>121</v>
      </c>
      <c r="F281" t="s">
        <v>1658</v>
      </c>
      <c r="G281" t="s">
        <v>1659</v>
      </c>
      <c r="H281" t="s">
        <v>764</v>
      </c>
      <c r="I281" t="s">
        <v>125</v>
      </c>
      <c r="J281" t="s">
        <v>126</v>
      </c>
      <c r="K281" t="s">
        <v>466</v>
      </c>
      <c r="L281" t="s">
        <v>128</v>
      </c>
      <c r="M281" t="s">
        <v>467</v>
      </c>
      <c r="N281" t="s">
        <v>1660</v>
      </c>
      <c r="O281" t="s">
        <v>149</v>
      </c>
      <c r="P281">
        <v>0</v>
      </c>
      <c r="Q281" t="s">
        <v>125</v>
      </c>
      <c r="R281">
        <v>3</v>
      </c>
      <c r="S281">
        <v>88</v>
      </c>
      <c r="T281" t="s">
        <v>132</v>
      </c>
      <c r="U281" t="s">
        <v>133</v>
      </c>
      <c r="V281" s="1">
        <v>45700</v>
      </c>
      <c r="W281" s="1">
        <v>5413.5</v>
      </c>
      <c r="X281" s="1">
        <v>40286.5</v>
      </c>
      <c r="Y281">
        <v>2</v>
      </c>
      <c r="Z281">
        <v>0</v>
      </c>
      <c r="AA281">
        <v>4</v>
      </c>
      <c r="AB281">
        <v>0</v>
      </c>
      <c r="AC281">
        <v>4</v>
      </c>
      <c r="AD281" t="s">
        <v>134</v>
      </c>
      <c r="AE281" t="s">
        <v>134</v>
      </c>
      <c r="AF281" s="2">
        <v>45518</v>
      </c>
      <c r="AG281" s="2">
        <v>46020</v>
      </c>
      <c r="AH281" s="1">
        <v>4733.6899999999996</v>
      </c>
      <c r="AI281" s="1">
        <v>10142.85</v>
      </c>
      <c r="AJ281" s="1">
        <v>108875.01</v>
      </c>
      <c r="AK281">
        <v>0</v>
      </c>
      <c r="AL281" s="1">
        <v>5413.5</v>
      </c>
      <c r="AM281">
        <v>0</v>
      </c>
      <c r="AN281" t="s">
        <v>135</v>
      </c>
      <c r="AO281" t="s">
        <v>135</v>
      </c>
      <c r="AP281" t="s">
        <v>136</v>
      </c>
      <c r="AQ281" t="s">
        <v>137</v>
      </c>
      <c r="AR281" t="s">
        <v>138</v>
      </c>
      <c r="AS281" t="s">
        <v>150</v>
      </c>
      <c r="AT281" t="s">
        <v>140</v>
      </c>
      <c r="AU281">
        <v>501</v>
      </c>
      <c r="AV281">
        <v>10</v>
      </c>
      <c r="AW281">
        <v>1</v>
      </c>
      <c r="AX281" s="2">
        <v>45854</v>
      </c>
      <c r="AY281" t="s">
        <v>168</v>
      </c>
      <c r="AZ281" s="2">
        <v>46022</v>
      </c>
      <c r="BA281">
        <v>0</v>
      </c>
      <c r="BB281">
        <v>0</v>
      </c>
      <c r="BC281">
        <v>0</v>
      </c>
      <c r="BD281">
        <v>700</v>
      </c>
      <c r="BE281">
        <v>70</v>
      </c>
      <c r="BF281">
        <v>9</v>
      </c>
      <c r="BG281" s="2">
        <v>45536</v>
      </c>
      <c r="BH281" t="s">
        <v>142</v>
      </c>
      <c r="BI281" s="2">
        <v>46026</v>
      </c>
      <c r="BJ281">
        <v>0</v>
      </c>
      <c r="BK281">
        <v>0</v>
      </c>
      <c r="BL281">
        <v>0</v>
      </c>
      <c r="BM281">
        <v>2.82</v>
      </c>
      <c r="BN281">
        <v>2.82</v>
      </c>
      <c r="BO281" s="1">
        <v>27377.96</v>
      </c>
      <c r="BP281">
        <v>0</v>
      </c>
      <c r="BQ281" s="1">
        <v>27377.96</v>
      </c>
      <c r="BR281">
        <v>0</v>
      </c>
      <c r="BS281">
        <v>2.59</v>
      </c>
      <c r="BT281">
        <v>2.59</v>
      </c>
      <c r="BU281" s="1">
        <v>51829.97</v>
      </c>
      <c r="BV281">
        <v>0</v>
      </c>
      <c r="BW281" s="1">
        <v>51829.97</v>
      </c>
      <c r="BX281">
        <v>0</v>
      </c>
      <c r="BY281">
        <v>0</v>
      </c>
      <c r="BZ281">
        <v>0</v>
      </c>
      <c r="CA281">
        <v>0</v>
      </c>
      <c r="CB281" s="1">
        <v>27192.65</v>
      </c>
      <c r="CC281" t="s">
        <v>152</v>
      </c>
    </row>
    <row r="282" spans="1:81" x14ac:dyDescent="0.25">
      <c r="A282">
        <v>345</v>
      </c>
      <c r="B282">
        <v>2</v>
      </c>
      <c r="C282">
        <v>474</v>
      </c>
      <c r="D282" t="s">
        <v>1661</v>
      </c>
      <c r="E282" t="s">
        <v>121</v>
      </c>
      <c r="F282" t="s">
        <v>1662</v>
      </c>
      <c r="G282" t="s">
        <v>1663</v>
      </c>
      <c r="H282" t="s">
        <v>1664</v>
      </c>
      <c r="I282" t="s">
        <v>125</v>
      </c>
      <c r="J282" t="s">
        <v>126</v>
      </c>
      <c r="K282" t="s">
        <v>336</v>
      </c>
      <c r="L282" t="s">
        <v>128</v>
      </c>
      <c r="M282" t="s">
        <v>337</v>
      </c>
      <c r="N282" t="s">
        <v>1665</v>
      </c>
      <c r="O282" t="s">
        <v>131</v>
      </c>
      <c r="P282">
        <v>0</v>
      </c>
      <c r="Q282" t="s">
        <v>125</v>
      </c>
      <c r="R282">
        <v>6</v>
      </c>
      <c r="S282">
        <v>39</v>
      </c>
      <c r="T282" t="s">
        <v>132</v>
      </c>
      <c r="U282" t="s">
        <v>133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134</v>
      </c>
      <c r="AE282" t="s">
        <v>134</v>
      </c>
      <c r="AF282" s="2">
        <v>45518</v>
      </c>
      <c r="AG282" s="2">
        <v>46003</v>
      </c>
      <c r="AH282">
        <v>300.95</v>
      </c>
      <c r="AI282">
        <v>557.05999999999995</v>
      </c>
      <c r="AJ282" s="1">
        <v>1504.76</v>
      </c>
      <c r="AK282">
        <v>0</v>
      </c>
      <c r="AL282">
        <v>0</v>
      </c>
      <c r="AM282">
        <v>0</v>
      </c>
      <c r="AN282" t="s">
        <v>135</v>
      </c>
      <c r="AO282" t="s">
        <v>135</v>
      </c>
      <c r="AP282" t="s">
        <v>136</v>
      </c>
      <c r="AQ282" t="s">
        <v>137</v>
      </c>
      <c r="AR282" t="s">
        <v>138</v>
      </c>
      <c r="AS282" t="s">
        <v>139</v>
      </c>
      <c r="AT282" t="s">
        <v>140</v>
      </c>
      <c r="AU282">
        <v>101</v>
      </c>
      <c r="AV282">
        <v>10</v>
      </c>
      <c r="AW282">
        <v>1</v>
      </c>
      <c r="AX282" s="2">
        <v>45813</v>
      </c>
      <c r="AY282" t="s">
        <v>308</v>
      </c>
      <c r="AZ282" s="2">
        <v>46023</v>
      </c>
      <c r="BA282">
        <v>0</v>
      </c>
      <c r="BB282">
        <v>0</v>
      </c>
      <c r="BC282">
        <v>0</v>
      </c>
      <c r="BD282">
        <v>700</v>
      </c>
      <c r="BE282">
        <v>70</v>
      </c>
      <c r="BF282">
        <v>9</v>
      </c>
      <c r="BG282" s="2">
        <v>45536</v>
      </c>
      <c r="BH282" t="s">
        <v>142</v>
      </c>
      <c r="BI282" s="2">
        <v>46026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708.04</v>
      </c>
      <c r="BQ282">
        <v>708.04</v>
      </c>
      <c r="BR282">
        <v>0</v>
      </c>
      <c r="BS282">
        <v>0</v>
      </c>
      <c r="BT282">
        <v>0</v>
      </c>
      <c r="BU282">
        <v>0</v>
      </c>
      <c r="BV282">
        <v>99.17</v>
      </c>
      <c r="BW282">
        <v>99.17</v>
      </c>
      <c r="BX282">
        <v>0</v>
      </c>
      <c r="BY282">
        <v>0</v>
      </c>
      <c r="BZ282">
        <v>0</v>
      </c>
      <c r="CA282">
        <v>0</v>
      </c>
      <c r="CB282" s="1">
        <v>1242.0999999999999</v>
      </c>
      <c r="CC282" t="s">
        <v>143</v>
      </c>
    </row>
    <row r="283" spans="1:81" x14ac:dyDescent="0.25">
      <c r="A283">
        <v>345</v>
      </c>
      <c r="B283">
        <v>2</v>
      </c>
      <c r="C283">
        <v>475</v>
      </c>
      <c r="D283" t="s">
        <v>1666</v>
      </c>
      <c r="E283" t="s">
        <v>121</v>
      </c>
      <c r="F283" t="s">
        <v>1667</v>
      </c>
      <c r="G283" t="s">
        <v>1668</v>
      </c>
      <c r="H283" t="s">
        <v>1669</v>
      </c>
      <c r="I283" t="s">
        <v>1670</v>
      </c>
      <c r="J283" t="s">
        <v>1671</v>
      </c>
      <c r="K283" t="s">
        <v>466</v>
      </c>
      <c r="L283" t="s">
        <v>128</v>
      </c>
      <c r="M283" t="s">
        <v>467</v>
      </c>
      <c r="N283" t="s">
        <v>1672</v>
      </c>
      <c r="O283" t="s">
        <v>167</v>
      </c>
      <c r="P283">
        <v>0</v>
      </c>
      <c r="Q283" t="s">
        <v>125</v>
      </c>
      <c r="R283">
        <v>6</v>
      </c>
      <c r="S283">
        <v>36</v>
      </c>
      <c r="T283" t="s">
        <v>132</v>
      </c>
      <c r="U283" t="s">
        <v>133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234</v>
      </c>
      <c r="AE283" t="s">
        <v>134</v>
      </c>
      <c r="AF283" s="2">
        <v>45518</v>
      </c>
      <c r="AG283" s="2">
        <v>46021</v>
      </c>
      <c r="AH283">
        <v>623.27</v>
      </c>
      <c r="AI283" s="1">
        <v>1044.0999999999999</v>
      </c>
      <c r="AJ283" s="1">
        <v>5609.48</v>
      </c>
      <c r="AK283">
        <v>0</v>
      </c>
      <c r="AL283">
        <v>0</v>
      </c>
      <c r="AM283">
        <v>0</v>
      </c>
      <c r="AN283" t="s">
        <v>135</v>
      </c>
      <c r="AO283" t="s">
        <v>135</v>
      </c>
      <c r="AP283" t="s">
        <v>136</v>
      </c>
      <c r="AQ283" t="s">
        <v>137</v>
      </c>
      <c r="AR283" t="s">
        <v>138</v>
      </c>
      <c r="AS283" t="s">
        <v>139</v>
      </c>
      <c r="AT283" t="s">
        <v>140</v>
      </c>
      <c r="AU283">
        <v>105</v>
      </c>
      <c r="AV283">
        <v>10</v>
      </c>
      <c r="AW283">
        <v>1</v>
      </c>
      <c r="AX283" s="2">
        <v>45841</v>
      </c>
      <c r="AY283" t="s">
        <v>308</v>
      </c>
      <c r="AZ283" s="2">
        <v>46023</v>
      </c>
      <c r="BA283">
        <v>0</v>
      </c>
      <c r="BB283">
        <v>0</v>
      </c>
      <c r="BC283">
        <v>0</v>
      </c>
      <c r="BD283">
        <v>700</v>
      </c>
      <c r="BE283">
        <v>70</v>
      </c>
      <c r="BF283">
        <v>9</v>
      </c>
      <c r="BG283" s="2">
        <v>45536</v>
      </c>
      <c r="BH283" t="s">
        <v>142</v>
      </c>
      <c r="BI283" s="2">
        <v>46026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s="1">
        <v>2422.5300000000002</v>
      </c>
      <c r="BQ283" s="1">
        <v>2422.5300000000002</v>
      </c>
      <c r="BR283">
        <v>0</v>
      </c>
      <c r="BS283">
        <v>0</v>
      </c>
      <c r="BT283">
        <v>0</v>
      </c>
      <c r="BU283">
        <v>0</v>
      </c>
      <c r="BV283" s="1">
        <v>2477.4699999999998</v>
      </c>
      <c r="BW283" s="1">
        <v>2477.4699999999998</v>
      </c>
      <c r="BX283">
        <v>0</v>
      </c>
      <c r="BY283">
        <v>0</v>
      </c>
      <c r="BZ283">
        <v>0</v>
      </c>
      <c r="CA283">
        <v>0</v>
      </c>
      <c r="CB283" s="1">
        <v>1159.93</v>
      </c>
      <c r="CC283" t="s">
        <v>161</v>
      </c>
    </row>
    <row r="284" spans="1:81" x14ac:dyDescent="0.25">
      <c r="A284">
        <v>345</v>
      </c>
      <c r="B284">
        <v>2</v>
      </c>
      <c r="C284">
        <v>477</v>
      </c>
      <c r="D284" t="s">
        <v>1673</v>
      </c>
      <c r="E284" t="s">
        <v>121</v>
      </c>
      <c r="F284" t="s">
        <v>1674</v>
      </c>
      <c r="G284" t="s">
        <v>1675</v>
      </c>
      <c r="H284" t="s">
        <v>1676</v>
      </c>
      <c r="I284" t="s">
        <v>125</v>
      </c>
      <c r="J284" t="s">
        <v>1671</v>
      </c>
      <c r="K284" t="s">
        <v>466</v>
      </c>
      <c r="L284" t="s">
        <v>128</v>
      </c>
      <c r="M284" t="s">
        <v>467</v>
      </c>
      <c r="N284" t="s">
        <v>1677</v>
      </c>
      <c r="O284" t="s">
        <v>167</v>
      </c>
      <c r="P284">
        <v>0</v>
      </c>
      <c r="Q284" t="s">
        <v>125</v>
      </c>
      <c r="R284">
        <v>6</v>
      </c>
      <c r="S284">
        <v>36</v>
      </c>
      <c r="T284" t="s">
        <v>132</v>
      </c>
      <c r="U284" t="s">
        <v>133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134</v>
      </c>
      <c r="AE284" t="s">
        <v>134</v>
      </c>
      <c r="AF284" s="2">
        <v>45518</v>
      </c>
      <c r="AG284" s="2">
        <v>46020</v>
      </c>
      <c r="AH284" s="1">
        <v>1096.46</v>
      </c>
      <c r="AI284" s="1">
        <v>1665.1</v>
      </c>
      <c r="AJ284" s="1">
        <v>13157.58</v>
      </c>
      <c r="AK284">
        <v>0</v>
      </c>
      <c r="AL284">
        <v>0</v>
      </c>
      <c r="AM284">
        <v>0</v>
      </c>
      <c r="AN284" t="s">
        <v>135</v>
      </c>
      <c r="AO284" t="s">
        <v>135</v>
      </c>
      <c r="AP284" t="s">
        <v>136</v>
      </c>
      <c r="AQ284" t="s">
        <v>137</v>
      </c>
      <c r="AR284" t="s">
        <v>138</v>
      </c>
      <c r="AS284" t="s">
        <v>139</v>
      </c>
      <c r="AT284" t="s">
        <v>140</v>
      </c>
      <c r="AU284">
        <v>105</v>
      </c>
      <c r="AV284">
        <v>10</v>
      </c>
      <c r="AW284">
        <v>1</v>
      </c>
      <c r="AX284" s="2">
        <v>45843</v>
      </c>
      <c r="AY284" t="s">
        <v>160</v>
      </c>
      <c r="AZ284" s="2">
        <v>46025</v>
      </c>
      <c r="BA284">
        <v>0</v>
      </c>
      <c r="BB284">
        <v>0</v>
      </c>
      <c r="BC284">
        <v>0</v>
      </c>
      <c r="BD284">
        <v>700</v>
      </c>
      <c r="BE284">
        <v>70</v>
      </c>
      <c r="BF284">
        <v>9</v>
      </c>
      <c r="BG284" s="2">
        <v>45536</v>
      </c>
      <c r="BH284" t="s">
        <v>142</v>
      </c>
      <c r="BI284" s="2">
        <v>46026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s="1">
        <v>3669.19</v>
      </c>
      <c r="BQ284" s="1">
        <v>3669.19</v>
      </c>
      <c r="BR284">
        <v>0</v>
      </c>
      <c r="BS284">
        <v>0</v>
      </c>
      <c r="BT284">
        <v>0</v>
      </c>
      <c r="BU284">
        <v>0</v>
      </c>
      <c r="BV284" s="1">
        <v>6378.39</v>
      </c>
      <c r="BW284" s="1">
        <v>6378.39</v>
      </c>
      <c r="BX284">
        <v>0</v>
      </c>
      <c r="BY284">
        <v>0</v>
      </c>
      <c r="BZ284">
        <v>0</v>
      </c>
      <c r="CA284">
        <v>0</v>
      </c>
      <c r="CB284" s="1">
        <v>3578.9</v>
      </c>
      <c r="CC284" t="s">
        <v>297</v>
      </c>
    </row>
    <row r="285" spans="1:81" x14ac:dyDescent="0.25">
      <c r="A285">
        <v>345</v>
      </c>
      <c r="B285">
        <v>2</v>
      </c>
      <c r="C285">
        <v>478</v>
      </c>
      <c r="D285" t="s">
        <v>1678</v>
      </c>
      <c r="E285" t="s">
        <v>121</v>
      </c>
      <c r="F285" t="s">
        <v>1679</v>
      </c>
      <c r="G285" t="s">
        <v>1680</v>
      </c>
      <c r="H285" t="s">
        <v>1681</v>
      </c>
      <c r="I285" t="s">
        <v>1682</v>
      </c>
      <c r="J285" t="s">
        <v>126</v>
      </c>
      <c r="K285" t="s">
        <v>473</v>
      </c>
      <c r="L285" t="s">
        <v>128</v>
      </c>
      <c r="M285" t="s">
        <v>474</v>
      </c>
      <c r="N285" t="s">
        <v>1683</v>
      </c>
      <c r="O285" t="s">
        <v>131</v>
      </c>
      <c r="P285">
        <v>0</v>
      </c>
      <c r="Q285" t="s">
        <v>125</v>
      </c>
      <c r="R285">
        <v>6</v>
      </c>
      <c r="S285">
        <v>40</v>
      </c>
      <c r="T285" t="s">
        <v>132</v>
      </c>
      <c r="U285" t="s">
        <v>133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134</v>
      </c>
      <c r="AE285" t="s">
        <v>134</v>
      </c>
      <c r="AF285" s="2">
        <v>45518</v>
      </c>
      <c r="AG285" s="2">
        <v>46018</v>
      </c>
      <c r="AH285">
        <v>504.35</v>
      </c>
      <c r="AI285" s="1">
        <v>1089.3</v>
      </c>
      <c r="AJ285" s="1">
        <v>4539.22</v>
      </c>
      <c r="AK285">
        <v>0</v>
      </c>
      <c r="AL285">
        <v>0</v>
      </c>
      <c r="AM285">
        <v>0</v>
      </c>
      <c r="AN285" t="s">
        <v>135</v>
      </c>
      <c r="AO285" t="s">
        <v>135</v>
      </c>
      <c r="AP285" t="s">
        <v>136</v>
      </c>
      <c r="AQ285" t="s">
        <v>137</v>
      </c>
      <c r="AR285" t="s">
        <v>138</v>
      </c>
      <c r="AS285" t="s">
        <v>139</v>
      </c>
      <c r="AT285" t="s">
        <v>140</v>
      </c>
      <c r="AU285">
        <v>105</v>
      </c>
      <c r="AV285">
        <v>10</v>
      </c>
      <c r="AW285">
        <v>1</v>
      </c>
      <c r="AX285" s="2">
        <v>45532</v>
      </c>
      <c r="AY285" t="s">
        <v>168</v>
      </c>
      <c r="AZ285" s="2">
        <v>46022</v>
      </c>
      <c r="BA285">
        <v>0</v>
      </c>
      <c r="BB285">
        <v>0</v>
      </c>
      <c r="BC285">
        <v>0</v>
      </c>
      <c r="BD285">
        <v>700</v>
      </c>
      <c r="BE285">
        <v>70</v>
      </c>
      <c r="BF285">
        <v>9</v>
      </c>
      <c r="BG285" s="2">
        <v>45536</v>
      </c>
      <c r="BH285" t="s">
        <v>142</v>
      </c>
      <c r="BI285" s="2">
        <v>46026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s="1">
        <v>1683.9</v>
      </c>
      <c r="BQ285" s="1">
        <v>1683.9</v>
      </c>
      <c r="BR285">
        <v>0</v>
      </c>
      <c r="BS285">
        <v>0</v>
      </c>
      <c r="BT285">
        <v>0</v>
      </c>
      <c r="BU285">
        <v>0</v>
      </c>
      <c r="BV285" s="1">
        <v>1199.9100000000001</v>
      </c>
      <c r="BW285" s="1">
        <v>1199.9100000000001</v>
      </c>
      <c r="BX285">
        <v>0</v>
      </c>
      <c r="BY285">
        <v>0</v>
      </c>
      <c r="BZ285">
        <v>0</v>
      </c>
      <c r="CA285">
        <v>0</v>
      </c>
      <c r="CB285" s="1">
        <v>1916.51</v>
      </c>
      <c r="CC285" t="s">
        <v>143</v>
      </c>
    </row>
    <row r="286" spans="1:81" x14ac:dyDescent="0.25">
      <c r="A286">
        <v>345</v>
      </c>
      <c r="B286">
        <v>2</v>
      </c>
      <c r="C286">
        <v>479</v>
      </c>
      <c r="D286" t="s">
        <v>1684</v>
      </c>
      <c r="E286" t="s">
        <v>121</v>
      </c>
      <c r="F286" t="s">
        <v>1685</v>
      </c>
      <c r="G286" t="s">
        <v>1686</v>
      </c>
      <c r="H286" t="s">
        <v>1687</v>
      </c>
      <c r="I286" t="s">
        <v>1688</v>
      </c>
      <c r="J286" t="s">
        <v>126</v>
      </c>
      <c r="K286" t="s">
        <v>473</v>
      </c>
      <c r="L286" t="s">
        <v>128</v>
      </c>
      <c r="M286" t="s">
        <v>474</v>
      </c>
      <c r="N286" t="s">
        <v>1689</v>
      </c>
      <c r="O286" t="s">
        <v>619</v>
      </c>
      <c r="P286">
        <v>0</v>
      </c>
      <c r="Q286" t="s">
        <v>125</v>
      </c>
      <c r="R286">
        <v>6</v>
      </c>
      <c r="S286">
        <v>40</v>
      </c>
      <c r="T286" t="s">
        <v>132</v>
      </c>
      <c r="U286" t="s">
        <v>133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134</v>
      </c>
      <c r="AE286" t="s">
        <v>134</v>
      </c>
      <c r="AF286" s="2">
        <v>45518</v>
      </c>
      <c r="AG286" s="2">
        <v>46019</v>
      </c>
      <c r="AH286" s="1">
        <v>2638.95</v>
      </c>
      <c r="AI286" s="1">
        <v>4100.5</v>
      </c>
      <c r="AJ286" s="1">
        <v>36945.33</v>
      </c>
      <c r="AK286">
        <v>0</v>
      </c>
      <c r="AL286">
        <v>0</v>
      </c>
      <c r="AM286">
        <v>0</v>
      </c>
      <c r="AN286" t="s">
        <v>135</v>
      </c>
      <c r="AO286" t="s">
        <v>135</v>
      </c>
      <c r="AP286" t="s">
        <v>136</v>
      </c>
      <c r="AQ286" t="s">
        <v>137</v>
      </c>
      <c r="AR286" t="s">
        <v>138</v>
      </c>
      <c r="AS286" t="s">
        <v>139</v>
      </c>
      <c r="AT286" t="s">
        <v>140</v>
      </c>
      <c r="AU286">
        <v>501</v>
      </c>
      <c r="AV286">
        <v>10</v>
      </c>
      <c r="AW286">
        <v>1</v>
      </c>
      <c r="AX286" s="2">
        <v>45815</v>
      </c>
      <c r="AY286" t="s">
        <v>160</v>
      </c>
      <c r="AZ286" s="2">
        <v>46025</v>
      </c>
      <c r="BA286">
        <v>0</v>
      </c>
      <c r="BB286">
        <v>0</v>
      </c>
      <c r="BC286">
        <v>0</v>
      </c>
      <c r="BD286">
        <v>700</v>
      </c>
      <c r="BE286">
        <v>70</v>
      </c>
      <c r="BF286">
        <v>9</v>
      </c>
      <c r="BG286" s="2">
        <v>45536</v>
      </c>
      <c r="BH286" t="s">
        <v>142</v>
      </c>
      <c r="BI286" s="2">
        <v>46026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 s="1">
        <v>10310.379999999999</v>
      </c>
      <c r="BQ286" s="1">
        <v>10310.379999999999</v>
      </c>
      <c r="BR286">
        <v>0</v>
      </c>
      <c r="BS286">
        <v>0</v>
      </c>
      <c r="BT286">
        <v>0</v>
      </c>
      <c r="BU286">
        <v>0</v>
      </c>
      <c r="BV286" s="1">
        <v>15830.41</v>
      </c>
      <c r="BW286" s="1">
        <v>15830.41</v>
      </c>
      <c r="BX286">
        <v>0</v>
      </c>
      <c r="BY286">
        <v>0</v>
      </c>
      <c r="BZ286">
        <v>0</v>
      </c>
      <c r="CA286">
        <v>0</v>
      </c>
      <c r="CB286" s="1">
        <v>10831.13</v>
      </c>
      <c r="CC286" t="s">
        <v>143</v>
      </c>
    </row>
    <row r="287" spans="1:81" x14ac:dyDescent="0.25">
      <c r="A287">
        <v>345</v>
      </c>
      <c r="B287">
        <v>2</v>
      </c>
      <c r="C287">
        <v>480</v>
      </c>
      <c r="D287" t="s">
        <v>1690</v>
      </c>
      <c r="E287" t="s">
        <v>121</v>
      </c>
      <c r="F287" t="s">
        <v>1691</v>
      </c>
      <c r="G287" t="s">
        <v>1692</v>
      </c>
      <c r="H287" t="s">
        <v>1693</v>
      </c>
      <c r="I287" t="s">
        <v>1694</v>
      </c>
      <c r="J287" t="s">
        <v>126</v>
      </c>
      <c r="K287" t="s">
        <v>473</v>
      </c>
      <c r="L287" t="s">
        <v>128</v>
      </c>
      <c r="M287" t="s">
        <v>474</v>
      </c>
      <c r="N287" t="s">
        <v>1695</v>
      </c>
      <c r="O287" t="s">
        <v>167</v>
      </c>
      <c r="P287">
        <v>0</v>
      </c>
      <c r="Q287" t="s">
        <v>125</v>
      </c>
      <c r="R287">
        <v>6</v>
      </c>
      <c r="S287">
        <v>35</v>
      </c>
      <c r="T287" t="s">
        <v>132</v>
      </c>
      <c r="U287" t="s">
        <v>133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134</v>
      </c>
      <c r="AE287" t="s">
        <v>134</v>
      </c>
      <c r="AF287" s="2">
        <v>45518</v>
      </c>
      <c r="AG287" s="2">
        <v>46008</v>
      </c>
      <c r="AH287">
        <v>865.26</v>
      </c>
      <c r="AI287" s="1">
        <v>1604.4</v>
      </c>
      <c r="AJ287" s="1">
        <v>5191.58</v>
      </c>
      <c r="AK287">
        <v>0</v>
      </c>
      <c r="AL287">
        <v>0</v>
      </c>
      <c r="AM287">
        <v>0</v>
      </c>
      <c r="AN287" t="s">
        <v>135</v>
      </c>
      <c r="AO287" t="s">
        <v>135</v>
      </c>
      <c r="AP287" t="s">
        <v>136</v>
      </c>
      <c r="AQ287" t="s">
        <v>137</v>
      </c>
      <c r="AR287" t="s">
        <v>138</v>
      </c>
      <c r="AS287" t="s">
        <v>139</v>
      </c>
      <c r="AT287" t="s">
        <v>140</v>
      </c>
      <c r="AU287">
        <v>105</v>
      </c>
      <c r="AV287">
        <v>10</v>
      </c>
      <c r="AW287">
        <v>1</v>
      </c>
      <c r="AX287" s="2">
        <v>45811</v>
      </c>
      <c r="AY287" t="s">
        <v>377</v>
      </c>
      <c r="AZ287" s="2">
        <v>46028</v>
      </c>
      <c r="BA287">
        <v>0</v>
      </c>
      <c r="BB287">
        <v>0</v>
      </c>
      <c r="BC287">
        <v>0</v>
      </c>
      <c r="BD287">
        <v>700</v>
      </c>
      <c r="BE287">
        <v>70</v>
      </c>
      <c r="BF287">
        <v>9</v>
      </c>
      <c r="BG287" s="2">
        <v>45536</v>
      </c>
      <c r="BH287" t="s">
        <v>142</v>
      </c>
      <c r="BI287" s="2">
        <v>46026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s="1">
        <v>2544.8000000000002</v>
      </c>
      <c r="BQ287" s="1">
        <v>2544.8000000000002</v>
      </c>
      <c r="BR287">
        <v>0</v>
      </c>
      <c r="BS287">
        <v>0</v>
      </c>
      <c r="BT287">
        <v>0</v>
      </c>
      <c r="BU287">
        <v>0</v>
      </c>
      <c r="BV287" s="1">
        <v>1655.98</v>
      </c>
      <c r="BW287" s="1">
        <v>1655.98</v>
      </c>
      <c r="BX287">
        <v>0</v>
      </c>
      <c r="BY287">
        <v>0</v>
      </c>
      <c r="BZ287">
        <v>0</v>
      </c>
      <c r="CA287">
        <v>0</v>
      </c>
      <c r="CB287" s="1">
        <v>1331.33</v>
      </c>
      <c r="CC287" t="s">
        <v>161</v>
      </c>
    </row>
    <row r="288" spans="1:81" x14ac:dyDescent="0.25">
      <c r="A288">
        <v>345</v>
      </c>
      <c r="B288">
        <v>2</v>
      </c>
      <c r="C288">
        <v>482</v>
      </c>
      <c r="D288" t="s">
        <v>1696</v>
      </c>
      <c r="E288" t="s">
        <v>121</v>
      </c>
      <c r="F288" t="s">
        <v>1697</v>
      </c>
      <c r="G288" t="s">
        <v>1698</v>
      </c>
      <c r="H288" t="s">
        <v>1699</v>
      </c>
      <c r="I288" t="s">
        <v>1700</v>
      </c>
      <c r="J288" t="s">
        <v>126</v>
      </c>
      <c r="K288" t="s">
        <v>473</v>
      </c>
      <c r="L288" t="s">
        <v>128</v>
      </c>
      <c r="M288" t="s">
        <v>474</v>
      </c>
      <c r="N288" t="s">
        <v>1701</v>
      </c>
      <c r="O288" t="s">
        <v>131</v>
      </c>
      <c r="P288">
        <v>0</v>
      </c>
      <c r="Q288" t="s">
        <v>125</v>
      </c>
      <c r="R288">
        <v>6</v>
      </c>
      <c r="S288">
        <v>39</v>
      </c>
      <c r="T288" t="s">
        <v>132</v>
      </c>
      <c r="U288" t="s">
        <v>133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134</v>
      </c>
      <c r="AE288" t="s">
        <v>134</v>
      </c>
      <c r="AF288" s="2">
        <v>45518</v>
      </c>
      <c r="AG288" s="2">
        <v>46002</v>
      </c>
      <c r="AH288">
        <v>132.54</v>
      </c>
      <c r="AI288">
        <v>190.44</v>
      </c>
      <c r="AJ288">
        <v>265.08999999999997</v>
      </c>
      <c r="AK288">
        <v>0</v>
      </c>
      <c r="AL288">
        <v>0</v>
      </c>
      <c r="AM288">
        <v>0</v>
      </c>
      <c r="AN288" t="s">
        <v>135</v>
      </c>
      <c r="AO288" t="s">
        <v>135</v>
      </c>
      <c r="AP288" t="s">
        <v>136</v>
      </c>
      <c r="AQ288" t="s">
        <v>137</v>
      </c>
      <c r="AR288" t="s">
        <v>138</v>
      </c>
      <c r="AS288" t="s">
        <v>139</v>
      </c>
      <c r="AT288" t="s">
        <v>140</v>
      </c>
      <c r="AU288">
        <v>105</v>
      </c>
      <c r="AV288">
        <v>10</v>
      </c>
      <c r="AW288">
        <v>1</v>
      </c>
      <c r="AX288" s="2">
        <v>45812</v>
      </c>
      <c r="AY288" t="s">
        <v>168</v>
      </c>
      <c r="AZ288" s="2">
        <v>46022</v>
      </c>
      <c r="BA288">
        <v>0</v>
      </c>
      <c r="BB288">
        <v>0</v>
      </c>
      <c r="BC288">
        <v>0</v>
      </c>
      <c r="BD288">
        <v>700</v>
      </c>
      <c r="BE288">
        <v>70</v>
      </c>
      <c r="BF288">
        <v>9</v>
      </c>
      <c r="BG288" s="2">
        <v>45536</v>
      </c>
      <c r="BH288" t="s">
        <v>142</v>
      </c>
      <c r="BI288" s="2">
        <v>46026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74.650000000000006</v>
      </c>
      <c r="BW288">
        <v>74.650000000000006</v>
      </c>
      <c r="BX288">
        <v>0</v>
      </c>
      <c r="BY288">
        <v>0</v>
      </c>
      <c r="BZ288">
        <v>0</v>
      </c>
      <c r="CA288">
        <v>0</v>
      </c>
      <c r="CB288">
        <v>63.48</v>
      </c>
      <c r="CC288" t="s">
        <v>143</v>
      </c>
    </row>
    <row r="289" spans="1:81" x14ac:dyDescent="0.25">
      <c r="A289">
        <v>345</v>
      </c>
      <c r="B289">
        <v>2</v>
      </c>
      <c r="C289">
        <v>483</v>
      </c>
      <c r="D289" t="s">
        <v>1702</v>
      </c>
      <c r="E289" t="s">
        <v>121</v>
      </c>
      <c r="F289" t="s">
        <v>1703</v>
      </c>
      <c r="G289" t="s">
        <v>1704</v>
      </c>
      <c r="H289" t="s">
        <v>1705</v>
      </c>
      <c r="I289" t="s">
        <v>125</v>
      </c>
      <c r="J289" t="s">
        <v>126</v>
      </c>
      <c r="K289" t="s">
        <v>336</v>
      </c>
      <c r="L289" t="s">
        <v>128</v>
      </c>
      <c r="M289" t="s">
        <v>337</v>
      </c>
      <c r="N289" t="s">
        <v>1706</v>
      </c>
      <c r="O289" t="s">
        <v>167</v>
      </c>
      <c r="P289">
        <v>0</v>
      </c>
      <c r="Q289" t="s">
        <v>125</v>
      </c>
      <c r="R289">
        <v>6</v>
      </c>
      <c r="S289">
        <v>41</v>
      </c>
      <c r="T289" t="s">
        <v>132</v>
      </c>
      <c r="U289" t="s">
        <v>133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134</v>
      </c>
      <c r="AE289" t="s">
        <v>134</v>
      </c>
      <c r="AF289" s="2">
        <v>45518</v>
      </c>
      <c r="AG289" s="2">
        <v>46015</v>
      </c>
      <c r="AH289">
        <v>839.32</v>
      </c>
      <c r="AI289" s="1">
        <v>1316.86</v>
      </c>
      <c r="AJ289" s="1">
        <v>10911.28</v>
      </c>
      <c r="AK289">
        <v>0</v>
      </c>
      <c r="AL289">
        <v>0</v>
      </c>
      <c r="AM289">
        <v>0</v>
      </c>
      <c r="AN289" t="s">
        <v>135</v>
      </c>
      <c r="AO289" t="s">
        <v>135</v>
      </c>
      <c r="AP289" t="s">
        <v>136</v>
      </c>
      <c r="AQ289" t="s">
        <v>137</v>
      </c>
      <c r="AR289" t="s">
        <v>138</v>
      </c>
      <c r="AS289" t="s">
        <v>150</v>
      </c>
      <c r="AT289" t="s">
        <v>140</v>
      </c>
      <c r="AU289">
        <v>501</v>
      </c>
      <c r="AV289">
        <v>10</v>
      </c>
      <c r="AW289">
        <v>1</v>
      </c>
      <c r="AX289" s="2">
        <v>45860</v>
      </c>
      <c r="AY289" t="s">
        <v>377</v>
      </c>
      <c r="AZ289" s="2">
        <v>46028</v>
      </c>
      <c r="BA289">
        <v>0</v>
      </c>
      <c r="BB289">
        <v>0</v>
      </c>
      <c r="BC289">
        <v>0</v>
      </c>
      <c r="BD289">
        <v>700</v>
      </c>
      <c r="BE289">
        <v>70</v>
      </c>
      <c r="BF289">
        <v>9</v>
      </c>
      <c r="BG289" s="2">
        <v>45536</v>
      </c>
      <c r="BH289" t="s">
        <v>142</v>
      </c>
      <c r="BI289" s="2">
        <v>46026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 s="1">
        <v>3452.34</v>
      </c>
      <c r="BQ289" s="1">
        <v>3452.34</v>
      </c>
      <c r="BR289">
        <v>0</v>
      </c>
      <c r="BS289">
        <v>0</v>
      </c>
      <c r="BT289">
        <v>0</v>
      </c>
      <c r="BU289">
        <v>0</v>
      </c>
      <c r="BV289" s="1">
        <v>4924.13</v>
      </c>
      <c r="BW289" s="1">
        <v>4924.13</v>
      </c>
      <c r="BX289">
        <v>0</v>
      </c>
      <c r="BY289">
        <v>0</v>
      </c>
      <c r="BZ289">
        <v>0</v>
      </c>
      <c r="CA289">
        <v>0</v>
      </c>
      <c r="CB289" s="1">
        <v>2547.4699999999998</v>
      </c>
      <c r="CC289" t="s">
        <v>161</v>
      </c>
    </row>
    <row r="290" spans="1:81" x14ac:dyDescent="0.25">
      <c r="A290">
        <v>345</v>
      </c>
      <c r="B290">
        <v>2</v>
      </c>
      <c r="C290">
        <v>485</v>
      </c>
      <c r="D290" t="s">
        <v>1707</v>
      </c>
      <c r="E290" t="s">
        <v>121</v>
      </c>
      <c r="F290" t="s">
        <v>1708</v>
      </c>
      <c r="G290" t="s">
        <v>1709</v>
      </c>
      <c r="H290" t="s">
        <v>1710</v>
      </c>
      <c r="I290" t="s">
        <v>125</v>
      </c>
      <c r="J290" t="s">
        <v>1223</v>
      </c>
      <c r="K290" t="s">
        <v>466</v>
      </c>
      <c r="L290" t="s">
        <v>128</v>
      </c>
      <c r="M290" t="s">
        <v>467</v>
      </c>
      <c r="N290" t="s">
        <v>1711</v>
      </c>
      <c r="O290" t="s">
        <v>131</v>
      </c>
      <c r="P290">
        <v>0</v>
      </c>
      <c r="Q290" t="s">
        <v>125</v>
      </c>
      <c r="R290">
        <v>6</v>
      </c>
      <c r="S290">
        <v>41</v>
      </c>
      <c r="T290" t="s">
        <v>132</v>
      </c>
      <c r="U290" t="s">
        <v>133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134</v>
      </c>
      <c r="AE290" t="s">
        <v>134</v>
      </c>
      <c r="AF290" s="2">
        <v>45518</v>
      </c>
      <c r="AG290" s="2">
        <v>45996</v>
      </c>
      <c r="AH290">
        <v>219.15</v>
      </c>
      <c r="AI290">
        <v>449.9</v>
      </c>
      <c r="AJ290" s="1">
        <v>1095.75</v>
      </c>
      <c r="AK290">
        <v>0</v>
      </c>
      <c r="AL290">
        <v>0</v>
      </c>
      <c r="AM290">
        <v>0</v>
      </c>
      <c r="AN290" t="s">
        <v>135</v>
      </c>
      <c r="AO290" t="s">
        <v>135</v>
      </c>
      <c r="AP290" t="s">
        <v>136</v>
      </c>
      <c r="AQ290" t="s">
        <v>137</v>
      </c>
      <c r="AR290" t="s">
        <v>138</v>
      </c>
      <c r="AS290" t="s">
        <v>139</v>
      </c>
      <c r="AT290" t="s">
        <v>140</v>
      </c>
      <c r="AU290">
        <v>100</v>
      </c>
      <c r="AV290">
        <v>10</v>
      </c>
      <c r="AW290">
        <v>1</v>
      </c>
      <c r="AX290" s="2">
        <v>45848</v>
      </c>
      <c r="AY290" t="s">
        <v>308</v>
      </c>
      <c r="AZ290" s="2">
        <v>46023</v>
      </c>
      <c r="BA290">
        <v>0</v>
      </c>
      <c r="BB290">
        <v>0</v>
      </c>
      <c r="BC290">
        <v>0</v>
      </c>
      <c r="BD290">
        <v>700</v>
      </c>
      <c r="BE290">
        <v>70</v>
      </c>
      <c r="BF290">
        <v>9</v>
      </c>
      <c r="BG290" s="2">
        <v>45536</v>
      </c>
      <c r="BH290" t="s">
        <v>142</v>
      </c>
      <c r="BI290" s="2">
        <v>46026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522.96</v>
      </c>
      <c r="BQ290">
        <v>522.96</v>
      </c>
      <c r="BR290">
        <v>0</v>
      </c>
      <c r="BS290">
        <v>0</v>
      </c>
      <c r="BT290">
        <v>0</v>
      </c>
      <c r="BU290">
        <v>0</v>
      </c>
      <c r="BV290">
        <v>449.9</v>
      </c>
      <c r="BW290">
        <v>449.9</v>
      </c>
      <c r="BX290">
        <v>0</v>
      </c>
      <c r="BY290">
        <v>0</v>
      </c>
      <c r="BZ290">
        <v>0</v>
      </c>
      <c r="CA290">
        <v>0</v>
      </c>
      <c r="CB290">
        <v>278.67</v>
      </c>
      <c r="CC290" t="s">
        <v>143</v>
      </c>
    </row>
    <row r="291" spans="1:81" x14ac:dyDescent="0.25">
      <c r="A291">
        <v>345</v>
      </c>
      <c r="B291">
        <v>2</v>
      </c>
      <c r="C291">
        <v>488</v>
      </c>
      <c r="D291" t="s">
        <v>1712</v>
      </c>
      <c r="E291" t="s">
        <v>121</v>
      </c>
      <c r="F291" t="s">
        <v>1713</v>
      </c>
      <c r="G291" t="s">
        <v>1714</v>
      </c>
      <c r="H291" t="s">
        <v>1715</v>
      </c>
      <c r="I291" t="s">
        <v>1716</v>
      </c>
      <c r="J291" t="s">
        <v>825</v>
      </c>
      <c r="K291" t="s">
        <v>336</v>
      </c>
      <c r="L291" t="s">
        <v>128</v>
      </c>
      <c r="M291" t="s">
        <v>337</v>
      </c>
      <c r="N291" t="s">
        <v>1717</v>
      </c>
      <c r="O291" t="s">
        <v>131</v>
      </c>
      <c r="P291">
        <v>0</v>
      </c>
      <c r="Q291" t="s">
        <v>125</v>
      </c>
      <c r="R291">
        <v>6</v>
      </c>
      <c r="S291">
        <v>41</v>
      </c>
      <c r="T291" t="s">
        <v>132</v>
      </c>
      <c r="U291" t="s">
        <v>133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134</v>
      </c>
      <c r="AE291" t="s">
        <v>134</v>
      </c>
      <c r="AF291" s="2">
        <v>45518</v>
      </c>
      <c r="AG291" s="2">
        <v>46014</v>
      </c>
      <c r="AH291" s="1">
        <v>3431.16</v>
      </c>
      <c r="AI291" s="1">
        <v>6496.08</v>
      </c>
      <c r="AJ291" s="1">
        <v>41173.919999999998</v>
      </c>
      <c r="AK291">
        <v>0</v>
      </c>
      <c r="AL291" s="1">
        <v>6496.08</v>
      </c>
      <c r="AM291">
        <v>0</v>
      </c>
      <c r="AN291" t="s">
        <v>135</v>
      </c>
      <c r="AO291" t="s">
        <v>135</v>
      </c>
      <c r="AP291" t="s">
        <v>136</v>
      </c>
      <c r="AQ291" t="s">
        <v>137</v>
      </c>
      <c r="AR291" t="s">
        <v>138</v>
      </c>
      <c r="AS291" t="s">
        <v>139</v>
      </c>
      <c r="AT291" t="s">
        <v>140</v>
      </c>
      <c r="AU291">
        <v>501</v>
      </c>
      <c r="AV291">
        <v>10</v>
      </c>
      <c r="AW291">
        <v>1</v>
      </c>
      <c r="AX291" s="2">
        <v>45838</v>
      </c>
      <c r="AY291" t="s">
        <v>141</v>
      </c>
      <c r="AZ291" s="2">
        <v>46027</v>
      </c>
      <c r="BA291">
        <v>0</v>
      </c>
      <c r="BB291">
        <v>0</v>
      </c>
      <c r="BC291">
        <v>0</v>
      </c>
      <c r="BD291">
        <v>700</v>
      </c>
      <c r="BE291">
        <v>70</v>
      </c>
      <c r="BF291">
        <v>9</v>
      </c>
      <c r="BG291" s="2">
        <v>45536</v>
      </c>
      <c r="BH291" t="s">
        <v>142</v>
      </c>
      <c r="BI291" s="2">
        <v>46026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 s="1">
        <v>10224.790000000001</v>
      </c>
      <c r="BQ291" s="1">
        <v>10224.790000000001</v>
      </c>
      <c r="BR291">
        <v>0</v>
      </c>
      <c r="BS291">
        <v>0</v>
      </c>
      <c r="BT291">
        <v>0</v>
      </c>
      <c r="BU291">
        <v>0</v>
      </c>
      <c r="BV291" s="1">
        <v>22775.64</v>
      </c>
      <c r="BW291" s="1">
        <v>22775.64</v>
      </c>
      <c r="BX291">
        <v>0</v>
      </c>
      <c r="BY291">
        <v>0</v>
      </c>
      <c r="BZ291">
        <v>0</v>
      </c>
      <c r="CA291">
        <v>0</v>
      </c>
      <c r="CB291" s="1">
        <v>10464.530000000001</v>
      </c>
      <c r="CC291" t="s">
        <v>143</v>
      </c>
    </row>
    <row r="292" spans="1:81" x14ac:dyDescent="0.25">
      <c r="A292">
        <v>345</v>
      </c>
      <c r="B292">
        <v>2</v>
      </c>
      <c r="C292">
        <v>489</v>
      </c>
      <c r="D292" t="s">
        <v>1718</v>
      </c>
      <c r="E292" t="s">
        <v>121</v>
      </c>
      <c r="F292" t="s">
        <v>1719</v>
      </c>
      <c r="G292" t="s">
        <v>1720</v>
      </c>
      <c r="H292" t="s">
        <v>1721</v>
      </c>
      <c r="I292" t="s">
        <v>125</v>
      </c>
      <c r="J292" t="s">
        <v>600</v>
      </c>
      <c r="K292" t="s">
        <v>336</v>
      </c>
      <c r="L292" t="s">
        <v>128</v>
      </c>
      <c r="M292" t="s">
        <v>337</v>
      </c>
      <c r="N292" t="s">
        <v>1722</v>
      </c>
      <c r="O292" t="s">
        <v>131</v>
      </c>
      <c r="P292">
        <v>0</v>
      </c>
      <c r="Q292" t="s">
        <v>125</v>
      </c>
      <c r="R292">
        <v>6</v>
      </c>
      <c r="S292">
        <v>42</v>
      </c>
      <c r="T292" t="s">
        <v>132</v>
      </c>
      <c r="U292" t="s">
        <v>133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134</v>
      </c>
      <c r="AE292" t="s">
        <v>134</v>
      </c>
      <c r="AF292" s="2">
        <v>45518</v>
      </c>
      <c r="AG292" s="2">
        <v>46019</v>
      </c>
      <c r="AH292" s="1">
        <v>1336.22</v>
      </c>
      <c r="AI292" s="1">
        <v>2294.0100000000002</v>
      </c>
      <c r="AJ292" s="1">
        <v>17370.97</v>
      </c>
      <c r="AK292">
        <v>0</v>
      </c>
      <c r="AL292">
        <v>0</v>
      </c>
      <c r="AM292">
        <v>0</v>
      </c>
      <c r="AN292" t="s">
        <v>135</v>
      </c>
      <c r="AO292" t="s">
        <v>135</v>
      </c>
      <c r="AP292" t="s">
        <v>136</v>
      </c>
      <c r="AQ292" t="s">
        <v>137</v>
      </c>
      <c r="AR292" t="s">
        <v>138</v>
      </c>
      <c r="AS292" t="s">
        <v>139</v>
      </c>
      <c r="AT292" t="s">
        <v>140</v>
      </c>
      <c r="AU292">
        <v>102</v>
      </c>
      <c r="AV292">
        <v>10</v>
      </c>
      <c r="AW292">
        <v>1</v>
      </c>
      <c r="AX292" s="2">
        <v>45814</v>
      </c>
      <c r="AY292" t="s">
        <v>151</v>
      </c>
      <c r="AZ292" s="2">
        <v>46024</v>
      </c>
      <c r="BA292">
        <v>0</v>
      </c>
      <c r="BB292">
        <v>0</v>
      </c>
      <c r="BC292">
        <v>0</v>
      </c>
      <c r="BD292">
        <v>700</v>
      </c>
      <c r="BE292">
        <v>70</v>
      </c>
      <c r="BF292">
        <v>9</v>
      </c>
      <c r="BG292" s="2">
        <v>45536</v>
      </c>
      <c r="BH292" t="s">
        <v>142</v>
      </c>
      <c r="BI292" s="2">
        <v>46026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s="1">
        <v>5477.35</v>
      </c>
      <c r="BQ292" s="1">
        <v>5477.35</v>
      </c>
      <c r="BR292">
        <v>0</v>
      </c>
      <c r="BS292">
        <v>0</v>
      </c>
      <c r="BT292">
        <v>0</v>
      </c>
      <c r="BU292">
        <v>0</v>
      </c>
      <c r="BV292" s="1">
        <v>6918.19</v>
      </c>
      <c r="BW292" s="1">
        <v>6918.19</v>
      </c>
      <c r="BX292">
        <v>0</v>
      </c>
      <c r="BY292">
        <v>0</v>
      </c>
      <c r="BZ292">
        <v>0</v>
      </c>
      <c r="CA292">
        <v>0</v>
      </c>
      <c r="CB292" s="1">
        <v>4802.7700000000004</v>
      </c>
      <c r="CC292" t="s">
        <v>143</v>
      </c>
    </row>
    <row r="293" spans="1:81" x14ac:dyDescent="0.25">
      <c r="A293">
        <v>345</v>
      </c>
      <c r="B293">
        <v>2</v>
      </c>
      <c r="C293">
        <v>490</v>
      </c>
      <c r="D293" t="s">
        <v>1723</v>
      </c>
      <c r="E293" t="s">
        <v>121</v>
      </c>
      <c r="F293" t="s">
        <v>1724</v>
      </c>
      <c r="G293" t="s">
        <v>1725</v>
      </c>
      <c r="H293" t="s">
        <v>1494</v>
      </c>
      <c r="I293" t="s">
        <v>1726</v>
      </c>
      <c r="J293" t="s">
        <v>825</v>
      </c>
      <c r="K293" t="s">
        <v>336</v>
      </c>
      <c r="L293" t="s">
        <v>128</v>
      </c>
      <c r="M293" t="s">
        <v>337</v>
      </c>
      <c r="N293" t="s">
        <v>1727</v>
      </c>
      <c r="O293" t="s">
        <v>159</v>
      </c>
      <c r="P293">
        <v>0</v>
      </c>
      <c r="Q293" t="s">
        <v>125</v>
      </c>
      <c r="R293">
        <v>6</v>
      </c>
      <c r="S293">
        <v>38</v>
      </c>
      <c r="T293" t="s">
        <v>132</v>
      </c>
      <c r="U293" t="s">
        <v>133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134</v>
      </c>
      <c r="AE293" t="s">
        <v>134</v>
      </c>
      <c r="AF293" s="2">
        <v>45518</v>
      </c>
      <c r="AG293" s="2">
        <v>46007</v>
      </c>
      <c r="AH293">
        <v>109.55</v>
      </c>
      <c r="AI293">
        <v>130.29</v>
      </c>
      <c r="AJ293">
        <v>657.3</v>
      </c>
      <c r="AK293">
        <v>0</v>
      </c>
      <c r="AL293">
        <v>0</v>
      </c>
      <c r="AM293">
        <v>0</v>
      </c>
      <c r="AN293" t="s">
        <v>135</v>
      </c>
      <c r="AO293" t="s">
        <v>135</v>
      </c>
      <c r="AP293" t="s">
        <v>136</v>
      </c>
      <c r="AQ293" t="s">
        <v>137</v>
      </c>
      <c r="AR293" t="s">
        <v>138</v>
      </c>
      <c r="AS293" t="s">
        <v>139</v>
      </c>
      <c r="AT293" t="s">
        <v>140</v>
      </c>
      <c r="AU293">
        <v>101</v>
      </c>
      <c r="AV293">
        <v>10</v>
      </c>
      <c r="AW293">
        <v>1</v>
      </c>
      <c r="AX293" s="2">
        <v>45859</v>
      </c>
      <c r="AY293" t="s">
        <v>141</v>
      </c>
      <c r="AZ293" s="2">
        <v>46027</v>
      </c>
      <c r="BA293">
        <v>0</v>
      </c>
      <c r="BB293">
        <v>0</v>
      </c>
      <c r="BC293">
        <v>0</v>
      </c>
      <c r="BD293">
        <v>700</v>
      </c>
      <c r="BE293">
        <v>70</v>
      </c>
      <c r="BF293">
        <v>9</v>
      </c>
      <c r="BG293" s="2">
        <v>45536</v>
      </c>
      <c r="BH293" t="s">
        <v>142</v>
      </c>
      <c r="BI293" s="2">
        <v>46026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215.39</v>
      </c>
      <c r="BQ293">
        <v>215.39</v>
      </c>
      <c r="BR293">
        <v>0</v>
      </c>
      <c r="BS293">
        <v>0</v>
      </c>
      <c r="BT293">
        <v>0</v>
      </c>
      <c r="BU293">
        <v>0</v>
      </c>
      <c r="BV293">
        <v>239.97</v>
      </c>
      <c r="BW293">
        <v>239.97</v>
      </c>
      <c r="BX293">
        <v>0</v>
      </c>
      <c r="BY293">
        <v>0</v>
      </c>
      <c r="BZ293">
        <v>0</v>
      </c>
      <c r="CA293">
        <v>0</v>
      </c>
      <c r="CB293">
        <v>225.72</v>
      </c>
      <c r="CC293" t="s">
        <v>161</v>
      </c>
    </row>
    <row r="294" spans="1:81" x14ac:dyDescent="0.25">
      <c r="A294">
        <v>345</v>
      </c>
      <c r="B294">
        <v>2</v>
      </c>
      <c r="C294">
        <v>491</v>
      </c>
      <c r="D294" t="s">
        <v>1728</v>
      </c>
      <c r="E294" t="s">
        <v>121</v>
      </c>
      <c r="F294" t="s">
        <v>1729</v>
      </c>
      <c r="G294" t="s">
        <v>1730</v>
      </c>
      <c r="H294" t="s">
        <v>1731</v>
      </c>
      <c r="I294" t="s">
        <v>1732</v>
      </c>
      <c r="J294" t="s">
        <v>735</v>
      </c>
      <c r="K294" t="s">
        <v>336</v>
      </c>
      <c r="L294" t="s">
        <v>128</v>
      </c>
      <c r="M294" t="s">
        <v>337</v>
      </c>
      <c r="N294" t="s">
        <v>1733</v>
      </c>
      <c r="O294" t="s">
        <v>159</v>
      </c>
      <c r="P294">
        <v>0</v>
      </c>
      <c r="Q294" t="s">
        <v>125</v>
      </c>
      <c r="R294">
        <v>6</v>
      </c>
      <c r="S294">
        <v>36</v>
      </c>
      <c r="T294" t="s">
        <v>132</v>
      </c>
      <c r="U294" t="s">
        <v>133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134</v>
      </c>
      <c r="AE294" t="s">
        <v>134</v>
      </c>
      <c r="AF294" s="2">
        <v>45518</v>
      </c>
      <c r="AG294" s="2">
        <v>46020</v>
      </c>
      <c r="AH294">
        <v>508.7</v>
      </c>
      <c r="AI294">
        <v>874.35</v>
      </c>
      <c r="AJ294" s="1">
        <v>4069.65</v>
      </c>
      <c r="AK294">
        <v>0</v>
      </c>
      <c r="AL294">
        <v>0</v>
      </c>
      <c r="AM294">
        <v>0</v>
      </c>
      <c r="AN294" t="s">
        <v>135</v>
      </c>
      <c r="AO294" t="s">
        <v>135</v>
      </c>
      <c r="AP294" t="s">
        <v>136</v>
      </c>
      <c r="AQ294" t="s">
        <v>137</v>
      </c>
      <c r="AR294" t="s">
        <v>138</v>
      </c>
      <c r="AS294" t="s">
        <v>139</v>
      </c>
      <c r="AT294" t="s">
        <v>140</v>
      </c>
      <c r="AU294">
        <v>104</v>
      </c>
      <c r="AV294">
        <v>10</v>
      </c>
      <c r="AW294">
        <v>1</v>
      </c>
      <c r="AX294" s="2">
        <v>45857</v>
      </c>
      <c r="AY294" t="s">
        <v>160</v>
      </c>
      <c r="AZ294" s="2">
        <v>46025</v>
      </c>
      <c r="BA294">
        <v>0</v>
      </c>
      <c r="BB294">
        <v>0</v>
      </c>
      <c r="BC294">
        <v>0</v>
      </c>
      <c r="BD294">
        <v>700</v>
      </c>
      <c r="BE294">
        <v>70</v>
      </c>
      <c r="BF294">
        <v>9</v>
      </c>
      <c r="BG294" s="2">
        <v>45536</v>
      </c>
      <c r="BH294" t="s">
        <v>142</v>
      </c>
      <c r="BI294" s="2">
        <v>46026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757.04</v>
      </c>
      <c r="BQ294">
        <v>757.04</v>
      </c>
      <c r="BR294">
        <v>0</v>
      </c>
      <c r="BS294">
        <v>0</v>
      </c>
      <c r="BT294">
        <v>0</v>
      </c>
      <c r="BU294">
        <v>0</v>
      </c>
      <c r="BV294" s="1">
        <v>2059</v>
      </c>
      <c r="BW294" s="1">
        <v>2059</v>
      </c>
      <c r="BX294">
        <v>0</v>
      </c>
      <c r="BY294">
        <v>0</v>
      </c>
      <c r="BZ294">
        <v>0</v>
      </c>
      <c r="CA294">
        <v>0</v>
      </c>
      <c r="CB294" s="1">
        <v>1489.99</v>
      </c>
      <c r="CC294" t="s">
        <v>161</v>
      </c>
    </row>
    <row r="295" spans="1:81" x14ac:dyDescent="0.25">
      <c r="A295">
        <v>345</v>
      </c>
      <c r="B295">
        <v>2</v>
      </c>
      <c r="C295">
        <v>492</v>
      </c>
      <c r="D295" t="s">
        <v>1734</v>
      </c>
      <c r="E295" t="s">
        <v>121</v>
      </c>
      <c r="F295" t="s">
        <v>1735</v>
      </c>
      <c r="G295" t="s">
        <v>1736</v>
      </c>
      <c r="H295" t="s">
        <v>1737</v>
      </c>
      <c r="I295" t="s">
        <v>125</v>
      </c>
      <c r="J295" t="s">
        <v>1738</v>
      </c>
      <c r="K295" t="s">
        <v>466</v>
      </c>
      <c r="L295" t="s">
        <v>128</v>
      </c>
      <c r="M295" t="s">
        <v>467</v>
      </c>
      <c r="N295" t="s">
        <v>1739</v>
      </c>
      <c r="O295" t="s">
        <v>167</v>
      </c>
      <c r="P295">
        <v>0</v>
      </c>
      <c r="Q295" t="s">
        <v>125</v>
      </c>
      <c r="R295">
        <v>6</v>
      </c>
      <c r="S295">
        <v>36</v>
      </c>
      <c r="T295" t="s">
        <v>132</v>
      </c>
      <c r="U295" t="s">
        <v>133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134</v>
      </c>
      <c r="AE295" t="s">
        <v>134</v>
      </c>
      <c r="AF295" s="2">
        <v>45518</v>
      </c>
      <c r="AG295" s="2">
        <v>46020</v>
      </c>
      <c r="AH295">
        <v>672.08</v>
      </c>
      <c r="AI295" s="1">
        <v>1099.9000000000001</v>
      </c>
      <c r="AJ295" s="1">
        <v>6048.75</v>
      </c>
      <c r="AK295">
        <v>0</v>
      </c>
      <c r="AL295">
        <v>0</v>
      </c>
      <c r="AM295">
        <v>0</v>
      </c>
      <c r="AN295" t="s">
        <v>135</v>
      </c>
      <c r="AO295" t="s">
        <v>135</v>
      </c>
      <c r="AP295" t="s">
        <v>136</v>
      </c>
      <c r="AQ295" t="s">
        <v>137</v>
      </c>
      <c r="AR295" t="s">
        <v>138</v>
      </c>
      <c r="AS295" t="s">
        <v>139</v>
      </c>
      <c r="AT295" t="s">
        <v>140</v>
      </c>
      <c r="AU295">
        <v>100</v>
      </c>
      <c r="AV295">
        <v>10</v>
      </c>
      <c r="AW295">
        <v>1</v>
      </c>
      <c r="AX295" s="2">
        <v>45842</v>
      </c>
      <c r="AY295" t="s">
        <v>151</v>
      </c>
      <c r="AZ295" s="2">
        <v>46024</v>
      </c>
      <c r="BA295">
        <v>0</v>
      </c>
      <c r="BB295">
        <v>0</v>
      </c>
      <c r="BC295">
        <v>0</v>
      </c>
      <c r="BD295">
        <v>700</v>
      </c>
      <c r="BE295">
        <v>70</v>
      </c>
      <c r="BF295">
        <v>9</v>
      </c>
      <c r="BG295" s="2">
        <v>45536</v>
      </c>
      <c r="BH295" t="s">
        <v>142</v>
      </c>
      <c r="BI295" s="2">
        <v>46026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s="1">
        <v>2698.99</v>
      </c>
      <c r="BQ295" s="1">
        <v>2698.99</v>
      </c>
      <c r="BR295">
        <v>0</v>
      </c>
      <c r="BS295">
        <v>0</v>
      </c>
      <c r="BT295">
        <v>0</v>
      </c>
      <c r="BU295">
        <v>0</v>
      </c>
      <c r="BV295" s="1">
        <v>2231.2199999999998</v>
      </c>
      <c r="BW295" s="1">
        <v>2231.2199999999998</v>
      </c>
      <c r="BX295">
        <v>0</v>
      </c>
      <c r="BY295">
        <v>0</v>
      </c>
      <c r="BZ295">
        <v>0</v>
      </c>
      <c r="CA295">
        <v>0</v>
      </c>
      <c r="CB295" s="1">
        <v>2001.18</v>
      </c>
      <c r="CC295" t="s">
        <v>161</v>
      </c>
    </row>
    <row r="296" spans="1:81" x14ac:dyDescent="0.25">
      <c r="A296">
        <v>345</v>
      </c>
      <c r="B296">
        <v>2</v>
      </c>
      <c r="C296">
        <v>494</v>
      </c>
      <c r="D296" t="s">
        <v>1740</v>
      </c>
      <c r="E296" t="s">
        <v>121</v>
      </c>
      <c r="F296" t="s">
        <v>1741</v>
      </c>
      <c r="G296" t="s">
        <v>1742</v>
      </c>
      <c r="H296" t="s">
        <v>1743</v>
      </c>
      <c r="I296" t="s">
        <v>1744</v>
      </c>
      <c r="J296" t="s">
        <v>126</v>
      </c>
      <c r="K296" t="s">
        <v>466</v>
      </c>
      <c r="L296" t="s">
        <v>128</v>
      </c>
      <c r="M296" t="s">
        <v>467</v>
      </c>
      <c r="N296" t="s">
        <v>1745</v>
      </c>
      <c r="O296" t="s">
        <v>131</v>
      </c>
      <c r="P296">
        <v>0</v>
      </c>
      <c r="Q296" t="s">
        <v>125</v>
      </c>
      <c r="R296">
        <v>6</v>
      </c>
      <c r="S296">
        <v>42</v>
      </c>
      <c r="T296" t="s">
        <v>132</v>
      </c>
      <c r="U296" t="s">
        <v>133</v>
      </c>
      <c r="V296" s="1">
        <v>72800</v>
      </c>
      <c r="W296">
        <v>0</v>
      </c>
      <c r="X296" s="1">
        <v>72800</v>
      </c>
      <c r="Y296">
        <v>7</v>
      </c>
      <c r="Z296">
        <v>0</v>
      </c>
      <c r="AA296">
        <v>0</v>
      </c>
      <c r="AB296">
        <v>0</v>
      </c>
      <c r="AC296">
        <v>0</v>
      </c>
      <c r="AD296" t="s">
        <v>134</v>
      </c>
      <c r="AE296" t="s">
        <v>234</v>
      </c>
      <c r="AF296" s="2">
        <v>45518</v>
      </c>
      <c r="AG296" s="2">
        <v>46010</v>
      </c>
      <c r="AH296" s="1">
        <v>6691</v>
      </c>
      <c r="AI296" s="1">
        <v>19330</v>
      </c>
      <c r="AJ296" s="1">
        <v>26764</v>
      </c>
      <c r="AK296">
        <v>0</v>
      </c>
      <c r="AL296">
        <v>0</v>
      </c>
      <c r="AM296">
        <v>0</v>
      </c>
      <c r="AN296" t="s">
        <v>135</v>
      </c>
      <c r="AO296" t="s">
        <v>135</v>
      </c>
      <c r="AP296" t="s">
        <v>136</v>
      </c>
      <c r="AQ296" t="s">
        <v>137</v>
      </c>
      <c r="AR296" t="s">
        <v>138</v>
      </c>
      <c r="AS296" t="s">
        <v>150</v>
      </c>
      <c r="AT296" t="s">
        <v>140</v>
      </c>
      <c r="AU296">
        <v>501</v>
      </c>
      <c r="AV296">
        <v>10</v>
      </c>
      <c r="AW296">
        <v>1</v>
      </c>
      <c r="AX296" s="2">
        <v>45854</v>
      </c>
      <c r="AY296" t="s">
        <v>168</v>
      </c>
      <c r="AZ296" s="2">
        <v>46022</v>
      </c>
      <c r="BA296">
        <v>0</v>
      </c>
      <c r="BB296">
        <v>0</v>
      </c>
      <c r="BC296">
        <v>0</v>
      </c>
      <c r="BD296">
        <v>700</v>
      </c>
      <c r="BE296">
        <v>70</v>
      </c>
      <c r="BF296">
        <v>9</v>
      </c>
      <c r="BG296" s="2">
        <v>45536</v>
      </c>
      <c r="BH296" t="s">
        <v>142</v>
      </c>
      <c r="BI296" s="2">
        <v>46026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s="1">
        <v>23196</v>
      </c>
      <c r="BQ296" s="1">
        <v>23196</v>
      </c>
      <c r="BR296">
        <v>0</v>
      </c>
      <c r="BS296">
        <v>0</v>
      </c>
      <c r="BT296">
        <v>0</v>
      </c>
      <c r="BU296">
        <v>0</v>
      </c>
      <c r="BV296" s="1">
        <v>3568</v>
      </c>
      <c r="BW296" s="1">
        <v>3568</v>
      </c>
      <c r="BX296">
        <v>0</v>
      </c>
      <c r="BY296">
        <v>0</v>
      </c>
      <c r="BZ296">
        <v>0</v>
      </c>
      <c r="CA296">
        <v>0</v>
      </c>
      <c r="CB296" s="1">
        <v>10599.08</v>
      </c>
      <c r="CC296" t="s">
        <v>143</v>
      </c>
    </row>
    <row r="297" spans="1:81" x14ac:dyDescent="0.25">
      <c r="A297">
        <v>345</v>
      </c>
      <c r="B297">
        <v>2</v>
      </c>
      <c r="C297">
        <v>495</v>
      </c>
      <c r="D297" t="s">
        <v>1746</v>
      </c>
      <c r="E297" t="s">
        <v>121</v>
      </c>
      <c r="F297" t="s">
        <v>1747</v>
      </c>
      <c r="G297" t="s">
        <v>1748</v>
      </c>
      <c r="H297" t="s">
        <v>1749</v>
      </c>
      <c r="I297" t="s">
        <v>1750</v>
      </c>
      <c r="J297" t="s">
        <v>335</v>
      </c>
      <c r="K297" t="s">
        <v>336</v>
      </c>
      <c r="L297" t="s">
        <v>128</v>
      </c>
      <c r="M297" t="s">
        <v>337</v>
      </c>
      <c r="N297" t="s">
        <v>1751</v>
      </c>
      <c r="O297" t="s">
        <v>131</v>
      </c>
      <c r="P297">
        <v>0</v>
      </c>
      <c r="Q297" t="s">
        <v>125</v>
      </c>
      <c r="R297">
        <v>2</v>
      </c>
      <c r="S297">
        <v>90</v>
      </c>
      <c r="T297" t="s">
        <v>132</v>
      </c>
      <c r="U297" t="s">
        <v>133</v>
      </c>
      <c r="V297" s="1">
        <v>3100</v>
      </c>
      <c r="W297">
        <v>0</v>
      </c>
      <c r="X297" s="1">
        <v>3100</v>
      </c>
      <c r="Y297">
        <v>7</v>
      </c>
      <c r="Z297">
        <v>0</v>
      </c>
      <c r="AA297">
        <v>0</v>
      </c>
      <c r="AB297">
        <v>0</v>
      </c>
      <c r="AC297">
        <v>0</v>
      </c>
      <c r="AD297" t="s">
        <v>134</v>
      </c>
      <c r="AE297" t="s">
        <v>134</v>
      </c>
      <c r="AF297" s="2">
        <v>45518</v>
      </c>
      <c r="AG297" s="2">
        <v>46020</v>
      </c>
      <c r="AH297" s="1">
        <v>1754.55</v>
      </c>
      <c r="AI297" s="1">
        <v>2778.2</v>
      </c>
      <c r="AJ297" s="1">
        <v>24563.81</v>
      </c>
      <c r="AK297">
        <v>0</v>
      </c>
      <c r="AL297">
        <v>0</v>
      </c>
      <c r="AM297">
        <v>0</v>
      </c>
      <c r="AN297" t="s">
        <v>135</v>
      </c>
      <c r="AO297" t="s">
        <v>135</v>
      </c>
      <c r="AP297" t="s">
        <v>136</v>
      </c>
      <c r="AQ297" t="s">
        <v>137</v>
      </c>
      <c r="AR297" t="s">
        <v>138</v>
      </c>
      <c r="AS297" t="s">
        <v>139</v>
      </c>
      <c r="AT297" t="s">
        <v>140</v>
      </c>
      <c r="AU297">
        <v>101</v>
      </c>
      <c r="AV297">
        <v>10</v>
      </c>
      <c r="AW297">
        <v>1</v>
      </c>
      <c r="AX297" s="2">
        <v>45842</v>
      </c>
      <c r="AY297" t="s">
        <v>151</v>
      </c>
      <c r="AZ297" s="2">
        <v>46024</v>
      </c>
      <c r="BA297">
        <v>0</v>
      </c>
      <c r="BB297">
        <v>0</v>
      </c>
      <c r="BC297">
        <v>0</v>
      </c>
      <c r="BD297">
        <v>700</v>
      </c>
      <c r="BE297">
        <v>70</v>
      </c>
      <c r="BF297">
        <v>9</v>
      </c>
      <c r="BG297" s="2">
        <v>45536</v>
      </c>
      <c r="BH297" t="s">
        <v>142</v>
      </c>
      <c r="BI297" s="2">
        <v>46026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s="1">
        <v>9009.49</v>
      </c>
      <c r="BQ297" s="1">
        <v>9009.49</v>
      </c>
      <c r="BR297">
        <v>0</v>
      </c>
      <c r="BS297">
        <v>0</v>
      </c>
      <c r="BT297">
        <v>0</v>
      </c>
      <c r="BU297">
        <v>0</v>
      </c>
      <c r="BV297" s="1">
        <v>8785.51</v>
      </c>
      <c r="BW297" s="1">
        <v>8785.51</v>
      </c>
      <c r="BX297">
        <v>0</v>
      </c>
      <c r="BY297">
        <v>0</v>
      </c>
      <c r="BZ297">
        <v>0</v>
      </c>
      <c r="CA297">
        <v>0</v>
      </c>
      <c r="CB297" s="1">
        <v>7074.98</v>
      </c>
      <c r="CC297" t="s">
        <v>143</v>
      </c>
    </row>
    <row r="298" spans="1:81" x14ac:dyDescent="0.25">
      <c r="A298">
        <v>345</v>
      </c>
      <c r="B298">
        <v>2</v>
      </c>
      <c r="C298">
        <v>497</v>
      </c>
      <c r="D298" t="s">
        <v>1752</v>
      </c>
      <c r="E298" t="s">
        <v>121</v>
      </c>
      <c r="F298" t="s">
        <v>1753</v>
      </c>
      <c r="G298" t="s">
        <v>1754</v>
      </c>
      <c r="H298" t="s">
        <v>1755</v>
      </c>
      <c r="I298" t="s">
        <v>1756</v>
      </c>
      <c r="J298" t="s">
        <v>992</v>
      </c>
      <c r="K298" t="s">
        <v>466</v>
      </c>
      <c r="L298" t="s">
        <v>128</v>
      </c>
      <c r="M298" t="s">
        <v>467</v>
      </c>
      <c r="N298" t="s">
        <v>1757</v>
      </c>
      <c r="O298" t="s">
        <v>131</v>
      </c>
      <c r="P298">
        <v>0</v>
      </c>
      <c r="Q298" t="s">
        <v>125</v>
      </c>
      <c r="R298">
        <v>6</v>
      </c>
      <c r="S298">
        <v>41</v>
      </c>
      <c r="T298" t="s">
        <v>132</v>
      </c>
      <c r="U298" t="s">
        <v>133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134</v>
      </c>
      <c r="AE298" t="s">
        <v>134</v>
      </c>
      <c r="AF298" s="2">
        <v>45518</v>
      </c>
      <c r="AG298" s="2">
        <v>46018</v>
      </c>
      <c r="AH298" s="1">
        <v>2026.24</v>
      </c>
      <c r="AI298" s="1">
        <v>3241.3</v>
      </c>
      <c r="AJ298" s="1">
        <v>16209.96</v>
      </c>
      <c r="AK298">
        <v>0</v>
      </c>
      <c r="AL298">
        <v>0</v>
      </c>
      <c r="AM298">
        <v>0</v>
      </c>
      <c r="AN298" t="s">
        <v>135</v>
      </c>
      <c r="AO298" t="s">
        <v>135</v>
      </c>
      <c r="AP298" t="s">
        <v>136</v>
      </c>
      <c r="AQ298" t="s">
        <v>137</v>
      </c>
      <c r="AR298" t="s">
        <v>138</v>
      </c>
      <c r="AS298" t="s">
        <v>139</v>
      </c>
      <c r="AT298" t="s">
        <v>140</v>
      </c>
      <c r="AU298">
        <v>100</v>
      </c>
      <c r="AV298">
        <v>10</v>
      </c>
      <c r="AW298">
        <v>1</v>
      </c>
      <c r="AX298" s="2">
        <v>45848</v>
      </c>
      <c r="AY298" t="s">
        <v>308</v>
      </c>
      <c r="AZ298" s="2">
        <v>46023</v>
      </c>
      <c r="BA298">
        <v>0</v>
      </c>
      <c r="BB298">
        <v>0</v>
      </c>
      <c r="BC298">
        <v>0</v>
      </c>
      <c r="BD298">
        <v>700</v>
      </c>
      <c r="BE298">
        <v>70</v>
      </c>
      <c r="BF298">
        <v>9</v>
      </c>
      <c r="BG298" s="2">
        <v>45536</v>
      </c>
      <c r="BH298" t="s">
        <v>142</v>
      </c>
      <c r="BI298" s="2">
        <v>46026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s="1">
        <v>3576.9</v>
      </c>
      <c r="BQ298" s="1">
        <v>3576.9</v>
      </c>
      <c r="BR298">
        <v>0</v>
      </c>
      <c r="BS298">
        <v>0</v>
      </c>
      <c r="BT298">
        <v>0</v>
      </c>
      <c r="BU298">
        <v>0</v>
      </c>
      <c r="BV298" s="1">
        <v>6791.7</v>
      </c>
      <c r="BW298" s="1">
        <v>6791.7</v>
      </c>
      <c r="BX298">
        <v>0</v>
      </c>
      <c r="BY298">
        <v>0</v>
      </c>
      <c r="BZ298">
        <v>0</v>
      </c>
      <c r="CA298">
        <v>0</v>
      </c>
      <c r="CB298" s="1">
        <v>3973.82</v>
      </c>
      <c r="CC298" t="s">
        <v>143</v>
      </c>
    </row>
    <row r="299" spans="1:81" x14ac:dyDescent="0.25">
      <c r="A299">
        <v>345</v>
      </c>
      <c r="B299">
        <v>2</v>
      </c>
      <c r="C299">
        <v>499</v>
      </c>
      <c r="D299" t="s">
        <v>1758</v>
      </c>
      <c r="E299" t="s">
        <v>121</v>
      </c>
      <c r="F299" t="s">
        <v>1759</v>
      </c>
      <c r="G299" t="s">
        <v>1760</v>
      </c>
      <c r="H299" t="s">
        <v>1761</v>
      </c>
      <c r="I299" t="s">
        <v>125</v>
      </c>
      <c r="J299" t="s">
        <v>1762</v>
      </c>
      <c r="K299" t="s">
        <v>466</v>
      </c>
      <c r="L299" t="s">
        <v>128</v>
      </c>
      <c r="M299" t="s">
        <v>467</v>
      </c>
      <c r="N299" t="s">
        <v>1763</v>
      </c>
      <c r="O299" t="s">
        <v>159</v>
      </c>
      <c r="P299">
        <v>0</v>
      </c>
      <c r="Q299" t="s">
        <v>125</v>
      </c>
      <c r="R299">
        <v>6</v>
      </c>
      <c r="S299">
        <v>36</v>
      </c>
      <c r="T299" t="s">
        <v>132</v>
      </c>
      <c r="U299" t="s">
        <v>133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134</v>
      </c>
      <c r="AE299" t="s">
        <v>134</v>
      </c>
      <c r="AF299" s="2">
        <v>45518</v>
      </c>
      <c r="AG299" s="2">
        <v>46007</v>
      </c>
      <c r="AH299">
        <v>621.78</v>
      </c>
      <c r="AI299" s="1">
        <v>1757.5</v>
      </c>
      <c r="AJ299" s="1">
        <v>4974.2700000000004</v>
      </c>
      <c r="AK299">
        <v>0</v>
      </c>
      <c r="AL299">
        <v>632.1</v>
      </c>
      <c r="AM299">
        <v>0</v>
      </c>
      <c r="AN299" t="s">
        <v>135</v>
      </c>
      <c r="AO299" t="s">
        <v>135</v>
      </c>
      <c r="AP299" t="s">
        <v>136</v>
      </c>
      <c r="AQ299" t="s">
        <v>137</v>
      </c>
      <c r="AR299" t="s">
        <v>138</v>
      </c>
      <c r="AS299" t="s">
        <v>139</v>
      </c>
      <c r="AT299" t="s">
        <v>140</v>
      </c>
      <c r="AU299">
        <v>105</v>
      </c>
      <c r="AV299">
        <v>10</v>
      </c>
      <c r="AW299">
        <v>1</v>
      </c>
      <c r="AX299" s="2">
        <v>45810</v>
      </c>
      <c r="AY299" t="s">
        <v>141</v>
      </c>
      <c r="AZ299" s="2">
        <v>46027</v>
      </c>
      <c r="BA299">
        <v>0</v>
      </c>
      <c r="BB299">
        <v>0</v>
      </c>
      <c r="BC299">
        <v>0</v>
      </c>
      <c r="BD299">
        <v>700</v>
      </c>
      <c r="BE299">
        <v>70</v>
      </c>
      <c r="BF299">
        <v>9</v>
      </c>
      <c r="BG299" s="2">
        <v>45536</v>
      </c>
      <c r="BH299" t="s">
        <v>142</v>
      </c>
      <c r="BI299" s="2">
        <v>46026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s="1">
        <v>1183.6199999999999</v>
      </c>
      <c r="BQ299" s="1">
        <v>1183.6199999999999</v>
      </c>
      <c r="BR299">
        <v>0</v>
      </c>
      <c r="BS299">
        <v>0</v>
      </c>
      <c r="BT299">
        <v>0</v>
      </c>
      <c r="BU299">
        <v>0</v>
      </c>
      <c r="BV299" s="1">
        <v>1667.66</v>
      </c>
      <c r="BW299" s="1">
        <v>1667.66</v>
      </c>
      <c r="BX299">
        <v>0</v>
      </c>
      <c r="BY299">
        <v>0</v>
      </c>
      <c r="BZ299">
        <v>0</v>
      </c>
      <c r="CA299">
        <v>0</v>
      </c>
      <c r="CB299" s="1">
        <v>1572.22</v>
      </c>
      <c r="CC299" t="s">
        <v>161</v>
      </c>
    </row>
    <row r="300" spans="1:81" x14ac:dyDescent="0.25">
      <c r="A300">
        <v>345</v>
      </c>
      <c r="B300">
        <v>2</v>
      </c>
      <c r="C300">
        <v>500</v>
      </c>
      <c r="D300" t="s">
        <v>1764</v>
      </c>
      <c r="E300" t="s">
        <v>121</v>
      </c>
      <c r="F300" t="s">
        <v>1765</v>
      </c>
      <c r="G300" t="s">
        <v>1766</v>
      </c>
      <c r="H300" t="s">
        <v>1767</v>
      </c>
      <c r="I300" t="s">
        <v>1768</v>
      </c>
      <c r="J300" t="s">
        <v>1263</v>
      </c>
      <c r="K300" t="s">
        <v>466</v>
      </c>
      <c r="L300" t="s">
        <v>128</v>
      </c>
      <c r="M300" t="s">
        <v>467</v>
      </c>
      <c r="N300" t="s">
        <v>1769</v>
      </c>
      <c r="O300" t="s">
        <v>131</v>
      </c>
      <c r="P300">
        <v>0</v>
      </c>
      <c r="Q300" t="s">
        <v>125</v>
      </c>
      <c r="R300">
        <v>6</v>
      </c>
      <c r="S300">
        <v>39</v>
      </c>
      <c r="T300" t="s">
        <v>132</v>
      </c>
      <c r="U300" t="s">
        <v>133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134</v>
      </c>
      <c r="AE300" t="s">
        <v>134</v>
      </c>
      <c r="AF300" s="2">
        <v>45518</v>
      </c>
      <c r="AG300" s="2">
        <v>46020</v>
      </c>
      <c r="AH300">
        <v>175.03</v>
      </c>
      <c r="AI300">
        <v>250.4</v>
      </c>
      <c r="AJ300">
        <v>525.09</v>
      </c>
      <c r="AK300">
        <v>0</v>
      </c>
      <c r="AL300">
        <v>0</v>
      </c>
      <c r="AM300">
        <v>0</v>
      </c>
      <c r="AN300" t="s">
        <v>135</v>
      </c>
      <c r="AO300" t="s">
        <v>135</v>
      </c>
      <c r="AP300" t="s">
        <v>136</v>
      </c>
      <c r="AQ300" t="s">
        <v>137</v>
      </c>
      <c r="AR300" t="s">
        <v>138</v>
      </c>
      <c r="AS300" t="s">
        <v>139</v>
      </c>
      <c r="AT300" t="s">
        <v>140</v>
      </c>
      <c r="AU300">
        <v>105</v>
      </c>
      <c r="AV300">
        <v>10</v>
      </c>
      <c r="AW300">
        <v>1</v>
      </c>
      <c r="AX300" s="2">
        <v>45815</v>
      </c>
      <c r="AY300" t="s">
        <v>160</v>
      </c>
      <c r="AZ300" s="2">
        <v>46025</v>
      </c>
      <c r="BA300">
        <v>0</v>
      </c>
      <c r="BB300">
        <v>0</v>
      </c>
      <c r="BC300">
        <v>0</v>
      </c>
      <c r="BD300">
        <v>700</v>
      </c>
      <c r="BE300">
        <v>70</v>
      </c>
      <c r="BF300">
        <v>9</v>
      </c>
      <c r="BG300" s="2">
        <v>45536</v>
      </c>
      <c r="BH300" t="s">
        <v>142</v>
      </c>
      <c r="BI300" s="2">
        <v>46026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127.62</v>
      </c>
      <c r="BQ300">
        <v>127.62</v>
      </c>
      <c r="BR300">
        <v>0</v>
      </c>
      <c r="BS300">
        <v>0</v>
      </c>
      <c r="BT300">
        <v>0</v>
      </c>
      <c r="BU300">
        <v>0</v>
      </c>
      <c r="BV300">
        <v>397.47</v>
      </c>
      <c r="BW300">
        <v>397.47</v>
      </c>
      <c r="BX300">
        <v>0</v>
      </c>
      <c r="BY300">
        <v>0</v>
      </c>
      <c r="BZ300">
        <v>0</v>
      </c>
      <c r="CA300">
        <v>0</v>
      </c>
      <c r="CB300">
        <v>343.96</v>
      </c>
      <c r="CC300" t="s">
        <v>143</v>
      </c>
    </row>
    <row r="301" spans="1:81" x14ac:dyDescent="0.25">
      <c r="A301">
        <v>345</v>
      </c>
      <c r="B301">
        <v>2</v>
      </c>
      <c r="C301">
        <v>501</v>
      </c>
      <c r="D301" t="s">
        <v>1770</v>
      </c>
      <c r="E301" t="s">
        <v>121</v>
      </c>
      <c r="F301" t="s">
        <v>1771</v>
      </c>
      <c r="G301" t="s">
        <v>1772</v>
      </c>
      <c r="H301" t="s">
        <v>1228</v>
      </c>
      <c r="I301" t="s">
        <v>125</v>
      </c>
      <c r="J301" t="s">
        <v>667</v>
      </c>
      <c r="K301" t="s">
        <v>336</v>
      </c>
      <c r="L301" t="s">
        <v>128</v>
      </c>
      <c r="M301" t="s">
        <v>337</v>
      </c>
      <c r="N301" t="s">
        <v>1773</v>
      </c>
      <c r="O301" t="s">
        <v>131</v>
      </c>
      <c r="P301">
        <v>0</v>
      </c>
      <c r="Q301" t="s">
        <v>125</v>
      </c>
      <c r="R301">
        <v>6</v>
      </c>
      <c r="S301">
        <v>43</v>
      </c>
      <c r="T301" t="s">
        <v>132</v>
      </c>
      <c r="U301" t="s">
        <v>133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134</v>
      </c>
      <c r="AE301" t="s">
        <v>134</v>
      </c>
      <c r="AF301" s="2">
        <v>45518</v>
      </c>
      <c r="AG301" s="2">
        <v>46004</v>
      </c>
      <c r="AH301" s="1">
        <v>1398.79</v>
      </c>
      <c r="AI301" s="1">
        <v>2131.5</v>
      </c>
      <c r="AJ301" s="1">
        <v>6993.96</v>
      </c>
      <c r="AK301">
        <v>0</v>
      </c>
      <c r="AL301">
        <v>0</v>
      </c>
      <c r="AM301">
        <v>0</v>
      </c>
      <c r="AN301" t="s">
        <v>135</v>
      </c>
      <c r="AO301" t="s">
        <v>135</v>
      </c>
      <c r="AP301" t="s">
        <v>136</v>
      </c>
      <c r="AQ301" t="s">
        <v>137</v>
      </c>
      <c r="AR301" t="s">
        <v>138</v>
      </c>
      <c r="AS301" t="s">
        <v>150</v>
      </c>
      <c r="AT301" t="s">
        <v>140</v>
      </c>
      <c r="AU301">
        <v>101</v>
      </c>
      <c r="AV301">
        <v>10</v>
      </c>
      <c r="AW301">
        <v>1</v>
      </c>
      <c r="AX301" s="2">
        <v>45828</v>
      </c>
      <c r="AY301" t="s">
        <v>151</v>
      </c>
      <c r="AZ301" s="2">
        <v>46024</v>
      </c>
      <c r="BA301">
        <v>0</v>
      </c>
      <c r="BB301">
        <v>0</v>
      </c>
      <c r="BC301">
        <v>0</v>
      </c>
      <c r="BD301">
        <v>700</v>
      </c>
      <c r="BE301">
        <v>70</v>
      </c>
      <c r="BF301">
        <v>9</v>
      </c>
      <c r="BG301" s="2">
        <v>45536</v>
      </c>
      <c r="BH301" t="s">
        <v>142</v>
      </c>
      <c r="BI301" s="2">
        <v>46026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s="1">
        <v>2514.64</v>
      </c>
      <c r="BQ301" s="1">
        <v>2514.64</v>
      </c>
      <c r="BR301">
        <v>0</v>
      </c>
      <c r="BS301">
        <v>0</v>
      </c>
      <c r="BT301">
        <v>0</v>
      </c>
      <c r="BU301">
        <v>0</v>
      </c>
      <c r="BV301" s="1">
        <v>3769.02</v>
      </c>
      <c r="BW301" s="1">
        <v>3769.02</v>
      </c>
      <c r="BX301">
        <v>0</v>
      </c>
      <c r="BY301">
        <v>0</v>
      </c>
      <c r="BZ301">
        <v>0</v>
      </c>
      <c r="CA301">
        <v>0</v>
      </c>
      <c r="CB301" s="1">
        <v>1346.48</v>
      </c>
      <c r="CC301" t="s">
        <v>339</v>
      </c>
    </row>
    <row r="302" spans="1:81" x14ac:dyDescent="0.25">
      <c r="A302">
        <v>345</v>
      </c>
      <c r="B302">
        <v>2</v>
      </c>
      <c r="C302">
        <v>502</v>
      </c>
      <c r="D302" t="s">
        <v>1774</v>
      </c>
      <c r="E302" t="s">
        <v>121</v>
      </c>
      <c r="F302" t="s">
        <v>1775</v>
      </c>
      <c r="G302" t="s">
        <v>1776</v>
      </c>
      <c r="H302" t="s">
        <v>949</v>
      </c>
      <c r="I302" t="s">
        <v>125</v>
      </c>
      <c r="J302" t="s">
        <v>831</v>
      </c>
      <c r="K302" t="s">
        <v>336</v>
      </c>
      <c r="L302" t="s">
        <v>128</v>
      </c>
      <c r="M302" t="s">
        <v>337</v>
      </c>
      <c r="N302" t="s">
        <v>1777</v>
      </c>
      <c r="O302" t="s">
        <v>131</v>
      </c>
      <c r="P302">
        <v>0</v>
      </c>
      <c r="Q302" t="s">
        <v>125</v>
      </c>
      <c r="R302">
        <v>6</v>
      </c>
      <c r="S302">
        <v>42</v>
      </c>
      <c r="T302" t="s">
        <v>132</v>
      </c>
      <c r="U302" t="s">
        <v>133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134</v>
      </c>
      <c r="AE302" t="s">
        <v>134</v>
      </c>
      <c r="AF302" s="2">
        <v>45518</v>
      </c>
      <c r="AG302" s="2">
        <v>46007</v>
      </c>
      <c r="AH302">
        <v>147.69999999999999</v>
      </c>
      <c r="AI302">
        <v>260.27999999999997</v>
      </c>
      <c r="AJ302" s="1">
        <v>1329.31</v>
      </c>
      <c r="AK302">
        <v>0</v>
      </c>
      <c r="AL302">
        <v>176.07</v>
      </c>
      <c r="AM302">
        <v>0</v>
      </c>
      <c r="AN302" t="s">
        <v>135</v>
      </c>
      <c r="AO302" t="s">
        <v>135</v>
      </c>
      <c r="AP302" t="s">
        <v>136</v>
      </c>
      <c r="AQ302" t="s">
        <v>137</v>
      </c>
      <c r="AR302" t="s">
        <v>138</v>
      </c>
      <c r="AS302" t="s">
        <v>139</v>
      </c>
      <c r="AT302" t="s">
        <v>140</v>
      </c>
      <c r="AU302">
        <v>104</v>
      </c>
      <c r="AV302">
        <v>10</v>
      </c>
      <c r="AW302">
        <v>1</v>
      </c>
      <c r="AX302" s="2">
        <v>45537</v>
      </c>
      <c r="AY302" t="s">
        <v>141</v>
      </c>
      <c r="AZ302" s="2">
        <v>46027</v>
      </c>
      <c r="BA302">
        <v>0</v>
      </c>
      <c r="BB302">
        <v>0</v>
      </c>
      <c r="BC302">
        <v>0</v>
      </c>
      <c r="BD302">
        <v>700</v>
      </c>
      <c r="BE302">
        <v>70</v>
      </c>
      <c r="BF302">
        <v>9</v>
      </c>
      <c r="BG302" s="2">
        <v>45536</v>
      </c>
      <c r="BH302" t="s">
        <v>142</v>
      </c>
      <c r="BI302" s="2">
        <v>46026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227.68</v>
      </c>
      <c r="BQ302">
        <v>227.68</v>
      </c>
      <c r="BR302">
        <v>0</v>
      </c>
      <c r="BS302">
        <v>0</v>
      </c>
      <c r="BT302">
        <v>0</v>
      </c>
      <c r="BU302">
        <v>0</v>
      </c>
      <c r="BV302">
        <v>710.25</v>
      </c>
      <c r="BW302">
        <v>710.25</v>
      </c>
      <c r="BX302">
        <v>0</v>
      </c>
      <c r="BY302">
        <v>0</v>
      </c>
      <c r="BZ302">
        <v>0</v>
      </c>
      <c r="CA302">
        <v>0</v>
      </c>
      <c r="CB302">
        <v>379.39</v>
      </c>
      <c r="CC302" t="s">
        <v>143</v>
      </c>
    </row>
    <row r="303" spans="1:81" x14ac:dyDescent="0.25">
      <c r="A303">
        <v>345</v>
      </c>
      <c r="B303">
        <v>2</v>
      </c>
      <c r="C303">
        <v>503</v>
      </c>
      <c r="D303" t="s">
        <v>1778</v>
      </c>
      <c r="E303" t="s">
        <v>121</v>
      </c>
      <c r="F303" t="s">
        <v>341</v>
      </c>
      <c r="G303" t="s">
        <v>1779</v>
      </c>
      <c r="H303" t="s">
        <v>1780</v>
      </c>
      <c r="I303" t="s">
        <v>1781</v>
      </c>
      <c r="J303" t="s">
        <v>1782</v>
      </c>
      <c r="K303" t="s">
        <v>336</v>
      </c>
      <c r="L303" t="s">
        <v>128</v>
      </c>
      <c r="M303" t="s">
        <v>337</v>
      </c>
      <c r="N303" t="s">
        <v>1505</v>
      </c>
      <c r="O303" t="s">
        <v>131</v>
      </c>
      <c r="P303">
        <v>0</v>
      </c>
      <c r="Q303" t="s">
        <v>125</v>
      </c>
      <c r="R303">
        <v>6</v>
      </c>
      <c r="S303">
        <v>41</v>
      </c>
      <c r="T303" t="s">
        <v>132</v>
      </c>
      <c r="U303" t="s">
        <v>133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134</v>
      </c>
      <c r="AE303" t="s">
        <v>134</v>
      </c>
      <c r="AF303" s="2">
        <v>45518</v>
      </c>
      <c r="AG303" s="2">
        <v>46020</v>
      </c>
      <c r="AH303" s="1">
        <v>1677.68</v>
      </c>
      <c r="AI303" s="1">
        <v>3490.81</v>
      </c>
      <c r="AJ303" s="1">
        <v>16776.830000000002</v>
      </c>
      <c r="AK303">
        <v>0</v>
      </c>
      <c r="AL303">
        <v>0</v>
      </c>
      <c r="AM303">
        <v>0</v>
      </c>
      <c r="AN303" t="s">
        <v>135</v>
      </c>
      <c r="AO303" t="s">
        <v>135</v>
      </c>
      <c r="AP303" t="s">
        <v>136</v>
      </c>
      <c r="AQ303" t="s">
        <v>137</v>
      </c>
      <c r="AR303" t="s">
        <v>138</v>
      </c>
      <c r="AS303" t="s">
        <v>139</v>
      </c>
      <c r="AT303" t="s">
        <v>140</v>
      </c>
      <c r="AU303">
        <v>101</v>
      </c>
      <c r="AV303">
        <v>10</v>
      </c>
      <c r="AW303">
        <v>1</v>
      </c>
      <c r="AX303" s="2">
        <v>45814</v>
      </c>
      <c r="AY303" t="s">
        <v>151</v>
      </c>
      <c r="AZ303" s="2">
        <v>46024</v>
      </c>
      <c r="BA303">
        <v>0</v>
      </c>
      <c r="BB303">
        <v>0</v>
      </c>
      <c r="BC303">
        <v>0</v>
      </c>
      <c r="BD303">
        <v>700</v>
      </c>
      <c r="BE303">
        <v>70</v>
      </c>
      <c r="BF303">
        <v>9</v>
      </c>
      <c r="BG303" s="2">
        <v>45536</v>
      </c>
      <c r="BH303" t="s">
        <v>142</v>
      </c>
      <c r="BI303" s="2">
        <v>46026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s="1">
        <v>6772.81</v>
      </c>
      <c r="BQ303" s="1">
        <v>6772.81</v>
      </c>
      <c r="BR303">
        <v>0</v>
      </c>
      <c r="BS303">
        <v>0</v>
      </c>
      <c r="BT303">
        <v>0</v>
      </c>
      <c r="BU303">
        <v>0</v>
      </c>
      <c r="BV303" s="1">
        <v>7032.91</v>
      </c>
      <c r="BW303" s="1">
        <v>7032.91</v>
      </c>
      <c r="BX303">
        <v>0</v>
      </c>
      <c r="BY303">
        <v>0</v>
      </c>
      <c r="BZ303">
        <v>0</v>
      </c>
      <c r="CA303">
        <v>0</v>
      </c>
      <c r="CB303" s="1">
        <v>3481.83</v>
      </c>
      <c r="CC303" t="s">
        <v>143</v>
      </c>
    </row>
    <row r="304" spans="1:81" x14ac:dyDescent="0.25">
      <c r="A304">
        <v>345</v>
      </c>
      <c r="B304">
        <v>2</v>
      </c>
      <c r="C304">
        <v>504</v>
      </c>
      <c r="D304" t="s">
        <v>1783</v>
      </c>
      <c r="E304" t="s">
        <v>121</v>
      </c>
      <c r="F304" t="s">
        <v>1784</v>
      </c>
      <c r="G304" t="s">
        <v>1785</v>
      </c>
      <c r="H304" t="s">
        <v>1786</v>
      </c>
      <c r="I304" t="s">
        <v>125</v>
      </c>
      <c r="J304" t="s">
        <v>492</v>
      </c>
      <c r="K304" t="s">
        <v>466</v>
      </c>
      <c r="L304" t="s">
        <v>128</v>
      </c>
      <c r="M304" t="s">
        <v>467</v>
      </c>
      <c r="N304" t="s">
        <v>974</v>
      </c>
      <c r="O304" t="s">
        <v>167</v>
      </c>
      <c r="P304">
        <v>0</v>
      </c>
      <c r="Q304" t="s">
        <v>125</v>
      </c>
      <c r="R304">
        <v>6</v>
      </c>
      <c r="S304">
        <v>35</v>
      </c>
      <c r="T304" t="s">
        <v>132</v>
      </c>
      <c r="U304" t="s">
        <v>133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234</v>
      </c>
      <c r="AE304" t="s">
        <v>134</v>
      </c>
      <c r="AF304" s="2">
        <v>45518</v>
      </c>
      <c r="AG304" s="2">
        <v>46021</v>
      </c>
      <c r="AH304">
        <v>729.78</v>
      </c>
      <c r="AI304" s="1">
        <v>1041.96</v>
      </c>
      <c r="AJ304" s="1">
        <v>5838.27</v>
      </c>
      <c r="AK304">
        <v>0</v>
      </c>
      <c r="AL304">
        <v>0</v>
      </c>
      <c r="AM304">
        <v>0</v>
      </c>
      <c r="AN304" t="s">
        <v>135</v>
      </c>
      <c r="AO304" t="s">
        <v>135</v>
      </c>
      <c r="AP304" t="s">
        <v>136</v>
      </c>
      <c r="AQ304" t="s">
        <v>137</v>
      </c>
      <c r="AR304" t="s">
        <v>138</v>
      </c>
      <c r="AS304" t="s">
        <v>139</v>
      </c>
      <c r="AT304" t="s">
        <v>140</v>
      </c>
      <c r="AU304">
        <v>105</v>
      </c>
      <c r="AV304">
        <v>10</v>
      </c>
      <c r="AW304">
        <v>1</v>
      </c>
      <c r="AX304" s="2">
        <v>45810</v>
      </c>
      <c r="AY304" t="s">
        <v>141</v>
      </c>
      <c r="AZ304" s="2">
        <v>46027</v>
      </c>
      <c r="BA304">
        <v>0</v>
      </c>
      <c r="BB304">
        <v>0</v>
      </c>
      <c r="BC304">
        <v>0</v>
      </c>
      <c r="BD304">
        <v>700</v>
      </c>
      <c r="BE304">
        <v>70</v>
      </c>
      <c r="BF304">
        <v>9</v>
      </c>
      <c r="BG304" s="2">
        <v>45536</v>
      </c>
      <c r="BH304" t="s">
        <v>142</v>
      </c>
      <c r="BI304" s="2">
        <v>46026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s="1">
        <v>1450.44</v>
      </c>
      <c r="BQ304" s="1">
        <v>1450.44</v>
      </c>
      <c r="BR304">
        <v>0</v>
      </c>
      <c r="BS304">
        <v>0</v>
      </c>
      <c r="BT304">
        <v>0</v>
      </c>
      <c r="BU304">
        <v>0</v>
      </c>
      <c r="BV304" s="1">
        <v>3424.53</v>
      </c>
      <c r="BW304" s="1">
        <v>3424.53</v>
      </c>
      <c r="BX304">
        <v>0</v>
      </c>
      <c r="BY304">
        <v>0</v>
      </c>
      <c r="BZ304">
        <v>0</v>
      </c>
      <c r="CA304">
        <v>0</v>
      </c>
      <c r="CB304" s="1">
        <v>1455.69</v>
      </c>
      <c r="CC304" t="s">
        <v>161</v>
      </c>
    </row>
    <row r="305" spans="1:81" x14ac:dyDescent="0.25">
      <c r="A305">
        <v>345</v>
      </c>
      <c r="B305">
        <v>2</v>
      </c>
      <c r="C305">
        <v>505</v>
      </c>
      <c r="D305" t="s">
        <v>1787</v>
      </c>
      <c r="E305" t="s">
        <v>121</v>
      </c>
      <c r="F305" t="s">
        <v>1788</v>
      </c>
      <c r="G305" t="s">
        <v>1789</v>
      </c>
      <c r="H305" t="s">
        <v>1790</v>
      </c>
      <c r="I305" t="s">
        <v>125</v>
      </c>
      <c r="J305" t="s">
        <v>126</v>
      </c>
      <c r="K305" t="s">
        <v>336</v>
      </c>
      <c r="L305" t="s">
        <v>128</v>
      </c>
      <c r="M305" t="s">
        <v>337</v>
      </c>
      <c r="N305" t="s">
        <v>1791</v>
      </c>
      <c r="O305" t="s">
        <v>167</v>
      </c>
      <c r="P305">
        <v>0</v>
      </c>
      <c r="Q305" t="s">
        <v>125</v>
      </c>
      <c r="R305">
        <v>6</v>
      </c>
      <c r="S305">
        <v>36</v>
      </c>
      <c r="T305" t="s">
        <v>132</v>
      </c>
      <c r="U305" t="s">
        <v>133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134</v>
      </c>
      <c r="AE305" t="s">
        <v>134</v>
      </c>
      <c r="AF305" s="2">
        <v>45518</v>
      </c>
      <c r="AG305" s="2">
        <v>46017</v>
      </c>
      <c r="AH305">
        <v>649.69000000000005</v>
      </c>
      <c r="AI305">
        <v>996.54</v>
      </c>
      <c r="AJ305" s="1">
        <v>7146.62</v>
      </c>
      <c r="AK305">
        <v>0</v>
      </c>
      <c r="AL305">
        <v>0</v>
      </c>
      <c r="AM305">
        <v>0</v>
      </c>
      <c r="AN305" t="s">
        <v>135</v>
      </c>
      <c r="AO305" t="s">
        <v>135</v>
      </c>
      <c r="AP305" t="s">
        <v>136</v>
      </c>
      <c r="AQ305" t="s">
        <v>137</v>
      </c>
      <c r="AR305" t="s">
        <v>138</v>
      </c>
      <c r="AS305" t="s">
        <v>139</v>
      </c>
      <c r="AT305" t="s">
        <v>140</v>
      </c>
      <c r="AU305">
        <v>101</v>
      </c>
      <c r="AV305">
        <v>10</v>
      </c>
      <c r="AW305">
        <v>1</v>
      </c>
      <c r="AX305" s="2">
        <v>45813</v>
      </c>
      <c r="AY305" t="s">
        <v>308</v>
      </c>
      <c r="AZ305" s="2">
        <v>46023</v>
      </c>
      <c r="BA305">
        <v>0</v>
      </c>
      <c r="BB305">
        <v>0</v>
      </c>
      <c r="BC305">
        <v>0</v>
      </c>
      <c r="BD305">
        <v>700</v>
      </c>
      <c r="BE305">
        <v>70</v>
      </c>
      <c r="BF305">
        <v>9</v>
      </c>
      <c r="BG305" s="2">
        <v>45536</v>
      </c>
      <c r="BH305" t="s">
        <v>142</v>
      </c>
      <c r="BI305" s="2">
        <v>46026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s="1">
        <v>1769.75</v>
      </c>
      <c r="BQ305" s="1">
        <v>1769.75</v>
      </c>
      <c r="BR305">
        <v>0</v>
      </c>
      <c r="BS305">
        <v>0</v>
      </c>
      <c r="BT305">
        <v>0</v>
      </c>
      <c r="BU305">
        <v>0</v>
      </c>
      <c r="BV305" s="1">
        <v>2885.8</v>
      </c>
      <c r="BW305" s="1">
        <v>2885.8</v>
      </c>
      <c r="BX305">
        <v>0</v>
      </c>
      <c r="BY305">
        <v>0</v>
      </c>
      <c r="BZ305">
        <v>0</v>
      </c>
      <c r="CA305">
        <v>0</v>
      </c>
      <c r="CB305" s="1">
        <v>1964.12</v>
      </c>
      <c r="CC305" t="s">
        <v>161</v>
      </c>
    </row>
    <row r="306" spans="1:81" x14ac:dyDescent="0.25">
      <c r="A306">
        <v>345</v>
      </c>
      <c r="B306">
        <v>2</v>
      </c>
      <c r="C306">
        <v>506</v>
      </c>
      <c r="D306" t="s">
        <v>1792</v>
      </c>
      <c r="E306" t="s">
        <v>121</v>
      </c>
      <c r="F306" t="s">
        <v>1432</v>
      </c>
      <c r="G306" t="s">
        <v>1793</v>
      </c>
      <c r="H306" t="s">
        <v>1794</v>
      </c>
      <c r="I306" t="s">
        <v>1795</v>
      </c>
      <c r="J306" t="s">
        <v>126</v>
      </c>
      <c r="K306" t="s">
        <v>336</v>
      </c>
      <c r="L306" t="s">
        <v>128</v>
      </c>
      <c r="M306" t="s">
        <v>337</v>
      </c>
      <c r="N306" t="s">
        <v>1796</v>
      </c>
      <c r="O306" t="s">
        <v>131</v>
      </c>
      <c r="P306">
        <v>0</v>
      </c>
      <c r="Q306" t="s">
        <v>125</v>
      </c>
      <c r="R306">
        <v>6</v>
      </c>
      <c r="S306">
        <v>45</v>
      </c>
      <c r="T306" t="s">
        <v>132</v>
      </c>
      <c r="U306" t="s">
        <v>133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134</v>
      </c>
      <c r="AE306" t="s">
        <v>134</v>
      </c>
      <c r="AF306" s="2">
        <v>45518</v>
      </c>
      <c r="AG306" s="2">
        <v>46013</v>
      </c>
      <c r="AH306">
        <v>28.17</v>
      </c>
      <c r="AI306">
        <v>38.6</v>
      </c>
      <c r="AJ306">
        <v>112.69</v>
      </c>
      <c r="AK306">
        <v>0</v>
      </c>
      <c r="AL306">
        <v>0</v>
      </c>
      <c r="AM306">
        <v>0</v>
      </c>
      <c r="AN306" t="s">
        <v>135</v>
      </c>
      <c r="AO306" t="s">
        <v>135</v>
      </c>
      <c r="AP306" t="s">
        <v>136</v>
      </c>
      <c r="AQ306" t="s">
        <v>137</v>
      </c>
      <c r="AR306" t="s">
        <v>138</v>
      </c>
      <c r="AS306" t="s">
        <v>150</v>
      </c>
      <c r="AT306" t="s">
        <v>140</v>
      </c>
      <c r="AU306">
        <v>101</v>
      </c>
      <c r="AV306">
        <v>10</v>
      </c>
      <c r="AW306">
        <v>1</v>
      </c>
      <c r="AX306" s="2">
        <v>45815</v>
      </c>
      <c r="AY306" t="s">
        <v>160</v>
      </c>
      <c r="AZ306" s="2">
        <v>46025</v>
      </c>
      <c r="BA306">
        <v>0</v>
      </c>
      <c r="BB306">
        <v>0</v>
      </c>
      <c r="BC306">
        <v>0</v>
      </c>
      <c r="BD306">
        <v>700</v>
      </c>
      <c r="BE306">
        <v>70</v>
      </c>
      <c r="BF306">
        <v>9</v>
      </c>
      <c r="BG306" s="2">
        <v>45536</v>
      </c>
      <c r="BH306" t="s">
        <v>142</v>
      </c>
      <c r="BI306" s="2">
        <v>46026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31.39</v>
      </c>
      <c r="BQ306">
        <v>31.39</v>
      </c>
      <c r="BR306">
        <v>0</v>
      </c>
      <c r="BS306">
        <v>0</v>
      </c>
      <c r="BT306">
        <v>0</v>
      </c>
      <c r="BU306">
        <v>0</v>
      </c>
      <c r="BV306">
        <v>68.150000000000006</v>
      </c>
      <c r="BW306">
        <v>68.150000000000006</v>
      </c>
      <c r="BX306">
        <v>0</v>
      </c>
      <c r="BY306">
        <v>0</v>
      </c>
      <c r="BZ306">
        <v>0</v>
      </c>
      <c r="CA306">
        <v>0</v>
      </c>
      <c r="CB306">
        <v>25.86</v>
      </c>
      <c r="CC306" t="s">
        <v>143</v>
      </c>
    </row>
    <row r="307" spans="1:81" x14ac:dyDescent="0.25">
      <c r="A307">
        <v>345</v>
      </c>
      <c r="B307">
        <v>2</v>
      </c>
      <c r="C307">
        <v>507</v>
      </c>
      <c r="D307" t="s">
        <v>1797</v>
      </c>
      <c r="E307" t="s">
        <v>121</v>
      </c>
      <c r="F307" t="s">
        <v>1798</v>
      </c>
      <c r="G307" t="s">
        <v>1799</v>
      </c>
      <c r="H307" t="s">
        <v>1800</v>
      </c>
      <c r="I307" t="s">
        <v>125</v>
      </c>
      <c r="J307" t="s">
        <v>1801</v>
      </c>
      <c r="K307" t="s">
        <v>336</v>
      </c>
      <c r="L307" t="s">
        <v>128</v>
      </c>
      <c r="M307" t="s">
        <v>337</v>
      </c>
      <c r="N307" t="s">
        <v>1802</v>
      </c>
      <c r="O307" t="s">
        <v>131</v>
      </c>
      <c r="P307">
        <v>0</v>
      </c>
      <c r="Q307" t="s">
        <v>125</v>
      </c>
      <c r="R307">
        <v>6</v>
      </c>
      <c r="S307">
        <v>40</v>
      </c>
      <c r="T307" t="s">
        <v>132</v>
      </c>
      <c r="U307" t="s">
        <v>133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134</v>
      </c>
      <c r="AE307" t="s">
        <v>134</v>
      </c>
      <c r="AF307" s="2">
        <v>45518</v>
      </c>
      <c r="AG307" s="2">
        <v>46007</v>
      </c>
      <c r="AH307">
        <v>732.22</v>
      </c>
      <c r="AI307" s="1">
        <v>1109.5</v>
      </c>
      <c r="AJ307" s="1">
        <v>8786.65</v>
      </c>
      <c r="AK307">
        <v>0</v>
      </c>
      <c r="AL307">
        <v>343.8</v>
      </c>
      <c r="AM307">
        <v>0</v>
      </c>
      <c r="AN307" t="s">
        <v>135</v>
      </c>
      <c r="AO307" t="s">
        <v>135</v>
      </c>
      <c r="AP307" t="s">
        <v>136</v>
      </c>
      <c r="AQ307" t="s">
        <v>137</v>
      </c>
      <c r="AR307" t="s">
        <v>138</v>
      </c>
      <c r="AS307" t="s">
        <v>139</v>
      </c>
      <c r="AT307" t="s">
        <v>140</v>
      </c>
      <c r="AU307">
        <v>101</v>
      </c>
      <c r="AV307">
        <v>10</v>
      </c>
      <c r="AW307">
        <v>1</v>
      </c>
      <c r="AX307" s="2">
        <v>45838</v>
      </c>
      <c r="AY307" t="s">
        <v>141</v>
      </c>
      <c r="AZ307" s="2">
        <v>46027</v>
      </c>
      <c r="BA307">
        <v>0</v>
      </c>
      <c r="BB307">
        <v>0</v>
      </c>
      <c r="BC307">
        <v>0</v>
      </c>
      <c r="BD307">
        <v>700</v>
      </c>
      <c r="BE307">
        <v>70</v>
      </c>
      <c r="BF307">
        <v>9</v>
      </c>
      <c r="BG307" s="2">
        <v>45536</v>
      </c>
      <c r="BH307" t="s">
        <v>142</v>
      </c>
      <c r="BI307" s="2">
        <v>46026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s="1">
        <v>2438.29</v>
      </c>
      <c r="BQ307" s="1">
        <v>2438.29</v>
      </c>
      <c r="BR307">
        <v>0</v>
      </c>
      <c r="BS307">
        <v>0</v>
      </c>
      <c r="BT307">
        <v>0</v>
      </c>
      <c r="BU307">
        <v>0</v>
      </c>
      <c r="BV307" s="1">
        <v>3346.34</v>
      </c>
      <c r="BW307" s="1">
        <v>3346.34</v>
      </c>
      <c r="BX307">
        <v>0</v>
      </c>
      <c r="BY307">
        <v>0</v>
      </c>
      <c r="BZ307">
        <v>0</v>
      </c>
      <c r="CA307">
        <v>0</v>
      </c>
      <c r="CB307" s="1">
        <v>2842.58</v>
      </c>
      <c r="CC307" t="s">
        <v>143</v>
      </c>
    </row>
    <row r="308" spans="1:81" x14ac:dyDescent="0.25">
      <c r="A308">
        <v>345</v>
      </c>
      <c r="B308">
        <v>2</v>
      </c>
      <c r="C308">
        <v>508</v>
      </c>
      <c r="D308" t="s">
        <v>1803</v>
      </c>
      <c r="E308" t="s">
        <v>121</v>
      </c>
      <c r="F308" t="s">
        <v>1804</v>
      </c>
      <c r="G308" t="s">
        <v>1805</v>
      </c>
      <c r="H308" t="s">
        <v>1806</v>
      </c>
      <c r="I308" t="s">
        <v>1807</v>
      </c>
      <c r="J308" t="s">
        <v>126</v>
      </c>
      <c r="K308" t="s">
        <v>473</v>
      </c>
      <c r="L308" t="s">
        <v>128</v>
      </c>
      <c r="M308" t="s">
        <v>474</v>
      </c>
      <c r="N308" t="s">
        <v>1808</v>
      </c>
      <c r="O308" t="s">
        <v>149</v>
      </c>
      <c r="P308">
        <v>0</v>
      </c>
      <c r="Q308" t="s">
        <v>125</v>
      </c>
      <c r="R308">
        <v>3</v>
      </c>
      <c r="S308">
        <v>86</v>
      </c>
      <c r="T308" t="s">
        <v>132</v>
      </c>
      <c r="U308" t="s">
        <v>133</v>
      </c>
      <c r="V308" s="1">
        <v>1900</v>
      </c>
      <c r="W308">
        <v>0</v>
      </c>
      <c r="X308" s="1">
        <v>1900</v>
      </c>
      <c r="Y308">
        <v>7</v>
      </c>
      <c r="Z308">
        <v>0</v>
      </c>
      <c r="AA308">
        <v>0</v>
      </c>
      <c r="AB308">
        <v>0</v>
      </c>
      <c r="AC308">
        <v>0</v>
      </c>
      <c r="AD308" t="s">
        <v>234</v>
      </c>
      <c r="AE308" t="s">
        <v>134</v>
      </c>
      <c r="AF308" s="2">
        <v>45518</v>
      </c>
      <c r="AG308" s="2">
        <v>46017</v>
      </c>
      <c r="AH308">
        <v>427.76</v>
      </c>
      <c r="AI308" s="1">
        <v>1261.32</v>
      </c>
      <c r="AJ308" s="1">
        <v>5560.88</v>
      </c>
      <c r="AK308">
        <v>0</v>
      </c>
      <c r="AL308">
        <v>0</v>
      </c>
      <c r="AM308">
        <v>0</v>
      </c>
      <c r="AN308" t="s">
        <v>135</v>
      </c>
      <c r="AO308" t="s">
        <v>135</v>
      </c>
      <c r="AP308" t="s">
        <v>136</v>
      </c>
      <c r="AQ308" t="s">
        <v>137</v>
      </c>
      <c r="AR308" t="s">
        <v>138</v>
      </c>
      <c r="AS308" t="s">
        <v>139</v>
      </c>
      <c r="AT308" t="s">
        <v>140</v>
      </c>
      <c r="AU308">
        <v>102</v>
      </c>
      <c r="AV308">
        <v>10</v>
      </c>
      <c r="AW308">
        <v>1</v>
      </c>
      <c r="AX308" s="2">
        <v>45811</v>
      </c>
      <c r="AY308" t="s">
        <v>377</v>
      </c>
      <c r="AZ308" s="2">
        <v>46028</v>
      </c>
      <c r="BA308">
        <v>0</v>
      </c>
      <c r="BB308">
        <v>0</v>
      </c>
      <c r="BC308">
        <v>0</v>
      </c>
      <c r="BD308">
        <v>700</v>
      </c>
      <c r="BE308">
        <v>70</v>
      </c>
      <c r="BF308">
        <v>9</v>
      </c>
      <c r="BG308" s="2">
        <v>45536</v>
      </c>
      <c r="BH308" t="s">
        <v>142</v>
      </c>
      <c r="BI308" s="2">
        <v>46026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s="1">
        <v>2329.36</v>
      </c>
      <c r="BQ308" s="1">
        <v>2329.36</v>
      </c>
      <c r="BR308">
        <v>0</v>
      </c>
      <c r="BS308">
        <v>0</v>
      </c>
      <c r="BT308">
        <v>0</v>
      </c>
      <c r="BU308">
        <v>0</v>
      </c>
      <c r="BV308" s="1">
        <v>1475.57</v>
      </c>
      <c r="BW308" s="1">
        <v>1475.57</v>
      </c>
      <c r="BX308">
        <v>0</v>
      </c>
      <c r="BY308">
        <v>0</v>
      </c>
      <c r="BZ308">
        <v>0</v>
      </c>
      <c r="CA308">
        <v>0</v>
      </c>
      <c r="CB308" s="1">
        <v>3491.17</v>
      </c>
      <c r="CC308" t="s">
        <v>143</v>
      </c>
    </row>
    <row r="309" spans="1:81" x14ac:dyDescent="0.25">
      <c r="A309">
        <v>345</v>
      </c>
      <c r="B309">
        <v>2</v>
      </c>
      <c r="C309">
        <v>509</v>
      </c>
      <c r="D309" t="s">
        <v>1809</v>
      </c>
      <c r="E309" t="s">
        <v>121</v>
      </c>
      <c r="F309" t="s">
        <v>1810</v>
      </c>
      <c r="G309" t="s">
        <v>1811</v>
      </c>
      <c r="H309" t="s">
        <v>1812</v>
      </c>
      <c r="I309" t="s">
        <v>1813</v>
      </c>
      <c r="J309" t="s">
        <v>1144</v>
      </c>
      <c r="K309" t="s">
        <v>473</v>
      </c>
      <c r="L309" t="s">
        <v>128</v>
      </c>
      <c r="M309" t="s">
        <v>474</v>
      </c>
      <c r="N309" t="s">
        <v>1814</v>
      </c>
      <c r="O309" t="s">
        <v>131</v>
      </c>
      <c r="P309">
        <v>0</v>
      </c>
      <c r="Q309" t="s">
        <v>125</v>
      </c>
      <c r="R309">
        <v>6</v>
      </c>
      <c r="S309">
        <v>40</v>
      </c>
      <c r="T309" t="s">
        <v>132</v>
      </c>
      <c r="U309" t="s">
        <v>133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134</v>
      </c>
      <c r="AE309" t="s">
        <v>134</v>
      </c>
      <c r="AF309" s="2">
        <v>45518</v>
      </c>
      <c r="AG309" s="2">
        <v>46021</v>
      </c>
      <c r="AH309" s="1">
        <v>1002.56</v>
      </c>
      <c r="AI309" s="1">
        <v>1772.82</v>
      </c>
      <c r="AJ309" s="1">
        <v>8020.52</v>
      </c>
      <c r="AK309" s="1">
        <v>1126.9000000000001</v>
      </c>
      <c r="AL309">
        <v>0</v>
      </c>
      <c r="AM309">
        <v>0</v>
      </c>
      <c r="AN309" t="s">
        <v>135</v>
      </c>
      <c r="AO309" t="s">
        <v>135</v>
      </c>
      <c r="AP309" t="s">
        <v>136</v>
      </c>
      <c r="AQ309" t="s">
        <v>137</v>
      </c>
      <c r="AR309" t="s">
        <v>138</v>
      </c>
      <c r="AS309" t="s">
        <v>139</v>
      </c>
      <c r="AT309" t="s">
        <v>140</v>
      </c>
      <c r="AU309">
        <v>105</v>
      </c>
      <c r="AV309">
        <v>10</v>
      </c>
      <c r="AW309">
        <v>1</v>
      </c>
      <c r="AX309" s="2">
        <v>45838</v>
      </c>
      <c r="AY309" t="s">
        <v>141</v>
      </c>
      <c r="AZ309" s="2">
        <v>46027</v>
      </c>
      <c r="BA309">
        <v>0</v>
      </c>
      <c r="BB309">
        <v>0</v>
      </c>
      <c r="BC309">
        <v>0</v>
      </c>
      <c r="BD309">
        <v>700</v>
      </c>
      <c r="BE309">
        <v>70</v>
      </c>
      <c r="BF309">
        <v>9</v>
      </c>
      <c r="BG309" s="2">
        <v>45536</v>
      </c>
      <c r="BH309" t="s">
        <v>142</v>
      </c>
      <c r="BI309" s="2">
        <v>46026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s="1">
        <v>2326.7199999999998</v>
      </c>
      <c r="BQ309" s="1">
        <v>2326.7199999999998</v>
      </c>
      <c r="BR309">
        <v>0</v>
      </c>
      <c r="BS309">
        <v>0</v>
      </c>
      <c r="BT309">
        <v>0</v>
      </c>
      <c r="BU309">
        <v>0</v>
      </c>
      <c r="BV309" s="1">
        <v>4458.01</v>
      </c>
      <c r="BW309" s="1">
        <v>4458.01</v>
      </c>
      <c r="BX309">
        <v>0</v>
      </c>
      <c r="BY309">
        <v>0</v>
      </c>
      <c r="BZ309">
        <v>0</v>
      </c>
      <c r="CA309">
        <v>0</v>
      </c>
      <c r="CB309" s="1">
        <v>2394.69</v>
      </c>
      <c r="CC309" t="s">
        <v>143</v>
      </c>
    </row>
    <row r="310" spans="1:81" x14ac:dyDescent="0.25">
      <c r="A310">
        <v>345</v>
      </c>
      <c r="B310">
        <v>2</v>
      </c>
      <c r="C310">
        <v>510</v>
      </c>
      <c r="D310" t="s">
        <v>1815</v>
      </c>
      <c r="E310" t="s">
        <v>121</v>
      </c>
      <c r="F310" t="s">
        <v>789</v>
      </c>
      <c r="G310" t="s">
        <v>1816</v>
      </c>
      <c r="H310" t="s">
        <v>1817</v>
      </c>
      <c r="I310" t="s">
        <v>1818</v>
      </c>
      <c r="J310" t="s">
        <v>793</v>
      </c>
      <c r="K310" t="s">
        <v>336</v>
      </c>
      <c r="L310" t="s">
        <v>128</v>
      </c>
      <c r="M310" t="s">
        <v>337</v>
      </c>
      <c r="N310" t="s">
        <v>1819</v>
      </c>
      <c r="O310" t="s">
        <v>167</v>
      </c>
      <c r="P310">
        <v>0</v>
      </c>
      <c r="Q310" t="s">
        <v>125</v>
      </c>
      <c r="R310">
        <v>6</v>
      </c>
      <c r="S310">
        <v>35</v>
      </c>
      <c r="T310" t="s">
        <v>132</v>
      </c>
      <c r="U310" t="s">
        <v>133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134</v>
      </c>
      <c r="AE310" t="s">
        <v>134</v>
      </c>
      <c r="AF310" s="2">
        <v>45518</v>
      </c>
      <c r="AG310" s="2">
        <v>45941</v>
      </c>
      <c r="AH310">
        <v>656.83</v>
      </c>
      <c r="AI310">
        <v>796.04</v>
      </c>
      <c r="AJ310" s="1">
        <v>1313.66</v>
      </c>
      <c r="AK310">
        <v>0</v>
      </c>
      <c r="AL310">
        <v>0</v>
      </c>
      <c r="AM310">
        <v>0</v>
      </c>
      <c r="AN310" t="s">
        <v>135</v>
      </c>
      <c r="AO310" t="s">
        <v>135</v>
      </c>
      <c r="AP310" t="s">
        <v>136</v>
      </c>
      <c r="AQ310" t="s">
        <v>137</v>
      </c>
      <c r="AR310" t="s">
        <v>138</v>
      </c>
      <c r="AS310" t="s">
        <v>139</v>
      </c>
      <c r="AT310" t="s">
        <v>140</v>
      </c>
      <c r="AU310">
        <v>104</v>
      </c>
      <c r="AV310">
        <v>10</v>
      </c>
      <c r="AW310">
        <v>1</v>
      </c>
      <c r="AX310" s="2">
        <v>45813</v>
      </c>
      <c r="AY310" t="s">
        <v>308</v>
      </c>
      <c r="AZ310" s="2">
        <v>46023</v>
      </c>
      <c r="BA310">
        <v>0</v>
      </c>
      <c r="BB310">
        <v>0</v>
      </c>
      <c r="BC310">
        <v>0</v>
      </c>
      <c r="BD310">
        <v>700</v>
      </c>
      <c r="BE310">
        <v>70</v>
      </c>
      <c r="BF310">
        <v>9</v>
      </c>
      <c r="BG310" s="2">
        <v>45536</v>
      </c>
      <c r="BH310" t="s">
        <v>142</v>
      </c>
      <c r="BI310" s="2">
        <v>46026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831.29</v>
      </c>
      <c r="CC310" t="s">
        <v>161</v>
      </c>
    </row>
    <row r="311" spans="1:81" x14ac:dyDescent="0.25">
      <c r="A311">
        <v>345</v>
      </c>
      <c r="B311">
        <v>2</v>
      </c>
      <c r="C311">
        <v>512</v>
      </c>
      <c r="D311" t="s">
        <v>1820</v>
      </c>
      <c r="E311" t="s">
        <v>121</v>
      </c>
      <c r="F311" t="s">
        <v>1821</v>
      </c>
      <c r="G311" t="s">
        <v>1822</v>
      </c>
      <c r="H311" t="s">
        <v>1823</v>
      </c>
      <c r="I311" t="s">
        <v>125</v>
      </c>
      <c r="J311" t="s">
        <v>903</v>
      </c>
      <c r="K311" t="s">
        <v>336</v>
      </c>
      <c r="L311" t="s">
        <v>128</v>
      </c>
      <c r="M311" t="s">
        <v>337</v>
      </c>
      <c r="N311" t="s">
        <v>1824</v>
      </c>
      <c r="O311" t="s">
        <v>167</v>
      </c>
      <c r="P311">
        <v>0</v>
      </c>
      <c r="Q311" t="s">
        <v>125</v>
      </c>
      <c r="R311">
        <v>6</v>
      </c>
      <c r="S311">
        <v>37</v>
      </c>
      <c r="T311" t="s">
        <v>132</v>
      </c>
      <c r="U311" t="s">
        <v>133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134</v>
      </c>
      <c r="AE311" t="s">
        <v>134</v>
      </c>
      <c r="AF311" s="2">
        <v>45518</v>
      </c>
      <c r="AG311" s="2">
        <v>46021</v>
      </c>
      <c r="AH311">
        <v>466.81</v>
      </c>
      <c r="AI311">
        <v>632.75</v>
      </c>
      <c r="AJ311" s="1">
        <v>6068.61</v>
      </c>
      <c r="AK311">
        <v>0</v>
      </c>
      <c r="AL311">
        <v>0</v>
      </c>
      <c r="AM311">
        <v>0</v>
      </c>
      <c r="AN311" t="s">
        <v>135</v>
      </c>
      <c r="AO311" t="s">
        <v>135</v>
      </c>
      <c r="AP311" t="s">
        <v>136</v>
      </c>
      <c r="AQ311" t="s">
        <v>137</v>
      </c>
      <c r="AR311" t="s">
        <v>138</v>
      </c>
      <c r="AS311" t="s">
        <v>139</v>
      </c>
      <c r="AT311" t="s">
        <v>140</v>
      </c>
      <c r="AU311">
        <v>101</v>
      </c>
      <c r="AV311">
        <v>10</v>
      </c>
      <c r="AW311">
        <v>1</v>
      </c>
      <c r="AX311" s="2">
        <v>45824</v>
      </c>
      <c r="AY311" t="s">
        <v>141</v>
      </c>
      <c r="AZ311" s="2">
        <v>46027</v>
      </c>
      <c r="BA311">
        <v>0</v>
      </c>
      <c r="BB311">
        <v>0</v>
      </c>
      <c r="BC311">
        <v>0</v>
      </c>
      <c r="BD311">
        <v>700</v>
      </c>
      <c r="BE311">
        <v>70</v>
      </c>
      <c r="BF311">
        <v>9</v>
      </c>
      <c r="BG311" s="2">
        <v>45536</v>
      </c>
      <c r="BH311" t="s">
        <v>142</v>
      </c>
      <c r="BI311" s="2">
        <v>46026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 s="1">
        <v>1822.38</v>
      </c>
      <c r="BQ311" s="1">
        <v>1822.38</v>
      </c>
      <c r="BR311">
        <v>0</v>
      </c>
      <c r="BS311">
        <v>0</v>
      </c>
      <c r="BT311">
        <v>0</v>
      </c>
      <c r="BU311">
        <v>0</v>
      </c>
      <c r="BV311" s="1">
        <v>2654.54</v>
      </c>
      <c r="BW311" s="1">
        <v>2654.54</v>
      </c>
      <c r="BX311">
        <v>0</v>
      </c>
      <c r="BY311">
        <v>0</v>
      </c>
      <c r="BZ311">
        <v>0</v>
      </c>
      <c r="CA311">
        <v>0</v>
      </c>
      <c r="CB311" s="1">
        <v>1841.98</v>
      </c>
      <c r="CC311" t="s">
        <v>161</v>
      </c>
    </row>
    <row r="312" spans="1:81" x14ac:dyDescent="0.25">
      <c r="A312">
        <v>345</v>
      </c>
      <c r="B312">
        <v>2</v>
      </c>
      <c r="C312">
        <v>513</v>
      </c>
      <c r="D312" t="s">
        <v>1825</v>
      </c>
      <c r="E312" t="s">
        <v>121</v>
      </c>
      <c r="F312" t="s">
        <v>1826</v>
      </c>
      <c r="G312" t="s">
        <v>1827</v>
      </c>
      <c r="H312" t="s">
        <v>1828</v>
      </c>
      <c r="I312" t="s">
        <v>1829</v>
      </c>
      <c r="J312" t="s">
        <v>1223</v>
      </c>
      <c r="K312" t="s">
        <v>466</v>
      </c>
      <c r="L312" t="s">
        <v>128</v>
      </c>
      <c r="M312" t="s">
        <v>467</v>
      </c>
      <c r="N312" t="s">
        <v>1830</v>
      </c>
      <c r="O312" t="s">
        <v>167</v>
      </c>
      <c r="P312">
        <v>0</v>
      </c>
      <c r="Q312" t="s">
        <v>125</v>
      </c>
      <c r="R312">
        <v>6</v>
      </c>
      <c r="S312">
        <v>34</v>
      </c>
      <c r="T312" t="s">
        <v>132</v>
      </c>
      <c r="U312" t="s">
        <v>133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134</v>
      </c>
      <c r="AE312" t="s">
        <v>134</v>
      </c>
      <c r="AF312" s="2">
        <v>45518</v>
      </c>
      <c r="AG312" s="2">
        <v>46014</v>
      </c>
      <c r="AH312">
        <v>699.65</v>
      </c>
      <c r="AI312">
        <v>932.6</v>
      </c>
      <c r="AJ312" s="1">
        <v>5597.25</v>
      </c>
      <c r="AK312">
        <v>0</v>
      </c>
      <c r="AL312">
        <v>932.6</v>
      </c>
      <c r="AM312">
        <v>0</v>
      </c>
      <c r="AN312" t="s">
        <v>135</v>
      </c>
      <c r="AO312" t="s">
        <v>135</v>
      </c>
      <c r="AP312" t="s">
        <v>136</v>
      </c>
      <c r="AQ312" t="s">
        <v>137</v>
      </c>
      <c r="AR312" t="s">
        <v>138</v>
      </c>
      <c r="AS312" t="s">
        <v>139</v>
      </c>
      <c r="AT312" t="s">
        <v>140</v>
      </c>
      <c r="AU312">
        <v>100</v>
      </c>
      <c r="AV312">
        <v>10</v>
      </c>
      <c r="AW312">
        <v>1</v>
      </c>
      <c r="AX312" s="2">
        <v>45859</v>
      </c>
      <c r="AY312" t="s">
        <v>141</v>
      </c>
      <c r="AZ312" s="2">
        <v>46027</v>
      </c>
      <c r="BA312">
        <v>0</v>
      </c>
      <c r="BB312">
        <v>0</v>
      </c>
      <c r="BC312">
        <v>0</v>
      </c>
      <c r="BD312">
        <v>700</v>
      </c>
      <c r="BE312">
        <v>70</v>
      </c>
      <c r="BF312">
        <v>9</v>
      </c>
      <c r="BG312" s="2">
        <v>45536</v>
      </c>
      <c r="BH312" t="s">
        <v>142</v>
      </c>
      <c r="BI312" s="2">
        <v>46026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s="1">
        <v>1302.72</v>
      </c>
      <c r="BQ312" s="1">
        <v>1302.72</v>
      </c>
      <c r="BR312">
        <v>0</v>
      </c>
      <c r="BS312">
        <v>0</v>
      </c>
      <c r="BT312">
        <v>0</v>
      </c>
      <c r="BU312">
        <v>0</v>
      </c>
      <c r="BV312" s="1">
        <v>2944.53</v>
      </c>
      <c r="BW312" s="1">
        <v>2944.53</v>
      </c>
      <c r="BX312">
        <v>0</v>
      </c>
      <c r="BY312">
        <v>0</v>
      </c>
      <c r="BZ312">
        <v>0</v>
      </c>
      <c r="CA312">
        <v>0</v>
      </c>
      <c r="CB312" s="1">
        <v>1448.32</v>
      </c>
      <c r="CC312" t="s">
        <v>161</v>
      </c>
    </row>
    <row r="313" spans="1:81" x14ac:dyDescent="0.25">
      <c r="A313">
        <v>345</v>
      </c>
      <c r="B313">
        <v>2</v>
      </c>
      <c r="C313">
        <v>514</v>
      </c>
      <c r="D313" t="s">
        <v>1831</v>
      </c>
      <c r="E313" t="s">
        <v>121</v>
      </c>
      <c r="F313" t="s">
        <v>1832</v>
      </c>
      <c r="G313" t="s">
        <v>1833</v>
      </c>
      <c r="H313" t="s">
        <v>1834</v>
      </c>
      <c r="I313" t="s">
        <v>125</v>
      </c>
      <c r="J313" t="s">
        <v>915</v>
      </c>
      <c r="K313" t="s">
        <v>473</v>
      </c>
      <c r="L313" t="s">
        <v>128</v>
      </c>
      <c r="M313" t="s">
        <v>474</v>
      </c>
      <c r="N313" t="s">
        <v>1835</v>
      </c>
      <c r="O313" t="s">
        <v>167</v>
      </c>
      <c r="P313">
        <v>0</v>
      </c>
      <c r="Q313" t="s">
        <v>125</v>
      </c>
      <c r="R313">
        <v>6</v>
      </c>
      <c r="S313">
        <v>40</v>
      </c>
      <c r="T313" t="s">
        <v>132</v>
      </c>
      <c r="U313" t="s">
        <v>133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134</v>
      </c>
      <c r="AE313" t="s">
        <v>134</v>
      </c>
      <c r="AF313" s="2">
        <v>45518</v>
      </c>
      <c r="AG313" s="2">
        <v>46001</v>
      </c>
      <c r="AH313">
        <v>438.57</v>
      </c>
      <c r="AI313">
        <v>945.71</v>
      </c>
      <c r="AJ313" s="1">
        <v>3508.6</v>
      </c>
      <c r="AK313">
        <v>0</v>
      </c>
      <c r="AL313">
        <v>945.71</v>
      </c>
      <c r="AM313">
        <v>0</v>
      </c>
      <c r="AN313" t="s">
        <v>135</v>
      </c>
      <c r="AO313" t="s">
        <v>135</v>
      </c>
      <c r="AP313" t="s">
        <v>136</v>
      </c>
      <c r="AQ313" t="s">
        <v>137</v>
      </c>
      <c r="AR313" t="s">
        <v>138</v>
      </c>
      <c r="AS313" t="s">
        <v>150</v>
      </c>
      <c r="AT313" t="s">
        <v>140</v>
      </c>
      <c r="AU313">
        <v>102</v>
      </c>
      <c r="AV313">
        <v>10</v>
      </c>
      <c r="AW313">
        <v>1</v>
      </c>
      <c r="AX313" s="2">
        <v>45846</v>
      </c>
      <c r="AY313" t="s">
        <v>377</v>
      </c>
      <c r="AZ313" s="2">
        <v>46028</v>
      </c>
      <c r="BA313">
        <v>0</v>
      </c>
      <c r="BB313">
        <v>0</v>
      </c>
      <c r="BC313">
        <v>0</v>
      </c>
      <c r="BD313">
        <v>700</v>
      </c>
      <c r="BE313">
        <v>70</v>
      </c>
      <c r="BF313">
        <v>9</v>
      </c>
      <c r="BG313" s="2">
        <v>45536</v>
      </c>
      <c r="BH313" t="s">
        <v>142</v>
      </c>
      <c r="BI313" s="2">
        <v>46026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887.57</v>
      </c>
      <c r="BQ313">
        <v>887.57</v>
      </c>
      <c r="BR313">
        <v>0</v>
      </c>
      <c r="BS313">
        <v>0</v>
      </c>
      <c r="BT313">
        <v>0</v>
      </c>
      <c r="BU313">
        <v>0</v>
      </c>
      <c r="BV313" s="1">
        <v>1871.16</v>
      </c>
      <c r="BW313" s="1">
        <v>1871.16</v>
      </c>
      <c r="BX313">
        <v>0</v>
      </c>
      <c r="BY313">
        <v>0</v>
      </c>
      <c r="BZ313">
        <v>0</v>
      </c>
      <c r="CA313">
        <v>0</v>
      </c>
      <c r="CB313">
        <v>776.24</v>
      </c>
      <c r="CC313" t="s">
        <v>161</v>
      </c>
    </row>
    <row r="314" spans="1:81" x14ac:dyDescent="0.25">
      <c r="A314">
        <v>345</v>
      </c>
      <c r="B314">
        <v>2</v>
      </c>
      <c r="C314">
        <v>515</v>
      </c>
      <c r="D314" t="s">
        <v>1836</v>
      </c>
      <c r="E314" t="s">
        <v>121</v>
      </c>
      <c r="F314" t="s">
        <v>1837</v>
      </c>
      <c r="G314" t="s">
        <v>1838</v>
      </c>
      <c r="H314" t="s">
        <v>1839</v>
      </c>
      <c r="I314" t="s">
        <v>1840</v>
      </c>
      <c r="J314" t="s">
        <v>1375</v>
      </c>
      <c r="K314" t="s">
        <v>473</v>
      </c>
      <c r="L314" t="s">
        <v>128</v>
      </c>
      <c r="M314" t="s">
        <v>474</v>
      </c>
      <c r="N314" t="s">
        <v>1841</v>
      </c>
      <c r="O314" t="s">
        <v>131</v>
      </c>
      <c r="P314">
        <v>0</v>
      </c>
      <c r="Q314" t="s">
        <v>125</v>
      </c>
      <c r="R314">
        <v>6</v>
      </c>
      <c r="S314">
        <v>41</v>
      </c>
      <c r="T314" t="s">
        <v>132</v>
      </c>
      <c r="U314" t="s">
        <v>133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134</v>
      </c>
      <c r="AE314" t="s">
        <v>134</v>
      </c>
      <c r="AF314" s="2">
        <v>45518</v>
      </c>
      <c r="AG314" s="2">
        <v>46017</v>
      </c>
      <c r="AH314" s="1">
        <v>3760.09</v>
      </c>
      <c r="AI314" s="1">
        <v>8226</v>
      </c>
      <c r="AJ314" s="1">
        <v>33840.870000000003</v>
      </c>
      <c r="AK314">
        <v>0</v>
      </c>
      <c r="AL314">
        <v>0</v>
      </c>
      <c r="AM314">
        <v>0</v>
      </c>
      <c r="AN314" t="s">
        <v>135</v>
      </c>
      <c r="AO314" t="s">
        <v>135</v>
      </c>
      <c r="AP314" t="s">
        <v>136</v>
      </c>
      <c r="AQ314" t="s">
        <v>137</v>
      </c>
      <c r="AR314" t="s">
        <v>138</v>
      </c>
      <c r="AS314" t="s">
        <v>139</v>
      </c>
      <c r="AT314" t="s">
        <v>140</v>
      </c>
      <c r="AU314">
        <v>102</v>
      </c>
      <c r="AV314">
        <v>10</v>
      </c>
      <c r="AW314">
        <v>1</v>
      </c>
      <c r="AX314" s="2">
        <v>45846</v>
      </c>
      <c r="AY314" t="s">
        <v>377</v>
      </c>
      <c r="AZ314" s="2">
        <v>46028</v>
      </c>
      <c r="BA314">
        <v>0</v>
      </c>
      <c r="BB314">
        <v>0</v>
      </c>
      <c r="BC314">
        <v>0</v>
      </c>
      <c r="BD314">
        <v>700</v>
      </c>
      <c r="BE314">
        <v>70</v>
      </c>
      <c r="BF314">
        <v>9</v>
      </c>
      <c r="BG314" s="2">
        <v>45536</v>
      </c>
      <c r="BH314" t="s">
        <v>142</v>
      </c>
      <c r="BI314" s="2">
        <v>46026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s="1">
        <v>12065.1</v>
      </c>
      <c r="BQ314" s="1">
        <v>12065.1</v>
      </c>
      <c r="BR314">
        <v>0</v>
      </c>
      <c r="BS314">
        <v>0</v>
      </c>
      <c r="BT314">
        <v>0</v>
      </c>
      <c r="BU314">
        <v>0</v>
      </c>
      <c r="BV314" s="1">
        <v>12092.07</v>
      </c>
      <c r="BW314" s="1">
        <v>12092.07</v>
      </c>
      <c r="BX314">
        <v>0</v>
      </c>
      <c r="BY314">
        <v>0</v>
      </c>
      <c r="BZ314">
        <v>0</v>
      </c>
      <c r="CA314">
        <v>0</v>
      </c>
      <c r="CB314" s="1">
        <v>11307.06</v>
      </c>
      <c r="CC314" t="s">
        <v>143</v>
      </c>
    </row>
    <row r="315" spans="1:81" x14ac:dyDescent="0.25">
      <c r="A315">
        <v>345</v>
      </c>
      <c r="B315">
        <v>2</v>
      </c>
      <c r="C315">
        <v>516</v>
      </c>
      <c r="D315" t="s">
        <v>1842</v>
      </c>
      <c r="E315" t="s">
        <v>121</v>
      </c>
      <c r="F315" t="s">
        <v>1843</v>
      </c>
      <c r="G315" t="s">
        <v>1844</v>
      </c>
      <c r="H315" t="s">
        <v>1845</v>
      </c>
      <c r="I315" t="s">
        <v>1846</v>
      </c>
      <c r="J315" t="s">
        <v>858</v>
      </c>
      <c r="K315" t="s">
        <v>336</v>
      </c>
      <c r="L315" t="s">
        <v>128</v>
      </c>
      <c r="M315" t="s">
        <v>337</v>
      </c>
      <c r="N315" t="s">
        <v>1847</v>
      </c>
      <c r="O315" t="s">
        <v>131</v>
      </c>
      <c r="P315">
        <v>0</v>
      </c>
      <c r="Q315" t="s">
        <v>125</v>
      </c>
      <c r="R315">
        <v>6</v>
      </c>
      <c r="S315">
        <v>39</v>
      </c>
      <c r="T315" t="s">
        <v>132</v>
      </c>
      <c r="U315" t="s">
        <v>133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134</v>
      </c>
      <c r="AE315" t="s">
        <v>134</v>
      </c>
      <c r="AF315" s="2">
        <v>45518</v>
      </c>
      <c r="AG315" s="2">
        <v>46014</v>
      </c>
      <c r="AH315" s="1">
        <v>1383.93</v>
      </c>
      <c r="AI315" s="1">
        <v>2104.7199999999998</v>
      </c>
      <c r="AJ315" s="1">
        <v>8303.6</v>
      </c>
      <c r="AK315">
        <v>0</v>
      </c>
      <c r="AL315">
        <v>0</v>
      </c>
      <c r="AM315">
        <v>0</v>
      </c>
      <c r="AN315" t="s">
        <v>135</v>
      </c>
      <c r="AO315" t="s">
        <v>135</v>
      </c>
      <c r="AP315" t="s">
        <v>136</v>
      </c>
      <c r="AQ315" t="s">
        <v>137</v>
      </c>
      <c r="AR315" t="s">
        <v>138</v>
      </c>
      <c r="AS315" t="s">
        <v>139</v>
      </c>
      <c r="AT315" t="s">
        <v>140</v>
      </c>
      <c r="AU315">
        <v>501</v>
      </c>
      <c r="AV315">
        <v>10</v>
      </c>
      <c r="AW315">
        <v>1</v>
      </c>
      <c r="AX315" s="2">
        <v>45859</v>
      </c>
      <c r="AY315" t="s">
        <v>141</v>
      </c>
      <c r="AZ315" s="2">
        <v>46027</v>
      </c>
      <c r="BA315">
        <v>0</v>
      </c>
      <c r="BB315">
        <v>0</v>
      </c>
      <c r="BC315">
        <v>0</v>
      </c>
      <c r="BD315">
        <v>700</v>
      </c>
      <c r="BE315">
        <v>70</v>
      </c>
      <c r="BF315">
        <v>9</v>
      </c>
      <c r="BG315" s="2">
        <v>45536</v>
      </c>
      <c r="BH315" t="s">
        <v>142</v>
      </c>
      <c r="BI315" s="2">
        <v>46026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s="1">
        <v>3156.63</v>
      </c>
      <c r="BQ315" s="1">
        <v>3156.63</v>
      </c>
      <c r="BR315">
        <v>0</v>
      </c>
      <c r="BS315">
        <v>0</v>
      </c>
      <c r="BT315">
        <v>0</v>
      </c>
      <c r="BU315">
        <v>0</v>
      </c>
      <c r="BV315" s="1">
        <v>2600.89</v>
      </c>
      <c r="BW315" s="1">
        <v>2600.89</v>
      </c>
      <c r="BX315">
        <v>0</v>
      </c>
      <c r="BY315">
        <v>0</v>
      </c>
      <c r="BZ315">
        <v>0</v>
      </c>
      <c r="CA315">
        <v>0</v>
      </c>
      <c r="CB315" s="1">
        <v>4356.12</v>
      </c>
      <c r="CC315" t="s">
        <v>143</v>
      </c>
    </row>
    <row r="316" spans="1:81" x14ac:dyDescent="0.25">
      <c r="A316">
        <v>345</v>
      </c>
      <c r="B316">
        <v>2</v>
      </c>
      <c r="C316">
        <v>517</v>
      </c>
      <c r="D316" t="s">
        <v>1848</v>
      </c>
      <c r="E316" t="s">
        <v>121</v>
      </c>
      <c r="F316" t="s">
        <v>1849</v>
      </c>
      <c r="G316" t="s">
        <v>1849</v>
      </c>
      <c r="H316" t="s">
        <v>1850</v>
      </c>
      <c r="I316" t="s">
        <v>1851</v>
      </c>
      <c r="J316" t="s">
        <v>1852</v>
      </c>
      <c r="K316" t="s">
        <v>1853</v>
      </c>
      <c r="L316" t="s">
        <v>128</v>
      </c>
      <c r="M316" t="s">
        <v>1854</v>
      </c>
      <c r="N316" t="s">
        <v>1855</v>
      </c>
      <c r="O316" t="s">
        <v>131</v>
      </c>
      <c r="P316">
        <v>0</v>
      </c>
      <c r="Q316" t="s">
        <v>125</v>
      </c>
      <c r="R316">
        <v>3</v>
      </c>
      <c r="S316">
        <v>84</v>
      </c>
      <c r="T316" t="s">
        <v>132</v>
      </c>
      <c r="U316" t="s">
        <v>133</v>
      </c>
      <c r="V316" s="1">
        <v>1295</v>
      </c>
      <c r="W316">
        <v>0</v>
      </c>
      <c r="X316" s="1">
        <v>1295</v>
      </c>
      <c r="Y316">
        <v>7</v>
      </c>
      <c r="Z316">
        <v>0</v>
      </c>
      <c r="AA316">
        <v>0</v>
      </c>
      <c r="AB316">
        <v>0</v>
      </c>
      <c r="AC316">
        <v>0</v>
      </c>
      <c r="AD316" t="s">
        <v>134</v>
      </c>
      <c r="AE316" t="s">
        <v>134</v>
      </c>
      <c r="AF316" s="2">
        <v>45518</v>
      </c>
      <c r="AG316" s="2">
        <v>46008</v>
      </c>
      <c r="AH316">
        <v>795.83</v>
      </c>
      <c r="AI316" s="1">
        <v>1315.53</v>
      </c>
      <c r="AJ316" s="1">
        <v>5570.84</v>
      </c>
      <c r="AK316">
        <v>0</v>
      </c>
      <c r="AL316">
        <v>0</v>
      </c>
      <c r="AM316">
        <v>0</v>
      </c>
      <c r="AN316" t="s">
        <v>135</v>
      </c>
      <c r="AO316" t="s">
        <v>135</v>
      </c>
      <c r="AP316" t="s">
        <v>136</v>
      </c>
      <c r="AQ316" t="s">
        <v>137</v>
      </c>
      <c r="AR316" t="s">
        <v>138</v>
      </c>
      <c r="AS316" t="s">
        <v>150</v>
      </c>
      <c r="AT316" t="s">
        <v>140</v>
      </c>
      <c r="AU316">
        <v>100</v>
      </c>
      <c r="AV316">
        <v>10</v>
      </c>
      <c r="AW316">
        <v>1</v>
      </c>
      <c r="AX316" s="2">
        <v>45769</v>
      </c>
      <c r="AY316" t="s">
        <v>377</v>
      </c>
      <c r="AZ316" s="2">
        <v>46028</v>
      </c>
      <c r="BA316">
        <v>0</v>
      </c>
      <c r="BB316">
        <v>0</v>
      </c>
      <c r="BC316">
        <v>0</v>
      </c>
      <c r="BD316">
        <v>700</v>
      </c>
      <c r="BE316">
        <v>70</v>
      </c>
      <c r="BF316">
        <v>9</v>
      </c>
      <c r="BG316" s="2">
        <v>45809</v>
      </c>
      <c r="BH316" t="s">
        <v>142</v>
      </c>
      <c r="BI316" s="2">
        <v>46026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s="1">
        <v>1767.89</v>
      </c>
      <c r="BQ316" s="1">
        <v>1767.89</v>
      </c>
      <c r="BR316">
        <v>0</v>
      </c>
      <c r="BS316">
        <v>0</v>
      </c>
      <c r="BT316">
        <v>0</v>
      </c>
      <c r="BU316">
        <v>0</v>
      </c>
      <c r="BV316" s="1">
        <v>1615.5</v>
      </c>
      <c r="BW316" s="1">
        <v>1615.5</v>
      </c>
      <c r="BX316">
        <v>0</v>
      </c>
      <c r="BY316">
        <v>0</v>
      </c>
      <c r="BZ316">
        <v>0</v>
      </c>
      <c r="CA316">
        <v>0</v>
      </c>
      <c r="CB316" s="1">
        <v>1526.49</v>
      </c>
      <c r="CC316" t="s">
        <v>143</v>
      </c>
    </row>
    <row r="317" spans="1:81" x14ac:dyDescent="0.25">
      <c r="A317">
        <v>345</v>
      </c>
      <c r="B317">
        <v>2</v>
      </c>
      <c r="C317">
        <v>518</v>
      </c>
      <c r="D317" t="s">
        <v>1856</v>
      </c>
      <c r="E317" t="s">
        <v>121</v>
      </c>
      <c r="F317" t="s">
        <v>1857</v>
      </c>
      <c r="G317" t="s">
        <v>1858</v>
      </c>
      <c r="H317" t="s">
        <v>1859</v>
      </c>
      <c r="I317" t="s">
        <v>1860</v>
      </c>
      <c r="J317" t="s">
        <v>1861</v>
      </c>
      <c r="K317" t="s">
        <v>336</v>
      </c>
      <c r="L317" t="s">
        <v>128</v>
      </c>
      <c r="M317" t="s">
        <v>337</v>
      </c>
      <c r="N317" t="s">
        <v>1862</v>
      </c>
      <c r="O317" t="s">
        <v>167</v>
      </c>
      <c r="P317">
        <v>0</v>
      </c>
      <c r="Q317" t="s">
        <v>125</v>
      </c>
      <c r="R317">
        <v>6</v>
      </c>
      <c r="S317">
        <v>37</v>
      </c>
      <c r="T317" t="s">
        <v>132</v>
      </c>
      <c r="U317" t="s">
        <v>133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134</v>
      </c>
      <c r="AE317" t="s">
        <v>134</v>
      </c>
      <c r="AF317" s="2">
        <v>45518</v>
      </c>
      <c r="AG317" s="2">
        <v>46018</v>
      </c>
      <c r="AH317">
        <v>894.65</v>
      </c>
      <c r="AI317" s="1">
        <v>1170.97</v>
      </c>
      <c r="AJ317" s="1">
        <v>3578.63</v>
      </c>
      <c r="AK317">
        <v>0</v>
      </c>
      <c r="AL317">
        <v>0</v>
      </c>
      <c r="AM317">
        <v>0</v>
      </c>
      <c r="AN317" t="s">
        <v>135</v>
      </c>
      <c r="AO317" t="s">
        <v>135</v>
      </c>
      <c r="AP317" t="s">
        <v>136</v>
      </c>
      <c r="AQ317" t="s">
        <v>137</v>
      </c>
      <c r="AR317" t="s">
        <v>138</v>
      </c>
      <c r="AS317" t="s">
        <v>150</v>
      </c>
      <c r="AT317" t="s">
        <v>140</v>
      </c>
      <c r="AU317">
        <v>101</v>
      </c>
      <c r="AV317">
        <v>10</v>
      </c>
      <c r="AW317">
        <v>1</v>
      </c>
      <c r="AX317" s="2">
        <v>45812</v>
      </c>
      <c r="AY317" t="s">
        <v>168</v>
      </c>
      <c r="AZ317" s="2">
        <v>46022</v>
      </c>
      <c r="BA317">
        <v>0</v>
      </c>
      <c r="BB317">
        <v>0</v>
      </c>
      <c r="BC317">
        <v>0</v>
      </c>
      <c r="BD317">
        <v>700</v>
      </c>
      <c r="BE317">
        <v>70</v>
      </c>
      <c r="BF317">
        <v>9</v>
      </c>
      <c r="BG317" s="2">
        <v>45536</v>
      </c>
      <c r="BH317" t="s">
        <v>142</v>
      </c>
      <c r="BI317" s="2">
        <v>46026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658.02</v>
      </c>
      <c r="BQ317">
        <v>658.02</v>
      </c>
      <c r="BR317">
        <v>0</v>
      </c>
      <c r="BS317">
        <v>0</v>
      </c>
      <c r="BT317">
        <v>0</v>
      </c>
      <c r="BU317">
        <v>0</v>
      </c>
      <c r="BV317" s="1">
        <v>1749.64</v>
      </c>
      <c r="BW317" s="1">
        <v>1749.64</v>
      </c>
      <c r="BX317">
        <v>0</v>
      </c>
      <c r="BY317">
        <v>0</v>
      </c>
      <c r="BZ317">
        <v>0</v>
      </c>
      <c r="CA317">
        <v>0</v>
      </c>
      <c r="CB317">
        <v>807.33</v>
      </c>
      <c r="CC317" t="s">
        <v>161</v>
      </c>
    </row>
    <row r="318" spans="1:81" x14ac:dyDescent="0.25">
      <c r="A318">
        <v>345</v>
      </c>
      <c r="B318">
        <v>2</v>
      </c>
      <c r="C318">
        <v>519</v>
      </c>
      <c r="D318" t="s">
        <v>1863</v>
      </c>
      <c r="E318" t="s">
        <v>121</v>
      </c>
      <c r="F318" t="s">
        <v>1864</v>
      </c>
      <c r="G318" t="s">
        <v>1865</v>
      </c>
      <c r="H318" t="s">
        <v>1866</v>
      </c>
      <c r="I318" t="s">
        <v>125</v>
      </c>
      <c r="J318" t="s">
        <v>667</v>
      </c>
      <c r="K318" t="s">
        <v>336</v>
      </c>
      <c r="L318" t="s">
        <v>128</v>
      </c>
      <c r="M318" t="s">
        <v>337</v>
      </c>
      <c r="N318" t="s">
        <v>1867</v>
      </c>
      <c r="O318" t="s">
        <v>167</v>
      </c>
      <c r="P318">
        <v>0</v>
      </c>
      <c r="Q318" t="s">
        <v>125</v>
      </c>
      <c r="R318">
        <v>6</v>
      </c>
      <c r="S318">
        <v>35</v>
      </c>
      <c r="T318" t="s">
        <v>132</v>
      </c>
      <c r="U318" t="s">
        <v>133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134</v>
      </c>
      <c r="AE318" t="s">
        <v>134</v>
      </c>
      <c r="AF318" s="2">
        <v>45518</v>
      </c>
      <c r="AG318" s="2">
        <v>46018</v>
      </c>
      <c r="AH318">
        <v>652.88</v>
      </c>
      <c r="AI318">
        <v>889.5</v>
      </c>
      <c r="AJ318" s="1">
        <v>4570.2</v>
      </c>
      <c r="AK318">
        <v>0</v>
      </c>
      <c r="AL318">
        <v>0</v>
      </c>
      <c r="AM318">
        <v>0</v>
      </c>
      <c r="AN318" t="s">
        <v>135</v>
      </c>
      <c r="AO318" t="s">
        <v>135</v>
      </c>
      <c r="AP318" t="s">
        <v>136</v>
      </c>
      <c r="AQ318" t="s">
        <v>137</v>
      </c>
      <c r="AR318" t="s">
        <v>138</v>
      </c>
      <c r="AS318" t="s">
        <v>139</v>
      </c>
      <c r="AT318" t="s">
        <v>140</v>
      </c>
      <c r="AU318">
        <v>101</v>
      </c>
      <c r="AV318">
        <v>10</v>
      </c>
      <c r="AW318">
        <v>1</v>
      </c>
      <c r="AX318" s="2">
        <v>45812</v>
      </c>
      <c r="AY318" t="s">
        <v>168</v>
      </c>
      <c r="AZ318" s="2">
        <v>46022</v>
      </c>
      <c r="BA318">
        <v>0</v>
      </c>
      <c r="BB318">
        <v>0</v>
      </c>
      <c r="BC318">
        <v>0</v>
      </c>
      <c r="BD318">
        <v>700</v>
      </c>
      <c r="BE318">
        <v>70</v>
      </c>
      <c r="BF318">
        <v>9</v>
      </c>
      <c r="BG318" s="2">
        <v>45536</v>
      </c>
      <c r="BH318" t="s">
        <v>142</v>
      </c>
      <c r="BI318" s="2">
        <v>46026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s="1">
        <v>1116.6500000000001</v>
      </c>
      <c r="BQ318" s="1">
        <v>1116.6500000000001</v>
      </c>
      <c r="BR318">
        <v>0</v>
      </c>
      <c r="BS318">
        <v>0</v>
      </c>
      <c r="BT318">
        <v>0</v>
      </c>
      <c r="BU318">
        <v>0</v>
      </c>
      <c r="BV318" s="1">
        <v>2898.55</v>
      </c>
      <c r="BW318" s="1">
        <v>2898.55</v>
      </c>
      <c r="BX318">
        <v>0</v>
      </c>
      <c r="BY318">
        <v>0</v>
      </c>
      <c r="BZ318">
        <v>0</v>
      </c>
      <c r="CA318">
        <v>0</v>
      </c>
      <c r="CB318" s="1">
        <v>1158.67</v>
      </c>
      <c r="CC318" t="s">
        <v>161</v>
      </c>
    </row>
    <row r="319" spans="1:81" x14ac:dyDescent="0.25">
      <c r="A319">
        <v>345</v>
      </c>
      <c r="B319">
        <v>2</v>
      </c>
      <c r="C319">
        <v>520</v>
      </c>
      <c r="D319" t="s">
        <v>1868</v>
      </c>
      <c r="E319" t="s">
        <v>121</v>
      </c>
      <c r="F319" t="s">
        <v>1869</v>
      </c>
      <c r="G319" t="s">
        <v>1870</v>
      </c>
      <c r="H319" t="s">
        <v>1871</v>
      </c>
      <c r="I319" t="s">
        <v>125</v>
      </c>
      <c r="J319" t="s">
        <v>897</v>
      </c>
      <c r="K319" t="s">
        <v>473</v>
      </c>
      <c r="L319" t="s">
        <v>128</v>
      </c>
      <c r="M319" t="s">
        <v>474</v>
      </c>
      <c r="N319" t="s">
        <v>1872</v>
      </c>
      <c r="O319" t="s">
        <v>149</v>
      </c>
      <c r="P319">
        <v>0</v>
      </c>
      <c r="Q319" t="s">
        <v>125</v>
      </c>
      <c r="R319">
        <v>6</v>
      </c>
      <c r="S319">
        <v>38</v>
      </c>
      <c r="T319" t="s">
        <v>132</v>
      </c>
      <c r="U319" t="s">
        <v>133</v>
      </c>
      <c r="V319" s="1">
        <v>12600</v>
      </c>
      <c r="W319">
        <v>0</v>
      </c>
      <c r="X319" s="1">
        <v>12600</v>
      </c>
      <c r="Y319">
        <v>7</v>
      </c>
      <c r="Z319">
        <v>0</v>
      </c>
      <c r="AA319">
        <v>0</v>
      </c>
      <c r="AB319">
        <v>0</v>
      </c>
      <c r="AC319">
        <v>0</v>
      </c>
      <c r="AD319" t="s">
        <v>134</v>
      </c>
      <c r="AE319" t="s">
        <v>134</v>
      </c>
      <c r="AF319" s="2">
        <v>45518</v>
      </c>
      <c r="AG319" s="2">
        <v>46017</v>
      </c>
      <c r="AH319" s="1">
        <v>4245.2</v>
      </c>
      <c r="AI319" s="1">
        <v>8365.7999999999993</v>
      </c>
      <c r="AJ319" s="1">
        <v>29716.44</v>
      </c>
      <c r="AK319">
        <v>0</v>
      </c>
      <c r="AL319">
        <v>0</v>
      </c>
      <c r="AM319">
        <v>0</v>
      </c>
      <c r="AN319" t="s">
        <v>135</v>
      </c>
      <c r="AO319" t="s">
        <v>135</v>
      </c>
      <c r="AP319" t="s">
        <v>136</v>
      </c>
      <c r="AQ319" t="s">
        <v>137</v>
      </c>
      <c r="AR319" t="s">
        <v>138</v>
      </c>
      <c r="AS319" t="s">
        <v>139</v>
      </c>
      <c r="AT319" t="s">
        <v>140</v>
      </c>
      <c r="AU319">
        <v>102</v>
      </c>
      <c r="AV319">
        <v>10</v>
      </c>
      <c r="AW319">
        <v>1</v>
      </c>
      <c r="AX319" s="2">
        <v>45846</v>
      </c>
      <c r="AY319" t="s">
        <v>377</v>
      </c>
      <c r="AZ319" s="2">
        <v>46028</v>
      </c>
      <c r="BA319">
        <v>0</v>
      </c>
      <c r="BB319">
        <v>0</v>
      </c>
      <c r="BC319">
        <v>0</v>
      </c>
      <c r="BD319">
        <v>700</v>
      </c>
      <c r="BE319">
        <v>70</v>
      </c>
      <c r="BF319">
        <v>9</v>
      </c>
      <c r="BG319" s="2">
        <v>45536</v>
      </c>
      <c r="BH319" t="s">
        <v>142</v>
      </c>
      <c r="BI319" s="2">
        <v>46026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s="1">
        <v>15103.8</v>
      </c>
      <c r="BQ319" s="1">
        <v>15103.8</v>
      </c>
      <c r="BR319">
        <v>0</v>
      </c>
      <c r="BS319">
        <v>0</v>
      </c>
      <c r="BT319">
        <v>0</v>
      </c>
      <c r="BU319">
        <v>0</v>
      </c>
      <c r="BV319" s="1">
        <v>8251.2000000000007</v>
      </c>
      <c r="BW319" s="1">
        <v>8251.2000000000007</v>
      </c>
      <c r="BX319">
        <v>0</v>
      </c>
      <c r="BY319">
        <v>0</v>
      </c>
      <c r="BZ319">
        <v>0</v>
      </c>
      <c r="CA319">
        <v>0</v>
      </c>
      <c r="CB319" s="1">
        <v>10480.219999999999</v>
      </c>
      <c r="CC319" t="s">
        <v>152</v>
      </c>
    </row>
    <row r="320" spans="1:81" x14ac:dyDescent="0.25">
      <c r="A320">
        <v>345</v>
      </c>
      <c r="B320">
        <v>2</v>
      </c>
      <c r="C320">
        <v>521</v>
      </c>
      <c r="D320" t="s">
        <v>1873</v>
      </c>
      <c r="E320" t="s">
        <v>121</v>
      </c>
      <c r="F320" t="s">
        <v>1874</v>
      </c>
      <c r="G320" t="s">
        <v>1875</v>
      </c>
      <c r="H320" t="s">
        <v>1876</v>
      </c>
      <c r="I320" t="s">
        <v>125</v>
      </c>
      <c r="J320" t="s">
        <v>126</v>
      </c>
      <c r="K320" t="s">
        <v>473</v>
      </c>
      <c r="L320" t="s">
        <v>128</v>
      </c>
      <c r="M320" t="s">
        <v>474</v>
      </c>
      <c r="N320" t="s">
        <v>1877</v>
      </c>
      <c r="O320" t="s">
        <v>131</v>
      </c>
      <c r="P320">
        <v>0</v>
      </c>
      <c r="Q320" t="s">
        <v>125</v>
      </c>
      <c r="R320">
        <v>6</v>
      </c>
      <c r="S320">
        <v>39</v>
      </c>
      <c r="T320" t="s">
        <v>132</v>
      </c>
      <c r="U320" t="s">
        <v>133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134</v>
      </c>
      <c r="AE320" t="s">
        <v>134</v>
      </c>
      <c r="AF320" s="2">
        <v>45518</v>
      </c>
      <c r="AG320" s="2">
        <v>46017</v>
      </c>
      <c r="AH320">
        <v>626.16</v>
      </c>
      <c r="AI320" s="1">
        <v>1123</v>
      </c>
      <c r="AJ320" s="1">
        <v>5635.49</v>
      </c>
      <c r="AK320">
        <v>0</v>
      </c>
      <c r="AL320">
        <v>573</v>
      </c>
      <c r="AM320">
        <v>0</v>
      </c>
      <c r="AN320" t="s">
        <v>135</v>
      </c>
      <c r="AO320" t="s">
        <v>135</v>
      </c>
      <c r="AP320" t="s">
        <v>136</v>
      </c>
      <c r="AQ320" t="s">
        <v>137</v>
      </c>
      <c r="AR320" t="s">
        <v>138</v>
      </c>
      <c r="AS320" t="s">
        <v>139</v>
      </c>
      <c r="AT320" t="s">
        <v>140</v>
      </c>
      <c r="AU320">
        <v>105</v>
      </c>
      <c r="AV320">
        <v>10</v>
      </c>
      <c r="AW320">
        <v>1</v>
      </c>
      <c r="AX320" s="2">
        <v>45811</v>
      </c>
      <c r="AY320" t="s">
        <v>377</v>
      </c>
      <c r="AZ320" s="2">
        <v>46028</v>
      </c>
      <c r="BA320">
        <v>0</v>
      </c>
      <c r="BB320">
        <v>0</v>
      </c>
      <c r="BC320">
        <v>0</v>
      </c>
      <c r="BD320">
        <v>700</v>
      </c>
      <c r="BE320">
        <v>70</v>
      </c>
      <c r="BF320">
        <v>9</v>
      </c>
      <c r="BG320" s="2">
        <v>45536</v>
      </c>
      <c r="BH320" t="s">
        <v>142</v>
      </c>
      <c r="BI320" s="2">
        <v>46026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s="1">
        <v>1062.8399999999999</v>
      </c>
      <c r="BQ320" s="1">
        <v>1062.8399999999999</v>
      </c>
      <c r="BR320">
        <v>0</v>
      </c>
      <c r="BS320">
        <v>0</v>
      </c>
      <c r="BT320">
        <v>0</v>
      </c>
      <c r="BU320">
        <v>0</v>
      </c>
      <c r="BV320" s="1">
        <v>2595.85</v>
      </c>
      <c r="BW320" s="1">
        <v>2595.85</v>
      </c>
      <c r="BX320">
        <v>0</v>
      </c>
      <c r="BY320">
        <v>0</v>
      </c>
      <c r="BZ320">
        <v>0</v>
      </c>
      <c r="CA320">
        <v>0</v>
      </c>
      <c r="CB320" s="1">
        <v>1013.21</v>
      </c>
      <c r="CC320" t="s">
        <v>143</v>
      </c>
    </row>
    <row r="321" spans="1:81" x14ac:dyDescent="0.25">
      <c r="A321">
        <v>345</v>
      </c>
      <c r="B321">
        <v>2</v>
      </c>
      <c r="C321">
        <v>522</v>
      </c>
      <c r="D321" t="s">
        <v>1878</v>
      </c>
      <c r="E321" t="s">
        <v>121</v>
      </c>
      <c r="F321" t="s">
        <v>1879</v>
      </c>
      <c r="G321" t="s">
        <v>1880</v>
      </c>
      <c r="H321" t="s">
        <v>1881</v>
      </c>
      <c r="I321" t="s">
        <v>125</v>
      </c>
      <c r="J321" t="s">
        <v>1882</v>
      </c>
      <c r="K321" t="s">
        <v>336</v>
      </c>
      <c r="L321" t="s">
        <v>128</v>
      </c>
      <c r="M321" t="s">
        <v>337</v>
      </c>
      <c r="N321" t="s">
        <v>1883</v>
      </c>
      <c r="O321" t="s">
        <v>149</v>
      </c>
      <c r="P321">
        <v>0</v>
      </c>
      <c r="Q321" t="s">
        <v>125</v>
      </c>
      <c r="R321">
        <v>3</v>
      </c>
      <c r="S321">
        <v>88</v>
      </c>
      <c r="T321" t="s">
        <v>132</v>
      </c>
      <c r="U321" t="s">
        <v>133</v>
      </c>
      <c r="V321" s="1">
        <v>4410</v>
      </c>
      <c r="W321">
        <v>0</v>
      </c>
      <c r="X321" s="1">
        <v>4410</v>
      </c>
      <c r="Y321">
        <v>7</v>
      </c>
      <c r="Z321">
        <v>0</v>
      </c>
      <c r="AA321">
        <v>0</v>
      </c>
      <c r="AB321">
        <v>0</v>
      </c>
      <c r="AC321">
        <v>0</v>
      </c>
      <c r="AD321" t="s">
        <v>134</v>
      </c>
      <c r="AE321" t="s">
        <v>134</v>
      </c>
      <c r="AF321" s="2">
        <v>45518</v>
      </c>
      <c r="AG321" s="2">
        <v>46014</v>
      </c>
      <c r="AH321" s="1">
        <v>2929.19</v>
      </c>
      <c r="AI321" s="1">
        <v>5835.55</v>
      </c>
      <c r="AJ321" s="1">
        <v>35150.33</v>
      </c>
      <c r="AK321">
        <v>0</v>
      </c>
      <c r="AL321">
        <v>0</v>
      </c>
      <c r="AM321">
        <v>0</v>
      </c>
      <c r="AN321" t="s">
        <v>135</v>
      </c>
      <c r="AO321" t="s">
        <v>135</v>
      </c>
      <c r="AP321" t="s">
        <v>136</v>
      </c>
      <c r="AQ321" t="s">
        <v>137</v>
      </c>
      <c r="AR321" t="s">
        <v>138</v>
      </c>
      <c r="AS321" t="s">
        <v>139</v>
      </c>
      <c r="AT321" t="s">
        <v>140</v>
      </c>
      <c r="AU321">
        <v>100</v>
      </c>
      <c r="AV321">
        <v>10</v>
      </c>
      <c r="AW321">
        <v>1</v>
      </c>
      <c r="AX321" s="2">
        <v>45817</v>
      </c>
      <c r="AY321" t="s">
        <v>141</v>
      </c>
      <c r="AZ321" s="2">
        <v>46027</v>
      </c>
      <c r="BA321">
        <v>0</v>
      </c>
      <c r="BB321">
        <v>0</v>
      </c>
      <c r="BC321">
        <v>0</v>
      </c>
      <c r="BD321">
        <v>700</v>
      </c>
      <c r="BE321">
        <v>70</v>
      </c>
      <c r="BF321">
        <v>9</v>
      </c>
      <c r="BG321" s="2">
        <v>45536</v>
      </c>
      <c r="BH321" t="s">
        <v>142</v>
      </c>
      <c r="BI321" s="2">
        <v>46026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s="1">
        <v>12954.96</v>
      </c>
      <c r="BQ321" s="1">
        <v>12954.96</v>
      </c>
      <c r="BR321">
        <v>0</v>
      </c>
      <c r="BS321">
        <v>0</v>
      </c>
      <c r="BT321">
        <v>0</v>
      </c>
      <c r="BU321">
        <v>0</v>
      </c>
      <c r="BV321" s="1">
        <v>10619.09</v>
      </c>
      <c r="BW321" s="1">
        <v>10619.09</v>
      </c>
      <c r="BX321">
        <v>0</v>
      </c>
      <c r="BY321">
        <v>0</v>
      </c>
      <c r="BZ321">
        <v>0</v>
      </c>
      <c r="CA321">
        <v>0</v>
      </c>
      <c r="CB321" s="1">
        <v>11468.47</v>
      </c>
      <c r="CC321" t="s">
        <v>152</v>
      </c>
    </row>
    <row r="322" spans="1:81" x14ac:dyDescent="0.25">
      <c r="A322">
        <v>345</v>
      </c>
      <c r="B322">
        <v>2</v>
      </c>
      <c r="C322">
        <v>524</v>
      </c>
      <c r="D322" t="s">
        <v>1884</v>
      </c>
      <c r="E322" t="s">
        <v>121</v>
      </c>
      <c r="F322" t="s">
        <v>1885</v>
      </c>
      <c r="G322" t="s">
        <v>1886</v>
      </c>
      <c r="H322" t="s">
        <v>1887</v>
      </c>
      <c r="I322" t="s">
        <v>1888</v>
      </c>
      <c r="J322" t="s">
        <v>527</v>
      </c>
      <c r="K322" t="s">
        <v>466</v>
      </c>
      <c r="L322" t="s">
        <v>128</v>
      </c>
      <c r="M322" t="s">
        <v>467</v>
      </c>
      <c r="N322" t="s">
        <v>1889</v>
      </c>
      <c r="O322" t="s">
        <v>167</v>
      </c>
      <c r="P322">
        <v>0</v>
      </c>
      <c r="Q322" t="s">
        <v>125</v>
      </c>
      <c r="R322">
        <v>3</v>
      </c>
      <c r="S322">
        <v>83</v>
      </c>
      <c r="T322" t="s">
        <v>132</v>
      </c>
      <c r="U322" t="s">
        <v>133</v>
      </c>
      <c r="V322" s="1">
        <v>2900</v>
      </c>
      <c r="W322">
        <v>0</v>
      </c>
      <c r="X322" s="1">
        <v>2900</v>
      </c>
      <c r="Y322">
        <v>7</v>
      </c>
      <c r="Z322">
        <v>0</v>
      </c>
      <c r="AA322">
        <v>7</v>
      </c>
      <c r="AB322">
        <v>0</v>
      </c>
      <c r="AC322">
        <v>0</v>
      </c>
      <c r="AD322" t="s">
        <v>234</v>
      </c>
      <c r="AE322" t="s">
        <v>134</v>
      </c>
      <c r="AF322" s="2">
        <v>45518</v>
      </c>
      <c r="AG322" s="2">
        <v>46018</v>
      </c>
      <c r="AH322" s="1">
        <v>1792.11</v>
      </c>
      <c r="AI322" s="1">
        <v>3645.36</v>
      </c>
      <c r="AJ322" s="1">
        <v>19713.3</v>
      </c>
      <c r="AK322">
        <v>0</v>
      </c>
      <c r="AL322">
        <v>0</v>
      </c>
      <c r="AM322">
        <v>0</v>
      </c>
      <c r="AN322" t="s">
        <v>135</v>
      </c>
      <c r="AO322" t="s">
        <v>135</v>
      </c>
      <c r="AP322" t="s">
        <v>136</v>
      </c>
      <c r="AQ322" t="s">
        <v>137</v>
      </c>
      <c r="AR322" t="s">
        <v>138</v>
      </c>
      <c r="AS322" t="s">
        <v>139</v>
      </c>
      <c r="AT322" t="s">
        <v>140</v>
      </c>
      <c r="AU322">
        <v>501</v>
      </c>
      <c r="AV322">
        <v>10</v>
      </c>
      <c r="AW322">
        <v>1</v>
      </c>
      <c r="AX322" s="2">
        <v>45854</v>
      </c>
      <c r="AY322" t="s">
        <v>168</v>
      </c>
      <c r="AZ322" s="2">
        <v>46022</v>
      </c>
      <c r="BA322">
        <v>0</v>
      </c>
      <c r="BB322">
        <v>0</v>
      </c>
      <c r="BC322">
        <v>0</v>
      </c>
      <c r="BD322">
        <v>700</v>
      </c>
      <c r="BE322">
        <v>70</v>
      </c>
      <c r="BF322">
        <v>9</v>
      </c>
      <c r="BG322" s="2">
        <v>45536</v>
      </c>
      <c r="BH322" t="s">
        <v>142</v>
      </c>
      <c r="BI322" s="2">
        <v>46026</v>
      </c>
      <c r="BJ322">
        <v>0</v>
      </c>
      <c r="BK322">
        <v>0</v>
      </c>
      <c r="BL322">
        <v>0</v>
      </c>
      <c r="BM322">
        <v>7</v>
      </c>
      <c r="BN322">
        <v>1.38</v>
      </c>
      <c r="BO322" s="1">
        <v>1762.9</v>
      </c>
      <c r="BP322" s="1">
        <v>7155.3</v>
      </c>
      <c r="BQ322" s="1">
        <v>8918.2000000000007</v>
      </c>
      <c r="BR322">
        <v>0</v>
      </c>
      <c r="BS322">
        <v>0</v>
      </c>
      <c r="BT322">
        <v>0</v>
      </c>
      <c r="BU322">
        <v>0</v>
      </c>
      <c r="BV322" s="1">
        <v>8052.89</v>
      </c>
      <c r="BW322" s="1">
        <v>8052.89</v>
      </c>
      <c r="BX322">
        <v>0</v>
      </c>
      <c r="BY322">
        <v>0</v>
      </c>
      <c r="BZ322">
        <v>0</v>
      </c>
      <c r="CA322">
        <v>0</v>
      </c>
      <c r="CB322" s="1">
        <v>4749.09</v>
      </c>
      <c r="CC322" t="s">
        <v>161</v>
      </c>
    </row>
    <row r="323" spans="1:81" x14ac:dyDescent="0.25">
      <c r="A323">
        <v>345</v>
      </c>
      <c r="B323">
        <v>2</v>
      </c>
      <c r="C323">
        <v>525</v>
      </c>
      <c r="D323" t="s">
        <v>1890</v>
      </c>
      <c r="E323" t="s">
        <v>121</v>
      </c>
      <c r="F323" t="s">
        <v>1891</v>
      </c>
      <c r="G323" t="s">
        <v>1892</v>
      </c>
      <c r="H323" t="s">
        <v>1893</v>
      </c>
      <c r="I323" t="s">
        <v>1894</v>
      </c>
      <c r="J323" t="s">
        <v>1223</v>
      </c>
      <c r="K323" t="s">
        <v>466</v>
      </c>
      <c r="L323" t="s">
        <v>128</v>
      </c>
      <c r="M323" t="s">
        <v>467</v>
      </c>
      <c r="N323" t="s">
        <v>1895</v>
      </c>
      <c r="O323" t="s">
        <v>167</v>
      </c>
      <c r="P323">
        <v>0</v>
      </c>
      <c r="Q323" t="s">
        <v>125</v>
      </c>
      <c r="R323">
        <v>6</v>
      </c>
      <c r="S323">
        <v>36</v>
      </c>
      <c r="T323" t="s">
        <v>132</v>
      </c>
      <c r="U323" t="s">
        <v>133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134</v>
      </c>
      <c r="AE323" t="s">
        <v>134</v>
      </c>
      <c r="AF323" s="2">
        <v>45518</v>
      </c>
      <c r="AG323" s="2">
        <v>46011</v>
      </c>
      <c r="AH323">
        <v>390.37</v>
      </c>
      <c r="AI323">
        <v>492.08</v>
      </c>
      <c r="AJ323" s="1">
        <v>3122.99</v>
      </c>
      <c r="AK323">
        <v>0</v>
      </c>
      <c r="AL323">
        <v>0</v>
      </c>
      <c r="AM323">
        <v>0</v>
      </c>
      <c r="AN323" t="s">
        <v>135</v>
      </c>
      <c r="AO323" t="s">
        <v>135</v>
      </c>
      <c r="AP323" t="s">
        <v>136</v>
      </c>
      <c r="AQ323" t="s">
        <v>137</v>
      </c>
      <c r="AR323" t="s">
        <v>138</v>
      </c>
      <c r="AS323" t="s">
        <v>139</v>
      </c>
      <c r="AT323" t="s">
        <v>140</v>
      </c>
      <c r="AU323">
        <v>100</v>
      </c>
      <c r="AV323">
        <v>10</v>
      </c>
      <c r="AW323">
        <v>1</v>
      </c>
      <c r="AX323" s="2">
        <v>45848</v>
      </c>
      <c r="AY323" t="s">
        <v>308</v>
      </c>
      <c r="AZ323" s="2">
        <v>46023</v>
      </c>
      <c r="BA323">
        <v>0</v>
      </c>
      <c r="BB323">
        <v>0</v>
      </c>
      <c r="BC323">
        <v>0</v>
      </c>
      <c r="BD323">
        <v>700</v>
      </c>
      <c r="BE323">
        <v>70</v>
      </c>
      <c r="BF323">
        <v>9</v>
      </c>
      <c r="BG323" s="2">
        <v>45536</v>
      </c>
      <c r="BH323" t="s">
        <v>142</v>
      </c>
      <c r="BI323" s="2">
        <v>46026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s="1">
        <v>1075.08</v>
      </c>
      <c r="BQ323" s="1">
        <v>1075.08</v>
      </c>
      <c r="BR323">
        <v>0</v>
      </c>
      <c r="BS323">
        <v>0</v>
      </c>
      <c r="BT323">
        <v>0</v>
      </c>
      <c r="BU323">
        <v>0</v>
      </c>
      <c r="BV323" s="1">
        <v>1424.85</v>
      </c>
      <c r="BW323" s="1">
        <v>1424.85</v>
      </c>
      <c r="BX323">
        <v>0</v>
      </c>
      <c r="BY323">
        <v>0</v>
      </c>
      <c r="BZ323">
        <v>0</v>
      </c>
      <c r="CA323">
        <v>0</v>
      </c>
      <c r="CB323">
        <v>680.64</v>
      </c>
      <c r="CC323" t="s">
        <v>161</v>
      </c>
    </row>
    <row r="324" spans="1:81" x14ac:dyDescent="0.25">
      <c r="A324">
        <v>345</v>
      </c>
      <c r="B324">
        <v>2</v>
      </c>
      <c r="C324">
        <v>527</v>
      </c>
      <c r="D324" t="s">
        <v>1896</v>
      </c>
      <c r="E324" t="s">
        <v>121</v>
      </c>
      <c r="F324" t="s">
        <v>1897</v>
      </c>
      <c r="G324" t="s">
        <v>1898</v>
      </c>
      <c r="H324" t="s">
        <v>1899</v>
      </c>
      <c r="I324" t="s">
        <v>1900</v>
      </c>
      <c r="J324" t="s">
        <v>126</v>
      </c>
      <c r="K324" t="s">
        <v>473</v>
      </c>
      <c r="L324" t="s">
        <v>128</v>
      </c>
      <c r="M324" t="s">
        <v>474</v>
      </c>
      <c r="N324" t="s">
        <v>1901</v>
      </c>
      <c r="O324" t="s">
        <v>167</v>
      </c>
      <c r="P324">
        <v>0</v>
      </c>
      <c r="Q324" t="s">
        <v>125</v>
      </c>
      <c r="R324">
        <v>6</v>
      </c>
      <c r="S324">
        <v>37</v>
      </c>
      <c r="T324" t="s">
        <v>132</v>
      </c>
      <c r="U324" t="s">
        <v>133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134</v>
      </c>
      <c r="AE324" t="s">
        <v>134</v>
      </c>
      <c r="AF324" s="2">
        <v>45518</v>
      </c>
      <c r="AG324" s="2">
        <v>46008</v>
      </c>
      <c r="AH324">
        <v>149.93</v>
      </c>
      <c r="AI324">
        <v>191.79</v>
      </c>
      <c r="AJ324">
        <v>299.87</v>
      </c>
      <c r="AK324">
        <v>0</v>
      </c>
      <c r="AL324">
        <v>0</v>
      </c>
      <c r="AM324">
        <v>0</v>
      </c>
      <c r="AN324" t="s">
        <v>135</v>
      </c>
      <c r="AO324" t="s">
        <v>135</v>
      </c>
      <c r="AP324" t="s">
        <v>136</v>
      </c>
      <c r="AQ324" t="s">
        <v>137</v>
      </c>
      <c r="AR324" t="s">
        <v>138</v>
      </c>
      <c r="AS324" t="s">
        <v>139</v>
      </c>
      <c r="AT324" t="s">
        <v>140</v>
      </c>
      <c r="AU324">
        <v>105</v>
      </c>
      <c r="AV324">
        <v>10</v>
      </c>
      <c r="AW324">
        <v>1</v>
      </c>
      <c r="AX324" s="2">
        <v>45860</v>
      </c>
      <c r="AY324" t="s">
        <v>377</v>
      </c>
      <c r="AZ324" s="2">
        <v>46028</v>
      </c>
      <c r="BA324">
        <v>0</v>
      </c>
      <c r="BB324">
        <v>0</v>
      </c>
      <c r="BC324">
        <v>0</v>
      </c>
      <c r="BD324">
        <v>700</v>
      </c>
      <c r="BE324">
        <v>70</v>
      </c>
      <c r="BF324">
        <v>9</v>
      </c>
      <c r="BG324" s="2">
        <v>45536</v>
      </c>
      <c r="BH324" t="s">
        <v>142</v>
      </c>
      <c r="BI324" s="2">
        <v>46026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108.08</v>
      </c>
      <c r="BQ324">
        <v>108.08</v>
      </c>
      <c r="BR324">
        <v>0</v>
      </c>
      <c r="BS324">
        <v>0</v>
      </c>
      <c r="BT324">
        <v>0</v>
      </c>
      <c r="BU324">
        <v>0</v>
      </c>
      <c r="BV324">
        <v>191.79</v>
      </c>
      <c r="BW324">
        <v>191.79</v>
      </c>
      <c r="BX324">
        <v>0</v>
      </c>
      <c r="BY324">
        <v>0</v>
      </c>
      <c r="BZ324">
        <v>0</v>
      </c>
      <c r="CA324">
        <v>0</v>
      </c>
      <c r="CB324">
        <v>55.12</v>
      </c>
      <c r="CC324" t="s">
        <v>161</v>
      </c>
    </row>
    <row r="325" spans="1:81" x14ac:dyDescent="0.25">
      <c r="A325">
        <v>345</v>
      </c>
      <c r="B325">
        <v>2</v>
      </c>
      <c r="C325">
        <v>528</v>
      </c>
      <c r="D325" t="s">
        <v>1902</v>
      </c>
      <c r="E325" t="s">
        <v>121</v>
      </c>
      <c r="F325" t="s">
        <v>1903</v>
      </c>
      <c r="G325" t="s">
        <v>1904</v>
      </c>
      <c r="H325" t="s">
        <v>1905</v>
      </c>
      <c r="I325" t="s">
        <v>1906</v>
      </c>
      <c r="J325" t="s">
        <v>606</v>
      </c>
      <c r="K325" t="s">
        <v>336</v>
      </c>
      <c r="L325" t="s">
        <v>128</v>
      </c>
      <c r="M325" t="s">
        <v>337</v>
      </c>
      <c r="N325" t="s">
        <v>1907</v>
      </c>
      <c r="O325" t="s">
        <v>167</v>
      </c>
      <c r="P325">
        <v>0</v>
      </c>
      <c r="Q325" t="s">
        <v>125</v>
      </c>
      <c r="R325">
        <v>6</v>
      </c>
      <c r="S325">
        <v>36</v>
      </c>
      <c r="T325" t="s">
        <v>132</v>
      </c>
      <c r="U325" t="s">
        <v>133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134</v>
      </c>
      <c r="AE325" t="s">
        <v>134</v>
      </c>
      <c r="AF325" s="2">
        <v>45518</v>
      </c>
      <c r="AG325" s="2">
        <v>46017</v>
      </c>
      <c r="AH325">
        <v>277.10000000000002</v>
      </c>
      <c r="AI325">
        <v>369.72</v>
      </c>
      <c r="AJ325" s="1">
        <v>3325.31</v>
      </c>
      <c r="AK325">
        <v>0</v>
      </c>
      <c r="AL325">
        <v>0</v>
      </c>
      <c r="AM325">
        <v>0</v>
      </c>
      <c r="AN325" t="s">
        <v>135</v>
      </c>
      <c r="AO325" t="s">
        <v>135</v>
      </c>
      <c r="AP325" t="s">
        <v>136</v>
      </c>
      <c r="AQ325" t="s">
        <v>137</v>
      </c>
      <c r="AR325" t="s">
        <v>138</v>
      </c>
      <c r="AS325" t="s">
        <v>139</v>
      </c>
      <c r="AT325" t="s">
        <v>140</v>
      </c>
      <c r="AU325">
        <v>101</v>
      </c>
      <c r="AV325">
        <v>10</v>
      </c>
      <c r="AW325">
        <v>1</v>
      </c>
      <c r="AX325" s="2">
        <v>45854</v>
      </c>
      <c r="AY325" t="s">
        <v>168</v>
      </c>
      <c r="AZ325" s="2">
        <v>46022</v>
      </c>
      <c r="BA325">
        <v>0</v>
      </c>
      <c r="BB325">
        <v>0</v>
      </c>
      <c r="BC325">
        <v>0</v>
      </c>
      <c r="BD325">
        <v>700</v>
      </c>
      <c r="BE325">
        <v>70</v>
      </c>
      <c r="BF325">
        <v>9</v>
      </c>
      <c r="BG325" s="2">
        <v>45536</v>
      </c>
      <c r="BH325" t="s">
        <v>142</v>
      </c>
      <c r="BI325" s="2">
        <v>46026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s="1">
        <v>1172.76</v>
      </c>
      <c r="BQ325" s="1">
        <v>1172.76</v>
      </c>
      <c r="BR325">
        <v>0</v>
      </c>
      <c r="BS325">
        <v>0</v>
      </c>
      <c r="BT325">
        <v>0</v>
      </c>
      <c r="BU325">
        <v>0</v>
      </c>
      <c r="BV325" s="1">
        <v>1066.07</v>
      </c>
      <c r="BW325" s="1">
        <v>1066.07</v>
      </c>
      <c r="BX325">
        <v>0</v>
      </c>
      <c r="BY325">
        <v>0</v>
      </c>
      <c r="BZ325">
        <v>0</v>
      </c>
      <c r="CA325">
        <v>0</v>
      </c>
      <c r="CB325">
        <v>906.68</v>
      </c>
      <c r="CC325" t="s">
        <v>161</v>
      </c>
    </row>
    <row r="326" spans="1:81" x14ac:dyDescent="0.25">
      <c r="A326">
        <v>345</v>
      </c>
      <c r="B326">
        <v>2</v>
      </c>
      <c r="C326">
        <v>529</v>
      </c>
      <c r="D326" t="s">
        <v>1908</v>
      </c>
      <c r="E326" t="s">
        <v>121</v>
      </c>
      <c r="F326" t="s">
        <v>1909</v>
      </c>
      <c r="G326" t="s">
        <v>1910</v>
      </c>
      <c r="H326" t="s">
        <v>1911</v>
      </c>
      <c r="I326" t="s">
        <v>1912</v>
      </c>
      <c r="J326" t="s">
        <v>897</v>
      </c>
      <c r="K326" t="s">
        <v>473</v>
      </c>
      <c r="L326" t="s">
        <v>128</v>
      </c>
      <c r="M326" t="s">
        <v>474</v>
      </c>
      <c r="N326" t="s">
        <v>1913</v>
      </c>
      <c r="O326" t="s">
        <v>131</v>
      </c>
      <c r="P326">
        <v>0</v>
      </c>
      <c r="Q326" t="s">
        <v>125</v>
      </c>
      <c r="R326">
        <v>6</v>
      </c>
      <c r="S326">
        <v>40</v>
      </c>
      <c r="T326" t="s">
        <v>132</v>
      </c>
      <c r="U326" t="s">
        <v>133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134</v>
      </c>
      <c r="AE326" t="s">
        <v>134</v>
      </c>
      <c r="AF326" s="2">
        <v>45518</v>
      </c>
      <c r="AG326" s="2">
        <v>46009</v>
      </c>
      <c r="AH326">
        <v>220.04</v>
      </c>
      <c r="AI326">
        <v>330.03</v>
      </c>
      <c r="AJ326" s="1">
        <v>2200.41</v>
      </c>
      <c r="AK326">
        <v>0</v>
      </c>
      <c r="AL326">
        <v>0</v>
      </c>
      <c r="AM326">
        <v>0</v>
      </c>
      <c r="AN326" t="s">
        <v>135</v>
      </c>
      <c r="AO326" t="s">
        <v>135</v>
      </c>
      <c r="AP326" t="s">
        <v>136</v>
      </c>
      <c r="AQ326" t="s">
        <v>137</v>
      </c>
      <c r="AR326" t="s">
        <v>138</v>
      </c>
      <c r="AS326" t="s">
        <v>139</v>
      </c>
      <c r="AT326" t="s">
        <v>140</v>
      </c>
      <c r="AU326">
        <v>102</v>
      </c>
      <c r="AV326">
        <v>10</v>
      </c>
      <c r="AW326">
        <v>1</v>
      </c>
      <c r="AX326" s="2">
        <v>45846</v>
      </c>
      <c r="AY326" t="s">
        <v>377</v>
      </c>
      <c r="AZ326" s="2">
        <v>46028</v>
      </c>
      <c r="BA326">
        <v>0</v>
      </c>
      <c r="BB326">
        <v>0</v>
      </c>
      <c r="BC326">
        <v>0</v>
      </c>
      <c r="BD326">
        <v>700</v>
      </c>
      <c r="BE326">
        <v>70</v>
      </c>
      <c r="BF326">
        <v>9</v>
      </c>
      <c r="BG326" s="2">
        <v>45536</v>
      </c>
      <c r="BH326" t="s">
        <v>142</v>
      </c>
      <c r="BI326" s="2">
        <v>46026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985.09</v>
      </c>
      <c r="BQ326">
        <v>985.09</v>
      </c>
      <c r="BR326">
        <v>0</v>
      </c>
      <c r="BS326">
        <v>0</v>
      </c>
      <c r="BT326">
        <v>0</v>
      </c>
      <c r="BU326">
        <v>0</v>
      </c>
      <c r="BV326">
        <v>618.39</v>
      </c>
      <c r="BW326">
        <v>618.39</v>
      </c>
      <c r="BX326">
        <v>0</v>
      </c>
      <c r="BY326">
        <v>0</v>
      </c>
      <c r="BZ326">
        <v>0</v>
      </c>
      <c r="CA326">
        <v>0</v>
      </c>
      <c r="CB326">
        <v>592.28</v>
      </c>
      <c r="CC326" t="s">
        <v>143</v>
      </c>
    </row>
    <row r="327" spans="1:81" x14ac:dyDescent="0.25">
      <c r="A327">
        <v>345</v>
      </c>
      <c r="B327">
        <v>2</v>
      </c>
      <c r="C327">
        <v>530</v>
      </c>
      <c r="D327" t="s">
        <v>1914</v>
      </c>
      <c r="E327" t="s">
        <v>121</v>
      </c>
      <c r="F327" t="s">
        <v>1915</v>
      </c>
      <c r="G327" t="s">
        <v>1916</v>
      </c>
      <c r="H327" t="s">
        <v>1669</v>
      </c>
      <c r="I327" t="s">
        <v>1917</v>
      </c>
      <c r="J327" t="s">
        <v>1671</v>
      </c>
      <c r="K327" t="s">
        <v>466</v>
      </c>
      <c r="L327" t="s">
        <v>128</v>
      </c>
      <c r="M327" t="s">
        <v>467</v>
      </c>
      <c r="N327" t="s">
        <v>1918</v>
      </c>
      <c r="O327" t="s">
        <v>167</v>
      </c>
      <c r="P327">
        <v>0</v>
      </c>
      <c r="Q327" t="s">
        <v>125</v>
      </c>
      <c r="R327">
        <v>6</v>
      </c>
      <c r="S327">
        <v>36</v>
      </c>
      <c r="T327" t="s">
        <v>132</v>
      </c>
      <c r="U327" t="s">
        <v>133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134</v>
      </c>
      <c r="AE327" t="s">
        <v>134</v>
      </c>
      <c r="AF327" s="2">
        <v>45518</v>
      </c>
      <c r="AG327" s="2">
        <v>46019</v>
      </c>
      <c r="AH327">
        <v>409.47</v>
      </c>
      <c r="AI327">
        <v>912.96</v>
      </c>
      <c r="AJ327" s="1">
        <v>4913.71</v>
      </c>
      <c r="AK327">
        <v>0</v>
      </c>
      <c r="AL327">
        <v>0</v>
      </c>
      <c r="AM327">
        <v>0</v>
      </c>
      <c r="AN327" t="s">
        <v>135</v>
      </c>
      <c r="AO327" t="s">
        <v>135</v>
      </c>
      <c r="AP327" t="s">
        <v>136</v>
      </c>
      <c r="AQ327" t="s">
        <v>137</v>
      </c>
      <c r="AR327" t="s">
        <v>138</v>
      </c>
      <c r="AS327" t="s">
        <v>139</v>
      </c>
      <c r="AT327" t="s">
        <v>140</v>
      </c>
      <c r="AU327">
        <v>105</v>
      </c>
      <c r="AV327">
        <v>10</v>
      </c>
      <c r="AW327">
        <v>1</v>
      </c>
      <c r="AX327" s="2">
        <v>45813</v>
      </c>
      <c r="AY327" t="s">
        <v>308</v>
      </c>
      <c r="AZ327" s="2">
        <v>46023</v>
      </c>
      <c r="BA327">
        <v>0</v>
      </c>
      <c r="BB327">
        <v>0</v>
      </c>
      <c r="BC327">
        <v>0</v>
      </c>
      <c r="BD327">
        <v>700</v>
      </c>
      <c r="BE327">
        <v>70</v>
      </c>
      <c r="BF327">
        <v>9</v>
      </c>
      <c r="BG327" s="2">
        <v>45536</v>
      </c>
      <c r="BH327" t="s">
        <v>142</v>
      </c>
      <c r="BI327" s="2">
        <v>46026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s="1">
        <v>1656.54</v>
      </c>
      <c r="BQ327" s="1">
        <v>1656.54</v>
      </c>
      <c r="BR327">
        <v>0</v>
      </c>
      <c r="BS327">
        <v>0</v>
      </c>
      <c r="BT327">
        <v>0</v>
      </c>
      <c r="BU327">
        <v>0</v>
      </c>
      <c r="BV327" s="1">
        <v>1876.11</v>
      </c>
      <c r="BW327" s="1">
        <v>1876.11</v>
      </c>
      <c r="BX327">
        <v>0</v>
      </c>
      <c r="BY327">
        <v>0</v>
      </c>
      <c r="BZ327">
        <v>0</v>
      </c>
      <c r="CA327">
        <v>0</v>
      </c>
      <c r="CB327" s="1">
        <v>1670.66</v>
      </c>
      <c r="CC327" t="s">
        <v>161</v>
      </c>
    </row>
    <row r="328" spans="1:81" x14ac:dyDescent="0.25">
      <c r="A328">
        <v>345</v>
      </c>
      <c r="B328">
        <v>2</v>
      </c>
      <c r="C328">
        <v>531</v>
      </c>
      <c r="D328" t="s">
        <v>1919</v>
      </c>
      <c r="E328" t="s">
        <v>121</v>
      </c>
      <c r="F328" t="s">
        <v>1920</v>
      </c>
      <c r="G328" t="s">
        <v>1921</v>
      </c>
      <c r="H328" t="s">
        <v>1922</v>
      </c>
      <c r="I328" t="s">
        <v>1923</v>
      </c>
      <c r="J328" t="s">
        <v>1671</v>
      </c>
      <c r="K328" t="s">
        <v>466</v>
      </c>
      <c r="L328" t="s">
        <v>128</v>
      </c>
      <c r="M328" t="s">
        <v>467</v>
      </c>
      <c r="N328" t="s">
        <v>1924</v>
      </c>
      <c r="O328" t="s">
        <v>167</v>
      </c>
      <c r="P328">
        <v>0</v>
      </c>
      <c r="Q328" t="s">
        <v>125</v>
      </c>
      <c r="R328">
        <v>6</v>
      </c>
      <c r="S328">
        <v>37</v>
      </c>
      <c r="T328" t="s">
        <v>132</v>
      </c>
      <c r="U328" t="s">
        <v>133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134</v>
      </c>
      <c r="AE328" t="s">
        <v>134</v>
      </c>
      <c r="AF328" s="2">
        <v>45518</v>
      </c>
      <c r="AG328" s="2">
        <v>46020</v>
      </c>
      <c r="AH328">
        <v>373.09</v>
      </c>
      <c r="AI328">
        <v>625.94000000000005</v>
      </c>
      <c r="AJ328" s="1">
        <v>4850.17</v>
      </c>
      <c r="AK328">
        <v>0</v>
      </c>
      <c r="AL328">
        <v>0</v>
      </c>
      <c r="AM328">
        <v>0</v>
      </c>
      <c r="AN328" t="s">
        <v>135</v>
      </c>
      <c r="AO328" t="s">
        <v>135</v>
      </c>
      <c r="AP328" t="s">
        <v>136</v>
      </c>
      <c r="AQ328" t="s">
        <v>137</v>
      </c>
      <c r="AR328" t="s">
        <v>138</v>
      </c>
      <c r="AS328" t="s">
        <v>139</v>
      </c>
      <c r="AT328" t="s">
        <v>140</v>
      </c>
      <c r="AU328">
        <v>105</v>
      </c>
      <c r="AV328">
        <v>10</v>
      </c>
      <c r="AW328">
        <v>1</v>
      </c>
      <c r="AX328" s="2">
        <v>45815</v>
      </c>
      <c r="AY328" t="s">
        <v>160</v>
      </c>
      <c r="AZ328" s="2">
        <v>46025</v>
      </c>
      <c r="BA328">
        <v>0</v>
      </c>
      <c r="BB328">
        <v>0</v>
      </c>
      <c r="BC328">
        <v>0</v>
      </c>
      <c r="BD328">
        <v>700</v>
      </c>
      <c r="BE328">
        <v>70</v>
      </c>
      <c r="BF328">
        <v>9</v>
      </c>
      <c r="BG328" s="2">
        <v>45536</v>
      </c>
      <c r="BH328" t="s">
        <v>142</v>
      </c>
      <c r="BI328" s="2">
        <v>46026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s="1">
        <v>1269.51</v>
      </c>
      <c r="BQ328" s="1">
        <v>1269.51</v>
      </c>
      <c r="BR328">
        <v>0</v>
      </c>
      <c r="BS328">
        <v>0</v>
      </c>
      <c r="BT328">
        <v>0</v>
      </c>
      <c r="BU328">
        <v>0</v>
      </c>
      <c r="BV328" s="1">
        <v>1904.47</v>
      </c>
      <c r="BW328" s="1">
        <v>1904.47</v>
      </c>
      <c r="BX328">
        <v>0</v>
      </c>
      <c r="BY328">
        <v>0</v>
      </c>
      <c r="BZ328">
        <v>0</v>
      </c>
      <c r="CA328">
        <v>0</v>
      </c>
      <c r="CB328" s="1">
        <v>1545.5</v>
      </c>
      <c r="CC328" t="s">
        <v>161</v>
      </c>
    </row>
    <row r="329" spans="1:81" x14ac:dyDescent="0.25">
      <c r="A329">
        <v>345</v>
      </c>
      <c r="B329">
        <v>2</v>
      </c>
      <c r="C329">
        <v>532</v>
      </c>
      <c r="D329" t="s">
        <v>1925</v>
      </c>
      <c r="E329" t="s">
        <v>121</v>
      </c>
      <c r="F329" t="s">
        <v>1926</v>
      </c>
      <c r="G329" t="s">
        <v>1927</v>
      </c>
      <c r="H329" t="s">
        <v>1928</v>
      </c>
      <c r="I329" t="s">
        <v>1929</v>
      </c>
      <c r="J329" t="s">
        <v>126</v>
      </c>
      <c r="K329" t="s">
        <v>466</v>
      </c>
      <c r="L329" t="s">
        <v>128</v>
      </c>
      <c r="M329" t="s">
        <v>467</v>
      </c>
      <c r="N329" t="s">
        <v>1930</v>
      </c>
      <c r="O329" t="s">
        <v>195</v>
      </c>
      <c r="P329">
        <v>0</v>
      </c>
      <c r="Q329" t="s">
        <v>125</v>
      </c>
      <c r="R329">
        <v>6</v>
      </c>
      <c r="S329">
        <v>37</v>
      </c>
      <c r="T329" t="s">
        <v>132</v>
      </c>
      <c r="U329" t="s">
        <v>133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134</v>
      </c>
      <c r="AE329" t="s">
        <v>134</v>
      </c>
      <c r="AF329" s="2">
        <v>45518</v>
      </c>
      <c r="AG329" s="2">
        <v>46020</v>
      </c>
      <c r="AH329">
        <v>643.69000000000005</v>
      </c>
      <c r="AI329" s="1">
        <v>1695.78</v>
      </c>
      <c r="AJ329" s="1">
        <v>2574.7800000000002</v>
      </c>
      <c r="AK329">
        <v>0</v>
      </c>
      <c r="AL329">
        <v>0</v>
      </c>
      <c r="AM329">
        <v>0</v>
      </c>
      <c r="AN329" t="s">
        <v>135</v>
      </c>
      <c r="AO329" t="s">
        <v>135</v>
      </c>
      <c r="AP329" t="s">
        <v>136</v>
      </c>
      <c r="AQ329" t="s">
        <v>137</v>
      </c>
      <c r="AR329" t="s">
        <v>138</v>
      </c>
      <c r="AS329" t="s">
        <v>139</v>
      </c>
      <c r="AT329" t="s">
        <v>140</v>
      </c>
      <c r="AU329">
        <v>105</v>
      </c>
      <c r="AV329">
        <v>10</v>
      </c>
      <c r="AW329">
        <v>1</v>
      </c>
      <c r="AX329" s="2">
        <v>45813</v>
      </c>
      <c r="AY329" t="s">
        <v>308</v>
      </c>
      <c r="AZ329" s="2">
        <v>46023</v>
      </c>
      <c r="BA329">
        <v>0</v>
      </c>
      <c r="BB329">
        <v>0</v>
      </c>
      <c r="BC329">
        <v>0</v>
      </c>
      <c r="BD329">
        <v>700</v>
      </c>
      <c r="BE329">
        <v>70</v>
      </c>
      <c r="BF329">
        <v>9</v>
      </c>
      <c r="BG329" s="2">
        <v>45536</v>
      </c>
      <c r="BH329" t="s">
        <v>142</v>
      </c>
      <c r="BI329" s="2">
        <v>46026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s="1">
        <v>1695.78</v>
      </c>
      <c r="BQ329" s="1">
        <v>1695.78</v>
      </c>
      <c r="BR329">
        <v>0</v>
      </c>
      <c r="BS329">
        <v>0</v>
      </c>
      <c r="BT329">
        <v>0</v>
      </c>
      <c r="BU329">
        <v>0</v>
      </c>
      <c r="BV329">
        <v>641.26</v>
      </c>
      <c r="BW329">
        <v>641.26</v>
      </c>
      <c r="BX329">
        <v>0</v>
      </c>
      <c r="BY329">
        <v>0</v>
      </c>
      <c r="BZ329">
        <v>0</v>
      </c>
      <c r="CA329">
        <v>0</v>
      </c>
      <c r="CB329" s="1">
        <v>1815.06</v>
      </c>
      <c r="CC329" t="s">
        <v>161</v>
      </c>
    </row>
    <row r="330" spans="1:81" x14ac:dyDescent="0.25">
      <c r="A330">
        <v>345</v>
      </c>
      <c r="B330">
        <v>2</v>
      </c>
      <c r="C330">
        <v>533</v>
      </c>
      <c r="D330" t="s">
        <v>1931</v>
      </c>
      <c r="E330" t="s">
        <v>121</v>
      </c>
      <c r="F330" t="s">
        <v>1932</v>
      </c>
      <c r="G330" t="s">
        <v>1933</v>
      </c>
      <c r="H330" t="s">
        <v>1934</v>
      </c>
      <c r="I330" t="s">
        <v>1935</v>
      </c>
      <c r="J330" t="s">
        <v>606</v>
      </c>
      <c r="K330" t="s">
        <v>336</v>
      </c>
      <c r="L330" t="s">
        <v>128</v>
      </c>
      <c r="M330" t="s">
        <v>337</v>
      </c>
      <c r="N330" t="s">
        <v>1936</v>
      </c>
      <c r="O330" t="s">
        <v>167</v>
      </c>
      <c r="P330">
        <v>0</v>
      </c>
      <c r="Q330" t="s">
        <v>125</v>
      </c>
      <c r="R330">
        <v>6</v>
      </c>
      <c r="S330">
        <v>36</v>
      </c>
      <c r="T330" t="s">
        <v>132</v>
      </c>
      <c r="U330" t="s">
        <v>133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134</v>
      </c>
      <c r="AE330" t="s">
        <v>134</v>
      </c>
      <c r="AF330" s="2">
        <v>45518</v>
      </c>
      <c r="AG330" s="2">
        <v>46017</v>
      </c>
      <c r="AH330">
        <v>257.81</v>
      </c>
      <c r="AI330">
        <v>355.55</v>
      </c>
      <c r="AJ330" s="1">
        <v>2578.16</v>
      </c>
      <c r="AK330">
        <v>0</v>
      </c>
      <c r="AL330">
        <v>0</v>
      </c>
      <c r="AM330">
        <v>0</v>
      </c>
      <c r="AN330" t="s">
        <v>135</v>
      </c>
      <c r="AO330" t="s">
        <v>135</v>
      </c>
      <c r="AP330" t="s">
        <v>136</v>
      </c>
      <c r="AQ330" t="s">
        <v>137</v>
      </c>
      <c r="AR330" t="s">
        <v>138</v>
      </c>
      <c r="AS330" t="s">
        <v>139</v>
      </c>
      <c r="AT330" t="s">
        <v>140</v>
      </c>
      <c r="AU330">
        <v>101</v>
      </c>
      <c r="AV330">
        <v>10</v>
      </c>
      <c r="AW330">
        <v>1</v>
      </c>
      <c r="AX330" s="2">
        <v>45812</v>
      </c>
      <c r="AY330" t="s">
        <v>168</v>
      </c>
      <c r="AZ330" s="2">
        <v>46022</v>
      </c>
      <c r="BA330">
        <v>0</v>
      </c>
      <c r="BB330">
        <v>0</v>
      </c>
      <c r="BC330">
        <v>0</v>
      </c>
      <c r="BD330">
        <v>700</v>
      </c>
      <c r="BE330">
        <v>70</v>
      </c>
      <c r="BF330">
        <v>9</v>
      </c>
      <c r="BG330" s="2">
        <v>45536</v>
      </c>
      <c r="BH330" t="s">
        <v>142</v>
      </c>
      <c r="BI330" s="2">
        <v>46026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747.87</v>
      </c>
      <c r="BQ330">
        <v>747.87</v>
      </c>
      <c r="BR330">
        <v>0</v>
      </c>
      <c r="BS330">
        <v>0</v>
      </c>
      <c r="BT330">
        <v>0</v>
      </c>
      <c r="BU330">
        <v>0</v>
      </c>
      <c r="BV330">
        <v>821.77</v>
      </c>
      <c r="BW330">
        <v>821.77</v>
      </c>
      <c r="BX330">
        <v>0</v>
      </c>
      <c r="BY330">
        <v>0</v>
      </c>
      <c r="BZ330">
        <v>0</v>
      </c>
      <c r="CA330">
        <v>0</v>
      </c>
      <c r="CB330">
        <v>877.29</v>
      </c>
      <c r="CC330" t="s">
        <v>161</v>
      </c>
    </row>
    <row r="331" spans="1:81" x14ac:dyDescent="0.25">
      <c r="A331">
        <v>345</v>
      </c>
      <c r="B331">
        <v>2</v>
      </c>
      <c r="C331">
        <v>534</v>
      </c>
      <c r="D331" t="s">
        <v>1937</v>
      </c>
      <c r="E331" t="s">
        <v>121</v>
      </c>
      <c r="F331" t="s">
        <v>1938</v>
      </c>
      <c r="G331" t="s">
        <v>1939</v>
      </c>
      <c r="H331" t="s">
        <v>1233</v>
      </c>
      <c r="I331" t="s">
        <v>125</v>
      </c>
      <c r="J331" t="s">
        <v>583</v>
      </c>
      <c r="K331" t="s">
        <v>466</v>
      </c>
      <c r="L331" t="s">
        <v>128</v>
      </c>
      <c r="M331" t="s">
        <v>467</v>
      </c>
      <c r="N331" t="s">
        <v>1940</v>
      </c>
      <c r="O331" t="s">
        <v>167</v>
      </c>
      <c r="P331">
        <v>0</v>
      </c>
      <c r="Q331" t="s">
        <v>125</v>
      </c>
      <c r="R331">
        <v>6</v>
      </c>
      <c r="S331">
        <v>40</v>
      </c>
      <c r="T331" t="s">
        <v>132</v>
      </c>
      <c r="U331" t="s">
        <v>133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134</v>
      </c>
      <c r="AE331" t="s">
        <v>134</v>
      </c>
      <c r="AF331" s="2">
        <v>45518</v>
      </c>
      <c r="AG331" s="2">
        <v>46020</v>
      </c>
      <c r="AH331">
        <v>409.24</v>
      </c>
      <c r="AI331" s="1">
        <v>1332.63</v>
      </c>
      <c r="AJ331" s="1">
        <v>3273.97</v>
      </c>
      <c r="AK331">
        <v>0</v>
      </c>
      <c r="AL331">
        <v>0</v>
      </c>
      <c r="AM331">
        <v>0</v>
      </c>
      <c r="AN331" t="s">
        <v>135</v>
      </c>
      <c r="AO331" t="s">
        <v>135</v>
      </c>
      <c r="AP331" t="s">
        <v>136</v>
      </c>
      <c r="AQ331" t="s">
        <v>137</v>
      </c>
      <c r="AR331" t="s">
        <v>138</v>
      </c>
      <c r="AS331" t="s">
        <v>150</v>
      </c>
      <c r="AT331" t="s">
        <v>140</v>
      </c>
      <c r="AU331">
        <v>100</v>
      </c>
      <c r="AV331">
        <v>10</v>
      </c>
      <c r="AW331">
        <v>1</v>
      </c>
      <c r="AX331" s="2">
        <v>45534</v>
      </c>
      <c r="AY331" t="s">
        <v>151</v>
      </c>
      <c r="AZ331" s="2">
        <v>46024</v>
      </c>
      <c r="BA331">
        <v>0</v>
      </c>
      <c r="BB331">
        <v>0</v>
      </c>
      <c r="BC331">
        <v>0</v>
      </c>
      <c r="BD331">
        <v>700</v>
      </c>
      <c r="BE331">
        <v>70</v>
      </c>
      <c r="BF331">
        <v>9</v>
      </c>
      <c r="BG331" s="2">
        <v>45536</v>
      </c>
      <c r="BH331" t="s">
        <v>142</v>
      </c>
      <c r="BI331" s="2">
        <v>46026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s="1">
        <v>1847.34</v>
      </c>
      <c r="BQ331" s="1">
        <v>1847.34</v>
      </c>
      <c r="BR331">
        <v>0</v>
      </c>
      <c r="BS331">
        <v>0</v>
      </c>
      <c r="BT331">
        <v>0</v>
      </c>
      <c r="BU331">
        <v>0</v>
      </c>
      <c r="BV331" s="1">
        <v>1134.83</v>
      </c>
      <c r="BW331" s="1">
        <v>1134.83</v>
      </c>
      <c r="BX331">
        <v>0</v>
      </c>
      <c r="BY331">
        <v>0</v>
      </c>
      <c r="BZ331">
        <v>0</v>
      </c>
      <c r="CA331">
        <v>0</v>
      </c>
      <c r="CB331">
        <v>751.24</v>
      </c>
      <c r="CC331" t="s">
        <v>161</v>
      </c>
    </row>
    <row r="332" spans="1:81" x14ac:dyDescent="0.25">
      <c r="A332">
        <v>345</v>
      </c>
      <c r="B332">
        <v>2</v>
      </c>
      <c r="C332">
        <v>535</v>
      </c>
      <c r="D332" t="s">
        <v>1941</v>
      </c>
      <c r="E332" t="s">
        <v>121</v>
      </c>
      <c r="F332" t="s">
        <v>1942</v>
      </c>
      <c r="G332" t="s">
        <v>1943</v>
      </c>
      <c r="H332" t="s">
        <v>1944</v>
      </c>
      <c r="I332" t="s">
        <v>1945</v>
      </c>
      <c r="J332" t="s">
        <v>712</v>
      </c>
      <c r="K332" t="s">
        <v>466</v>
      </c>
      <c r="L332" t="s">
        <v>128</v>
      </c>
      <c r="M332" t="s">
        <v>467</v>
      </c>
      <c r="N332" t="s">
        <v>1946</v>
      </c>
      <c r="O332" t="s">
        <v>131</v>
      </c>
      <c r="P332">
        <v>0</v>
      </c>
      <c r="Q332" t="s">
        <v>125</v>
      </c>
      <c r="R332">
        <v>6</v>
      </c>
      <c r="S332">
        <v>40</v>
      </c>
      <c r="T332" t="s">
        <v>132</v>
      </c>
      <c r="U332" t="s">
        <v>133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134</v>
      </c>
      <c r="AE332" t="s">
        <v>134</v>
      </c>
      <c r="AF332" s="2">
        <v>45518</v>
      </c>
      <c r="AG332" s="2">
        <v>46020</v>
      </c>
      <c r="AH332">
        <v>814.25</v>
      </c>
      <c r="AI332" s="1">
        <v>1146</v>
      </c>
      <c r="AJ332" s="1">
        <v>8956.76</v>
      </c>
      <c r="AK332">
        <v>0</v>
      </c>
      <c r="AL332">
        <v>0</v>
      </c>
      <c r="AM332">
        <v>0</v>
      </c>
      <c r="AN332" t="s">
        <v>135</v>
      </c>
      <c r="AO332" t="s">
        <v>135</v>
      </c>
      <c r="AP332" t="s">
        <v>136</v>
      </c>
      <c r="AQ332" t="s">
        <v>137</v>
      </c>
      <c r="AR332" t="s">
        <v>138</v>
      </c>
      <c r="AS332" t="s">
        <v>139</v>
      </c>
      <c r="AT332" t="s">
        <v>140</v>
      </c>
      <c r="AU332">
        <v>100</v>
      </c>
      <c r="AV332">
        <v>10</v>
      </c>
      <c r="AW332">
        <v>1</v>
      </c>
      <c r="AX332" s="2">
        <v>45842</v>
      </c>
      <c r="AY332" t="s">
        <v>151</v>
      </c>
      <c r="AZ332" s="2">
        <v>46024</v>
      </c>
      <c r="BA332">
        <v>0</v>
      </c>
      <c r="BB332">
        <v>0</v>
      </c>
      <c r="BC332">
        <v>0</v>
      </c>
      <c r="BD332">
        <v>700</v>
      </c>
      <c r="BE332">
        <v>70</v>
      </c>
      <c r="BF332">
        <v>9</v>
      </c>
      <c r="BG332" s="2">
        <v>45536</v>
      </c>
      <c r="BH332" t="s">
        <v>142</v>
      </c>
      <c r="BI332" s="2">
        <v>46026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s="1">
        <v>3446.34</v>
      </c>
      <c r="BQ332" s="1">
        <v>3446.34</v>
      </c>
      <c r="BR332">
        <v>0</v>
      </c>
      <c r="BS332">
        <v>0</v>
      </c>
      <c r="BT332">
        <v>0</v>
      </c>
      <c r="BU332">
        <v>0</v>
      </c>
      <c r="BV332" s="1">
        <v>2550.7399999999998</v>
      </c>
      <c r="BW332" s="1">
        <v>2550.7399999999998</v>
      </c>
      <c r="BX332">
        <v>0</v>
      </c>
      <c r="BY332">
        <v>0</v>
      </c>
      <c r="BZ332">
        <v>0</v>
      </c>
      <c r="CA332">
        <v>0</v>
      </c>
      <c r="CB332" s="1">
        <v>3845.76</v>
      </c>
      <c r="CC332" t="s">
        <v>143</v>
      </c>
    </row>
    <row r="333" spans="1:81" x14ac:dyDescent="0.25">
      <c r="A333">
        <v>345</v>
      </c>
      <c r="B333">
        <v>2</v>
      </c>
      <c r="C333">
        <v>536</v>
      </c>
      <c r="D333" t="s">
        <v>1947</v>
      </c>
      <c r="E333" t="s">
        <v>121</v>
      </c>
      <c r="F333" t="s">
        <v>1948</v>
      </c>
      <c r="G333" t="s">
        <v>1949</v>
      </c>
      <c r="H333" t="s">
        <v>1950</v>
      </c>
      <c r="I333" t="s">
        <v>1951</v>
      </c>
      <c r="J333" t="s">
        <v>527</v>
      </c>
      <c r="K333" t="s">
        <v>466</v>
      </c>
      <c r="L333" t="s">
        <v>128</v>
      </c>
      <c r="M333" t="s">
        <v>467</v>
      </c>
      <c r="N333" t="s">
        <v>1952</v>
      </c>
      <c r="O333" t="s">
        <v>167</v>
      </c>
      <c r="P333">
        <v>0</v>
      </c>
      <c r="Q333" t="s">
        <v>125</v>
      </c>
      <c r="R333">
        <v>6</v>
      </c>
      <c r="S333">
        <v>39</v>
      </c>
      <c r="T333" t="s">
        <v>132</v>
      </c>
      <c r="U333" t="s">
        <v>133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134</v>
      </c>
      <c r="AE333" t="s">
        <v>134</v>
      </c>
      <c r="AF333" s="2">
        <v>45518</v>
      </c>
      <c r="AG333" s="2">
        <v>46020</v>
      </c>
      <c r="AH333" s="1">
        <v>1136.23</v>
      </c>
      <c r="AI333" s="1">
        <v>1558.82</v>
      </c>
      <c r="AJ333" s="1">
        <v>7953.65</v>
      </c>
      <c r="AK333">
        <v>0</v>
      </c>
      <c r="AL333">
        <v>0</v>
      </c>
      <c r="AM333">
        <v>0</v>
      </c>
      <c r="AN333" t="s">
        <v>135</v>
      </c>
      <c r="AO333" t="s">
        <v>135</v>
      </c>
      <c r="AP333" t="s">
        <v>136</v>
      </c>
      <c r="AQ333" t="s">
        <v>137</v>
      </c>
      <c r="AR333" t="s">
        <v>138</v>
      </c>
      <c r="AS333" t="s">
        <v>150</v>
      </c>
      <c r="AT333" t="s">
        <v>140</v>
      </c>
      <c r="AU333">
        <v>501</v>
      </c>
      <c r="AV333">
        <v>10</v>
      </c>
      <c r="AW333">
        <v>1</v>
      </c>
      <c r="AX333" s="2">
        <v>45861</v>
      </c>
      <c r="AY333" t="s">
        <v>168</v>
      </c>
      <c r="AZ333" s="2">
        <v>46022</v>
      </c>
      <c r="BA333">
        <v>0</v>
      </c>
      <c r="BB333">
        <v>0</v>
      </c>
      <c r="BC333">
        <v>0</v>
      </c>
      <c r="BD333">
        <v>700</v>
      </c>
      <c r="BE333">
        <v>70</v>
      </c>
      <c r="BF333">
        <v>9</v>
      </c>
      <c r="BG333" s="2">
        <v>45536</v>
      </c>
      <c r="BH333" t="s">
        <v>142</v>
      </c>
      <c r="BI333" s="2">
        <v>46026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828.51</v>
      </c>
      <c r="BQ333">
        <v>828.51</v>
      </c>
      <c r="BR333">
        <v>0</v>
      </c>
      <c r="BS333">
        <v>0</v>
      </c>
      <c r="BT333">
        <v>0</v>
      </c>
      <c r="BU333">
        <v>0</v>
      </c>
      <c r="BV333" s="1">
        <v>5076.76</v>
      </c>
      <c r="BW333" s="1">
        <v>5076.76</v>
      </c>
      <c r="BX333">
        <v>0</v>
      </c>
      <c r="BY333">
        <v>0</v>
      </c>
      <c r="BZ333">
        <v>0</v>
      </c>
      <c r="CA333">
        <v>0</v>
      </c>
      <c r="CB333">
        <v>958.96</v>
      </c>
      <c r="CC333" t="s">
        <v>161</v>
      </c>
    </row>
    <row r="334" spans="1:81" x14ac:dyDescent="0.25">
      <c r="A334">
        <v>345</v>
      </c>
      <c r="B334">
        <v>2</v>
      </c>
      <c r="C334">
        <v>537</v>
      </c>
      <c r="D334" t="s">
        <v>1953</v>
      </c>
      <c r="E334" t="s">
        <v>121</v>
      </c>
      <c r="F334" t="s">
        <v>1954</v>
      </c>
      <c r="G334" t="s">
        <v>1955</v>
      </c>
      <c r="H334" t="s">
        <v>1956</v>
      </c>
      <c r="I334" t="s">
        <v>1957</v>
      </c>
      <c r="J334" t="s">
        <v>781</v>
      </c>
      <c r="K334" t="s">
        <v>466</v>
      </c>
      <c r="L334" t="s">
        <v>128</v>
      </c>
      <c r="M334" t="s">
        <v>467</v>
      </c>
      <c r="N334" t="s">
        <v>1958</v>
      </c>
      <c r="O334" t="s">
        <v>131</v>
      </c>
      <c r="P334">
        <v>0</v>
      </c>
      <c r="Q334" t="s">
        <v>125</v>
      </c>
      <c r="R334">
        <v>6</v>
      </c>
      <c r="S334">
        <v>37</v>
      </c>
      <c r="T334" t="s">
        <v>132</v>
      </c>
      <c r="U334" t="s">
        <v>133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134</v>
      </c>
      <c r="AE334" t="s">
        <v>134</v>
      </c>
      <c r="AF334" s="2">
        <v>45518</v>
      </c>
      <c r="AG334" s="2">
        <v>46017</v>
      </c>
      <c r="AH334">
        <v>410.44</v>
      </c>
      <c r="AI334">
        <v>766.99</v>
      </c>
      <c r="AJ334" s="1">
        <v>2873.09</v>
      </c>
      <c r="AK334">
        <v>0</v>
      </c>
      <c r="AL334">
        <v>507.55</v>
      </c>
      <c r="AM334">
        <v>0</v>
      </c>
      <c r="AN334" t="s">
        <v>135</v>
      </c>
      <c r="AO334" t="s">
        <v>135</v>
      </c>
      <c r="AP334" t="s">
        <v>136</v>
      </c>
      <c r="AQ334" t="s">
        <v>137</v>
      </c>
      <c r="AR334" t="s">
        <v>138</v>
      </c>
      <c r="AS334" t="s">
        <v>139</v>
      </c>
      <c r="AT334" t="s">
        <v>140</v>
      </c>
      <c r="AU334">
        <v>103</v>
      </c>
      <c r="AV334">
        <v>10</v>
      </c>
      <c r="AW334">
        <v>1</v>
      </c>
      <c r="AX334" s="2">
        <v>45811</v>
      </c>
      <c r="AY334" t="s">
        <v>377</v>
      </c>
      <c r="AZ334" s="2">
        <v>46028</v>
      </c>
      <c r="BA334">
        <v>0</v>
      </c>
      <c r="BB334">
        <v>0</v>
      </c>
      <c r="BC334">
        <v>0</v>
      </c>
      <c r="BD334">
        <v>700</v>
      </c>
      <c r="BE334">
        <v>70</v>
      </c>
      <c r="BF334">
        <v>9</v>
      </c>
      <c r="BG334" s="2">
        <v>45536</v>
      </c>
      <c r="BH334" t="s">
        <v>142</v>
      </c>
      <c r="BI334" s="2">
        <v>46026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172.95</v>
      </c>
      <c r="BQ334">
        <v>172.95</v>
      </c>
      <c r="BR334">
        <v>0</v>
      </c>
      <c r="BS334">
        <v>0</v>
      </c>
      <c r="BT334">
        <v>0</v>
      </c>
      <c r="BU334">
        <v>0</v>
      </c>
      <c r="BV334" s="1">
        <v>2109.2399999999998</v>
      </c>
      <c r="BW334" s="1">
        <v>2109.2399999999998</v>
      </c>
      <c r="BX334">
        <v>0</v>
      </c>
      <c r="BY334">
        <v>0</v>
      </c>
      <c r="BZ334">
        <v>0</v>
      </c>
      <c r="CA334">
        <v>0</v>
      </c>
      <c r="CB334">
        <v>354.42</v>
      </c>
      <c r="CC334" t="s">
        <v>143</v>
      </c>
    </row>
    <row r="335" spans="1:81" x14ac:dyDescent="0.25">
      <c r="A335">
        <v>345</v>
      </c>
      <c r="B335">
        <v>2</v>
      </c>
      <c r="C335">
        <v>539</v>
      </c>
      <c r="D335" t="s">
        <v>1959</v>
      </c>
      <c r="E335" t="s">
        <v>121</v>
      </c>
      <c r="F335" t="s">
        <v>1960</v>
      </c>
      <c r="G335" t="s">
        <v>1961</v>
      </c>
      <c r="H335" t="s">
        <v>563</v>
      </c>
      <c r="I335" t="s">
        <v>125</v>
      </c>
      <c r="J335" t="s">
        <v>565</v>
      </c>
      <c r="K335" t="s">
        <v>336</v>
      </c>
      <c r="L335" t="s">
        <v>128</v>
      </c>
      <c r="M335" t="s">
        <v>337</v>
      </c>
      <c r="N335" t="s">
        <v>1962</v>
      </c>
      <c r="O335" t="s">
        <v>131</v>
      </c>
      <c r="P335">
        <v>0</v>
      </c>
      <c r="Q335" t="s">
        <v>125</v>
      </c>
      <c r="R335">
        <v>6</v>
      </c>
      <c r="S335">
        <v>39</v>
      </c>
      <c r="T335" t="s">
        <v>132</v>
      </c>
      <c r="U335" t="s">
        <v>133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134</v>
      </c>
      <c r="AE335" t="s">
        <v>134</v>
      </c>
      <c r="AF335" s="2">
        <v>45518</v>
      </c>
      <c r="AG335" s="2">
        <v>45944</v>
      </c>
      <c r="AH335">
        <v>435.75</v>
      </c>
      <c r="AI335">
        <v>435.75</v>
      </c>
      <c r="AJ335">
        <v>435.75</v>
      </c>
      <c r="AK335">
        <v>0</v>
      </c>
      <c r="AL335">
        <v>0</v>
      </c>
      <c r="AM335">
        <v>0</v>
      </c>
      <c r="AN335" t="s">
        <v>135</v>
      </c>
      <c r="AO335" t="s">
        <v>135</v>
      </c>
      <c r="AP335" t="s">
        <v>136</v>
      </c>
      <c r="AQ335" t="s">
        <v>137</v>
      </c>
      <c r="AR335" t="s">
        <v>138</v>
      </c>
      <c r="AS335" t="s">
        <v>139</v>
      </c>
      <c r="AT335" t="s">
        <v>140</v>
      </c>
      <c r="AU335">
        <v>104</v>
      </c>
      <c r="AV335">
        <v>10</v>
      </c>
      <c r="AW335">
        <v>1</v>
      </c>
      <c r="AX335" s="2">
        <v>45859</v>
      </c>
      <c r="AY335" t="s">
        <v>141</v>
      </c>
      <c r="AZ335" s="2">
        <v>46027</v>
      </c>
      <c r="BA335">
        <v>0</v>
      </c>
      <c r="BB335">
        <v>0</v>
      </c>
      <c r="BC335">
        <v>0</v>
      </c>
      <c r="BD335">
        <v>700</v>
      </c>
      <c r="BE335">
        <v>70</v>
      </c>
      <c r="BF335">
        <v>9</v>
      </c>
      <c r="BG335" s="2">
        <v>45536</v>
      </c>
      <c r="BH335" t="s">
        <v>142</v>
      </c>
      <c r="BI335" s="2">
        <v>46026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557.25</v>
      </c>
      <c r="CC335" t="s">
        <v>143</v>
      </c>
    </row>
    <row r="336" spans="1:81" x14ac:dyDescent="0.25">
      <c r="A336">
        <v>345</v>
      </c>
      <c r="B336">
        <v>2</v>
      </c>
      <c r="C336">
        <v>540</v>
      </c>
      <c r="D336" t="s">
        <v>1963</v>
      </c>
      <c r="E336" t="s">
        <v>121</v>
      </c>
      <c r="F336" t="s">
        <v>1964</v>
      </c>
      <c r="G336" t="s">
        <v>1965</v>
      </c>
      <c r="H336" t="s">
        <v>1966</v>
      </c>
      <c r="I336" t="s">
        <v>125</v>
      </c>
      <c r="J336" t="s">
        <v>565</v>
      </c>
      <c r="K336" t="s">
        <v>336</v>
      </c>
      <c r="L336" t="s">
        <v>128</v>
      </c>
      <c r="M336" t="s">
        <v>337</v>
      </c>
      <c r="N336" t="s">
        <v>1967</v>
      </c>
      <c r="O336" t="s">
        <v>167</v>
      </c>
      <c r="P336">
        <v>0</v>
      </c>
      <c r="Q336" t="s">
        <v>125</v>
      </c>
      <c r="R336">
        <v>6</v>
      </c>
      <c r="S336">
        <v>36</v>
      </c>
      <c r="T336" t="s">
        <v>132</v>
      </c>
      <c r="U336" t="s">
        <v>133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134</v>
      </c>
      <c r="AE336" t="s">
        <v>134</v>
      </c>
      <c r="AF336" s="2">
        <v>45518</v>
      </c>
      <c r="AG336" s="2">
        <v>46014</v>
      </c>
      <c r="AH336">
        <v>790.09</v>
      </c>
      <c r="AI336" s="1">
        <v>1520.12</v>
      </c>
      <c r="AJ336" s="1">
        <v>6320.76</v>
      </c>
      <c r="AK336">
        <v>0</v>
      </c>
      <c r="AL336" s="1">
        <v>1520.12</v>
      </c>
      <c r="AM336">
        <v>0</v>
      </c>
      <c r="AN336" t="s">
        <v>135</v>
      </c>
      <c r="AO336" t="s">
        <v>135</v>
      </c>
      <c r="AP336" t="s">
        <v>136</v>
      </c>
      <c r="AQ336" t="s">
        <v>137</v>
      </c>
      <c r="AR336" t="s">
        <v>138</v>
      </c>
      <c r="AS336" t="s">
        <v>139</v>
      </c>
      <c r="AT336" t="s">
        <v>140</v>
      </c>
      <c r="AU336">
        <v>104</v>
      </c>
      <c r="AV336">
        <v>10</v>
      </c>
      <c r="AW336">
        <v>1</v>
      </c>
      <c r="AX336" s="2">
        <v>45838</v>
      </c>
      <c r="AY336" t="s">
        <v>141</v>
      </c>
      <c r="AZ336" s="2">
        <v>46027</v>
      </c>
      <c r="BA336">
        <v>0</v>
      </c>
      <c r="BB336">
        <v>0</v>
      </c>
      <c r="BC336">
        <v>0</v>
      </c>
      <c r="BD336">
        <v>700</v>
      </c>
      <c r="BE336">
        <v>70</v>
      </c>
      <c r="BF336">
        <v>9</v>
      </c>
      <c r="BG336" s="2">
        <v>45536</v>
      </c>
      <c r="BH336" t="s">
        <v>142</v>
      </c>
      <c r="BI336" s="2">
        <v>46026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s="1">
        <v>1195.33</v>
      </c>
      <c r="BQ336" s="1">
        <v>1195.33</v>
      </c>
      <c r="BR336">
        <v>0</v>
      </c>
      <c r="BS336">
        <v>0</v>
      </c>
      <c r="BT336">
        <v>0</v>
      </c>
      <c r="BU336">
        <v>0</v>
      </c>
      <c r="BV336" s="1">
        <v>3673.78</v>
      </c>
      <c r="BW336" s="1">
        <v>3673.78</v>
      </c>
      <c r="BX336">
        <v>0</v>
      </c>
      <c r="BY336">
        <v>0</v>
      </c>
      <c r="BZ336">
        <v>0</v>
      </c>
      <c r="CA336">
        <v>0</v>
      </c>
      <c r="CB336" s="1">
        <v>1410.21</v>
      </c>
      <c r="CC336" t="s">
        <v>161</v>
      </c>
    </row>
    <row r="337" spans="1:81" x14ac:dyDescent="0.25">
      <c r="A337">
        <v>345</v>
      </c>
      <c r="B337">
        <v>2</v>
      </c>
      <c r="C337">
        <v>541</v>
      </c>
      <c r="D337" t="s">
        <v>1968</v>
      </c>
      <c r="E337" t="s">
        <v>121</v>
      </c>
      <c r="F337" t="s">
        <v>1969</v>
      </c>
      <c r="G337" t="s">
        <v>1970</v>
      </c>
      <c r="H337" t="s">
        <v>1971</v>
      </c>
      <c r="I337" t="s">
        <v>1972</v>
      </c>
      <c r="J337" t="s">
        <v>825</v>
      </c>
      <c r="K337" t="s">
        <v>336</v>
      </c>
      <c r="L337" t="s">
        <v>128</v>
      </c>
      <c r="M337" t="s">
        <v>337</v>
      </c>
      <c r="N337" t="s">
        <v>1973</v>
      </c>
      <c r="O337" t="s">
        <v>149</v>
      </c>
      <c r="P337">
        <v>0</v>
      </c>
      <c r="Q337" t="s">
        <v>125</v>
      </c>
      <c r="R337">
        <v>6</v>
      </c>
      <c r="S337">
        <v>39</v>
      </c>
      <c r="T337" t="s">
        <v>132</v>
      </c>
      <c r="U337" t="s">
        <v>133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134</v>
      </c>
      <c r="AE337" t="s">
        <v>134</v>
      </c>
      <c r="AF337" s="2">
        <v>45518</v>
      </c>
      <c r="AG337" s="2">
        <v>46021</v>
      </c>
      <c r="AH337">
        <v>317.58999999999997</v>
      </c>
      <c r="AI337">
        <v>705.24</v>
      </c>
      <c r="AJ337" s="1">
        <v>2223.17</v>
      </c>
      <c r="AK337">
        <v>0</v>
      </c>
      <c r="AL337">
        <v>0</v>
      </c>
      <c r="AM337">
        <v>0</v>
      </c>
      <c r="AN337" t="s">
        <v>135</v>
      </c>
      <c r="AO337" t="s">
        <v>135</v>
      </c>
      <c r="AP337" t="s">
        <v>136</v>
      </c>
      <c r="AQ337" t="s">
        <v>137</v>
      </c>
      <c r="AR337" t="s">
        <v>138</v>
      </c>
      <c r="AS337" t="s">
        <v>139</v>
      </c>
      <c r="AT337" t="s">
        <v>140</v>
      </c>
      <c r="AU337">
        <v>101</v>
      </c>
      <c r="AV337">
        <v>10</v>
      </c>
      <c r="AW337">
        <v>1</v>
      </c>
      <c r="AX337" s="2">
        <v>45838</v>
      </c>
      <c r="AY337" t="s">
        <v>141</v>
      </c>
      <c r="AZ337" s="2">
        <v>46027</v>
      </c>
      <c r="BA337">
        <v>0</v>
      </c>
      <c r="BB337">
        <v>0</v>
      </c>
      <c r="BC337">
        <v>0</v>
      </c>
      <c r="BD337">
        <v>700</v>
      </c>
      <c r="BE337">
        <v>70</v>
      </c>
      <c r="BF337">
        <v>9</v>
      </c>
      <c r="BG337" s="2">
        <v>45536</v>
      </c>
      <c r="BH337" t="s">
        <v>142</v>
      </c>
      <c r="BI337" s="2">
        <v>46026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389.04</v>
      </c>
      <c r="BQ337">
        <v>389.04</v>
      </c>
      <c r="BR337">
        <v>0</v>
      </c>
      <c r="BS337">
        <v>0</v>
      </c>
      <c r="BT337">
        <v>0</v>
      </c>
      <c r="BU337">
        <v>0</v>
      </c>
      <c r="BV337">
        <v>775.47</v>
      </c>
      <c r="BW337">
        <v>775.47</v>
      </c>
      <c r="BX337">
        <v>0</v>
      </c>
      <c r="BY337">
        <v>0</v>
      </c>
      <c r="BZ337">
        <v>0</v>
      </c>
      <c r="CA337">
        <v>0</v>
      </c>
      <c r="CB337">
        <v>584.41</v>
      </c>
      <c r="CC337" t="s">
        <v>152</v>
      </c>
    </row>
    <row r="338" spans="1:81" x14ac:dyDescent="0.25">
      <c r="A338">
        <v>345</v>
      </c>
      <c r="B338">
        <v>2</v>
      </c>
      <c r="C338">
        <v>542</v>
      </c>
      <c r="D338" t="s">
        <v>1974</v>
      </c>
      <c r="E338" t="s">
        <v>121</v>
      </c>
      <c r="F338" t="s">
        <v>1975</v>
      </c>
      <c r="G338" t="s">
        <v>1976</v>
      </c>
      <c r="H338" t="s">
        <v>1977</v>
      </c>
      <c r="I338" t="s">
        <v>1978</v>
      </c>
      <c r="J338" t="s">
        <v>1671</v>
      </c>
      <c r="K338" t="s">
        <v>466</v>
      </c>
      <c r="L338" t="s">
        <v>128</v>
      </c>
      <c r="M338" t="s">
        <v>467</v>
      </c>
      <c r="N338" t="s">
        <v>1979</v>
      </c>
      <c r="O338" t="s">
        <v>131</v>
      </c>
      <c r="P338">
        <v>0</v>
      </c>
      <c r="Q338" t="s">
        <v>125</v>
      </c>
      <c r="R338">
        <v>6</v>
      </c>
      <c r="S338">
        <v>40</v>
      </c>
      <c r="T338" t="s">
        <v>132</v>
      </c>
      <c r="U338" t="s">
        <v>133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134</v>
      </c>
      <c r="AE338" t="s">
        <v>134</v>
      </c>
      <c r="AF338" s="2">
        <v>45518</v>
      </c>
      <c r="AG338" s="2">
        <v>46011</v>
      </c>
      <c r="AH338">
        <v>187.4</v>
      </c>
      <c r="AI338">
        <v>274</v>
      </c>
      <c r="AJ338" s="1">
        <v>1686.66</v>
      </c>
      <c r="AK338">
        <v>0</v>
      </c>
      <c r="AL338">
        <v>0</v>
      </c>
      <c r="AM338">
        <v>0</v>
      </c>
      <c r="AN338" t="s">
        <v>135</v>
      </c>
      <c r="AO338" t="s">
        <v>135</v>
      </c>
      <c r="AP338" t="s">
        <v>136</v>
      </c>
      <c r="AQ338" t="s">
        <v>137</v>
      </c>
      <c r="AR338" t="s">
        <v>138</v>
      </c>
      <c r="AS338" t="s">
        <v>139</v>
      </c>
      <c r="AT338" t="s">
        <v>140</v>
      </c>
      <c r="AU338">
        <v>105</v>
      </c>
      <c r="AV338">
        <v>10</v>
      </c>
      <c r="AW338">
        <v>1</v>
      </c>
      <c r="AX338" s="2">
        <v>45813</v>
      </c>
      <c r="AY338" t="s">
        <v>308</v>
      </c>
      <c r="AZ338" s="2">
        <v>46023</v>
      </c>
      <c r="BA338">
        <v>0</v>
      </c>
      <c r="BB338">
        <v>0</v>
      </c>
      <c r="BC338">
        <v>0</v>
      </c>
      <c r="BD338">
        <v>700</v>
      </c>
      <c r="BE338">
        <v>70</v>
      </c>
      <c r="BF338">
        <v>9</v>
      </c>
      <c r="BG338" s="2">
        <v>45536</v>
      </c>
      <c r="BH338" t="s">
        <v>142</v>
      </c>
      <c r="BI338" s="2">
        <v>46026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563.11</v>
      </c>
      <c r="BQ338">
        <v>563.11</v>
      </c>
      <c r="BR338">
        <v>0</v>
      </c>
      <c r="BS338">
        <v>0</v>
      </c>
      <c r="BT338">
        <v>0</v>
      </c>
      <c r="BU338">
        <v>0</v>
      </c>
      <c r="BV338">
        <v>369.2</v>
      </c>
      <c r="BW338">
        <v>369.2</v>
      </c>
      <c r="BX338">
        <v>0</v>
      </c>
      <c r="BY338">
        <v>0</v>
      </c>
      <c r="BZ338">
        <v>0</v>
      </c>
      <c r="CA338">
        <v>0</v>
      </c>
      <c r="CB338">
        <v>494.5</v>
      </c>
      <c r="CC338" t="s">
        <v>143</v>
      </c>
    </row>
    <row r="339" spans="1:81" x14ac:dyDescent="0.25">
      <c r="A339">
        <v>345</v>
      </c>
      <c r="B339">
        <v>2</v>
      </c>
      <c r="C339">
        <v>543</v>
      </c>
      <c r="D339" t="s">
        <v>1980</v>
      </c>
      <c r="E339" t="s">
        <v>121</v>
      </c>
      <c r="F339" t="s">
        <v>1981</v>
      </c>
      <c r="G339" t="s">
        <v>1982</v>
      </c>
      <c r="H339" t="s">
        <v>1983</v>
      </c>
      <c r="I339" t="s">
        <v>1984</v>
      </c>
      <c r="J339" t="s">
        <v>527</v>
      </c>
      <c r="K339" t="s">
        <v>466</v>
      </c>
      <c r="L339" t="s">
        <v>128</v>
      </c>
      <c r="M339" t="s">
        <v>467</v>
      </c>
      <c r="N339" t="s">
        <v>1985</v>
      </c>
      <c r="O339" t="s">
        <v>131</v>
      </c>
      <c r="P339">
        <v>0</v>
      </c>
      <c r="Q339" t="s">
        <v>125</v>
      </c>
      <c r="R339">
        <v>6</v>
      </c>
      <c r="S339">
        <v>40</v>
      </c>
      <c r="T339" t="s">
        <v>132</v>
      </c>
      <c r="U339" t="s">
        <v>133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134</v>
      </c>
      <c r="AE339" t="s">
        <v>134</v>
      </c>
      <c r="AF339" s="2">
        <v>45518</v>
      </c>
      <c r="AG339" s="2">
        <v>46020</v>
      </c>
      <c r="AH339">
        <v>226.41</v>
      </c>
      <c r="AI339">
        <v>361.76</v>
      </c>
      <c r="AJ339" s="1">
        <v>2490.59</v>
      </c>
      <c r="AK339">
        <v>0</v>
      </c>
      <c r="AL339">
        <v>0</v>
      </c>
      <c r="AM339">
        <v>0</v>
      </c>
      <c r="AN339" t="s">
        <v>135</v>
      </c>
      <c r="AO339" t="s">
        <v>135</v>
      </c>
      <c r="AP339" t="s">
        <v>136</v>
      </c>
      <c r="AQ339" t="s">
        <v>137</v>
      </c>
      <c r="AR339" t="s">
        <v>138</v>
      </c>
      <c r="AS339" t="s">
        <v>139</v>
      </c>
      <c r="AT339" t="s">
        <v>140</v>
      </c>
      <c r="AU339">
        <v>105</v>
      </c>
      <c r="AV339">
        <v>10</v>
      </c>
      <c r="AW339">
        <v>1</v>
      </c>
      <c r="AX339" s="2">
        <v>45815</v>
      </c>
      <c r="AY339" t="s">
        <v>160</v>
      </c>
      <c r="AZ339" s="2">
        <v>46025</v>
      </c>
      <c r="BA339">
        <v>0</v>
      </c>
      <c r="BB339">
        <v>0</v>
      </c>
      <c r="BC339">
        <v>0</v>
      </c>
      <c r="BD339">
        <v>700</v>
      </c>
      <c r="BE339">
        <v>70</v>
      </c>
      <c r="BF339">
        <v>9</v>
      </c>
      <c r="BG339" s="2">
        <v>45536</v>
      </c>
      <c r="BH339" t="s">
        <v>142</v>
      </c>
      <c r="BI339" s="2">
        <v>46026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800.98</v>
      </c>
      <c r="BQ339">
        <v>800.98</v>
      </c>
      <c r="BR339">
        <v>0</v>
      </c>
      <c r="BS339">
        <v>0</v>
      </c>
      <c r="BT339">
        <v>0</v>
      </c>
      <c r="BU339">
        <v>0</v>
      </c>
      <c r="BV339" s="1">
        <v>1130.08</v>
      </c>
      <c r="BW339" s="1">
        <v>1130.08</v>
      </c>
      <c r="BX339">
        <v>0</v>
      </c>
      <c r="BY339">
        <v>0</v>
      </c>
      <c r="BZ339">
        <v>0</v>
      </c>
      <c r="CA339">
        <v>0</v>
      </c>
      <c r="CB339">
        <v>907.72</v>
      </c>
      <c r="CC339" t="s">
        <v>143</v>
      </c>
    </row>
    <row r="340" spans="1:81" x14ac:dyDescent="0.25">
      <c r="A340">
        <v>345</v>
      </c>
      <c r="B340">
        <v>2</v>
      </c>
      <c r="C340">
        <v>544</v>
      </c>
      <c r="D340" t="s">
        <v>1986</v>
      </c>
      <c r="E340" t="s">
        <v>121</v>
      </c>
      <c r="F340" t="s">
        <v>1987</v>
      </c>
      <c r="G340" t="s">
        <v>1988</v>
      </c>
      <c r="H340" t="s">
        <v>1989</v>
      </c>
      <c r="I340" t="s">
        <v>1990</v>
      </c>
      <c r="J340" t="s">
        <v>459</v>
      </c>
      <c r="K340" t="s">
        <v>336</v>
      </c>
      <c r="L340" t="s">
        <v>128</v>
      </c>
      <c r="M340" t="s">
        <v>337</v>
      </c>
      <c r="N340" t="s">
        <v>1991</v>
      </c>
      <c r="O340" t="s">
        <v>149</v>
      </c>
      <c r="P340">
        <v>0</v>
      </c>
      <c r="Q340" t="s">
        <v>125</v>
      </c>
      <c r="R340">
        <v>2</v>
      </c>
      <c r="S340">
        <v>90</v>
      </c>
      <c r="T340" t="s">
        <v>132</v>
      </c>
      <c r="U340" t="s">
        <v>133</v>
      </c>
      <c r="V340" s="1">
        <v>2560</v>
      </c>
      <c r="W340">
        <v>0</v>
      </c>
      <c r="X340" s="1">
        <v>2560</v>
      </c>
      <c r="Y340">
        <v>7</v>
      </c>
      <c r="Z340">
        <v>0</v>
      </c>
      <c r="AA340">
        <v>0</v>
      </c>
      <c r="AB340">
        <v>0</v>
      </c>
      <c r="AC340">
        <v>0</v>
      </c>
      <c r="AD340" t="s">
        <v>134</v>
      </c>
      <c r="AE340" t="s">
        <v>134</v>
      </c>
      <c r="AF340" s="2">
        <v>45518</v>
      </c>
      <c r="AG340" s="2">
        <v>46021</v>
      </c>
      <c r="AH340" s="1">
        <v>1755.61</v>
      </c>
      <c r="AI340" s="1">
        <v>6815.7</v>
      </c>
      <c r="AJ340" s="1">
        <v>21067.34</v>
      </c>
      <c r="AK340">
        <v>0</v>
      </c>
      <c r="AL340">
        <v>0</v>
      </c>
      <c r="AM340">
        <v>0</v>
      </c>
      <c r="AN340" t="s">
        <v>135</v>
      </c>
      <c r="AO340" t="s">
        <v>135</v>
      </c>
      <c r="AP340" t="s">
        <v>136</v>
      </c>
      <c r="AQ340" t="s">
        <v>137</v>
      </c>
      <c r="AR340" t="s">
        <v>138</v>
      </c>
      <c r="AS340" t="s">
        <v>139</v>
      </c>
      <c r="AT340" t="s">
        <v>140</v>
      </c>
      <c r="AU340">
        <v>100</v>
      </c>
      <c r="AV340">
        <v>10</v>
      </c>
      <c r="AW340">
        <v>1</v>
      </c>
      <c r="AX340" s="2">
        <v>45817</v>
      </c>
      <c r="AY340" t="s">
        <v>141</v>
      </c>
      <c r="AZ340" s="2">
        <v>46027</v>
      </c>
      <c r="BA340">
        <v>0</v>
      </c>
      <c r="BB340">
        <v>0</v>
      </c>
      <c r="BC340">
        <v>0</v>
      </c>
      <c r="BD340">
        <v>700</v>
      </c>
      <c r="BE340">
        <v>70</v>
      </c>
      <c r="BF340">
        <v>9</v>
      </c>
      <c r="BG340" s="2">
        <v>45536</v>
      </c>
      <c r="BH340" t="s">
        <v>142</v>
      </c>
      <c r="BI340" s="2">
        <v>46026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s="1">
        <v>13442.89</v>
      </c>
      <c r="BQ340" s="1">
        <v>13442.89</v>
      </c>
      <c r="BR340">
        <v>0</v>
      </c>
      <c r="BS340">
        <v>0</v>
      </c>
      <c r="BT340">
        <v>0</v>
      </c>
      <c r="BU340">
        <v>0</v>
      </c>
      <c r="BV340" s="1">
        <v>5616.84</v>
      </c>
      <c r="BW340" s="1">
        <v>5616.84</v>
      </c>
      <c r="BX340">
        <v>0</v>
      </c>
      <c r="BY340">
        <v>0</v>
      </c>
      <c r="BZ340">
        <v>0</v>
      </c>
      <c r="CA340">
        <v>0</v>
      </c>
      <c r="CB340" s="1">
        <v>6368.98</v>
      </c>
      <c r="CC340" t="s">
        <v>152</v>
      </c>
    </row>
    <row r="341" spans="1:81" x14ac:dyDescent="0.25">
      <c r="A341">
        <v>345</v>
      </c>
      <c r="B341">
        <v>2</v>
      </c>
      <c r="C341">
        <v>545</v>
      </c>
      <c r="D341" t="s">
        <v>1992</v>
      </c>
      <c r="E341" t="s">
        <v>121</v>
      </c>
      <c r="F341" t="s">
        <v>1993</v>
      </c>
      <c r="G341" t="s">
        <v>1994</v>
      </c>
      <c r="H341" t="s">
        <v>1995</v>
      </c>
      <c r="I341" t="s">
        <v>125</v>
      </c>
      <c r="J341" t="s">
        <v>1996</v>
      </c>
      <c r="K341" t="s">
        <v>466</v>
      </c>
      <c r="L341" t="s">
        <v>128</v>
      </c>
      <c r="M341" t="s">
        <v>467</v>
      </c>
      <c r="N341" t="s">
        <v>1997</v>
      </c>
      <c r="O341" t="s">
        <v>149</v>
      </c>
      <c r="P341">
        <v>0</v>
      </c>
      <c r="Q341" t="s">
        <v>125</v>
      </c>
      <c r="R341">
        <v>6</v>
      </c>
      <c r="S341">
        <v>39</v>
      </c>
      <c r="T341" t="s">
        <v>132</v>
      </c>
      <c r="U341" t="s">
        <v>133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134</v>
      </c>
      <c r="AE341" t="s">
        <v>134</v>
      </c>
      <c r="AF341" s="2">
        <v>45518</v>
      </c>
      <c r="AG341" s="2">
        <v>46017</v>
      </c>
      <c r="AH341" s="1">
        <v>3201.21</v>
      </c>
      <c r="AI341" s="1">
        <v>6921.5</v>
      </c>
      <c r="AJ341" s="1">
        <v>38414.589999999997</v>
      </c>
      <c r="AK341">
        <v>0</v>
      </c>
      <c r="AL341">
        <v>0</v>
      </c>
      <c r="AM341">
        <v>0</v>
      </c>
      <c r="AN341" t="s">
        <v>135</v>
      </c>
      <c r="AO341" t="s">
        <v>135</v>
      </c>
      <c r="AP341" t="s">
        <v>136</v>
      </c>
      <c r="AQ341" t="s">
        <v>137</v>
      </c>
      <c r="AR341" t="s">
        <v>138</v>
      </c>
      <c r="AS341" t="s">
        <v>139</v>
      </c>
      <c r="AT341" t="s">
        <v>140</v>
      </c>
      <c r="AU341">
        <v>103</v>
      </c>
      <c r="AV341">
        <v>10</v>
      </c>
      <c r="AW341">
        <v>1</v>
      </c>
      <c r="AX341" s="2">
        <v>45839</v>
      </c>
      <c r="AY341" t="s">
        <v>377</v>
      </c>
      <c r="AZ341" s="2">
        <v>46028</v>
      </c>
      <c r="BA341">
        <v>0</v>
      </c>
      <c r="BB341">
        <v>0</v>
      </c>
      <c r="BC341">
        <v>0</v>
      </c>
      <c r="BD341">
        <v>700</v>
      </c>
      <c r="BE341">
        <v>70</v>
      </c>
      <c r="BF341">
        <v>9</v>
      </c>
      <c r="BG341" s="2">
        <v>45536</v>
      </c>
      <c r="BH341" t="s">
        <v>142</v>
      </c>
      <c r="BI341" s="2">
        <v>46026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 s="1">
        <v>8096.23</v>
      </c>
      <c r="BQ341" s="1">
        <v>8096.23</v>
      </c>
      <c r="BR341">
        <v>0</v>
      </c>
      <c r="BS341">
        <v>0</v>
      </c>
      <c r="BT341">
        <v>0</v>
      </c>
      <c r="BU341">
        <v>0</v>
      </c>
      <c r="BV341" s="1">
        <v>17015.07</v>
      </c>
      <c r="BW341" s="1">
        <v>17015.07</v>
      </c>
      <c r="BX341">
        <v>0</v>
      </c>
      <c r="BY341">
        <v>0</v>
      </c>
      <c r="BZ341">
        <v>0</v>
      </c>
      <c r="CA341">
        <v>0</v>
      </c>
      <c r="CB341" s="1">
        <v>8903.36</v>
      </c>
      <c r="CC341" t="s">
        <v>152</v>
      </c>
    </row>
    <row r="342" spans="1:81" x14ac:dyDescent="0.25">
      <c r="A342">
        <v>345</v>
      </c>
      <c r="B342">
        <v>2</v>
      </c>
      <c r="C342">
        <v>546</v>
      </c>
      <c r="D342" t="s">
        <v>1998</v>
      </c>
      <c r="E342" t="s">
        <v>121</v>
      </c>
      <c r="F342" t="s">
        <v>1999</v>
      </c>
      <c r="G342" t="s">
        <v>2000</v>
      </c>
      <c r="H342" t="s">
        <v>2001</v>
      </c>
      <c r="I342" t="s">
        <v>2002</v>
      </c>
      <c r="J342" t="s">
        <v>1009</v>
      </c>
      <c r="K342" t="s">
        <v>336</v>
      </c>
      <c r="L342" t="s">
        <v>128</v>
      </c>
      <c r="M342" t="s">
        <v>337</v>
      </c>
      <c r="N342" t="s">
        <v>2003</v>
      </c>
      <c r="O342" t="s">
        <v>131</v>
      </c>
      <c r="P342">
        <v>0</v>
      </c>
      <c r="Q342" t="s">
        <v>125</v>
      </c>
      <c r="R342">
        <v>6</v>
      </c>
      <c r="S342">
        <v>40</v>
      </c>
      <c r="T342" t="s">
        <v>132</v>
      </c>
      <c r="U342" t="s">
        <v>133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134</v>
      </c>
      <c r="AE342" t="s">
        <v>134</v>
      </c>
      <c r="AF342" s="2">
        <v>45518</v>
      </c>
      <c r="AG342" s="2">
        <v>46008</v>
      </c>
      <c r="AH342">
        <v>981.65</v>
      </c>
      <c r="AI342" s="1">
        <v>2302.89</v>
      </c>
      <c r="AJ342" s="1">
        <v>7853.22</v>
      </c>
      <c r="AK342">
        <v>0</v>
      </c>
      <c r="AL342">
        <v>0</v>
      </c>
      <c r="AM342">
        <v>0</v>
      </c>
      <c r="AN342" t="s">
        <v>135</v>
      </c>
      <c r="AO342" t="s">
        <v>135</v>
      </c>
      <c r="AP342" t="s">
        <v>136</v>
      </c>
      <c r="AQ342" t="s">
        <v>137</v>
      </c>
      <c r="AR342" t="s">
        <v>138</v>
      </c>
      <c r="AS342" t="s">
        <v>139</v>
      </c>
      <c r="AT342" t="s">
        <v>140</v>
      </c>
      <c r="AU342">
        <v>101</v>
      </c>
      <c r="AV342">
        <v>10</v>
      </c>
      <c r="AW342">
        <v>1</v>
      </c>
      <c r="AX342" s="2">
        <v>45811</v>
      </c>
      <c r="AY342" t="s">
        <v>377</v>
      </c>
      <c r="AZ342" s="2">
        <v>46028</v>
      </c>
      <c r="BA342">
        <v>0</v>
      </c>
      <c r="BB342">
        <v>0</v>
      </c>
      <c r="BC342">
        <v>0</v>
      </c>
      <c r="BD342">
        <v>700</v>
      </c>
      <c r="BE342">
        <v>70</v>
      </c>
      <c r="BF342">
        <v>9</v>
      </c>
      <c r="BG342" s="2">
        <v>45536</v>
      </c>
      <c r="BH342" t="s">
        <v>142</v>
      </c>
      <c r="BI342" s="2">
        <v>46026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s="1">
        <v>2351.6999999999998</v>
      </c>
      <c r="BQ342" s="1">
        <v>2351.6999999999998</v>
      </c>
      <c r="BR342">
        <v>0</v>
      </c>
      <c r="BS342">
        <v>0</v>
      </c>
      <c r="BT342">
        <v>0</v>
      </c>
      <c r="BU342">
        <v>0</v>
      </c>
      <c r="BV342" s="1">
        <v>2919.84</v>
      </c>
      <c r="BW342" s="1">
        <v>2919.84</v>
      </c>
      <c r="BX342">
        <v>0</v>
      </c>
      <c r="BY342">
        <v>0</v>
      </c>
      <c r="BZ342">
        <v>0</v>
      </c>
      <c r="CA342">
        <v>0</v>
      </c>
      <c r="CB342" s="1">
        <v>2714.17</v>
      </c>
      <c r="CC342" t="s">
        <v>143</v>
      </c>
    </row>
    <row r="343" spans="1:81" x14ac:dyDescent="0.25">
      <c r="A343">
        <v>345</v>
      </c>
      <c r="B343">
        <v>2</v>
      </c>
      <c r="C343">
        <v>547</v>
      </c>
      <c r="D343" t="s">
        <v>2004</v>
      </c>
      <c r="E343" t="s">
        <v>121</v>
      </c>
      <c r="F343" t="s">
        <v>2005</v>
      </c>
      <c r="G343" t="s">
        <v>2006</v>
      </c>
      <c r="H343" t="s">
        <v>2007</v>
      </c>
      <c r="I343" t="s">
        <v>125</v>
      </c>
      <c r="J343" t="s">
        <v>565</v>
      </c>
      <c r="K343" t="s">
        <v>336</v>
      </c>
      <c r="L343" t="s">
        <v>128</v>
      </c>
      <c r="M343" t="s">
        <v>337</v>
      </c>
      <c r="N343" t="s">
        <v>2008</v>
      </c>
      <c r="O343" t="s">
        <v>167</v>
      </c>
      <c r="P343">
        <v>0</v>
      </c>
      <c r="Q343" t="s">
        <v>125</v>
      </c>
      <c r="R343">
        <v>6</v>
      </c>
      <c r="S343">
        <v>40</v>
      </c>
      <c r="T343" t="s">
        <v>132</v>
      </c>
      <c r="U343" t="s">
        <v>133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134</v>
      </c>
      <c r="AE343" t="s">
        <v>134</v>
      </c>
      <c r="AF343" s="2">
        <v>45518</v>
      </c>
      <c r="AG343" s="2">
        <v>46007</v>
      </c>
      <c r="AH343">
        <v>448.88</v>
      </c>
      <c r="AI343" s="1">
        <v>1000.78</v>
      </c>
      <c r="AJ343" s="1">
        <v>3142.22</v>
      </c>
      <c r="AK343">
        <v>0</v>
      </c>
      <c r="AL343" s="1">
        <v>1000.78</v>
      </c>
      <c r="AM343">
        <v>0</v>
      </c>
      <c r="AN343" t="s">
        <v>135</v>
      </c>
      <c r="AO343" t="s">
        <v>135</v>
      </c>
      <c r="AP343" t="s">
        <v>136</v>
      </c>
      <c r="AQ343" t="s">
        <v>137</v>
      </c>
      <c r="AR343" t="s">
        <v>138</v>
      </c>
      <c r="AS343" t="s">
        <v>150</v>
      </c>
      <c r="AT343" t="s">
        <v>140</v>
      </c>
      <c r="AU343">
        <v>104</v>
      </c>
      <c r="AV343">
        <v>10</v>
      </c>
      <c r="AW343">
        <v>1</v>
      </c>
      <c r="AX343" s="2">
        <v>45537</v>
      </c>
      <c r="AY343" t="s">
        <v>141</v>
      </c>
      <c r="AZ343" s="2">
        <v>46027</v>
      </c>
      <c r="BA343">
        <v>0</v>
      </c>
      <c r="BB343">
        <v>0</v>
      </c>
      <c r="BC343">
        <v>0</v>
      </c>
      <c r="BD343">
        <v>700</v>
      </c>
      <c r="BE343">
        <v>70</v>
      </c>
      <c r="BF343">
        <v>9</v>
      </c>
      <c r="BG343" s="2">
        <v>45536</v>
      </c>
      <c r="BH343" t="s">
        <v>142</v>
      </c>
      <c r="BI343" s="2">
        <v>46026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648.4</v>
      </c>
      <c r="BQ343">
        <v>648.4</v>
      </c>
      <c r="BR343">
        <v>0</v>
      </c>
      <c r="BS343">
        <v>0</v>
      </c>
      <c r="BT343">
        <v>0</v>
      </c>
      <c r="BU343">
        <v>0</v>
      </c>
      <c r="BV343" s="1">
        <v>2363.6999999999998</v>
      </c>
      <c r="BW343" s="1">
        <v>2363.6999999999998</v>
      </c>
      <c r="BX343">
        <v>0</v>
      </c>
      <c r="BY343">
        <v>0</v>
      </c>
      <c r="BZ343">
        <v>0</v>
      </c>
      <c r="CA343">
        <v>0</v>
      </c>
      <c r="CB343">
        <v>717.18</v>
      </c>
      <c r="CC343" t="s">
        <v>161</v>
      </c>
    </row>
    <row r="344" spans="1:81" x14ac:dyDescent="0.25">
      <c r="A344">
        <v>345</v>
      </c>
      <c r="B344">
        <v>2</v>
      </c>
      <c r="C344">
        <v>548</v>
      </c>
      <c r="D344" t="s">
        <v>2009</v>
      </c>
      <c r="E344" t="s">
        <v>121</v>
      </c>
      <c r="F344" t="s">
        <v>2010</v>
      </c>
      <c r="G344" t="s">
        <v>2011</v>
      </c>
      <c r="H344" t="s">
        <v>2012</v>
      </c>
      <c r="I344" t="s">
        <v>125</v>
      </c>
      <c r="J344" t="s">
        <v>565</v>
      </c>
      <c r="K344" t="s">
        <v>336</v>
      </c>
      <c r="L344" t="s">
        <v>128</v>
      </c>
      <c r="M344" t="s">
        <v>337</v>
      </c>
      <c r="N344" t="s">
        <v>2013</v>
      </c>
      <c r="O344" t="s">
        <v>167</v>
      </c>
      <c r="P344">
        <v>0</v>
      </c>
      <c r="Q344" t="s">
        <v>125</v>
      </c>
      <c r="R344">
        <v>6</v>
      </c>
      <c r="S344">
        <v>39</v>
      </c>
      <c r="T344" t="s">
        <v>132</v>
      </c>
      <c r="U344" t="s">
        <v>133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134</v>
      </c>
      <c r="AE344" t="s">
        <v>134</v>
      </c>
      <c r="AF344" s="2">
        <v>45518</v>
      </c>
      <c r="AG344" s="2">
        <v>45986</v>
      </c>
      <c r="AH344">
        <v>678.94</v>
      </c>
      <c r="AI344" s="1">
        <v>1186</v>
      </c>
      <c r="AJ344" s="1">
        <v>1357.89</v>
      </c>
      <c r="AK344">
        <v>0</v>
      </c>
      <c r="AL344" s="1">
        <v>1186</v>
      </c>
      <c r="AM344">
        <v>0</v>
      </c>
      <c r="AN344" t="s">
        <v>135</v>
      </c>
      <c r="AO344" t="s">
        <v>135</v>
      </c>
      <c r="AP344" t="s">
        <v>136</v>
      </c>
      <c r="AQ344" t="s">
        <v>137</v>
      </c>
      <c r="AR344" t="s">
        <v>138</v>
      </c>
      <c r="AS344" t="s">
        <v>150</v>
      </c>
      <c r="AT344" t="s">
        <v>140</v>
      </c>
      <c r="AU344">
        <v>104</v>
      </c>
      <c r="AV344">
        <v>10</v>
      </c>
      <c r="AW344">
        <v>1</v>
      </c>
      <c r="AX344" s="2">
        <v>45537</v>
      </c>
      <c r="AY344" t="s">
        <v>141</v>
      </c>
      <c r="AZ344" s="2">
        <v>46027</v>
      </c>
      <c r="BA344">
        <v>0</v>
      </c>
      <c r="BB344">
        <v>0</v>
      </c>
      <c r="BC344">
        <v>0</v>
      </c>
      <c r="BD344">
        <v>700</v>
      </c>
      <c r="BE344">
        <v>70</v>
      </c>
      <c r="BF344">
        <v>9</v>
      </c>
      <c r="BG344" s="2">
        <v>45536</v>
      </c>
      <c r="BH344" t="s">
        <v>142</v>
      </c>
      <c r="BI344" s="2">
        <v>46026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171.89</v>
      </c>
      <c r="BQ344">
        <v>171.89</v>
      </c>
      <c r="BR344">
        <v>0</v>
      </c>
      <c r="BS344">
        <v>0</v>
      </c>
      <c r="BT344">
        <v>0</v>
      </c>
      <c r="BU344">
        <v>0</v>
      </c>
      <c r="BV344" s="1">
        <v>1186</v>
      </c>
      <c r="BW344" s="1">
        <v>1186</v>
      </c>
      <c r="BX344">
        <v>0</v>
      </c>
      <c r="BY344">
        <v>0</v>
      </c>
      <c r="BZ344">
        <v>0</v>
      </c>
      <c r="CA344">
        <v>0</v>
      </c>
      <c r="CB344">
        <v>57.29</v>
      </c>
      <c r="CC344" t="s">
        <v>161</v>
      </c>
    </row>
    <row r="345" spans="1:81" x14ac:dyDescent="0.25">
      <c r="A345">
        <v>345</v>
      </c>
      <c r="B345">
        <v>2</v>
      </c>
      <c r="C345">
        <v>549</v>
      </c>
      <c r="D345" t="s">
        <v>2014</v>
      </c>
      <c r="E345" t="s">
        <v>121</v>
      </c>
      <c r="F345" t="s">
        <v>2015</v>
      </c>
      <c r="G345" t="s">
        <v>2016</v>
      </c>
      <c r="H345" t="s">
        <v>2017</v>
      </c>
      <c r="I345" t="s">
        <v>125</v>
      </c>
      <c r="J345" t="s">
        <v>126</v>
      </c>
      <c r="K345" t="s">
        <v>466</v>
      </c>
      <c r="L345" t="s">
        <v>128</v>
      </c>
      <c r="M345" t="s">
        <v>467</v>
      </c>
      <c r="N345" t="s">
        <v>2018</v>
      </c>
      <c r="O345" t="s">
        <v>167</v>
      </c>
      <c r="P345">
        <v>0</v>
      </c>
      <c r="Q345" t="s">
        <v>125</v>
      </c>
      <c r="R345">
        <v>6</v>
      </c>
      <c r="S345">
        <v>39</v>
      </c>
      <c r="T345" t="s">
        <v>132</v>
      </c>
      <c r="U345" t="s">
        <v>133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134</v>
      </c>
      <c r="AE345" t="s">
        <v>134</v>
      </c>
      <c r="AF345" s="2">
        <v>45518</v>
      </c>
      <c r="AG345" s="2">
        <v>45996</v>
      </c>
      <c r="AH345">
        <v>311.33999999999997</v>
      </c>
      <c r="AI345">
        <v>311.33999999999997</v>
      </c>
      <c r="AJ345">
        <v>311.33999999999997</v>
      </c>
      <c r="AK345">
        <v>0</v>
      </c>
      <c r="AL345">
        <v>0</v>
      </c>
      <c r="AM345">
        <v>0</v>
      </c>
      <c r="AN345" t="s">
        <v>135</v>
      </c>
      <c r="AO345" t="s">
        <v>135</v>
      </c>
      <c r="AP345" t="s">
        <v>136</v>
      </c>
      <c r="AQ345" t="s">
        <v>137</v>
      </c>
      <c r="AR345" t="s">
        <v>138</v>
      </c>
      <c r="AS345" t="s">
        <v>150</v>
      </c>
      <c r="AT345" t="s">
        <v>140</v>
      </c>
      <c r="AU345">
        <v>105</v>
      </c>
      <c r="AV345">
        <v>10</v>
      </c>
      <c r="AW345">
        <v>1</v>
      </c>
      <c r="AX345" s="2">
        <v>45813</v>
      </c>
      <c r="AY345" t="s">
        <v>308</v>
      </c>
      <c r="AZ345" s="2">
        <v>46023</v>
      </c>
      <c r="BA345">
        <v>0</v>
      </c>
      <c r="BB345">
        <v>0</v>
      </c>
      <c r="BC345">
        <v>0</v>
      </c>
      <c r="BD345">
        <v>700</v>
      </c>
      <c r="BE345">
        <v>70</v>
      </c>
      <c r="BF345">
        <v>9</v>
      </c>
      <c r="BG345" s="2">
        <v>45536</v>
      </c>
      <c r="BH345" t="s">
        <v>142</v>
      </c>
      <c r="BI345" s="2">
        <v>46026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311.33999999999997</v>
      </c>
      <c r="BW345">
        <v>311.33999999999997</v>
      </c>
      <c r="BX345">
        <v>0</v>
      </c>
      <c r="BY345">
        <v>0</v>
      </c>
      <c r="BZ345">
        <v>0</v>
      </c>
      <c r="CA345">
        <v>0</v>
      </c>
      <c r="CB345">
        <v>380.66</v>
      </c>
      <c r="CC345" t="s">
        <v>161</v>
      </c>
    </row>
    <row r="346" spans="1:81" x14ac:dyDescent="0.25">
      <c r="A346">
        <v>345</v>
      </c>
      <c r="B346">
        <v>2</v>
      </c>
      <c r="C346">
        <v>550</v>
      </c>
      <c r="D346" t="s">
        <v>2019</v>
      </c>
      <c r="E346" t="s">
        <v>121</v>
      </c>
      <c r="F346" t="s">
        <v>2020</v>
      </c>
      <c r="G346" t="s">
        <v>2021</v>
      </c>
      <c r="H346" t="s">
        <v>1611</v>
      </c>
      <c r="I346" t="s">
        <v>2022</v>
      </c>
      <c r="J346" t="s">
        <v>126</v>
      </c>
      <c r="K346" t="s">
        <v>336</v>
      </c>
      <c r="L346" t="s">
        <v>128</v>
      </c>
      <c r="M346" t="s">
        <v>337</v>
      </c>
      <c r="N346" t="s">
        <v>2023</v>
      </c>
      <c r="O346" t="s">
        <v>131</v>
      </c>
      <c r="P346">
        <v>0</v>
      </c>
      <c r="Q346" t="s">
        <v>125</v>
      </c>
      <c r="R346">
        <v>6</v>
      </c>
      <c r="S346">
        <v>41</v>
      </c>
      <c r="T346" t="s">
        <v>132</v>
      </c>
      <c r="U346" t="s">
        <v>133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134</v>
      </c>
      <c r="AE346" t="s">
        <v>134</v>
      </c>
      <c r="AF346" s="2">
        <v>45518</v>
      </c>
      <c r="AG346" s="2">
        <v>46015</v>
      </c>
      <c r="AH346">
        <v>110.27</v>
      </c>
      <c r="AI346">
        <v>129.97999999999999</v>
      </c>
      <c r="AJ346">
        <v>441.08</v>
      </c>
      <c r="AK346">
        <v>0</v>
      </c>
      <c r="AL346">
        <v>0</v>
      </c>
      <c r="AM346">
        <v>0</v>
      </c>
      <c r="AN346" t="s">
        <v>135</v>
      </c>
      <c r="AO346" t="s">
        <v>135</v>
      </c>
      <c r="AP346" t="s">
        <v>136</v>
      </c>
      <c r="AQ346" t="s">
        <v>137</v>
      </c>
      <c r="AR346" t="s">
        <v>138</v>
      </c>
      <c r="AS346" t="s">
        <v>139</v>
      </c>
      <c r="AT346" t="s">
        <v>140</v>
      </c>
      <c r="AU346">
        <v>101</v>
      </c>
      <c r="AV346">
        <v>10</v>
      </c>
      <c r="AW346">
        <v>1</v>
      </c>
      <c r="AX346" s="2">
        <v>45874</v>
      </c>
      <c r="AY346" t="s">
        <v>377</v>
      </c>
      <c r="AZ346" s="2">
        <v>46028</v>
      </c>
      <c r="BA346">
        <v>0</v>
      </c>
      <c r="BB346">
        <v>0</v>
      </c>
      <c r="BC346">
        <v>0</v>
      </c>
      <c r="BD346">
        <v>700</v>
      </c>
      <c r="BE346">
        <v>70</v>
      </c>
      <c r="BF346">
        <v>9</v>
      </c>
      <c r="BG346" s="2">
        <v>45536</v>
      </c>
      <c r="BH346" t="s">
        <v>142</v>
      </c>
      <c r="BI346" s="2">
        <v>46026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98.7</v>
      </c>
      <c r="BQ346">
        <v>98.7</v>
      </c>
      <c r="BR346">
        <v>0</v>
      </c>
      <c r="BS346">
        <v>0</v>
      </c>
      <c r="BT346">
        <v>0</v>
      </c>
      <c r="BU346">
        <v>0</v>
      </c>
      <c r="BV346">
        <v>113.7</v>
      </c>
      <c r="BW346">
        <v>113.7</v>
      </c>
      <c r="BX346">
        <v>0</v>
      </c>
      <c r="BY346">
        <v>0</v>
      </c>
      <c r="BZ346">
        <v>0</v>
      </c>
      <c r="CA346">
        <v>0</v>
      </c>
      <c r="CB346">
        <v>176.09</v>
      </c>
      <c r="CC346" t="s">
        <v>143</v>
      </c>
    </row>
    <row r="347" spans="1:81" x14ac:dyDescent="0.25">
      <c r="A347">
        <v>345</v>
      </c>
      <c r="B347">
        <v>2</v>
      </c>
      <c r="C347">
        <v>551</v>
      </c>
      <c r="D347" t="s">
        <v>2024</v>
      </c>
      <c r="E347" t="s">
        <v>121</v>
      </c>
      <c r="F347" t="s">
        <v>2025</v>
      </c>
      <c r="G347" t="s">
        <v>2026</v>
      </c>
      <c r="H347" t="s">
        <v>2027</v>
      </c>
      <c r="I347" t="s">
        <v>2028</v>
      </c>
      <c r="J347" t="s">
        <v>944</v>
      </c>
      <c r="K347" t="s">
        <v>466</v>
      </c>
      <c r="L347" t="s">
        <v>128</v>
      </c>
      <c r="M347" t="s">
        <v>467</v>
      </c>
      <c r="N347" t="s">
        <v>2029</v>
      </c>
      <c r="O347" t="s">
        <v>195</v>
      </c>
      <c r="P347">
        <v>0</v>
      </c>
      <c r="Q347" t="s">
        <v>125</v>
      </c>
      <c r="R347">
        <v>6</v>
      </c>
      <c r="S347">
        <v>37</v>
      </c>
      <c r="T347" t="s">
        <v>132</v>
      </c>
      <c r="U347" t="s">
        <v>133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134</v>
      </c>
      <c r="AE347" t="s">
        <v>134</v>
      </c>
      <c r="AF347" s="2">
        <v>45518</v>
      </c>
      <c r="AG347" s="2">
        <v>46010</v>
      </c>
      <c r="AH347">
        <v>235.72</v>
      </c>
      <c r="AI347">
        <v>359.17</v>
      </c>
      <c r="AJ347" s="1">
        <v>1414.32</v>
      </c>
      <c r="AK347">
        <v>0</v>
      </c>
      <c r="AL347">
        <v>0</v>
      </c>
      <c r="AM347">
        <v>0</v>
      </c>
      <c r="AN347" t="s">
        <v>135</v>
      </c>
      <c r="AO347" t="s">
        <v>135</v>
      </c>
      <c r="AP347" t="s">
        <v>136</v>
      </c>
      <c r="AQ347" t="s">
        <v>137</v>
      </c>
      <c r="AR347" t="s">
        <v>138</v>
      </c>
      <c r="AS347" t="s">
        <v>139</v>
      </c>
      <c r="AT347" t="s">
        <v>140</v>
      </c>
      <c r="AU347">
        <v>100</v>
      </c>
      <c r="AV347">
        <v>10</v>
      </c>
      <c r="AW347">
        <v>1</v>
      </c>
      <c r="AX347" s="2">
        <v>45967</v>
      </c>
      <c r="AY347" t="s">
        <v>308</v>
      </c>
      <c r="AZ347" s="2">
        <v>46023</v>
      </c>
      <c r="BA347">
        <v>0</v>
      </c>
      <c r="BB347">
        <v>0</v>
      </c>
      <c r="BC347">
        <v>0</v>
      </c>
      <c r="BD347">
        <v>700</v>
      </c>
      <c r="BE347">
        <v>70</v>
      </c>
      <c r="BF347">
        <v>9</v>
      </c>
      <c r="BG347" s="2">
        <v>45536</v>
      </c>
      <c r="BH347" t="s">
        <v>142</v>
      </c>
      <c r="BI347" s="2">
        <v>46026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635.9</v>
      </c>
      <c r="BQ347">
        <v>635.9</v>
      </c>
      <c r="BR347">
        <v>0</v>
      </c>
      <c r="BS347">
        <v>0</v>
      </c>
      <c r="BT347">
        <v>0</v>
      </c>
      <c r="BU347">
        <v>0</v>
      </c>
      <c r="BV347">
        <v>627.41</v>
      </c>
      <c r="BW347">
        <v>627.41</v>
      </c>
      <c r="BX347">
        <v>0</v>
      </c>
      <c r="BY347">
        <v>0</v>
      </c>
      <c r="BZ347">
        <v>0</v>
      </c>
      <c r="CA347">
        <v>0</v>
      </c>
      <c r="CB347">
        <v>476.84</v>
      </c>
      <c r="CC347" t="s">
        <v>161</v>
      </c>
    </row>
    <row r="348" spans="1:81" x14ac:dyDescent="0.25">
      <c r="A348">
        <v>345</v>
      </c>
      <c r="B348">
        <v>2</v>
      </c>
      <c r="C348">
        <v>553</v>
      </c>
      <c r="D348" t="s">
        <v>2030</v>
      </c>
      <c r="E348" t="s">
        <v>121</v>
      </c>
      <c r="F348" t="s">
        <v>2031</v>
      </c>
      <c r="G348" t="s">
        <v>2032</v>
      </c>
      <c r="H348" t="s">
        <v>1002</v>
      </c>
      <c r="I348" t="s">
        <v>125</v>
      </c>
      <c r="J348" t="s">
        <v>583</v>
      </c>
      <c r="K348" t="s">
        <v>466</v>
      </c>
      <c r="L348" t="s">
        <v>128</v>
      </c>
      <c r="M348" t="s">
        <v>467</v>
      </c>
      <c r="N348" t="s">
        <v>2033</v>
      </c>
      <c r="O348" t="s">
        <v>131</v>
      </c>
      <c r="P348">
        <v>0</v>
      </c>
      <c r="Q348" t="s">
        <v>125</v>
      </c>
      <c r="R348">
        <v>6</v>
      </c>
      <c r="S348">
        <v>40</v>
      </c>
      <c r="T348" t="s">
        <v>132</v>
      </c>
      <c r="U348" t="s">
        <v>133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134</v>
      </c>
      <c r="AE348" t="s">
        <v>134</v>
      </c>
      <c r="AF348" s="2">
        <v>45518</v>
      </c>
      <c r="AG348" s="2">
        <v>46020</v>
      </c>
      <c r="AH348">
        <v>475.33</v>
      </c>
      <c r="AI348" s="1">
        <v>1461.8</v>
      </c>
      <c r="AJ348" s="1">
        <v>5704.06</v>
      </c>
      <c r="AK348">
        <v>0</v>
      </c>
      <c r="AL348">
        <v>0</v>
      </c>
      <c r="AM348">
        <v>0</v>
      </c>
      <c r="AN348" t="s">
        <v>135</v>
      </c>
      <c r="AO348" t="s">
        <v>135</v>
      </c>
      <c r="AP348" t="s">
        <v>136</v>
      </c>
      <c r="AQ348" t="s">
        <v>137</v>
      </c>
      <c r="AR348" t="s">
        <v>138</v>
      </c>
      <c r="AS348" t="s">
        <v>139</v>
      </c>
      <c r="AT348" t="s">
        <v>140</v>
      </c>
      <c r="AU348">
        <v>100</v>
      </c>
      <c r="AV348">
        <v>10</v>
      </c>
      <c r="AW348">
        <v>1</v>
      </c>
      <c r="AX348" s="2">
        <v>45534</v>
      </c>
      <c r="AY348" t="s">
        <v>151</v>
      </c>
      <c r="AZ348" s="2">
        <v>46024</v>
      </c>
      <c r="BA348">
        <v>0</v>
      </c>
      <c r="BB348">
        <v>0</v>
      </c>
      <c r="BC348">
        <v>0</v>
      </c>
      <c r="BD348">
        <v>700</v>
      </c>
      <c r="BE348">
        <v>70</v>
      </c>
      <c r="BF348">
        <v>9</v>
      </c>
      <c r="BG348" s="2">
        <v>45536</v>
      </c>
      <c r="BH348" t="s">
        <v>142</v>
      </c>
      <c r="BI348" s="2">
        <v>46026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s="1">
        <v>1584.27</v>
      </c>
      <c r="BQ348" s="1">
        <v>1584.27</v>
      </c>
      <c r="BR348">
        <v>0</v>
      </c>
      <c r="BS348">
        <v>0</v>
      </c>
      <c r="BT348">
        <v>0</v>
      </c>
      <c r="BU348">
        <v>0</v>
      </c>
      <c r="BV348" s="1">
        <v>1948.86</v>
      </c>
      <c r="BW348" s="1">
        <v>1948.86</v>
      </c>
      <c r="BX348">
        <v>0</v>
      </c>
      <c r="BY348">
        <v>0</v>
      </c>
      <c r="BZ348">
        <v>0</v>
      </c>
      <c r="CA348">
        <v>0</v>
      </c>
      <c r="CB348" s="1">
        <v>1697.69</v>
      </c>
      <c r="CC348" t="s">
        <v>143</v>
      </c>
    </row>
    <row r="349" spans="1:81" x14ac:dyDescent="0.25">
      <c r="A349">
        <v>345</v>
      </c>
      <c r="B349">
        <v>2</v>
      </c>
      <c r="C349">
        <v>555</v>
      </c>
      <c r="D349" t="s">
        <v>2034</v>
      </c>
      <c r="E349" t="s">
        <v>121</v>
      </c>
      <c r="F349" t="s">
        <v>2035</v>
      </c>
      <c r="G349" t="s">
        <v>2036</v>
      </c>
      <c r="H349" t="s">
        <v>2037</v>
      </c>
      <c r="I349" t="s">
        <v>2038</v>
      </c>
      <c r="J349" t="s">
        <v>583</v>
      </c>
      <c r="K349" t="s">
        <v>466</v>
      </c>
      <c r="L349" t="s">
        <v>128</v>
      </c>
      <c r="M349" t="s">
        <v>467</v>
      </c>
      <c r="N349" t="s">
        <v>2039</v>
      </c>
      <c r="O349" t="s">
        <v>167</v>
      </c>
      <c r="P349">
        <v>0</v>
      </c>
      <c r="Q349" t="s">
        <v>125</v>
      </c>
      <c r="R349">
        <v>6</v>
      </c>
      <c r="S349">
        <v>36</v>
      </c>
      <c r="T349" t="s">
        <v>132</v>
      </c>
      <c r="U349" t="s">
        <v>133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134</v>
      </c>
      <c r="AE349" t="s">
        <v>134</v>
      </c>
      <c r="AF349" s="2">
        <v>45518</v>
      </c>
      <c r="AG349" s="2">
        <v>46020</v>
      </c>
      <c r="AH349">
        <v>431.95</v>
      </c>
      <c r="AI349">
        <v>757.68</v>
      </c>
      <c r="AJ349" s="1">
        <v>5183.43</v>
      </c>
      <c r="AK349">
        <v>0</v>
      </c>
      <c r="AL349">
        <v>0</v>
      </c>
      <c r="AM349">
        <v>0</v>
      </c>
      <c r="AN349" t="s">
        <v>135</v>
      </c>
      <c r="AO349" t="s">
        <v>135</v>
      </c>
      <c r="AP349" t="s">
        <v>136</v>
      </c>
      <c r="AQ349" t="s">
        <v>137</v>
      </c>
      <c r="AR349" t="s">
        <v>138</v>
      </c>
      <c r="AS349" t="s">
        <v>139</v>
      </c>
      <c r="AT349" t="s">
        <v>140</v>
      </c>
      <c r="AU349">
        <v>100</v>
      </c>
      <c r="AV349">
        <v>10</v>
      </c>
      <c r="AW349">
        <v>1</v>
      </c>
      <c r="AX349" s="2">
        <v>45842</v>
      </c>
      <c r="AY349" t="s">
        <v>151</v>
      </c>
      <c r="AZ349" s="2">
        <v>46024</v>
      </c>
      <c r="BA349">
        <v>0</v>
      </c>
      <c r="BB349">
        <v>0</v>
      </c>
      <c r="BC349">
        <v>0</v>
      </c>
      <c r="BD349">
        <v>700</v>
      </c>
      <c r="BE349">
        <v>70</v>
      </c>
      <c r="BF349">
        <v>9</v>
      </c>
      <c r="BG349" s="2">
        <v>45536</v>
      </c>
      <c r="BH349" t="s">
        <v>142</v>
      </c>
      <c r="BI349" s="2">
        <v>46026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s="1">
        <v>1824.73</v>
      </c>
      <c r="BQ349" s="1">
        <v>1824.73</v>
      </c>
      <c r="BR349">
        <v>0</v>
      </c>
      <c r="BS349">
        <v>0</v>
      </c>
      <c r="BT349">
        <v>0</v>
      </c>
      <c r="BU349">
        <v>0</v>
      </c>
      <c r="BV349" s="1">
        <v>1747.18</v>
      </c>
      <c r="BW349" s="1">
        <v>1747.18</v>
      </c>
      <c r="BX349">
        <v>0</v>
      </c>
      <c r="BY349">
        <v>0</v>
      </c>
      <c r="BZ349">
        <v>0</v>
      </c>
      <c r="CA349">
        <v>0</v>
      </c>
      <c r="CB349" s="1">
        <v>2041.62</v>
      </c>
      <c r="CC349" t="s">
        <v>161</v>
      </c>
    </row>
    <row r="350" spans="1:81" x14ac:dyDescent="0.25">
      <c r="A350">
        <v>345</v>
      </c>
      <c r="B350">
        <v>2</v>
      </c>
      <c r="C350">
        <v>556</v>
      </c>
      <c r="D350" t="s">
        <v>2040</v>
      </c>
      <c r="E350" t="s">
        <v>121</v>
      </c>
      <c r="F350" t="s">
        <v>2041</v>
      </c>
      <c r="G350" t="s">
        <v>2042</v>
      </c>
      <c r="H350" t="s">
        <v>629</v>
      </c>
      <c r="I350" t="s">
        <v>125</v>
      </c>
      <c r="J350" t="s">
        <v>565</v>
      </c>
      <c r="K350" t="s">
        <v>336</v>
      </c>
      <c r="L350" t="s">
        <v>128</v>
      </c>
      <c r="M350" t="s">
        <v>337</v>
      </c>
      <c r="N350" t="s">
        <v>2043</v>
      </c>
      <c r="O350" t="s">
        <v>131</v>
      </c>
      <c r="P350">
        <v>0</v>
      </c>
      <c r="Q350" t="s">
        <v>125</v>
      </c>
      <c r="R350">
        <v>6</v>
      </c>
      <c r="S350">
        <v>39</v>
      </c>
      <c r="T350" t="s">
        <v>132</v>
      </c>
      <c r="U350" t="s">
        <v>133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234</v>
      </c>
      <c r="AE350" t="s">
        <v>134</v>
      </c>
      <c r="AF350" s="2">
        <v>45518</v>
      </c>
      <c r="AG350" s="2">
        <v>46007</v>
      </c>
      <c r="AH350">
        <v>941.89</v>
      </c>
      <c r="AI350" s="1">
        <v>1477.39</v>
      </c>
      <c r="AJ350" s="1">
        <v>3767.58</v>
      </c>
      <c r="AK350">
        <v>0</v>
      </c>
      <c r="AL350" s="1">
        <v>1477.39</v>
      </c>
      <c r="AM350">
        <v>0</v>
      </c>
      <c r="AN350" t="s">
        <v>135</v>
      </c>
      <c r="AO350" t="s">
        <v>135</v>
      </c>
      <c r="AP350" t="s">
        <v>136</v>
      </c>
      <c r="AQ350" t="s">
        <v>137</v>
      </c>
      <c r="AR350" t="s">
        <v>138</v>
      </c>
      <c r="AS350" t="s">
        <v>139</v>
      </c>
      <c r="AT350" t="s">
        <v>140</v>
      </c>
      <c r="AU350">
        <v>104</v>
      </c>
      <c r="AV350">
        <v>10</v>
      </c>
      <c r="AW350">
        <v>1</v>
      </c>
      <c r="AX350" s="2">
        <v>45838</v>
      </c>
      <c r="AY350" t="s">
        <v>141</v>
      </c>
      <c r="AZ350" s="2">
        <v>46027</v>
      </c>
      <c r="BA350">
        <v>0</v>
      </c>
      <c r="BB350">
        <v>0</v>
      </c>
      <c r="BC350">
        <v>0</v>
      </c>
      <c r="BD350">
        <v>700</v>
      </c>
      <c r="BE350">
        <v>70</v>
      </c>
      <c r="BF350">
        <v>9</v>
      </c>
      <c r="BG350" s="2">
        <v>45536</v>
      </c>
      <c r="BH350" t="s">
        <v>142</v>
      </c>
      <c r="BI350" s="2">
        <v>46026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s="1">
        <v>3767.58</v>
      </c>
      <c r="BW350" s="1">
        <v>3767.58</v>
      </c>
      <c r="BX350">
        <v>0</v>
      </c>
      <c r="BY350">
        <v>0</v>
      </c>
      <c r="BZ350">
        <v>0</v>
      </c>
      <c r="CA350">
        <v>0</v>
      </c>
      <c r="CB350">
        <v>96.4</v>
      </c>
      <c r="CC350" t="s">
        <v>143</v>
      </c>
    </row>
    <row r="351" spans="1:81" x14ac:dyDescent="0.25">
      <c r="A351">
        <v>345</v>
      </c>
      <c r="B351">
        <v>2</v>
      </c>
      <c r="C351">
        <v>557</v>
      </c>
      <c r="D351" t="s">
        <v>2044</v>
      </c>
      <c r="E351" t="s">
        <v>121</v>
      </c>
      <c r="F351" t="s">
        <v>2045</v>
      </c>
      <c r="G351" t="s">
        <v>2046</v>
      </c>
      <c r="H351" t="s">
        <v>2047</v>
      </c>
      <c r="I351" t="s">
        <v>2048</v>
      </c>
      <c r="J351" t="s">
        <v>1671</v>
      </c>
      <c r="K351" t="s">
        <v>466</v>
      </c>
      <c r="L351" t="s">
        <v>128</v>
      </c>
      <c r="M351" t="s">
        <v>467</v>
      </c>
      <c r="N351" t="s">
        <v>2049</v>
      </c>
      <c r="O351" t="s">
        <v>149</v>
      </c>
      <c r="P351">
        <v>0</v>
      </c>
      <c r="Q351" t="s">
        <v>125</v>
      </c>
      <c r="R351">
        <v>6</v>
      </c>
      <c r="S351">
        <v>42</v>
      </c>
      <c r="T351" t="s">
        <v>132</v>
      </c>
      <c r="U351" t="s">
        <v>133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134</v>
      </c>
      <c r="AE351" t="s">
        <v>134</v>
      </c>
      <c r="AF351" s="2">
        <v>45518</v>
      </c>
      <c r="AG351" s="2">
        <v>46020</v>
      </c>
      <c r="AH351">
        <v>925.05</v>
      </c>
      <c r="AI351" s="1">
        <v>2572.73</v>
      </c>
      <c r="AJ351" s="1">
        <v>17575.96</v>
      </c>
      <c r="AK351">
        <v>0</v>
      </c>
      <c r="AL351">
        <v>0</v>
      </c>
      <c r="AM351">
        <v>0</v>
      </c>
      <c r="AN351" t="s">
        <v>135</v>
      </c>
      <c r="AO351" t="s">
        <v>135</v>
      </c>
      <c r="AP351" t="s">
        <v>136</v>
      </c>
      <c r="AQ351" t="s">
        <v>137</v>
      </c>
      <c r="AR351" t="s">
        <v>138</v>
      </c>
      <c r="AS351" t="s">
        <v>139</v>
      </c>
      <c r="AT351" t="s">
        <v>140</v>
      </c>
      <c r="AU351">
        <v>105</v>
      </c>
      <c r="AV351">
        <v>10</v>
      </c>
      <c r="AW351">
        <v>1</v>
      </c>
      <c r="AX351" s="2">
        <v>45827</v>
      </c>
      <c r="AY351" t="s">
        <v>308</v>
      </c>
      <c r="AZ351" s="2">
        <v>46023</v>
      </c>
      <c r="BA351">
        <v>0</v>
      </c>
      <c r="BB351">
        <v>0</v>
      </c>
      <c r="BC351">
        <v>0</v>
      </c>
      <c r="BD351">
        <v>700</v>
      </c>
      <c r="BE351">
        <v>70</v>
      </c>
      <c r="BF351">
        <v>9</v>
      </c>
      <c r="BG351" s="2">
        <v>45536</v>
      </c>
      <c r="BH351" t="s">
        <v>142</v>
      </c>
      <c r="BI351" s="2">
        <v>46026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s="1">
        <v>6427.72</v>
      </c>
      <c r="BQ351" s="1">
        <v>6427.72</v>
      </c>
      <c r="BR351">
        <v>0</v>
      </c>
      <c r="BS351">
        <v>0</v>
      </c>
      <c r="BT351">
        <v>0</v>
      </c>
      <c r="BU351">
        <v>0</v>
      </c>
      <c r="BV351" s="1">
        <v>5395.27</v>
      </c>
      <c r="BW351" s="1">
        <v>5395.27</v>
      </c>
      <c r="BX351">
        <v>0</v>
      </c>
      <c r="BY351">
        <v>0</v>
      </c>
      <c r="BZ351">
        <v>0</v>
      </c>
      <c r="CA351">
        <v>0</v>
      </c>
      <c r="CB351" s="1">
        <v>6264.96</v>
      </c>
      <c r="CC351" t="s">
        <v>152</v>
      </c>
    </row>
    <row r="352" spans="1:81" x14ac:dyDescent="0.25">
      <c r="A352">
        <v>345</v>
      </c>
      <c r="B352">
        <v>2</v>
      </c>
      <c r="C352">
        <v>558</v>
      </c>
      <c r="D352" t="s">
        <v>2050</v>
      </c>
      <c r="E352" t="s">
        <v>121</v>
      </c>
      <c r="F352" t="s">
        <v>2051</v>
      </c>
      <c r="G352" t="s">
        <v>2052</v>
      </c>
      <c r="H352" t="s">
        <v>2053</v>
      </c>
      <c r="I352" t="s">
        <v>2054</v>
      </c>
      <c r="J352" t="s">
        <v>1009</v>
      </c>
      <c r="K352" t="s">
        <v>336</v>
      </c>
      <c r="L352" t="s">
        <v>128</v>
      </c>
      <c r="M352" t="s">
        <v>337</v>
      </c>
      <c r="N352" t="s">
        <v>2055</v>
      </c>
      <c r="O352" t="s">
        <v>131</v>
      </c>
      <c r="P352">
        <v>0</v>
      </c>
      <c r="Q352" t="s">
        <v>125</v>
      </c>
      <c r="R352">
        <v>6</v>
      </c>
      <c r="S352">
        <v>37</v>
      </c>
      <c r="T352" t="s">
        <v>132</v>
      </c>
      <c r="U352" t="s">
        <v>133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134</v>
      </c>
      <c r="AE352" t="s">
        <v>134</v>
      </c>
      <c r="AF352" s="2">
        <v>45518</v>
      </c>
      <c r="AG352" s="2">
        <v>46001</v>
      </c>
      <c r="AH352">
        <v>468.97</v>
      </c>
      <c r="AI352">
        <v>694.31</v>
      </c>
      <c r="AJ352">
        <v>937.95</v>
      </c>
      <c r="AK352">
        <v>0</v>
      </c>
      <c r="AL352">
        <v>0</v>
      </c>
      <c r="AM352">
        <v>0</v>
      </c>
      <c r="AN352" t="s">
        <v>135</v>
      </c>
      <c r="AO352" t="s">
        <v>135</v>
      </c>
      <c r="AP352" t="s">
        <v>136</v>
      </c>
      <c r="AQ352" t="s">
        <v>137</v>
      </c>
      <c r="AR352" t="s">
        <v>138</v>
      </c>
      <c r="AS352" t="s">
        <v>139</v>
      </c>
      <c r="AT352" t="s">
        <v>140</v>
      </c>
      <c r="AU352">
        <v>101</v>
      </c>
      <c r="AV352">
        <v>10</v>
      </c>
      <c r="AW352">
        <v>1</v>
      </c>
      <c r="AX352" s="2">
        <v>45811</v>
      </c>
      <c r="AY352" t="s">
        <v>377</v>
      </c>
      <c r="AZ352" s="2">
        <v>46028</v>
      </c>
      <c r="BA352">
        <v>0</v>
      </c>
      <c r="BB352">
        <v>0</v>
      </c>
      <c r="BC352">
        <v>0</v>
      </c>
      <c r="BD352">
        <v>700</v>
      </c>
      <c r="BE352">
        <v>70</v>
      </c>
      <c r="BF352">
        <v>9</v>
      </c>
      <c r="BG352" s="2">
        <v>45536</v>
      </c>
      <c r="BH352" t="s">
        <v>142</v>
      </c>
      <c r="BI352" s="2">
        <v>46026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243.64</v>
      </c>
      <c r="BQ352">
        <v>243.64</v>
      </c>
      <c r="BR352">
        <v>0</v>
      </c>
      <c r="BS352">
        <v>0</v>
      </c>
      <c r="BT352">
        <v>0</v>
      </c>
      <c r="BU352">
        <v>0</v>
      </c>
      <c r="BV352">
        <v>694.31</v>
      </c>
      <c r="BW352">
        <v>694.31</v>
      </c>
      <c r="BX352">
        <v>0</v>
      </c>
      <c r="BY352">
        <v>0</v>
      </c>
      <c r="BZ352">
        <v>0</v>
      </c>
      <c r="CA352">
        <v>0</v>
      </c>
      <c r="CB352">
        <v>368.02</v>
      </c>
      <c r="CC352" t="s">
        <v>143</v>
      </c>
    </row>
    <row r="353" spans="1:81" x14ac:dyDescent="0.25">
      <c r="A353">
        <v>345</v>
      </c>
      <c r="B353">
        <v>2</v>
      </c>
      <c r="C353">
        <v>560</v>
      </c>
      <c r="D353" t="s">
        <v>2056</v>
      </c>
      <c r="E353" t="s">
        <v>121</v>
      </c>
      <c r="F353" t="s">
        <v>2057</v>
      </c>
      <c r="G353" t="s">
        <v>2058</v>
      </c>
      <c r="H353" t="s">
        <v>2059</v>
      </c>
      <c r="I353" t="s">
        <v>125</v>
      </c>
      <c r="J353" t="s">
        <v>589</v>
      </c>
      <c r="K353" t="s">
        <v>336</v>
      </c>
      <c r="L353" t="s">
        <v>128</v>
      </c>
      <c r="M353" t="s">
        <v>337</v>
      </c>
      <c r="N353" t="s">
        <v>2060</v>
      </c>
      <c r="O353" t="s">
        <v>131</v>
      </c>
      <c r="P353">
        <v>0</v>
      </c>
      <c r="Q353" t="s">
        <v>125</v>
      </c>
      <c r="R353">
        <v>6</v>
      </c>
      <c r="S353">
        <v>39</v>
      </c>
      <c r="T353" t="s">
        <v>132</v>
      </c>
      <c r="U353" t="s">
        <v>133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134</v>
      </c>
      <c r="AE353" t="s">
        <v>134</v>
      </c>
      <c r="AF353" s="2">
        <v>45518</v>
      </c>
      <c r="AG353" s="2">
        <v>46020</v>
      </c>
      <c r="AH353">
        <v>224.43</v>
      </c>
      <c r="AI353">
        <v>357.14</v>
      </c>
      <c r="AJ353" s="1">
        <v>1795.44</v>
      </c>
      <c r="AK353">
        <v>0</v>
      </c>
      <c r="AL353">
        <v>0</v>
      </c>
      <c r="AM353">
        <v>0</v>
      </c>
      <c r="AN353" t="s">
        <v>135</v>
      </c>
      <c r="AO353" t="s">
        <v>135</v>
      </c>
      <c r="AP353" t="s">
        <v>136</v>
      </c>
      <c r="AQ353" t="s">
        <v>137</v>
      </c>
      <c r="AR353" t="s">
        <v>138</v>
      </c>
      <c r="AS353" t="s">
        <v>139</v>
      </c>
      <c r="AT353" t="s">
        <v>140</v>
      </c>
      <c r="AU353">
        <v>101</v>
      </c>
      <c r="AV353">
        <v>10</v>
      </c>
      <c r="AW353">
        <v>1</v>
      </c>
      <c r="AX353" s="2">
        <v>45535</v>
      </c>
      <c r="AY353" t="s">
        <v>160</v>
      </c>
      <c r="AZ353" s="2">
        <v>46025</v>
      </c>
      <c r="BA353">
        <v>0</v>
      </c>
      <c r="BB353">
        <v>0</v>
      </c>
      <c r="BC353">
        <v>0</v>
      </c>
      <c r="BD353">
        <v>700</v>
      </c>
      <c r="BE353">
        <v>70</v>
      </c>
      <c r="BF353">
        <v>9</v>
      </c>
      <c r="BG353" s="2">
        <v>45536</v>
      </c>
      <c r="BH353" t="s">
        <v>142</v>
      </c>
      <c r="BI353" s="2">
        <v>46026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403.84</v>
      </c>
      <c r="BQ353">
        <v>403.84</v>
      </c>
      <c r="BR353">
        <v>0</v>
      </c>
      <c r="BS353">
        <v>0</v>
      </c>
      <c r="BT353">
        <v>0</v>
      </c>
      <c r="BU353">
        <v>0</v>
      </c>
      <c r="BV353" s="1">
        <v>1021.62</v>
      </c>
      <c r="BW353" s="1">
        <v>1021.62</v>
      </c>
      <c r="BX353">
        <v>0</v>
      </c>
      <c r="BY353">
        <v>0</v>
      </c>
      <c r="BZ353">
        <v>0</v>
      </c>
      <c r="CA353">
        <v>0</v>
      </c>
      <c r="CB353">
        <v>405.79</v>
      </c>
      <c r="CC353" t="s">
        <v>143</v>
      </c>
    </row>
    <row r="354" spans="1:81" x14ac:dyDescent="0.25">
      <c r="A354">
        <v>345</v>
      </c>
      <c r="B354">
        <v>2</v>
      </c>
      <c r="C354">
        <v>561</v>
      </c>
      <c r="D354" t="s">
        <v>2061</v>
      </c>
      <c r="E354" t="s">
        <v>121</v>
      </c>
      <c r="F354" t="s">
        <v>2062</v>
      </c>
      <c r="G354" t="s">
        <v>2063</v>
      </c>
      <c r="H354" t="s">
        <v>2064</v>
      </c>
      <c r="I354" t="s">
        <v>2065</v>
      </c>
      <c r="J354" t="s">
        <v>606</v>
      </c>
      <c r="K354" t="s">
        <v>336</v>
      </c>
      <c r="L354" t="s">
        <v>128</v>
      </c>
      <c r="M354" t="s">
        <v>337</v>
      </c>
      <c r="N354" t="s">
        <v>2066</v>
      </c>
      <c r="O354" t="s">
        <v>167</v>
      </c>
      <c r="P354">
        <v>0</v>
      </c>
      <c r="Q354" t="s">
        <v>125</v>
      </c>
      <c r="R354">
        <v>6</v>
      </c>
      <c r="S354">
        <v>37</v>
      </c>
      <c r="T354" t="s">
        <v>132</v>
      </c>
      <c r="U354" t="s">
        <v>133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234</v>
      </c>
      <c r="AE354" t="s">
        <v>134</v>
      </c>
      <c r="AF354" s="2">
        <v>45518</v>
      </c>
      <c r="AG354" s="2">
        <v>46021</v>
      </c>
      <c r="AH354" s="1">
        <v>1145.28</v>
      </c>
      <c r="AI354" s="1">
        <v>2367.79</v>
      </c>
      <c r="AJ354" s="1">
        <v>14888.76</v>
      </c>
      <c r="AK354">
        <v>0</v>
      </c>
      <c r="AL354">
        <v>0</v>
      </c>
      <c r="AM354">
        <v>0</v>
      </c>
      <c r="AN354" t="s">
        <v>135</v>
      </c>
      <c r="AO354" t="s">
        <v>135</v>
      </c>
      <c r="AP354" t="s">
        <v>136</v>
      </c>
      <c r="AQ354" t="s">
        <v>137</v>
      </c>
      <c r="AR354" t="s">
        <v>138</v>
      </c>
      <c r="AS354" t="s">
        <v>139</v>
      </c>
      <c r="AT354" t="s">
        <v>140</v>
      </c>
      <c r="AU354">
        <v>101</v>
      </c>
      <c r="AV354">
        <v>10</v>
      </c>
      <c r="AW354">
        <v>1</v>
      </c>
      <c r="AX354" s="2">
        <v>45812</v>
      </c>
      <c r="AY354" t="s">
        <v>168</v>
      </c>
      <c r="AZ354" s="2">
        <v>46022</v>
      </c>
      <c r="BA354">
        <v>0</v>
      </c>
      <c r="BB354">
        <v>0</v>
      </c>
      <c r="BC354">
        <v>0</v>
      </c>
      <c r="BD354">
        <v>700</v>
      </c>
      <c r="BE354">
        <v>70</v>
      </c>
      <c r="BF354">
        <v>9</v>
      </c>
      <c r="BG354" s="2">
        <v>45536</v>
      </c>
      <c r="BH354" t="s">
        <v>142</v>
      </c>
      <c r="BI354" s="2">
        <v>46026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s="1">
        <v>4793</v>
      </c>
      <c r="BQ354" s="1">
        <v>4793</v>
      </c>
      <c r="BR354">
        <v>0</v>
      </c>
      <c r="BS354">
        <v>0</v>
      </c>
      <c r="BT354">
        <v>0</v>
      </c>
      <c r="BU354">
        <v>0</v>
      </c>
      <c r="BV354" s="1">
        <v>5352.88</v>
      </c>
      <c r="BW354" s="1">
        <v>5352.88</v>
      </c>
      <c r="BX354">
        <v>0</v>
      </c>
      <c r="BY354">
        <v>0</v>
      </c>
      <c r="BZ354">
        <v>0</v>
      </c>
      <c r="CA354">
        <v>0</v>
      </c>
      <c r="CB354" s="1">
        <v>4737.1400000000003</v>
      </c>
      <c r="CC354" t="s">
        <v>161</v>
      </c>
    </row>
    <row r="355" spans="1:81" x14ac:dyDescent="0.25">
      <c r="A355">
        <v>345</v>
      </c>
      <c r="B355">
        <v>2</v>
      </c>
      <c r="C355">
        <v>562</v>
      </c>
      <c r="D355" t="s">
        <v>2067</v>
      </c>
      <c r="E355" t="s">
        <v>121</v>
      </c>
      <c r="F355" t="s">
        <v>2068</v>
      </c>
      <c r="G355" t="s">
        <v>2069</v>
      </c>
      <c r="H355" t="s">
        <v>2070</v>
      </c>
      <c r="I355" t="s">
        <v>2071</v>
      </c>
      <c r="J355" t="s">
        <v>695</v>
      </c>
      <c r="K355" t="s">
        <v>336</v>
      </c>
      <c r="L355" t="s">
        <v>128</v>
      </c>
      <c r="M355" t="s">
        <v>337</v>
      </c>
      <c r="N355" t="s">
        <v>2072</v>
      </c>
      <c r="O355" t="s">
        <v>131</v>
      </c>
      <c r="P355">
        <v>0</v>
      </c>
      <c r="Q355" t="s">
        <v>125</v>
      </c>
      <c r="R355">
        <v>6</v>
      </c>
      <c r="S355">
        <v>40</v>
      </c>
      <c r="T355" t="s">
        <v>132</v>
      </c>
      <c r="U355" t="s">
        <v>133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134</v>
      </c>
      <c r="AE355" t="s">
        <v>134</v>
      </c>
      <c r="AF355" s="2">
        <v>45518</v>
      </c>
      <c r="AG355" s="2">
        <v>46020</v>
      </c>
      <c r="AH355">
        <v>560.73</v>
      </c>
      <c r="AI355" s="1">
        <v>1302.7</v>
      </c>
      <c r="AJ355" s="1">
        <v>6728.78</v>
      </c>
      <c r="AK355">
        <v>0</v>
      </c>
      <c r="AL355">
        <v>0</v>
      </c>
      <c r="AM355">
        <v>0</v>
      </c>
      <c r="AN355" t="s">
        <v>135</v>
      </c>
      <c r="AO355" t="s">
        <v>135</v>
      </c>
      <c r="AP355" t="s">
        <v>136</v>
      </c>
      <c r="AQ355" t="s">
        <v>137</v>
      </c>
      <c r="AR355" t="s">
        <v>138</v>
      </c>
      <c r="AS355" t="s">
        <v>139</v>
      </c>
      <c r="AT355" t="s">
        <v>140</v>
      </c>
      <c r="AU355">
        <v>101</v>
      </c>
      <c r="AV355">
        <v>10</v>
      </c>
      <c r="AW355">
        <v>1</v>
      </c>
      <c r="AX355" s="2">
        <v>45534</v>
      </c>
      <c r="AY355" t="s">
        <v>151</v>
      </c>
      <c r="AZ355" s="2">
        <v>46024</v>
      </c>
      <c r="BA355">
        <v>0</v>
      </c>
      <c r="BB355">
        <v>0</v>
      </c>
      <c r="BC355">
        <v>0</v>
      </c>
      <c r="BD355">
        <v>700</v>
      </c>
      <c r="BE355">
        <v>70</v>
      </c>
      <c r="BF355">
        <v>9</v>
      </c>
      <c r="BG355" s="2">
        <v>45536</v>
      </c>
      <c r="BH355" t="s">
        <v>142</v>
      </c>
      <c r="BI355" s="2">
        <v>46026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 s="1">
        <v>2818.76</v>
      </c>
      <c r="BQ355" s="1">
        <v>2818.76</v>
      </c>
      <c r="BR355">
        <v>0</v>
      </c>
      <c r="BS355">
        <v>0</v>
      </c>
      <c r="BT355">
        <v>0</v>
      </c>
      <c r="BU355">
        <v>0</v>
      </c>
      <c r="BV355" s="1">
        <v>2681.68</v>
      </c>
      <c r="BW355" s="1">
        <v>2681.68</v>
      </c>
      <c r="BX355">
        <v>0</v>
      </c>
      <c r="BY355">
        <v>0</v>
      </c>
      <c r="BZ355">
        <v>0</v>
      </c>
      <c r="CA355">
        <v>0</v>
      </c>
      <c r="CB355" s="1">
        <v>2132.9</v>
      </c>
      <c r="CC355" t="s">
        <v>143</v>
      </c>
    </row>
    <row r="356" spans="1:81" x14ac:dyDescent="0.25">
      <c r="A356">
        <v>345</v>
      </c>
      <c r="B356">
        <v>2</v>
      </c>
      <c r="C356">
        <v>564</v>
      </c>
      <c r="D356" t="s">
        <v>2073</v>
      </c>
      <c r="E356" t="s">
        <v>121</v>
      </c>
      <c r="F356" t="s">
        <v>2074</v>
      </c>
      <c r="G356" t="s">
        <v>2075</v>
      </c>
      <c r="H356" t="s">
        <v>542</v>
      </c>
      <c r="I356" t="s">
        <v>2076</v>
      </c>
      <c r="J356" t="s">
        <v>543</v>
      </c>
      <c r="K356" t="s">
        <v>336</v>
      </c>
      <c r="L356" t="s">
        <v>128</v>
      </c>
      <c r="M356" t="s">
        <v>337</v>
      </c>
      <c r="N356" t="s">
        <v>2077</v>
      </c>
      <c r="O356" t="s">
        <v>167</v>
      </c>
      <c r="P356">
        <v>0</v>
      </c>
      <c r="Q356" t="s">
        <v>125</v>
      </c>
      <c r="R356">
        <v>6</v>
      </c>
      <c r="S356">
        <v>35</v>
      </c>
      <c r="T356" t="s">
        <v>132</v>
      </c>
      <c r="U356" t="s">
        <v>133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134</v>
      </c>
      <c r="AE356" t="s">
        <v>134</v>
      </c>
      <c r="AF356" s="2">
        <v>45518</v>
      </c>
      <c r="AG356" s="2">
        <v>45979</v>
      </c>
      <c r="AH356">
        <v>606.51</v>
      </c>
      <c r="AI356">
        <v>622.70000000000005</v>
      </c>
      <c r="AJ356" s="1">
        <v>1213.03</v>
      </c>
      <c r="AK356">
        <v>0</v>
      </c>
      <c r="AL356">
        <v>0</v>
      </c>
      <c r="AM356">
        <v>0</v>
      </c>
      <c r="AN356" t="s">
        <v>135</v>
      </c>
      <c r="AO356" t="s">
        <v>135</v>
      </c>
      <c r="AP356" t="s">
        <v>136</v>
      </c>
      <c r="AQ356" t="s">
        <v>137</v>
      </c>
      <c r="AR356" t="s">
        <v>138</v>
      </c>
      <c r="AS356" t="s">
        <v>139</v>
      </c>
      <c r="AT356" t="s">
        <v>140</v>
      </c>
      <c r="AU356">
        <v>101</v>
      </c>
      <c r="AV356">
        <v>10</v>
      </c>
      <c r="AW356">
        <v>1</v>
      </c>
      <c r="AX356" s="2">
        <v>45859</v>
      </c>
      <c r="AY356" t="s">
        <v>141</v>
      </c>
      <c r="AZ356" s="2">
        <v>46027</v>
      </c>
      <c r="BA356">
        <v>0</v>
      </c>
      <c r="BB356">
        <v>0</v>
      </c>
      <c r="BC356">
        <v>0</v>
      </c>
      <c r="BD356">
        <v>700</v>
      </c>
      <c r="BE356">
        <v>70</v>
      </c>
      <c r="BF356">
        <v>9</v>
      </c>
      <c r="BG356" s="2">
        <v>45536</v>
      </c>
      <c r="BH356" t="s">
        <v>142</v>
      </c>
      <c r="BI356" s="2">
        <v>46026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590.33000000000004</v>
      </c>
      <c r="BQ356">
        <v>590.33000000000004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404.34</v>
      </c>
      <c r="CC356" t="s">
        <v>161</v>
      </c>
    </row>
    <row r="357" spans="1:81" x14ac:dyDescent="0.25">
      <c r="A357">
        <v>345</v>
      </c>
      <c r="B357">
        <v>2</v>
      </c>
      <c r="C357">
        <v>568</v>
      </c>
      <c r="D357" t="s">
        <v>2078</v>
      </c>
      <c r="E357" t="s">
        <v>121</v>
      </c>
      <c r="F357" t="s">
        <v>2079</v>
      </c>
      <c r="G357" t="s">
        <v>2080</v>
      </c>
      <c r="H357" t="s">
        <v>2081</v>
      </c>
      <c r="I357" t="s">
        <v>2082</v>
      </c>
      <c r="J357" t="s">
        <v>944</v>
      </c>
      <c r="K357" t="s">
        <v>466</v>
      </c>
      <c r="L357" t="s">
        <v>128</v>
      </c>
      <c r="M357" t="s">
        <v>467</v>
      </c>
      <c r="N357" t="s">
        <v>2083</v>
      </c>
      <c r="O357" t="s">
        <v>159</v>
      </c>
      <c r="P357">
        <v>0</v>
      </c>
      <c r="Q357" t="s">
        <v>125</v>
      </c>
      <c r="R357">
        <v>6</v>
      </c>
      <c r="S357">
        <v>36</v>
      </c>
      <c r="T357" t="s">
        <v>132</v>
      </c>
      <c r="U357" t="s">
        <v>133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234</v>
      </c>
      <c r="AE357" t="s">
        <v>134</v>
      </c>
      <c r="AF357" s="2">
        <v>45518</v>
      </c>
      <c r="AG357" s="2">
        <v>46018</v>
      </c>
      <c r="AH357">
        <v>744.49</v>
      </c>
      <c r="AI357" s="1">
        <v>1411.54</v>
      </c>
      <c r="AJ357" s="1">
        <v>7444.98</v>
      </c>
      <c r="AK357">
        <v>0</v>
      </c>
      <c r="AL357">
        <v>0</v>
      </c>
      <c r="AM357">
        <v>0</v>
      </c>
      <c r="AN357" t="s">
        <v>135</v>
      </c>
      <c r="AO357" t="s">
        <v>135</v>
      </c>
      <c r="AP357" t="s">
        <v>136</v>
      </c>
      <c r="AQ357" t="s">
        <v>137</v>
      </c>
      <c r="AR357" t="s">
        <v>138</v>
      </c>
      <c r="AS357" t="s">
        <v>139</v>
      </c>
      <c r="AT357" t="s">
        <v>140</v>
      </c>
      <c r="AU357">
        <v>500</v>
      </c>
      <c r="AV357">
        <v>10</v>
      </c>
      <c r="AW357">
        <v>1</v>
      </c>
      <c r="AX357" s="2">
        <v>45861</v>
      </c>
      <c r="AY357" t="s">
        <v>168</v>
      </c>
      <c r="AZ357" s="2">
        <v>46022</v>
      </c>
      <c r="BA357">
        <v>0</v>
      </c>
      <c r="BB357">
        <v>0</v>
      </c>
      <c r="BC357">
        <v>0</v>
      </c>
      <c r="BD357">
        <v>700</v>
      </c>
      <c r="BE357">
        <v>70</v>
      </c>
      <c r="BF357">
        <v>9</v>
      </c>
      <c r="BG357" s="2">
        <v>45536</v>
      </c>
      <c r="BH357" t="s">
        <v>142</v>
      </c>
      <c r="BI357" s="2">
        <v>46026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 s="1">
        <v>1689.06</v>
      </c>
      <c r="BQ357" s="1">
        <v>1689.06</v>
      </c>
      <c r="BR357">
        <v>0</v>
      </c>
      <c r="BS357">
        <v>0</v>
      </c>
      <c r="BT357">
        <v>0</v>
      </c>
      <c r="BU357">
        <v>0</v>
      </c>
      <c r="BV357" s="1">
        <v>3349.33</v>
      </c>
      <c r="BW357" s="1">
        <v>3349.33</v>
      </c>
      <c r="BX357">
        <v>0</v>
      </c>
      <c r="BY357">
        <v>0</v>
      </c>
      <c r="BZ357">
        <v>0</v>
      </c>
      <c r="CA357">
        <v>0</v>
      </c>
      <c r="CB357" s="1">
        <v>2000.85</v>
      </c>
      <c r="CC357" t="s">
        <v>161</v>
      </c>
    </row>
    <row r="358" spans="1:81" x14ac:dyDescent="0.25">
      <c r="A358">
        <v>345</v>
      </c>
      <c r="B358">
        <v>2</v>
      </c>
      <c r="C358">
        <v>569</v>
      </c>
      <c r="D358" t="s">
        <v>2084</v>
      </c>
      <c r="E358" t="s">
        <v>121</v>
      </c>
      <c r="F358" t="s">
        <v>2085</v>
      </c>
      <c r="G358" t="s">
        <v>2086</v>
      </c>
      <c r="H358" t="s">
        <v>2087</v>
      </c>
      <c r="I358" t="s">
        <v>2088</v>
      </c>
      <c r="J358" t="s">
        <v>126</v>
      </c>
      <c r="K358" t="s">
        <v>473</v>
      </c>
      <c r="L358" t="s">
        <v>128</v>
      </c>
      <c r="M358" t="s">
        <v>474</v>
      </c>
      <c r="N358" t="s">
        <v>2089</v>
      </c>
      <c r="O358" t="s">
        <v>131</v>
      </c>
      <c r="P358">
        <v>0</v>
      </c>
      <c r="Q358" t="s">
        <v>125</v>
      </c>
      <c r="R358">
        <v>6</v>
      </c>
      <c r="S358">
        <v>40</v>
      </c>
      <c r="T358" t="s">
        <v>132</v>
      </c>
      <c r="U358" t="s">
        <v>133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134</v>
      </c>
      <c r="AE358" t="s">
        <v>134</v>
      </c>
      <c r="AF358" s="2">
        <v>45518</v>
      </c>
      <c r="AG358" s="2">
        <v>46018</v>
      </c>
      <c r="AH358" s="1">
        <v>1302.68</v>
      </c>
      <c r="AI358" s="1">
        <v>2193.6</v>
      </c>
      <c r="AJ358" s="1">
        <v>10421.48</v>
      </c>
      <c r="AK358">
        <v>0</v>
      </c>
      <c r="AL358">
        <v>0</v>
      </c>
      <c r="AM358">
        <v>0</v>
      </c>
      <c r="AN358" t="s">
        <v>135</v>
      </c>
      <c r="AO358" t="s">
        <v>135</v>
      </c>
      <c r="AP358" t="s">
        <v>136</v>
      </c>
      <c r="AQ358" t="s">
        <v>137</v>
      </c>
      <c r="AR358" t="s">
        <v>138</v>
      </c>
      <c r="AS358" t="s">
        <v>139</v>
      </c>
      <c r="AT358" t="s">
        <v>140</v>
      </c>
      <c r="AU358">
        <v>105</v>
      </c>
      <c r="AV358">
        <v>10</v>
      </c>
      <c r="AW358">
        <v>1</v>
      </c>
      <c r="AX358" s="2">
        <v>45847</v>
      </c>
      <c r="AY358" t="s">
        <v>168</v>
      </c>
      <c r="AZ358" s="2">
        <v>46022</v>
      </c>
      <c r="BA358">
        <v>0</v>
      </c>
      <c r="BB358">
        <v>0</v>
      </c>
      <c r="BC358">
        <v>0</v>
      </c>
      <c r="BD358">
        <v>700</v>
      </c>
      <c r="BE358">
        <v>70</v>
      </c>
      <c r="BF358">
        <v>9</v>
      </c>
      <c r="BG358" s="2">
        <v>45536</v>
      </c>
      <c r="BH358" t="s">
        <v>142</v>
      </c>
      <c r="BI358" s="2">
        <v>46026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s="1">
        <v>5513.66</v>
      </c>
      <c r="BQ358" s="1">
        <v>5513.66</v>
      </c>
      <c r="BR358">
        <v>0</v>
      </c>
      <c r="BS358">
        <v>0</v>
      </c>
      <c r="BT358">
        <v>0</v>
      </c>
      <c r="BU358">
        <v>0</v>
      </c>
      <c r="BV358" s="1">
        <v>2635.8</v>
      </c>
      <c r="BW358" s="1">
        <v>2635.8</v>
      </c>
      <c r="BX358">
        <v>0</v>
      </c>
      <c r="BY358">
        <v>0</v>
      </c>
      <c r="BZ358">
        <v>0</v>
      </c>
      <c r="CA358">
        <v>0</v>
      </c>
      <c r="CB358" s="1">
        <v>3001.01</v>
      </c>
      <c r="CC358" t="s">
        <v>143</v>
      </c>
    </row>
    <row r="359" spans="1:81" x14ac:dyDescent="0.25">
      <c r="A359">
        <v>345</v>
      </c>
      <c r="B359">
        <v>2</v>
      </c>
      <c r="C359">
        <v>570</v>
      </c>
      <c r="D359" t="s">
        <v>2090</v>
      </c>
      <c r="E359" t="s">
        <v>121</v>
      </c>
      <c r="F359" t="s">
        <v>2091</v>
      </c>
      <c r="G359" t="s">
        <v>2092</v>
      </c>
      <c r="H359" t="s">
        <v>2093</v>
      </c>
      <c r="I359" t="s">
        <v>125</v>
      </c>
      <c r="J359" t="s">
        <v>915</v>
      </c>
      <c r="K359" t="s">
        <v>473</v>
      </c>
      <c r="L359" t="s">
        <v>128</v>
      </c>
      <c r="M359" t="s">
        <v>474</v>
      </c>
      <c r="N359" t="s">
        <v>2094</v>
      </c>
      <c r="O359" t="s">
        <v>131</v>
      </c>
      <c r="P359">
        <v>0</v>
      </c>
      <c r="Q359" t="s">
        <v>125</v>
      </c>
      <c r="R359">
        <v>3</v>
      </c>
      <c r="S359">
        <v>85</v>
      </c>
      <c r="T359" t="s">
        <v>132</v>
      </c>
      <c r="U359" t="s">
        <v>133</v>
      </c>
      <c r="V359" s="1">
        <v>1000</v>
      </c>
      <c r="W359">
        <v>291.19</v>
      </c>
      <c r="X359">
        <v>708.81</v>
      </c>
      <c r="Y359">
        <v>0</v>
      </c>
      <c r="Z359">
        <v>0</v>
      </c>
      <c r="AA359">
        <v>5</v>
      </c>
      <c r="AB359">
        <v>0</v>
      </c>
      <c r="AC359">
        <v>0</v>
      </c>
      <c r="AD359" t="s">
        <v>134</v>
      </c>
      <c r="AE359" t="s">
        <v>134</v>
      </c>
      <c r="AF359" s="2">
        <v>45518</v>
      </c>
      <c r="AG359" s="2">
        <v>46017</v>
      </c>
      <c r="AH359">
        <v>255.93</v>
      </c>
      <c r="AI359">
        <v>430.02</v>
      </c>
      <c r="AJ359" s="1">
        <v>1279.68</v>
      </c>
      <c r="AK359">
        <v>291.19</v>
      </c>
      <c r="AL359">
        <v>0</v>
      </c>
      <c r="AM359">
        <v>0</v>
      </c>
      <c r="AN359" t="s">
        <v>135</v>
      </c>
      <c r="AO359" t="s">
        <v>135</v>
      </c>
      <c r="AP359" t="s">
        <v>136</v>
      </c>
      <c r="AQ359" t="s">
        <v>137</v>
      </c>
      <c r="AR359" t="s">
        <v>138</v>
      </c>
      <c r="AS359" t="s">
        <v>139</v>
      </c>
      <c r="AT359" t="s">
        <v>140</v>
      </c>
      <c r="AU359">
        <v>102</v>
      </c>
      <c r="AV359">
        <v>10</v>
      </c>
      <c r="AW359">
        <v>1</v>
      </c>
      <c r="AX359" s="2">
        <v>45846</v>
      </c>
      <c r="AY359" t="s">
        <v>377</v>
      </c>
      <c r="AZ359" s="2">
        <v>46028</v>
      </c>
      <c r="BA359">
        <v>0</v>
      </c>
      <c r="BB359">
        <v>0</v>
      </c>
      <c r="BC359">
        <v>0</v>
      </c>
      <c r="BD359">
        <v>700</v>
      </c>
      <c r="BE359">
        <v>70</v>
      </c>
      <c r="BF359">
        <v>9</v>
      </c>
      <c r="BG359" s="2">
        <v>45536</v>
      </c>
      <c r="BH359" t="s">
        <v>142</v>
      </c>
      <c r="BI359" s="2">
        <v>46026</v>
      </c>
      <c r="BJ359">
        <v>0</v>
      </c>
      <c r="BK359">
        <v>0</v>
      </c>
      <c r="BL359">
        <v>0</v>
      </c>
      <c r="BM359">
        <v>5</v>
      </c>
      <c r="BN359">
        <v>5</v>
      </c>
      <c r="BO359">
        <v>212.48</v>
      </c>
      <c r="BP359">
        <v>0</v>
      </c>
      <c r="BQ359">
        <v>212.48</v>
      </c>
      <c r="BR359">
        <v>0</v>
      </c>
      <c r="BS359">
        <v>4.1900000000000004</v>
      </c>
      <c r="BT359">
        <v>4.1900000000000004</v>
      </c>
      <c r="BU359">
        <v>721.21</v>
      </c>
      <c r="BV359">
        <v>0</v>
      </c>
      <c r="BW359">
        <v>721.21</v>
      </c>
      <c r="BX359">
        <v>0</v>
      </c>
      <c r="BY359">
        <v>0</v>
      </c>
      <c r="BZ359">
        <v>0</v>
      </c>
      <c r="CA359">
        <v>0</v>
      </c>
      <c r="CB359">
        <v>277.57</v>
      </c>
      <c r="CC359" t="s">
        <v>143</v>
      </c>
    </row>
    <row r="360" spans="1:81" x14ac:dyDescent="0.25">
      <c r="A360">
        <v>345</v>
      </c>
      <c r="B360">
        <v>2</v>
      </c>
      <c r="C360">
        <v>571</v>
      </c>
      <c r="D360" t="s">
        <v>2095</v>
      </c>
      <c r="E360" t="s">
        <v>121</v>
      </c>
      <c r="F360" t="s">
        <v>2096</v>
      </c>
      <c r="G360" t="s">
        <v>2097</v>
      </c>
      <c r="H360" t="s">
        <v>2098</v>
      </c>
      <c r="I360" t="s">
        <v>125</v>
      </c>
      <c r="J360" t="s">
        <v>126</v>
      </c>
      <c r="K360" t="s">
        <v>466</v>
      </c>
      <c r="L360" t="s">
        <v>128</v>
      </c>
      <c r="M360" t="s">
        <v>467</v>
      </c>
      <c r="N360" t="s">
        <v>2099</v>
      </c>
      <c r="O360" t="s">
        <v>131</v>
      </c>
      <c r="P360">
        <v>0</v>
      </c>
      <c r="Q360" t="s">
        <v>125</v>
      </c>
      <c r="R360">
        <v>3</v>
      </c>
      <c r="S360">
        <v>85</v>
      </c>
      <c r="T360" t="s">
        <v>132</v>
      </c>
      <c r="U360" t="s">
        <v>133</v>
      </c>
      <c r="V360" s="1">
        <v>1000</v>
      </c>
      <c r="W360">
        <v>0</v>
      </c>
      <c r="X360" s="1">
        <v>1000</v>
      </c>
      <c r="Y360">
        <v>7</v>
      </c>
      <c r="Z360">
        <v>0</v>
      </c>
      <c r="AA360">
        <v>0</v>
      </c>
      <c r="AB360">
        <v>0</v>
      </c>
      <c r="AC360">
        <v>0</v>
      </c>
      <c r="AD360" t="s">
        <v>134</v>
      </c>
      <c r="AE360" t="s">
        <v>134</v>
      </c>
      <c r="AF360" s="2">
        <v>45518</v>
      </c>
      <c r="AG360" s="2">
        <v>45985</v>
      </c>
      <c r="AH360">
        <v>193.6</v>
      </c>
      <c r="AI360">
        <v>193.6</v>
      </c>
      <c r="AJ360">
        <v>193.6</v>
      </c>
      <c r="AK360">
        <v>0</v>
      </c>
      <c r="AL360">
        <v>0</v>
      </c>
      <c r="AM360">
        <v>0</v>
      </c>
      <c r="AN360" t="s">
        <v>135</v>
      </c>
      <c r="AO360" t="s">
        <v>135</v>
      </c>
      <c r="AP360" t="s">
        <v>136</v>
      </c>
      <c r="AQ360" t="s">
        <v>137</v>
      </c>
      <c r="AR360" t="s">
        <v>138</v>
      </c>
      <c r="AS360" t="s">
        <v>150</v>
      </c>
      <c r="AT360" t="s">
        <v>140</v>
      </c>
      <c r="AU360">
        <v>105</v>
      </c>
      <c r="AV360">
        <v>10</v>
      </c>
      <c r="AW360">
        <v>1</v>
      </c>
      <c r="AX360" s="2">
        <v>45955</v>
      </c>
      <c r="AY360" t="s">
        <v>160</v>
      </c>
      <c r="AZ360" s="2">
        <v>46025</v>
      </c>
      <c r="BA360">
        <v>0</v>
      </c>
      <c r="BB360">
        <v>0</v>
      </c>
      <c r="BC360">
        <v>0</v>
      </c>
      <c r="BD360">
        <v>999</v>
      </c>
      <c r="BE360">
        <v>99</v>
      </c>
      <c r="BF360">
        <v>9</v>
      </c>
      <c r="BG360" t="s">
        <v>135</v>
      </c>
      <c r="BH360" t="s">
        <v>250</v>
      </c>
      <c r="BI360" t="s">
        <v>135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193.6</v>
      </c>
      <c r="BQ360">
        <v>193.6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64.53</v>
      </c>
      <c r="CC360" t="s">
        <v>143</v>
      </c>
    </row>
    <row r="361" spans="1:81" x14ac:dyDescent="0.25">
      <c r="A361">
        <v>345</v>
      </c>
      <c r="B361">
        <v>2</v>
      </c>
      <c r="C361">
        <v>572</v>
      </c>
      <c r="D361" t="s">
        <v>2100</v>
      </c>
      <c r="E361" t="s">
        <v>121</v>
      </c>
      <c r="F361" t="s">
        <v>2101</v>
      </c>
      <c r="G361" t="s">
        <v>2102</v>
      </c>
      <c r="H361" t="s">
        <v>2103</v>
      </c>
      <c r="I361" t="s">
        <v>2104</v>
      </c>
      <c r="J361" t="s">
        <v>1762</v>
      </c>
      <c r="K361" t="s">
        <v>466</v>
      </c>
      <c r="L361" t="s">
        <v>128</v>
      </c>
      <c r="M361" t="s">
        <v>467</v>
      </c>
      <c r="N361" t="s">
        <v>2105</v>
      </c>
      <c r="O361" t="s">
        <v>167</v>
      </c>
      <c r="P361">
        <v>0</v>
      </c>
      <c r="Q361" t="s">
        <v>125</v>
      </c>
      <c r="R361">
        <v>3</v>
      </c>
      <c r="S361">
        <v>83</v>
      </c>
      <c r="T361" t="s">
        <v>132</v>
      </c>
      <c r="U361" t="s">
        <v>133</v>
      </c>
      <c r="V361" s="1">
        <v>1000</v>
      </c>
      <c r="W361">
        <v>0</v>
      </c>
      <c r="X361" s="1">
        <v>1000</v>
      </c>
      <c r="Y361">
        <v>7</v>
      </c>
      <c r="Z361">
        <v>0</v>
      </c>
      <c r="AA361">
        <v>0</v>
      </c>
      <c r="AB361">
        <v>0</v>
      </c>
      <c r="AC361">
        <v>0</v>
      </c>
      <c r="AD361" t="s">
        <v>134</v>
      </c>
      <c r="AE361" t="s">
        <v>134</v>
      </c>
      <c r="AF361" s="2">
        <v>45518</v>
      </c>
      <c r="AG361" s="2">
        <v>46014</v>
      </c>
      <c r="AH361">
        <v>230.71</v>
      </c>
      <c r="AI361">
        <v>283.99</v>
      </c>
      <c r="AJ361">
        <v>922.85</v>
      </c>
      <c r="AK361">
        <v>0</v>
      </c>
      <c r="AL361">
        <v>0</v>
      </c>
      <c r="AM361">
        <v>0</v>
      </c>
      <c r="AN361" t="s">
        <v>135</v>
      </c>
      <c r="AO361" t="s">
        <v>135</v>
      </c>
      <c r="AP361" t="s">
        <v>136</v>
      </c>
      <c r="AQ361" t="s">
        <v>137</v>
      </c>
      <c r="AR361" t="s">
        <v>138</v>
      </c>
      <c r="AS361" t="s">
        <v>139</v>
      </c>
      <c r="AT361" t="s">
        <v>140</v>
      </c>
      <c r="AU361">
        <v>105</v>
      </c>
      <c r="AV361">
        <v>10</v>
      </c>
      <c r="AW361">
        <v>1</v>
      </c>
      <c r="AX361" s="2">
        <v>45943</v>
      </c>
      <c r="AY361" t="s">
        <v>141</v>
      </c>
      <c r="AZ361" s="2">
        <v>46027</v>
      </c>
      <c r="BA361">
        <v>0</v>
      </c>
      <c r="BB361">
        <v>0</v>
      </c>
      <c r="BC361">
        <v>0</v>
      </c>
      <c r="BD361">
        <v>700</v>
      </c>
      <c r="BE361">
        <v>70</v>
      </c>
      <c r="BF361">
        <v>9</v>
      </c>
      <c r="BG361" s="2">
        <v>45536</v>
      </c>
      <c r="BH361" t="s">
        <v>142</v>
      </c>
      <c r="BI361" s="2">
        <v>46026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480.13</v>
      </c>
      <c r="BQ361">
        <v>480.13</v>
      </c>
      <c r="BR361">
        <v>0</v>
      </c>
      <c r="BS361">
        <v>0</v>
      </c>
      <c r="BT361">
        <v>0</v>
      </c>
      <c r="BU361">
        <v>0</v>
      </c>
      <c r="BV361">
        <v>265.64999999999998</v>
      </c>
      <c r="BW361">
        <v>265.64999999999998</v>
      </c>
      <c r="BX361">
        <v>0</v>
      </c>
      <c r="BY361">
        <v>0</v>
      </c>
      <c r="BZ361">
        <v>0</v>
      </c>
      <c r="CA361">
        <v>0</v>
      </c>
      <c r="CB361">
        <v>329.6</v>
      </c>
      <c r="CC361" t="s">
        <v>161</v>
      </c>
    </row>
    <row r="362" spans="1:81" x14ac:dyDescent="0.25">
      <c r="A362">
        <v>345</v>
      </c>
      <c r="B362">
        <v>2</v>
      </c>
      <c r="C362">
        <v>573</v>
      </c>
      <c r="D362" t="s">
        <v>2106</v>
      </c>
      <c r="E362" t="s">
        <v>121</v>
      </c>
      <c r="F362" t="s">
        <v>2107</v>
      </c>
      <c r="G362" t="s">
        <v>2108</v>
      </c>
      <c r="H362" t="s">
        <v>2109</v>
      </c>
      <c r="I362" t="s">
        <v>125</v>
      </c>
      <c r="J362" t="s">
        <v>459</v>
      </c>
      <c r="K362" t="s">
        <v>336</v>
      </c>
      <c r="L362" t="s">
        <v>128</v>
      </c>
      <c r="M362" t="s">
        <v>337</v>
      </c>
      <c r="N362" t="s">
        <v>2110</v>
      </c>
      <c r="O362" t="s">
        <v>167</v>
      </c>
      <c r="P362">
        <v>0</v>
      </c>
      <c r="Q362" t="s">
        <v>125</v>
      </c>
      <c r="R362">
        <v>6</v>
      </c>
      <c r="S362">
        <v>34</v>
      </c>
      <c r="T362" t="s">
        <v>132</v>
      </c>
      <c r="U362" t="s">
        <v>133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134</v>
      </c>
      <c r="AE362" t="s">
        <v>134</v>
      </c>
      <c r="AF362" s="2">
        <v>45518</v>
      </c>
      <c r="AG362" s="2">
        <v>46008</v>
      </c>
      <c r="AH362">
        <v>520.80999999999995</v>
      </c>
      <c r="AI362">
        <v>859.5</v>
      </c>
      <c r="AJ362" s="1">
        <v>3124.89</v>
      </c>
      <c r="AK362">
        <v>0</v>
      </c>
      <c r="AL362">
        <v>0</v>
      </c>
      <c r="AM362">
        <v>0</v>
      </c>
      <c r="AN362" t="s">
        <v>135</v>
      </c>
      <c r="AO362" t="s">
        <v>135</v>
      </c>
      <c r="AP362" t="s">
        <v>136</v>
      </c>
      <c r="AQ362" t="s">
        <v>137</v>
      </c>
      <c r="AR362" t="s">
        <v>138</v>
      </c>
      <c r="AS362" t="s">
        <v>139</v>
      </c>
      <c r="AT362" t="s">
        <v>140</v>
      </c>
      <c r="AU362">
        <v>100</v>
      </c>
      <c r="AV362">
        <v>10</v>
      </c>
      <c r="AW362">
        <v>1</v>
      </c>
      <c r="AX362" s="2">
        <v>45817</v>
      </c>
      <c r="AY362" t="s">
        <v>141</v>
      </c>
      <c r="AZ362" s="2">
        <v>46027</v>
      </c>
      <c r="BA362">
        <v>0</v>
      </c>
      <c r="BB362">
        <v>0</v>
      </c>
      <c r="BC362">
        <v>0</v>
      </c>
      <c r="BD362">
        <v>700</v>
      </c>
      <c r="BE362">
        <v>70</v>
      </c>
      <c r="BF362">
        <v>9</v>
      </c>
      <c r="BG362" s="2">
        <v>45536</v>
      </c>
      <c r="BH362" t="s">
        <v>142</v>
      </c>
      <c r="BI362" s="2">
        <v>46026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777.21</v>
      </c>
      <c r="BQ362">
        <v>777.21</v>
      </c>
      <c r="BR362">
        <v>0</v>
      </c>
      <c r="BS362">
        <v>0</v>
      </c>
      <c r="BT362">
        <v>0</v>
      </c>
      <c r="BU362">
        <v>0</v>
      </c>
      <c r="BV362">
        <v>629.57000000000005</v>
      </c>
      <c r="BW362">
        <v>629.57000000000005</v>
      </c>
      <c r="BX362">
        <v>0</v>
      </c>
      <c r="BY362">
        <v>0</v>
      </c>
      <c r="BZ362">
        <v>0</v>
      </c>
      <c r="CA362">
        <v>0</v>
      </c>
      <c r="CB362" s="1">
        <v>1570.13</v>
      </c>
      <c r="CC362" t="s">
        <v>161</v>
      </c>
    </row>
    <row r="363" spans="1:81" x14ac:dyDescent="0.25">
      <c r="A363">
        <v>345</v>
      </c>
      <c r="B363">
        <v>2</v>
      </c>
      <c r="C363">
        <v>574</v>
      </c>
      <c r="D363" t="s">
        <v>2111</v>
      </c>
      <c r="E363" t="s">
        <v>121</v>
      </c>
      <c r="F363" t="s">
        <v>2112</v>
      </c>
      <c r="G363" t="s">
        <v>2113</v>
      </c>
      <c r="H363" t="s">
        <v>2114</v>
      </c>
      <c r="I363" t="s">
        <v>2115</v>
      </c>
      <c r="J363" t="s">
        <v>1201</v>
      </c>
      <c r="K363" t="s">
        <v>466</v>
      </c>
      <c r="L363" t="s">
        <v>128</v>
      </c>
      <c r="M363" t="s">
        <v>467</v>
      </c>
      <c r="N363" t="s">
        <v>2116</v>
      </c>
      <c r="O363" t="s">
        <v>167</v>
      </c>
      <c r="P363">
        <v>0</v>
      </c>
      <c r="Q363" t="s">
        <v>125</v>
      </c>
      <c r="R363">
        <v>3</v>
      </c>
      <c r="S363">
        <v>86</v>
      </c>
      <c r="T363" t="s">
        <v>132</v>
      </c>
      <c r="U363" t="s">
        <v>133</v>
      </c>
      <c r="V363" s="1">
        <v>1055</v>
      </c>
      <c r="W363">
        <v>0</v>
      </c>
      <c r="X363" s="1">
        <v>1055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134</v>
      </c>
      <c r="AE363" t="s">
        <v>134</v>
      </c>
      <c r="AF363" s="2">
        <v>45518</v>
      </c>
      <c r="AG363" s="2">
        <v>46008</v>
      </c>
      <c r="AH363">
        <v>478.35</v>
      </c>
      <c r="AI363" s="1">
        <v>1378.86</v>
      </c>
      <c r="AJ363" s="1">
        <v>4783.55</v>
      </c>
      <c r="AK363">
        <v>0</v>
      </c>
      <c r="AL363">
        <v>226.56</v>
      </c>
      <c r="AM363">
        <v>0</v>
      </c>
      <c r="AN363" t="s">
        <v>135</v>
      </c>
      <c r="AO363" t="s">
        <v>135</v>
      </c>
      <c r="AP363" t="s">
        <v>136</v>
      </c>
      <c r="AQ363" t="s">
        <v>137</v>
      </c>
      <c r="AR363" t="s">
        <v>138</v>
      </c>
      <c r="AS363" t="s">
        <v>139</v>
      </c>
      <c r="AT363" t="s">
        <v>140</v>
      </c>
      <c r="AU363">
        <v>103</v>
      </c>
      <c r="AV363">
        <v>10</v>
      </c>
      <c r="AW363">
        <v>1</v>
      </c>
      <c r="AX363" s="2">
        <v>45867</v>
      </c>
      <c r="AY363" t="s">
        <v>377</v>
      </c>
      <c r="AZ363" s="2">
        <v>46028</v>
      </c>
      <c r="BA363">
        <v>0</v>
      </c>
      <c r="BB363">
        <v>0</v>
      </c>
      <c r="BC363">
        <v>0</v>
      </c>
      <c r="BD363">
        <v>700</v>
      </c>
      <c r="BE363">
        <v>70</v>
      </c>
      <c r="BF363">
        <v>9</v>
      </c>
      <c r="BG363" s="2">
        <v>45536</v>
      </c>
      <c r="BH363" t="s">
        <v>142</v>
      </c>
      <c r="BI363" s="2">
        <v>46026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s="1">
        <v>2197.7600000000002</v>
      </c>
      <c r="BQ363" s="1">
        <v>2529.66</v>
      </c>
      <c r="BR363">
        <v>0</v>
      </c>
      <c r="BS363">
        <v>0</v>
      </c>
      <c r="BT363">
        <v>0</v>
      </c>
      <c r="BU363">
        <v>0</v>
      </c>
      <c r="BV363">
        <v>909.53</v>
      </c>
      <c r="BW363">
        <v>909.53</v>
      </c>
      <c r="BX363">
        <v>0</v>
      </c>
      <c r="BY363">
        <v>0</v>
      </c>
      <c r="BZ363">
        <v>0</v>
      </c>
      <c r="CA363">
        <v>0</v>
      </c>
      <c r="CB363" s="1">
        <v>1599.34</v>
      </c>
      <c r="CC363" t="s">
        <v>161</v>
      </c>
    </row>
    <row r="364" spans="1:81" x14ac:dyDescent="0.25">
      <c r="A364">
        <v>345</v>
      </c>
      <c r="B364">
        <v>2</v>
      </c>
      <c r="C364">
        <v>575</v>
      </c>
      <c r="D364" t="s">
        <v>2117</v>
      </c>
      <c r="E364" t="s">
        <v>121</v>
      </c>
      <c r="F364" t="s">
        <v>2118</v>
      </c>
      <c r="G364" t="s">
        <v>2119</v>
      </c>
      <c r="H364" t="s">
        <v>2120</v>
      </c>
      <c r="I364" t="s">
        <v>2121</v>
      </c>
      <c r="J364" t="s">
        <v>583</v>
      </c>
      <c r="K364" t="s">
        <v>466</v>
      </c>
      <c r="L364" t="s">
        <v>128</v>
      </c>
      <c r="M364" t="s">
        <v>467</v>
      </c>
      <c r="N364" t="s">
        <v>2122</v>
      </c>
      <c r="O364" t="s">
        <v>131</v>
      </c>
      <c r="P364">
        <v>0</v>
      </c>
      <c r="Q364" t="s">
        <v>125</v>
      </c>
      <c r="R364">
        <v>6</v>
      </c>
      <c r="S364">
        <v>39</v>
      </c>
      <c r="T364" t="s">
        <v>132</v>
      </c>
      <c r="U364" t="s">
        <v>133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134</v>
      </c>
      <c r="AE364" t="s">
        <v>134</v>
      </c>
      <c r="AF364" s="2">
        <v>45518</v>
      </c>
      <c r="AG364" s="2">
        <v>46012</v>
      </c>
      <c r="AH364">
        <v>199.72</v>
      </c>
      <c r="AI364">
        <v>199.72</v>
      </c>
      <c r="AJ364">
        <v>199.72</v>
      </c>
      <c r="AK364">
        <v>0</v>
      </c>
      <c r="AL364">
        <v>0</v>
      </c>
      <c r="AM364">
        <v>0</v>
      </c>
      <c r="AN364" t="s">
        <v>135</v>
      </c>
      <c r="AO364" t="s">
        <v>135</v>
      </c>
      <c r="AP364" t="s">
        <v>136</v>
      </c>
      <c r="AQ364" t="s">
        <v>137</v>
      </c>
      <c r="AR364" t="s">
        <v>138</v>
      </c>
      <c r="AS364" t="s">
        <v>139</v>
      </c>
      <c r="AT364" t="s">
        <v>140</v>
      </c>
      <c r="AU364">
        <v>100</v>
      </c>
      <c r="AV364">
        <v>10</v>
      </c>
      <c r="AW364">
        <v>1</v>
      </c>
      <c r="AX364" s="2">
        <v>45856</v>
      </c>
      <c r="AY364" t="s">
        <v>151</v>
      </c>
      <c r="AZ364" s="2">
        <v>46024</v>
      </c>
      <c r="BA364">
        <v>0</v>
      </c>
      <c r="BB364">
        <v>0</v>
      </c>
      <c r="BC364">
        <v>0</v>
      </c>
      <c r="BD364">
        <v>700</v>
      </c>
      <c r="BE364">
        <v>70</v>
      </c>
      <c r="BF364">
        <v>9</v>
      </c>
      <c r="BG364" s="2">
        <v>45536</v>
      </c>
      <c r="BH364" t="s">
        <v>142</v>
      </c>
      <c r="BI364" s="2">
        <v>46026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199.72</v>
      </c>
      <c r="BW364">
        <v>199.72</v>
      </c>
      <c r="BX364">
        <v>0</v>
      </c>
      <c r="BY364">
        <v>0</v>
      </c>
      <c r="BZ364">
        <v>0</v>
      </c>
      <c r="CA364">
        <v>0</v>
      </c>
      <c r="CB364">
        <v>67.56</v>
      </c>
      <c r="CC364" t="s">
        <v>143</v>
      </c>
    </row>
    <row r="365" spans="1:81" x14ac:dyDescent="0.25">
      <c r="A365">
        <v>345</v>
      </c>
      <c r="B365">
        <v>2</v>
      </c>
      <c r="C365">
        <v>576</v>
      </c>
      <c r="D365" t="s">
        <v>2123</v>
      </c>
      <c r="E365" t="s">
        <v>121</v>
      </c>
      <c r="F365" t="s">
        <v>2124</v>
      </c>
      <c r="G365" t="s">
        <v>2125</v>
      </c>
      <c r="H365" t="s">
        <v>2126</v>
      </c>
      <c r="I365" t="s">
        <v>2127</v>
      </c>
      <c r="J365" t="s">
        <v>825</v>
      </c>
      <c r="K365" t="s">
        <v>336</v>
      </c>
      <c r="L365" t="s">
        <v>128</v>
      </c>
      <c r="M365" t="s">
        <v>337</v>
      </c>
      <c r="N365" t="s">
        <v>2128</v>
      </c>
      <c r="O365" t="s">
        <v>131</v>
      </c>
      <c r="P365">
        <v>0</v>
      </c>
      <c r="Q365" t="s">
        <v>125</v>
      </c>
      <c r="R365">
        <v>3</v>
      </c>
      <c r="S365">
        <v>85</v>
      </c>
      <c r="T365" t="s">
        <v>132</v>
      </c>
      <c r="U365" t="s">
        <v>133</v>
      </c>
      <c r="V365" s="1">
        <v>1000</v>
      </c>
      <c r="W365">
        <v>888.21</v>
      </c>
      <c r="X365">
        <v>111.79</v>
      </c>
      <c r="Y365">
        <v>7</v>
      </c>
      <c r="Z365">
        <v>0</v>
      </c>
      <c r="AA365">
        <v>6</v>
      </c>
      <c r="AB365">
        <v>2</v>
      </c>
      <c r="AC365">
        <v>40</v>
      </c>
      <c r="AD365" t="s">
        <v>134</v>
      </c>
      <c r="AE365" t="s">
        <v>134</v>
      </c>
      <c r="AF365" s="2">
        <v>45518</v>
      </c>
      <c r="AG365" s="2">
        <v>46021</v>
      </c>
      <c r="AH365">
        <v>450.23</v>
      </c>
      <c r="AI365">
        <v>888.21</v>
      </c>
      <c r="AJ365" s="1">
        <v>2701.43</v>
      </c>
      <c r="AK365">
        <v>0</v>
      </c>
      <c r="AL365">
        <v>888.21</v>
      </c>
      <c r="AM365">
        <v>0</v>
      </c>
      <c r="AN365" t="s">
        <v>135</v>
      </c>
      <c r="AO365" t="s">
        <v>135</v>
      </c>
      <c r="AP365" t="s">
        <v>136</v>
      </c>
      <c r="AQ365" t="s">
        <v>137</v>
      </c>
      <c r="AR365" t="s">
        <v>138</v>
      </c>
      <c r="AS365" t="s">
        <v>139</v>
      </c>
      <c r="AT365" t="s">
        <v>140</v>
      </c>
      <c r="AU365">
        <v>101</v>
      </c>
      <c r="AV365">
        <v>10</v>
      </c>
      <c r="AW365">
        <v>1</v>
      </c>
      <c r="AX365" s="2">
        <v>45922</v>
      </c>
      <c r="AY365" t="s">
        <v>2129</v>
      </c>
      <c r="AZ365" s="2">
        <v>46026</v>
      </c>
      <c r="BA365">
        <v>0</v>
      </c>
      <c r="BB365">
        <v>0</v>
      </c>
      <c r="BC365">
        <v>0</v>
      </c>
      <c r="BD365">
        <v>999</v>
      </c>
      <c r="BE365">
        <v>99</v>
      </c>
      <c r="BF365">
        <v>9</v>
      </c>
      <c r="BG365" t="s">
        <v>135</v>
      </c>
      <c r="BH365" t="s">
        <v>250</v>
      </c>
      <c r="BI365" t="s">
        <v>135</v>
      </c>
      <c r="BJ365">
        <v>0</v>
      </c>
      <c r="BK365">
        <v>0</v>
      </c>
      <c r="BL365">
        <v>0</v>
      </c>
      <c r="BM365">
        <v>5</v>
      </c>
      <c r="BN365">
        <v>5</v>
      </c>
      <c r="BO365">
        <v>390.82</v>
      </c>
      <c r="BP365">
        <v>0</v>
      </c>
      <c r="BQ365">
        <v>390.82</v>
      </c>
      <c r="BR365">
        <v>0</v>
      </c>
      <c r="BS365">
        <v>6</v>
      </c>
      <c r="BT365">
        <v>6</v>
      </c>
      <c r="BU365" s="1">
        <v>2109.25</v>
      </c>
      <c r="BV365">
        <v>0</v>
      </c>
      <c r="BW365" s="1">
        <v>2109.25</v>
      </c>
      <c r="BX365">
        <v>888.21</v>
      </c>
      <c r="BY365">
        <v>42.11</v>
      </c>
      <c r="BZ365">
        <v>0</v>
      </c>
      <c r="CA365">
        <v>0</v>
      </c>
      <c r="CB365">
        <v>197.39</v>
      </c>
      <c r="CC365" t="s">
        <v>143</v>
      </c>
    </row>
    <row r="366" spans="1:81" x14ac:dyDescent="0.25">
      <c r="A366">
        <v>345</v>
      </c>
      <c r="B366">
        <v>2</v>
      </c>
      <c r="C366">
        <v>577</v>
      </c>
      <c r="D366" t="s">
        <v>2130</v>
      </c>
      <c r="E366" t="s">
        <v>121</v>
      </c>
      <c r="F366" t="s">
        <v>2131</v>
      </c>
      <c r="G366" t="s">
        <v>2132</v>
      </c>
      <c r="H366" t="s">
        <v>2133</v>
      </c>
      <c r="I366" t="s">
        <v>125</v>
      </c>
      <c r="J366" t="s">
        <v>126</v>
      </c>
      <c r="K366" t="s">
        <v>336</v>
      </c>
      <c r="L366" t="s">
        <v>128</v>
      </c>
      <c r="M366" t="s">
        <v>337</v>
      </c>
      <c r="N366" t="s">
        <v>2134</v>
      </c>
      <c r="O366" t="s">
        <v>131</v>
      </c>
      <c r="P366">
        <v>0</v>
      </c>
      <c r="Q366" t="s">
        <v>125</v>
      </c>
      <c r="R366">
        <v>6</v>
      </c>
      <c r="S366">
        <v>40</v>
      </c>
      <c r="T366" t="s">
        <v>132</v>
      </c>
      <c r="U366" t="s">
        <v>133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134</v>
      </c>
      <c r="AE366" t="s">
        <v>134</v>
      </c>
      <c r="AF366" s="2">
        <v>45518</v>
      </c>
      <c r="AG366" s="2">
        <v>46008</v>
      </c>
      <c r="AH366">
        <v>569.09</v>
      </c>
      <c r="AI366" s="1">
        <v>1209.04</v>
      </c>
      <c r="AJ366" s="1">
        <v>5690.91</v>
      </c>
      <c r="AK366">
        <v>0</v>
      </c>
      <c r="AL366">
        <v>0</v>
      </c>
      <c r="AM366">
        <v>0</v>
      </c>
      <c r="AN366" t="s">
        <v>135</v>
      </c>
      <c r="AO366" t="s">
        <v>135</v>
      </c>
      <c r="AP366" t="s">
        <v>136</v>
      </c>
      <c r="AQ366" t="s">
        <v>137</v>
      </c>
      <c r="AR366" t="s">
        <v>138</v>
      </c>
      <c r="AS366" t="s">
        <v>139</v>
      </c>
      <c r="AT366" t="s">
        <v>140</v>
      </c>
      <c r="AU366">
        <v>101</v>
      </c>
      <c r="AV366">
        <v>10</v>
      </c>
      <c r="AW366">
        <v>1</v>
      </c>
      <c r="AX366" s="2">
        <v>45874</v>
      </c>
      <c r="AY366" t="s">
        <v>377</v>
      </c>
      <c r="AZ366" s="2">
        <v>46028</v>
      </c>
      <c r="BA366">
        <v>0</v>
      </c>
      <c r="BB366">
        <v>0</v>
      </c>
      <c r="BC366">
        <v>0</v>
      </c>
      <c r="BD366">
        <v>700</v>
      </c>
      <c r="BE366">
        <v>70</v>
      </c>
      <c r="BF366">
        <v>9</v>
      </c>
      <c r="BG366" s="2">
        <v>45536</v>
      </c>
      <c r="BH366" t="s">
        <v>142</v>
      </c>
      <c r="BI366" s="2">
        <v>46026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s="1">
        <v>2139.27</v>
      </c>
      <c r="BQ366" s="1">
        <v>2139.27</v>
      </c>
      <c r="BR366">
        <v>0</v>
      </c>
      <c r="BS366">
        <v>0</v>
      </c>
      <c r="BT366">
        <v>0</v>
      </c>
      <c r="BU366">
        <v>0</v>
      </c>
      <c r="BV366" s="1">
        <v>1723.2</v>
      </c>
      <c r="BW366" s="1">
        <v>1723.2</v>
      </c>
      <c r="BX366">
        <v>0</v>
      </c>
      <c r="BY366">
        <v>0</v>
      </c>
      <c r="BZ366">
        <v>0</v>
      </c>
      <c r="CA366">
        <v>0</v>
      </c>
      <c r="CB366" s="1">
        <v>1595.58</v>
      </c>
      <c r="CC366" t="s">
        <v>339</v>
      </c>
    </row>
    <row r="367" spans="1:81" x14ac:dyDescent="0.25">
      <c r="A367">
        <v>345</v>
      </c>
      <c r="B367">
        <v>2</v>
      </c>
      <c r="C367">
        <v>578</v>
      </c>
      <c r="D367" t="s">
        <v>2135</v>
      </c>
      <c r="E367" t="s">
        <v>121</v>
      </c>
      <c r="F367" t="s">
        <v>2136</v>
      </c>
      <c r="G367" t="s">
        <v>2137</v>
      </c>
      <c r="H367" t="s">
        <v>2138</v>
      </c>
      <c r="I367" t="s">
        <v>2139</v>
      </c>
      <c r="J367" t="s">
        <v>1399</v>
      </c>
      <c r="K367" t="s">
        <v>336</v>
      </c>
      <c r="L367" t="s">
        <v>128</v>
      </c>
      <c r="M367" t="s">
        <v>337</v>
      </c>
      <c r="N367" t="s">
        <v>2140</v>
      </c>
      <c r="O367" t="s">
        <v>131</v>
      </c>
      <c r="P367">
        <v>0</v>
      </c>
      <c r="Q367" t="s">
        <v>125</v>
      </c>
      <c r="R367">
        <v>3</v>
      </c>
      <c r="S367">
        <v>88</v>
      </c>
      <c r="T367" t="s">
        <v>132</v>
      </c>
      <c r="U367" t="s">
        <v>133</v>
      </c>
      <c r="V367">
        <v>284</v>
      </c>
      <c r="W367">
        <v>0</v>
      </c>
      <c r="X367">
        <v>284</v>
      </c>
      <c r="Y367">
        <v>7</v>
      </c>
      <c r="Z367">
        <v>0</v>
      </c>
      <c r="AA367">
        <v>0</v>
      </c>
      <c r="AB367">
        <v>0</v>
      </c>
      <c r="AC367">
        <v>0</v>
      </c>
      <c r="AD367" t="s">
        <v>134</v>
      </c>
      <c r="AE367" t="s">
        <v>134</v>
      </c>
      <c r="AF367" s="2">
        <v>45518</v>
      </c>
      <c r="AG367" s="2">
        <v>46013</v>
      </c>
      <c r="AH367">
        <v>124.04</v>
      </c>
      <c r="AI367">
        <v>249.53</v>
      </c>
      <c r="AJ367">
        <v>992.34</v>
      </c>
      <c r="AK367">
        <v>0</v>
      </c>
      <c r="AL367">
        <v>0</v>
      </c>
      <c r="AM367">
        <v>0</v>
      </c>
      <c r="AN367" t="s">
        <v>135</v>
      </c>
      <c r="AO367" t="s">
        <v>135</v>
      </c>
      <c r="AP367" t="s">
        <v>136</v>
      </c>
      <c r="AQ367" t="s">
        <v>137</v>
      </c>
      <c r="AR367" t="s">
        <v>138</v>
      </c>
      <c r="AS367" t="s">
        <v>139</v>
      </c>
      <c r="AT367" t="s">
        <v>140</v>
      </c>
      <c r="AU367">
        <v>100</v>
      </c>
      <c r="AV367">
        <v>10</v>
      </c>
      <c r="AW367">
        <v>1</v>
      </c>
      <c r="AX367" s="2">
        <v>45947</v>
      </c>
      <c r="AY367" t="s">
        <v>151</v>
      </c>
      <c r="AZ367" s="2">
        <v>46024</v>
      </c>
      <c r="BA367">
        <v>0</v>
      </c>
      <c r="BB367">
        <v>0</v>
      </c>
      <c r="BC367">
        <v>0</v>
      </c>
      <c r="BD367">
        <v>700</v>
      </c>
      <c r="BE367">
        <v>70</v>
      </c>
      <c r="BF367">
        <v>9</v>
      </c>
      <c r="BG367" s="2">
        <v>45536</v>
      </c>
      <c r="BH367" t="s">
        <v>142</v>
      </c>
      <c r="BI367" s="2">
        <v>46026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449.21</v>
      </c>
      <c r="BQ367">
        <v>449.21</v>
      </c>
      <c r="BR367">
        <v>0</v>
      </c>
      <c r="BS367">
        <v>0</v>
      </c>
      <c r="BT367">
        <v>0</v>
      </c>
      <c r="BU367">
        <v>0</v>
      </c>
      <c r="BV367">
        <v>293.60000000000002</v>
      </c>
      <c r="BW367">
        <v>293.60000000000002</v>
      </c>
      <c r="BX367">
        <v>0</v>
      </c>
      <c r="BY367">
        <v>0</v>
      </c>
      <c r="BZ367">
        <v>0</v>
      </c>
      <c r="CA367">
        <v>0</v>
      </c>
      <c r="CB367">
        <v>345.37</v>
      </c>
      <c r="CC367" t="s">
        <v>161</v>
      </c>
    </row>
    <row r="368" spans="1:81" x14ac:dyDescent="0.25">
      <c r="A368">
        <v>345</v>
      </c>
      <c r="B368">
        <v>2</v>
      </c>
      <c r="C368">
        <v>579</v>
      </c>
      <c r="D368" t="s">
        <v>2141</v>
      </c>
      <c r="E368" t="s">
        <v>121</v>
      </c>
      <c r="F368" t="s">
        <v>2142</v>
      </c>
      <c r="G368" t="s">
        <v>2143</v>
      </c>
      <c r="H368" t="s">
        <v>2144</v>
      </c>
      <c r="I368" t="s">
        <v>2145</v>
      </c>
      <c r="J368" t="s">
        <v>1622</v>
      </c>
      <c r="K368" t="s">
        <v>336</v>
      </c>
      <c r="L368" t="s">
        <v>128</v>
      </c>
      <c r="M368" t="s">
        <v>337</v>
      </c>
      <c r="N368" t="s">
        <v>2146</v>
      </c>
      <c r="O368" t="s">
        <v>167</v>
      </c>
      <c r="P368">
        <v>0</v>
      </c>
      <c r="Q368" t="s">
        <v>125</v>
      </c>
      <c r="R368">
        <v>6</v>
      </c>
      <c r="S368">
        <v>36</v>
      </c>
      <c r="T368" t="s">
        <v>132</v>
      </c>
      <c r="U368" t="s">
        <v>133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134</v>
      </c>
      <c r="AE368" t="s">
        <v>134</v>
      </c>
      <c r="AF368" s="2">
        <v>45518</v>
      </c>
      <c r="AG368" s="2">
        <v>46008</v>
      </c>
      <c r="AH368">
        <v>188.47</v>
      </c>
      <c r="AI368">
        <v>333.54</v>
      </c>
      <c r="AJ368" s="1">
        <v>1884.78</v>
      </c>
      <c r="AK368">
        <v>0</v>
      </c>
      <c r="AL368">
        <v>0</v>
      </c>
      <c r="AM368">
        <v>0</v>
      </c>
      <c r="AN368" t="s">
        <v>135</v>
      </c>
      <c r="AO368" t="s">
        <v>135</v>
      </c>
      <c r="AP368" t="s">
        <v>136</v>
      </c>
      <c r="AQ368" t="s">
        <v>137</v>
      </c>
      <c r="AR368" t="s">
        <v>138</v>
      </c>
      <c r="AS368" t="s">
        <v>139</v>
      </c>
      <c r="AT368" t="s">
        <v>140</v>
      </c>
      <c r="AU368">
        <v>101</v>
      </c>
      <c r="AV368">
        <v>10</v>
      </c>
      <c r="AW368">
        <v>1</v>
      </c>
      <c r="AX368" s="2">
        <v>45811</v>
      </c>
      <c r="AY368" t="s">
        <v>377</v>
      </c>
      <c r="AZ368" s="2">
        <v>46028</v>
      </c>
      <c r="BA368">
        <v>0</v>
      </c>
      <c r="BB368">
        <v>0</v>
      </c>
      <c r="BC368">
        <v>0</v>
      </c>
      <c r="BD368">
        <v>700</v>
      </c>
      <c r="BE368">
        <v>70</v>
      </c>
      <c r="BF368">
        <v>9</v>
      </c>
      <c r="BG368" s="2">
        <v>45536</v>
      </c>
      <c r="BH368" t="s">
        <v>142</v>
      </c>
      <c r="BI368" s="2">
        <v>46026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693.88</v>
      </c>
      <c r="BQ368">
        <v>693.88</v>
      </c>
      <c r="BR368">
        <v>0</v>
      </c>
      <c r="BS368">
        <v>0</v>
      </c>
      <c r="BT368">
        <v>0</v>
      </c>
      <c r="BU368">
        <v>0</v>
      </c>
      <c r="BV368">
        <v>371.27</v>
      </c>
      <c r="BW368">
        <v>371.27</v>
      </c>
      <c r="BX368">
        <v>0</v>
      </c>
      <c r="BY368">
        <v>0</v>
      </c>
      <c r="BZ368">
        <v>0</v>
      </c>
      <c r="CA368">
        <v>0</v>
      </c>
      <c r="CB368">
        <v>601.09</v>
      </c>
      <c r="CC368" t="s">
        <v>161</v>
      </c>
    </row>
    <row r="369" spans="1:81" x14ac:dyDescent="0.25">
      <c r="A369">
        <v>345</v>
      </c>
      <c r="B369">
        <v>2</v>
      </c>
      <c r="C369">
        <v>580</v>
      </c>
      <c r="D369" t="s">
        <v>2147</v>
      </c>
      <c r="E369" t="s">
        <v>121</v>
      </c>
      <c r="F369" t="s">
        <v>2148</v>
      </c>
      <c r="G369" t="s">
        <v>2149</v>
      </c>
      <c r="H369" t="s">
        <v>2150</v>
      </c>
      <c r="I369" t="s">
        <v>2151</v>
      </c>
      <c r="J369" t="s">
        <v>2152</v>
      </c>
      <c r="K369" t="s">
        <v>466</v>
      </c>
      <c r="L369" t="s">
        <v>128</v>
      </c>
      <c r="M369" t="s">
        <v>467</v>
      </c>
      <c r="N369" t="s">
        <v>2153</v>
      </c>
      <c r="O369" t="s">
        <v>131</v>
      </c>
      <c r="P369">
        <v>0</v>
      </c>
      <c r="Q369" t="s">
        <v>125</v>
      </c>
      <c r="R369">
        <v>6</v>
      </c>
      <c r="S369">
        <v>39</v>
      </c>
      <c r="T369" t="s">
        <v>132</v>
      </c>
      <c r="U369" t="s">
        <v>133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134</v>
      </c>
      <c r="AE369" t="s">
        <v>134</v>
      </c>
      <c r="AF369" s="2">
        <v>45518</v>
      </c>
      <c r="AG369" s="2">
        <v>45989</v>
      </c>
      <c r="AH369">
        <v>294.16000000000003</v>
      </c>
      <c r="AI369">
        <v>316.56</v>
      </c>
      <c r="AJ369">
        <v>588.33000000000004</v>
      </c>
      <c r="AK369">
        <v>0</v>
      </c>
      <c r="AL369">
        <v>0</v>
      </c>
      <c r="AM369">
        <v>0</v>
      </c>
      <c r="AN369" t="s">
        <v>135</v>
      </c>
      <c r="AO369" t="s">
        <v>135</v>
      </c>
      <c r="AP369" t="s">
        <v>136</v>
      </c>
      <c r="AQ369" t="s">
        <v>137</v>
      </c>
      <c r="AR369" t="s">
        <v>138</v>
      </c>
      <c r="AS369" t="s">
        <v>139</v>
      </c>
      <c r="AT369" t="s">
        <v>140</v>
      </c>
      <c r="AU369">
        <v>105</v>
      </c>
      <c r="AV369">
        <v>10</v>
      </c>
      <c r="AW369">
        <v>1</v>
      </c>
      <c r="AX369" s="2">
        <v>45813</v>
      </c>
      <c r="AY369" t="s">
        <v>308</v>
      </c>
      <c r="AZ369" s="2">
        <v>46023</v>
      </c>
      <c r="BA369">
        <v>0</v>
      </c>
      <c r="BB369">
        <v>0</v>
      </c>
      <c r="BC369">
        <v>0</v>
      </c>
      <c r="BD369">
        <v>700</v>
      </c>
      <c r="BE369">
        <v>70</v>
      </c>
      <c r="BF369">
        <v>9</v>
      </c>
      <c r="BG369" s="2">
        <v>45536</v>
      </c>
      <c r="BH369" t="s">
        <v>142</v>
      </c>
      <c r="BI369" s="2">
        <v>46026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316.56</v>
      </c>
      <c r="BQ369">
        <v>316.56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268.94</v>
      </c>
      <c r="CC369" t="s">
        <v>143</v>
      </c>
    </row>
    <row r="370" spans="1:81" x14ac:dyDescent="0.25">
      <c r="A370">
        <v>345</v>
      </c>
      <c r="B370">
        <v>2</v>
      </c>
      <c r="C370">
        <v>581</v>
      </c>
      <c r="D370" t="s">
        <v>2154</v>
      </c>
      <c r="E370" t="s">
        <v>121</v>
      </c>
      <c r="F370" t="s">
        <v>2155</v>
      </c>
      <c r="G370" t="s">
        <v>2156</v>
      </c>
      <c r="H370" t="s">
        <v>2157</v>
      </c>
      <c r="I370" t="s">
        <v>2158</v>
      </c>
      <c r="J370" t="s">
        <v>126</v>
      </c>
      <c r="K370" t="s">
        <v>466</v>
      </c>
      <c r="L370" t="s">
        <v>128</v>
      </c>
      <c r="M370" t="s">
        <v>467</v>
      </c>
      <c r="N370" t="s">
        <v>2159</v>
      </c>
      <c r="O370" t="s">
        <v>131</v>
      </c>
      <c r="P370">
        <v>0</v>
      </c>
      <c r="Q370" t="s">
        <v>125</v>
      </c>
      <c r="R370">
        <v>6</v>
      </c>
      <c r="S370">
        <v>40</v>
      </c>
      <c r="T370" t="s">
        <v>132</v>
      </c>
      <c r="U370" t="s">
        <v>133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134</v>
      </c>
      <c r="AE370" t="s">
        <v>134</v>
      </c>
      <c r="AF370" s="2">
        <v>45518</v>
      </c>
      <c r="AG370" s="2">
        <v>46020</v>
      </c>
      <c r="AH370">
        <v>920.4</v>
      </c>
      <c r="AI370" s="1">
        <v>1872.41</v>
      </c>
      <c r="AJ370" s="1">
        <v>7363.25</v>
      </c>
      <c r="AK370">
        <v>0</v>
      </c>
      <c r="AL370">
        <v>0</v>
      </c>
      <c r="AM370">
        <v>0</v>
      </c>
      <c r="AN370" t="s">
        <v>135</v>
      </c>
      <c r="AO370" t="s">
        <v>135</v>
      </c>
      <c r="AP370" t="s">
        <v>136</v>
      </c>
      <c r="AQ370" t="s">
        <v>137</v>
      </c>
      <c r="AR370" t="s">
        <v>138</v>
      </c>
      <c r="AS370" t="s">
        <v>139</v>
      </c>
      <c r="AT370" t="s">
        <v>140</v>
      </c>
      <c r="AU370">
        <v>105</v>
      </c>
      <c r="AV370">
        <v>10</v>
      </c>
      <c r="AW370">
        <v>1</v>
      </c>
      <c r="AX370" s="2">
        <v>45849</v>
      </c>
      <c r="AY370" t="s">
        <v>151</v>
      </c>
      <c r="AZ370" s="2">
        <v>46024</v>
      </c>
      <c r="BA370">
        <v>0</v>
      </c>
      <c r="BB370">
        <v>0</v>
      </c>
      <c r="BC370">
        <v>0</v>
      </c>
      <c r="BD370">
        <v>700</v>
      </c>
      <c r="BE370">
        <v>70</v>
      </c>
      <c r="BF370">
        <v>9</v>
      </c>
      <c r="BG370" s="2">
        <v>45536</v>
      </c>
      <c r="BH370" t="s">
        <v>142</v>
      </c>
      <c r="BI370" s="2">
        <v>46026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s="1">
        <v>1566.85</v>
      </c>
      <c r="BQ370" s="1">
        <v>1566.85</v>
      </c>
      <c r="BR370">
        <v>0</v>
      </c>
      <c r="BS370">
        <v>0</v>
      </c>
      <c r="BT370">
        <v>0</v>
      </c>
      <c r="BU370">
        <v>0</v>
      </c>
      <c r="BV370" s="1">
        <v>2819.7</v>
      </c>
      <c r="BW370" s="1">
        <v>2819.7</v>
      </c>
      <c r="BX370">
        <v>0</v>
      </c>
      <c r="BY370">
        <v>0</v>
      </c>
      <c r="BZ370">
        <v>0</v>
      </c>
      <c r="CA370">
        <v>0</v>
      </c>
      <c r="CB370" s="1">
        <v>2277.36</v>
      </c>
      <c r="CC370" t="s">
        <v>143</v>
      </c>
    </row>
    <row r="371" spans="1:81" x14ac:dyDescent="0.25">
      <c r="A371">
        <v>345</v>
      </c>
      <c r="B371">
        <v>2</v>
      </c>
      <c r="C371">
        <v>582</v>
      </c>
      <c r="D371" t="s">
        <v>2160</v>
      </c>
      <c r="E371" t="s">
        <v>121</v>
      </c>
      <c r="F371" t="s">
        <v>2161</v>
      </c>
      <c r="G371" t="s">
        <v>2162</v>
      </c>
      <c r="H371" t="s">
        <v>2163</v>
      </c>
      <c r="I371" t="s">
        <v>125</v>
      </c>
      <c r="J371" t="s">
        <v>885</v>
      </c>
      <c r="K371" t="s">
        <v>336</v>
      </c>
      <c r="L371" t="s">
        <v>128</v>
      </c>
      <c r="M371" t="s">
        <v>337</v>
      </c>
      <c r="N371" t="s">
        <v>2164</v>
      </c>
      <c r="O371" t="s">
        <v>167</v>
      </c>
      <c r="P371">
        <v>0</v>
      </c>
      <c r="Q371" t="s">
        <v>125</v>
      </c>
      <c r="R371">
        <v>6</v>
      </c>
      <c r="S371">
        <v>33</v>
      </c>
      <c r="T371" t="s">
        <v>132</v>
      </c>
      <c r="U371" t="s">
        <v>133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134</v>
      </c>
      <c r="AE371" t="s">
        <v>134</v>
      </c>
      <c r="AF371" s="2">
        <v>45518</v>
      </c>
      <c r="AG371" s="2">
        <v>46020</v>
      </c>
      <c r="AH371">
        <v>320.70999999999998</v>
      </c>
      <c r="AI371">
        <v>649.55999999999995</v>
      </c>
      <c r="AJ371" s="1">
        <v>1603.59</v>
      </c>
      <c r="AK371">
        <v>0</v>
      </c>
      <c r="AL371">
        <v>0</v>
      </c>
      <c r="AM371">
        <v>0</v>
      </c>
      <c r="AN371" t="s">
        <v>135</v>
      </c>
      <c r="AO371" t="s">
        <v>135</v>
      </c>
      <c r="AP371" t="s">
        <v>136</v>
      </c>
      <c r="AQ371" t="s">
        <v>137</v>
      </c>
      <c r="AR371" t="s">
        <v>138</v>
      </c>
      <c r="AS371" t="s">
        <v>139</v>
      </c>
      <c r="AT371" t="s">
        <v>140</v>
      </c>
      <c r="AU371">
        <v>100</v>
      </c>
      <c r="AV371">
        <v>10</v>
      </c>
      <c r="AW371">
        <v>1</v>
      </c>
      <c r="AX371" s="2">
        <v>45534</v>
      </c>
      <c r="AY371" t="s">
        <v>151</v>
      </c>
      <c r="AZ371" s="2">
        <v>46024</v>
      </c>
      <c r="BA371">
        <v>0</v>
      </c>
      <c r="BB371">
        <v>0</v>
      </c>
      <c r="BC371">
        <v>0</v>
      </c>
      <c r="BD371">
        <v>700</v>
      </c>
      <c r="BE371">
        <v>70</v>
      </c>
      <c r="BF371">
        <v>9</v>
      </c>
      <c r="BG371" s="2">
        <v>45536</v>
      </c>
      <c r="BH371" t="s">
        <v>142</v>
      </c>
      <c r="BI371" s="2">
        <v>46026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295.63</v>
      </c>
      <c r="BQ371">
        <v>295.63</v>
      </c>
      <c r="BR371">
        <v>0</v>
      </c>
      <c r="BS371">
        <v>0</v>
      </c>
      <c r="BT371">
        <v>0</v>
      </c>
      <c r="BU371">
        <v>0</v>
      </c>
      <c r="BV371" s="1">
        <v>1123.96</v>
      </c>
      <c r="BW371" s="1">
        <v>1123.96</v>
      </c>
      <c r="BX371">
        <v>0</v>
      </c>
      <c r="BY371">
        <v>0</v>
      </c>
      <c r="BZ371">
        <v>0</v>
      </c>
      <c r="CA371">
        <v>0</v>
      </c>
      <c r="CB371">
        <v>159.87</v>
      </c>
      <c r="CC371" t="s">
        <v>161</v>
      </c>
    </row>
    <row r="372" spans="1:81" x14ac:dyDescent="0.25">
      <c r="A372">
        <v>345</v>
      </c>
      <c r="B372">
        <v>2</v>
      </c>
      <c r="C372">
        <v>583</v>
      </c>
      <c r="D372" t="s">
        <v>2165</v>
      </c>
      <c r="E372" t="s">
        <v>121</v>
      </c>
      <c r="F372" t="s">
        <v>2166</v>
      </c>
      <c r="G372" t="s">
        <v>2167</v>
      </c>
      <c r="H372" t="s">
        <v>2081</v>
      </c>
      <c r="I372" t="s">
        <v>2168</v>
      </c>
      <c r="J372" t="s">
        <v>992</v>
      </c>
      <c r="K372" t="s">
        <v>466</v>
      </c>
      <c r="L372" t="s">
        <v>128</v>
      </c>
      <c r="M372" t="s">
        <v>467</v>
      </c>
      <c r="N372" t="s">
        <v>2169</v>
      </c>
      <c r="O372" t="s">
        <v>131</v>
      </c>
      <c r="P372">
        <v>0</v>
      </c>
      <c r="Q372" t="s">
        <v>125</v>
      </c>
      <c r="R372">
        <v>6</v>
      </c>
      <c r="S372">
        <v>44</v>
      </c>
      <c r="T372" t="s">
        <v>132</v>
      </c>
      <c r="U372" t="s">
        <v>133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134</v>
      </c>
      <c r="AE372" t="s">
        <v>134</v>
      </c>
      <c r="AF372" s="2">
        <v>45518</v>
      </c>
      <c r="AG372" s="2">
        <v>46009</v>
      </c>
      <c r="AH372">
        <v>649.30999999999995</v>
      </c>
      <c r="AI372" s="1">
        <v>1660.22</v>
      </c>
      <c r="AJ372" s="1">
        <v>6493.13</v>
      </c>
      <c r="AK372">
        <v>0</v>
      </c>
      <c r="AL372">
        <v>0</v>
      </c>
      <c r="AM372">
        <v>0</v>
      </c>
      <c r="AN372" t="s">
        <v>135</v>
      </c>
      <c r="AO372" t="s">
        <v>135</v>
      </c>
      <c r="AP372" t="s">
        <v>136</v>
      </c>
      <c r="AQ372" t="s">
        <v>137</v>
      </c>
      <c r="AR372" t="s">
        <v>138</v>
      </c>
      <c r="AS372" t="s">
        <v>150</v>
      </c>
      <c r="AT372" t="s">
        <v>140</v>
      </c>
      <c r="AU372">
        <v>500</v>
      </c>
      <c r="AV372">
        <v>10</v>
      </c>
      <c r="AW372">
        <v>1</v>
      </c>
      <c r="AX372" s="2">
        <v>45812</v>
      </c>
      <c r="AY372" t="s">
        <v>168</v>
      </c>
      <c r="AZ372" s="2">
        <v>46022</v>
      </c>
      <c r="BA372">
        <v>0</v>
      </c>
      <c r="BB372">
        <v>0</v>
      </c>
      <c r="BC372">
        <v>0</v>
      </c>
      <c r="BD372">
        <v>700</v>
      </c>
      <c r="BE372">
        <v>70</v>
      </c>
      <c r="BF372">
        <v>9</v>
      </c>
      <c r="BG372" s="2">
        <v>45536</v>
      </c>
      <c r="BH372" t="s">
        <v>142</v>
      </c>
      <c r="BI372" s="2">
        <v>46026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s="1">
        <v>3213.18</v>
      </c>
      <c r="BQ372" s="1">
        <v>3213.18</v>
      </c>
      <c r="BR372">
        <v>0</v>
      </c>
      <c r="BS372">
        <v>0</v>
      </c>
      <c r="BT372">
        <v>0</v>
      </c>
      <c r="BU372">
        <v>0</v>
      </c>
      <c r="BV372" s="1">
        <v>1589.01</v>
      </c>
      <c r="BW372" s="1">
        <v>1589.01</v>
      </c>
      <c r="BX372">
        <v>0</v>
      </c>
      <c r="BY372">
        <v>0</v>
      </c>
      <c r="BZ372">
        <v>0</v>
      </c>
      <c r="CA372">
        <v>0</v>
      </c>
      <c r="CB372" s="1">
        <v>2195.21</v>
      </c>
      <c r="CC372" t="s">
        <v>143</v>
      </c>
    </row>
    <row r="373" spans="1:81" x14ac:dyDescent="0.25">
      <c r="A373">
        <v>345</v>
      </c>
      <c r="B373">
        <v>2</v>
      </c>
      <c r="C373">
        <v>586</v>
      </c>
      <c r="D373" t="s">
        <v>2170</v>
      </c>
      <c r="E373" t="s">
        <v>121</v>
      </c>
      <c r="F373" t="s">
        <v>2171</v>
      </c>
      <c r="G373" t="s">
        <v>2172</v>
      </c>
      <c r="H373" t="s">
        <v>2173</v>
      </c>
      <c r="I373" t="s">
        <v>125</v>
      </c>
      <c r="J373" t="s">
        <v>565</v>
      </c>
      <c r="K373" t="s">
        <v>336</v>
      </c>
      <c r="L373" t="s">
        <v>128</v>
      </c>
      <c r="M373" t="s">
        <v>337</v>
      </c>
      <c r="N373" t="s">
        <v>2174</v>
      </c>
      <c r="O373" t="s">
        <v>167</v>
      </c>
      <c r="P373">
        <v>0</v>
      </c>
      <c r="Q373" t="s">
        <v>125</v>
      </c>
      <c r="R373">
        <v>6</v>
      </c>
      <c r="S373">
        <v>35</v>
      </c>
      <c r="T373" t="s">
        <v>132</v>
      </c>
      <c r="U373" t="s">
        <v>133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234</v>
      </c>
      <c r="AE373" t="s">
        <v>134</v>
      </c>
      <c r="AF373" s="2">
        <v>45518</v>
      </c>
      <c r="AG373" s="2">
        <v>46007</v>
      </c>
      <c r="AH373">
        <v>320.55</v>
      </c>
      <c r="AI373">
        <v>409.7</v>
      </c>
      <c r="AJ373" s="1">
        <v>1923.31</v>
      </c>
      <c r="AK373">
        <v>0</v>
      </c>
      <c r="AL373">
        <v>409.7</v>
      </c>
      <c r="AM373">
        <v>0</v>
      </c>
      <c r="AN373" t="s">
        <v>135</v>
      </c>
      <c r="AO373" t="s">
        <v>135</v>
      </c>
      <c r="AP373" t="s">
        <v>136</v>
      </c>
      <c r="AQ373" t="s">
        <v>137</v>
      </c>
      <c r="AR373" t="s">
        <v>138</v>
      </c>
      <c r="AS373" t="s">
        <v>139</v>
      </c>
      <c r="AT373" t="s">
        <v>140</v>
      </c>
      <c r="AU373">
        <v>104</v>
      </c>
      <c r="AV373">
        <v>10</v>
      </c>
      <c r="AW373">
        <v>1</v>
      </c>
      <c r="AX373" s="2">
        <v>45859</v>
      </c>
      <c r="AY373" t="s">
        <v>141</v>
      </c>
      <c r="AZ373" s="2">
        <v>46027</v>
      </c>
      <c r="BA373">
        <v>0</v>
      </c>
      <c r="BB373">
        <v>0</v>
      </c>
      <c r="BC373">
        <v>0</v>
      </c>
      <c r="BD373">
        <v>700</v>
      </c>
      <c r="BE373">
        <v>70</v>
      </c>
      <c r="BF373">
        <v>9</v>
      </c>
      <c r="BG373" s="2">
        <v>45536</v>
      </c>
      <c r="BH373" t="s">
        <v>142</v>
      </c>
      <c r="BI373" s="2">
        <v>46026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235.85</v>
      </c>
      <c r="BQ373">
        <v>235.85</v>
      </c>
      <c r="BR373">
        <v>0</v>
      </c>
      <c r="BS373">
        <v>0</v>
      </c>
      <c r="BT373">
        <v>0</v>
      </c>
      <c r="BU373">
        <v>0</v>
      </c>
      <c r="BV373" s="1">
        <v>1182.3800000000001</v>
      </c>
      <c r="BW373" s="1">
        <v>1182.3800000000001</v>
      </c>
      <c r="BX373">
        <v>0</v>
      </c>
      <c r="BY373">
        <v>0</v>
      </c>
      <c r="BZ373">
        <v>0</v>
      </c>
      <c r="CA373">
        <v>0</v>
      </c>
      <c r="CB373">
        <v>415.74</v>
      </c>
      <c r="CC373" t="s">
        <v>161</v>
      </c>
    </row>
    <row r="374" spans="1:81" x14ac:dyDescent="0.25">
      <c r="A374">
        <v>345</v>
      </c>
      <c r="B374">
        <v>2</v>
      </c>
      <c r="C374">
        <v>588</v>
      </c>
      <c r="D374" t="s">
        <v>2175</v>
      </c>
      <c r="E374" t="s">
        <v>121</v>
      </c>
      <c r="F374" t="s">
        <v>2176</v>
      </c>
      <c r="G374" t="s">
        <v>2177</v>
      </c>
      <c r="H374" t="s">
        <v>1786</v>
      </c>
      <c r="I374" t="s">
        <v>125</v>
      </c>
      <c r="J374" t="s">
        <v>944</v>
      </c>
      <c r="K374" t="s">
        <v>466</v>
      </c>
      <c r="L374" t="s">
        <v>128</v>
      </c>
      <c r="M374" t="s">
        <v>467</v>
      </c>
      <c r="N374" t="s">
        <v>2178</v>
      </c>
      <c r="O374" t="s">
        <v>167</v>
      </c>
      <c r="P374">
        <v>0</v>
      </c>
      <c r="Q374" t="s">
        <v>125</v>
      </c>
      <c r="R374">
        <v>6</v>
      </c>
      <c r="S374">
        <v>35</v>
      </c>
      <c r="T374" t="s">
        <v>132</v>
      </c>
      <c r="U374" t="s">
        <v>133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134</v>
      </c>
      <c r="AE374" t="s">
        <v>134</v>
      </c>
      <c r="AF374" s="2">
        <v>45518</v>
      </c>
      <c r="AG374" s="2">
        <v>46018</v>
      </c>
      <c r="AH374">
        <v>558.08000000000004</v>
      </c>
      <c r="AI374">
        <v>941.11</v>
      </c>
      <c r="AJ374" s="1">
        <v>5580.82</v>
      </c>
      <c r="AK374">
        <v>0</v>
      </c>
      <c r="AL374">
        <v>0</v>
      </c>
      <c r="AM374">
        <v>0</v>
      </c>
      <c r="AN374" t="s">
        <v>135</v>
      </c>
      <c r="AO374" t="s">
        <v>135</v>
      </c>
      <c r="AP374" t="s">
        <v>136</v>
      </c>
      <c r="AQ374" t="s">
        <v>137</v>
      </c>
      <c r="AR374" t="s">
        <v>138</v>
      </c>
      <c r="AS374" t="s">
        <v>139</v>
      </c>
      <c r="AT374" t="s">
        <v>140</v>
      </c>
      <c r="AU374">
        <v>100</v>
      </c>
      <c r="AV374">
        <v>10</v>
      </c>
      <c r="AW374">
        <v>1</v>
      </c>
      <c r="AX374" s="2">
        <v>45855</v>
      </c>
      <c r="AY374" t="s">
        <v>308</v>
      </c>
      <c r="AZ374" s="2">
        <v>46023</v>
      </c>
      <c r="BA374">
        <v>0</v>
      </c>
      <c r="BB374">
        <v>0</v>
      </c>
      <c r="BC374">
        <v>0</v>
      </c>
      <c r="BD374">
        <v>700</v>
      </c>
      <c r="BE374">
        <v>70</v>
      </c>
      <c r="BF374">
        <v>9</v>
      </c>
      <c r="BG374" s="2">
        <v>45536</v>
      </c>
      <c r="BH374" t="s">
        <v>142</v>
      </c>
      <c r="BI374" s="2">
        <v>46026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s="1">
        <v>3197.91</v>
      </c>
      <c r="BQ374" s="1">
        <v>3197.91</v>
      </c>
      <c r="BR374">
        <v>0</v>
      </c>
      <c r="BS374">
        <v>0</v>
      </c>
      <c r="BT374">
        <v>0</v>
      </c>
      <c r="BU374">
        <v>0</v>
      </c>
      <c r="BV374" s="1">
        <v>2138.02</v>
      </c>
      <c r="BW374" s="1">
        <v>2138.02</v>
      </c>
      <c r="BX374">
        <v>0</v>
      </c>
      <c r="BY374">
        <v>0</v>
      </c>
      <c r="BZ374">
        <v>0</v>
      </c>
      <c r="CA374">
        <v>0</v>
      </c>
      <c r="CB374" s="1">
        <v>1147.5999999999999</v>
      </c>
      <c r="CC374" t="s">
        <v>161</v>
      </c>
    </row>
    <row r="375" spans="1:81" x14ac:dyDescent="0.25">
      <c r="A375">
        <v>345</v>
      </c>
      <c r="B375">
        <v>2</v>
      </c>
      <c r="C375">
        <v>589</v>
      </c>
      <c r="D375" t="s">
        <v>2179</v>
      </c>
      <c r="E375" t="s">
        <v>121</v>
      </c>
      <c r="F375" t="s">
        <v>2180</v>
      </c>
      <c r="G375" t="s">
        <v>2181</v>
      </c>
      <c r="H375" t="s">
        <v>2182</v>
      </c>
      <c r="I375" t="s">
        <v>2183</v>
      </c>
      <c r="J375" t="s">
        <v>992</v>
      </c>
      <c r="K375" t="s">
        <v>466</v>
      </c>
      <c r="L375" t="s">
        <v>128</v>
      </c>
      <c r="M375" t="s">
        <v>467</v>
      </c>
      <c r="N375" t="s">
        <v>2184</v>
      </c>
      <c r="O375" t="s">
        <v>149</v>
      </c>
      <c r="P375">
        <v>0</v>
      </c>
      <c r="Q375" t="s">
        <v>125</v>
      </c>
      <c r="R375">
        <v>6</v>
      </c>
      <c r="S375">
        <v>42</v>
      </c>
      <c r="T375" t="s">
        <v>132</v>
      </c>
      <c r="U375" t="s">
        <v>133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134</v>
      </c>
      <c r="AE375" t="s">
        <v>134</v>
      </c>
      <c r="AF375" s="2">
        <v>45518</v>
      </c>
      <c r="AG375" s="2">
        <v>46021</v>
      </c>
      <c r="AH375" s="1">
        <v>8881.49</v>
      </c>
      <c r="AI375" s="1">
        <v>28752.799999999999</v>
      </c>
      <c r="AJ375" s="1">
        <v>142103.94</v>
      </c>
      <c r="AK375" s="1">
        <v>28752.799999999999</v>
      </c>
      <c r="AL375">
        <v>0</v>
      </c>
      <c r="AM375">
        <v>0</v>
      </c>
      <c r="AN375" t="s">
        <v>135</v>
      </c>
      <c r="AO375" t="s">
        <v>135</v>
      </c>
      <c r="AP375" t="s">
        <v>136</v>
      </c>
      <c r="AQ375" t="s">
        <v>137</v>
      </c>
      <c r="AR375" t="s">
        <v>138</v>
      </c>
      <c r="AS375" t="s">
        <v>139</v>
      </c>
      <c r="AT375" t="s">
        <v>140</v>
      </c>
      <c r="AU375">
        <v>500</v>
      </c>
      <c r="AV375">
        <v>10</v>
      </c>
      <c r="AW375">
        <v>1</v>
      </c>
      <c r="AX375" s="2">
        <v>45861</v>
      </c>
      <c r="AY375" t="s">
        <v>168</v>
      </c>
      <c r="AZ375" s="2">
        <v>46022</v>
      </c>
      <c r="BA375">
        <v>0</v>
      </c>
      <c r="BB375">
        <v>0</v>
      </c>
      <c r="BC375">
        <v>0</v>
      </c>
      <c r="BD375">
        <v>700</v>
      </c>
      <c r="BE375">
        <v>70</v>
      </c>
      <c r="BF375">
        <v>9</v>
      </c>
      <c r="BG375" s="2">
        <v>45536</v>
      </c>
      <c r="BH375" t="s">
        <v>142</v>
      </c>
      <c r="BI375" s="2">
        <v>46026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s="1">
        <v>45317.62</v>
      </c>
      <c r="BQ375" s="1">
        <v>45317.62</v>
      </c>
      <c r="BR375">
        <v>0</v>
      </c>
      <c r="BS375">
        <v>0</v>
      </c>
      <c r="BT375">
        <v>0</v>
      </c>
      <c r="BU375">
        <v>0</v>
      </c>
      <c r="BV375" s="1">
        <v>61004.74</v>
      </c>
      <c r="BW375" s="1">
        <v>61004.74</v>
      </c>
      <c r="BX375">
        <v>0</v>
      </c>
      <c r="BY375">
        <v>0</v>
      </c>
      <c r="BZ375">
        <v>0</v>
      </c>
      <c r="CA375">
        <v>0</v>
      </c>
      <c r="CB375" s="1">
        <v>38295.599999999999</v>
      </c>
      <c r="CC375" t="s">
        <v>152</v>
      </c>
    </row>
    <row r="376" spans="1:81" x14ac:dyDescent="0.25">
      <c r="A376">
        <v>345</v>
      </c>
      <c r="B376">
        <v>2</v>
      </c>
      <c r="C376">
        <v>591</v>
      </c>
      <c r="D376" t="s">
        <v>2185</v>
      </c>
      <c r="E376" t="s">
        <v>121</v>
      </c>
      <c r="F376" t="s">
        <v>2186</v>
      </c>
      <c r="G376" t="s">
        <v>2187</v>
      </c>
      <c r="H376" t="s">
        <v>2188</v>
      </c>
      <c r="I376" t="s">
        <v>125</v>
      </c>
      <c r="J376" t="s">
        <v>1369</v>
      </c>
      <c r="K376" t="s">
        <v>336</v>
      </c>
      <c r="L376" t="s">
        <v>128</v>
      </c>
      <c r="M376" t="s">
        <v>337</v>
      </c>
      <c r="N376" t="s">
        <v>2189</v>
      </c>
      <c r="O376" t="s">
        <v>167</v>
      </c>
      <c r="P376">
        <v>0</v>
      </c>
      <c r="Q376" t="s">
        <v>125</v>
      </c>
      <c r="R376">
        <v>6</v>
      </c>
      <c r="S376">
        <v>36</v>
      </c>
      <c r="T376" t="s">
        <v>132</v>
      </c>
      <c r="U376" t="s">
        <v>133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134</v>
      </c>
      <c r="AE376" t="s">
        <v>134</v>
      </c>
      <c r="AF376" s="2">
        <v>45518</v>
      </c>
      <c r="AG376" s="2">
        <v>46015</v>
      </c>
      <c r="AH376">
        <v>194.59</v>
      </c>
      <c r="AI376">
        <v>440</v>
      </c>
      <c r="AJ376" s="1">
        <v>1751.37</v>
      </c>
      <c r="AK376">
        <v>0</v>
      </c>
      <c r="AL376">
        <v>0</v>
      </c>
      <c r="AM376">
        <v>0</v>
      </c>
      <c r="AN376" t="s">
        <v>135</v>
      </c>
      <c r="AO376" t="s">
        <v>135</v>
      </c>
      <c r="AP376" t="s">
        <v>136</v>
      </c>
      <c r="AQ376" t="s">
        <v>137</v>
      </c>
      <c r="AR376" t="s">
        <v>138</v>
      </c>
      <c r="AS376" t="s">
        <v>139</v>
      </c>
      <c r="AT376" t="s">
        <v>140</v>
      </c>
      <c r="AU376">
        <v>101</v>
      </c>
      <c r="AV376">
        <v>10</v>
      </c>
      <c r="AW376">
        <v>1</v>
      </c>
      <c r="AX376" s="2">
        <v>45881</v>
      </c>
      <c r="AY376" t="s">
        <v>377</v>
      </c>
      <c r="AZ376" s="2">
        <v>46028</v>
      </c>
      <c r="BA376">
        <v>0</v>
      </c>
      <c r="BB376">
        <v>0</v>
      </c>
      <c r="BC376">
        <v>0</v>
      </c>
      <c r="BD376">
        <v>700</v>
      </c>
      <c r="BE376">
        <v>70</v>
      </c>
      <c r="BF376">
        <v>9</v>
      </c>
      <c r="BG376" s="2">
        <v>45536</v>
      </c>
      <c r="BH376" t="s">
        <v>142</v>
      </c>
      <c r="BI376" s="2">
        <v>46026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250.49</v>
      </c>
      <c r="BQ376">
        <v>250.49</v>
      </c>
      <c r="BR376">
        <v>0</v>
      </c>
      <c r="BS376">
        <v>0</v>
      </c>
      <c r="BT376">
        <v>0</v>
      </c>
      <c r="BU376">
        <v>0</v>
      </c>
      <c r="BV376" s="1">
        <v>1254.93</v>
      </c>
      <c r="BW376" s="1">
        <v>1254.93</v>
      </c>
      <c r="BX376">
        <v>0</v>
      </c>
      <c r="BY376">
        <v>0</v>
      </c>
      <c r="BZ376">
        <v>0</v>
      </c>
      <c r="CA376">
        <v>0</v>
      </c>
      <c r="CB376">
        <v>484.99</v>
      </c>
      <c r="CC376" t="s">
        <v>161</v>
      </c>
    </row>
    <row r="377" spans="1:81" x14ac:dyDescent="0.25">
      <c r="A377">
        <v>345</v>
      </c>
      <c r="B377">
        <v>2</v>
      </c>
      <c r="C377">
        <v>593</v>
      </c>
      <c r="D377" t="s">
        <v>2190</v>
      </c>
      <c r="E377" t="s">
        <v>121</v>
      </c>
      <c r="F377" t="s">
        <v>2191</v>
      </c>
      <c r="G377" t="s">
        <v>2192</v>
      </c>
      <c r="H377" t="s">
        <v>2193</v>
      </c>
      <c r="I377" t="s">
        <v>125</v>
      </c>
      <c r="J377" t="s">
        <v>459</v>
      </c>
      <c r="K377" t="s">
        <v>336</v>
      </c>
      <c r="L377" t="s">
        <v>128</v>
      </c>
      <c r="M377" t="s">
        <v>337</v>
      </c>
      <c r="N377" t="s">
        <v>2194</v>
      </c>
      <c r="O377" t="s">
        <v>131</v>
      </c>
      <c r="P377">
        <v>0</v>
      </c>
      <c r="Q377" t="s">
        <v>125</v>
      </c>
      <c r="R377">
        <v>3</v>
      </c>
      <c r="S377">
        <v>85</v>
      </c>
      <c r="T377" t="s">
        <v>132</v>
      </c>
      <c r="U377" t="s">
        <v>133</v>
      </c>
      <c r="V377" s="1">
        <v>1000</v>
      </c>
      <c r="W377">
        <v>0</v>
      </c>
      <c r="X377" s="1">
        <v>1000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134</v>
      </c>
      <c r="AE377" t="s">
        <v>134</v>
      </c>
      <c r="AF377" s="2">
        <v>45518</v>
      </c>
      <c r="AG377" s="2">
        <v>45993</v>
      </c>
      <c r="AH377">
        <v>488.64</v>
      </c>
      <c r="AI377">
        <v>488.64</v>
      </c>
      <c r="AJ377">
        <v>488.64</v>
      </c>
      <c r="AK377">
        <v>0</v>
      </c>
      <c r="AL377">
        <v>0</v>
      </c>
      <c r="AM377">
        <v>0</v>
      </c>
      <c r="AN377" t="s">
        <v>135</v>
      </c>
      <c r="AO377" t="s">
        <v>135</v>
      </c>
      <c r="AP377" t="s">
        <v>136</v>
      </c>
      <c r="AQ377" t="s">
        <v>137</v>
      </c>
      <c r="AR377" t="s">
        <v>138</v>
      </c>
      <c r="AS377" t="s">
        <v>150</v>
      </c>
      <c r="AT377" t="s">
        <v>140</v>
      </c>
      <c r="AU377">
        <v>100</v>
      </c>
      <c r="AV377">
        <v>10</v>
      </c>
      <c r="AW377">
        <v>1</v>
      </c>
      <c r="AX377" s="2">
        <v>45985</v>
      </c>
      <c r="AY377" t="s">
        <v>141</v>
      </c>
      <c r="AZ377" s="2">
        <v>46027</v>
      </c>
      <c r="BA377">
        <v>0</v>
      </c>
      <c r="BB377">
        <v>0</v>
      </c>
      <c r="BC377">
        <v>0</v>
      </c>
      <c r="BD377">
        <v>999</v>
      </c>
      <c r="BE377">
        <v>99</v>
      </c>
      <c r="BF377">
        <v>9</v>
      </c>
      <c r="BG377" t="s">
        <v>135</v>
      </c>
      <c r="BH377" t="s">
        <v>250</v>
      </c>
      <c r="BI377" t="s">
        <v>135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488.64</v>
      </c>
      <c r="BW377">
        <v>488.64</v>
      </c>
      <c r="BX377">
        <v>0</v>
      </c>
      <c r="BY377">
        <v>0</v>
      </c>
      <c r="BZ377">
        <v>0</v>
      </c>
      <c r="CA377">
        <v>0</v>
      </c>
      <c r="CB377">
        <v>0</v>
      </c>
      <c r="CC377" t="s">
        <v>143</v>
      </c>
    </row>
    <row r="378" spans="1:81" x14ac:dyDescent="0.25">
      <c r="A378">
        <v>345</v>
      </c>
      <c r="B378">
        <v>2</v>
      </c>
      <c r="C378">
        <v>594</v>
      </c>
      <c r="D378" t="s">
        <v>2195</v>
      </c>
      <c r="E378" t="s">
        <v>121</v>
      </c>
      <c r="F378" t="s">
        <v>2196</v>
      </c>
      <c r="G378" t="s">
        <v>2197</v>
      </c>
      <c r="H378" t="s">
        <v>2198</v>
      </c>
      <c r="I378" t="s">
        <v>125</v>
      </c>
      <c r="J378" t="s">
        <v>630</v>
      </c>
      <c r="K378" t="s">
        <v>336</v>
      </c>
      <c r="L378" t="s">
        <v>128</v>
      </c>
      <c r="M378" t="s">
        <v>337</v>
      </c>
      <c r="N378" t="s">
        <v>2199</v>
      </c>
      <c r="O378" t="s">
        <v>167</v>
      </c>
      <c r="P378">
        <v>0</v>
      </c>
      <c r="Q378" t="s">
        <v>125</v>
      </c>
      <c r="R378">
        <v>6</v>
      </c>
      <c r="S378">
        <v>35</v>
      </c>
      <c r="T378" t="s">
        <v>132</v>
      </c>
      <c r="U378" t="s">
        <v>133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134</v>
      </c>
      <c r="AE378" t="s">
        <v>134</v>
      </c>
      <c r="AF378" s="2">
        <v>45518</v>
      </c>
      <c r="AG378" s="2">
        <v>46014</v>
      </c>
      <c r="AH378">
        <v>259.5</v>
      </c>
      <c r="AI378">
        <v>439.05</v>
      </c>
      <c r="AJ378" s="1">
        <v>1557.02</v>
      </c>
      <c r="AK378">
        <v>0</v>
      </c>
      <c r="AL378">
        <v>163.08000000000001</v>
      </c>
      <c r="AM378">
        <v>0</v>
      </c>
      <c r="AN378" t="s">
        <v>135</v>
      </c>
      <c r="AO378" t="s">
        <v>135</v>
      </c>
      <c r="AP378" t="s">
        <v>136</v>
      </c>
      <c r="AQ378" t="s">
        <v>137</v>
      </c>
      <c r="AR378" t="s">
        <v>138</v>
      </c>
      <c r="AS378" t="s">
        <v>139</v>
      </c>
      <c r="AT378" t="s">
        <v>140</v>
      </c>
      <c r="AU378">
        <v>104</v>
      </c>
      <c r="AV378">
        <v>10</v>
      </c>
      <c r="AW378">
        <v>1</v>
      </c>
      <c r="AX378" s="2">
        <v>45859</v>
      </c>
      <c r="AY378" t="s">
        <v>141</v>
      </c>
      <c r="AZ378" s="2">
        <v>46027</v>
      </c>
      <c r="BA378">
        <v>0</v>
      </c>
      <c r="BB378">
        <v>0</v>
      </c>
      <c r="BC378">
        <v>0</v>
      </c>
      <c r="BD378">
        <v>700</v>
      </c>
      <c r="BE378">
        <v>70</v>
      </c>
      <c r="BF378">
        <v>9</v>
      </c>
      <c r="BG378" s="2">
        <v>45536</v>
      </c>
      <c r="BH378" t="s">
        <v>142</v>
      </c>
      <c r="BI378" s="2">
        <v>46026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403.85</v>
      </c>
      <c r="BQ378">
        <v>403.85</v>
      </c>
      <c r="BR378">
        <v>0</v>
      </c>
      <c r="BS378">
        <v>0</v>
      </c>
      <c r="BT378">
        <v>0</v>
      </c>
      <c r="BU378">
        <v>0</v>
      </c>
      <c r="BV378" s="1">
        <v>1017.37</v>
      </c>
      <c r="BW378" s="1">
        <v>1017.37</v>
      </c>
      <c r="BX378">
        <v>0</v>
      </c>
      <c r="BY378">
        <v>0</v>
      </c>
      <c r="BZ378">
        <v>0</v>
      </c>
      <c r="CA378">
        <v>0</v>
      </c>
      <c r="CB378">
        <v>536.91</v>
      </c>
      <c r="CC378" t="s">
        <v>161</v>
      </c>
    </row>
    <row r="379" spans="1:81" x14ac:dyDescent="0.25">
      <c r="A379">
        <v>345</v>
      </c>
      <c r="B379">
        <v>2</v>
      </c>
      <c r="C379">
        <v>595</v>
      </c>
      <c r="D379" t="s">
        <v>2200</v>
      </c>
      <c r="E379" t="s">
        <v>121</v>
      </c>
      <c r="F379" t="s">
        <v>2201</v>
      </c>
      <c r="G379" t="s">
        <v>2202</v>
      </c>
      <c r="H379" t="s">
        <v>2203</v>
      </c>
      <c r="I379" t="s">
        <v>2204</v>
      </c>
      <c r="J379" t="s">
        <v>915</v>
      </c>
      <c r="K379" t="s">
        <v>473</v>
      </c>
      <c r="L379" t="s">
        <v>128</v>
      </c>
      <c r="M379" t="s">
        <v>474</v>
      </c>
      <c r="N379" t="s">
        <v>2205</v>
      </c>
      <c r="O379" t="s">
        <v>149</v>
      </c>
      <c r="P379">
        <v>0</v>
      </c>
      <c r="Q379" t="s">
        <v>125</v>
      </c>
      <c r="R379">
        <v>6</v>
      </c>
      <c r="S379">
        <v>40</v>
      </c>
      <c r="T379" t="s">
        <v>132</v>
      </c>
      <c r="U379" t="s">
        <v>133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134</v>
      </c>
      <c r="AE379" t="s">
        <v>134</v>
      </c>
      <c r="AF379" s="2">
        <v>45518</v>
      </c>
      <c r="AG379" s="2">
        <v>46008</v>
      </c>
      <c r="AH379" s="1">
        <v>1416.17</v>
      </c>
      <c r="AI379" s="1">
        <v>1862.25</v>
      </c>
      <c r="AJ379" s="1">
        <v>9913.2199999999993</v>
      </c>
      <c r="AK379">
        <v>0</v>
      </c>
      <c r="AL379" s="1">
        <v>1413.4</v>
      </c>
      <c r="AM379">
        <v>0</v>
      </c>
      <c r="AN379" t="s">
        <v>135</v>
      </c>
      <c r="AO379" t="s">
        <v>135</v>
      </c>
      <c r="AP379" t="s">
        <v>136</v>
      </c>
      <c r="AQ379" t="s">
        <v>137</v>
      </c>
      <c r="AR379" t="s">
        <v>138</v>
      </c>
      <c r="AS379" t="s">
        <v>139</v>
      </c>
      <c r="AT379" t="s">
        <v>140</v>
      </c>
      <c r="AU379">
        <v>102</v>
      </c>
      <c r="AV379">
        <v>10</v>
      </c>
      <c r="AW379">
        <v>1</v>
      </c>
      <c r="AX379" s="2">
        <v>45839</v>
      </c>
      <c r="AY379" t="s">
        <v>377</v>
      </c>
      <c r="AZ379" s="2">
        <v>46028</v>
      </c>
      <c r="BA379">
        <v>0</v>
      </c>
      <c r="BB379">
        <v>0</v>
      </c>
      <c r="BC379">
        <v>0</v>
      </c>
      <c r="BD379">
        <v>700</v>
      </c>
      <c r="BE379">
        <v>70</v>
      </c>
      <c r="BF379">
        <v>9</v>
      </c>
      <c r="BG379" s="2">
        <v>45536</v>
      </c>
      <c r="BH379" t="s">
        <v>142</v>
      </c>
      <c r="BI379" s="2">
        <v>46026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s="1">
        <v>3674.21</v>
      </c>
      <c r="BQ379" s="1">
        <v>3674.21</v>
      </c>
      <c r="BR379">
        <v>0</v>
      </c>
      <c r="BS379">
        <v>0</v>
      </c>
      <c r="BT379">
        <v>0</v>
      </c>
      <c r="BU379">
        <v>0</v>
      </c>
      <c r="BV379" s="1">
        <v>4703.49</v>
      </c>
      <c r="BW379" s="1">
        <v>4703.49</v>
      </c>
      <c r="BX379">
        <v>0</v>
      </c>
      <c r="BY379">
        <v>0</v>
      </c>
      <c r="BZ379">
        <v>0</v>
      </c>
      <c r="CA379">
        <v>0</v>
      </c>
      <c r="CB379" s="1">
        <v>2361.6</v>
      </c>
      <c r="CC379" t="s">
        <v>152</v>
      </c>
    </row>
    <row r="380" spans="1:81" x14ac:dyDescent="0.25">
      <c r="A380">
        <v>345</v>
      </c>
      <c r="B380">
        <v>2</v>
      </c>
      <c r="C380">
        <v>597</v>
      </c>
      <c r="D380" t="s">
        <v>2206</v>
      </c>
      <c r="E380" t="s">
        <v>121</v>
      </c>
      <c r="F380" t="s">
        <v>2207</v>
      </c>
      <c r="G380" t="s">
        <v>2208</v>
      </c>
      <c r="H380" t="s">
        <v>2209</v>
      </c>
      <c r="I380" t="s">
        <v>2210</v>
      </c>
      <c r="J380" t="s">
        <v>375</v>
      </c>
      <c r="K380" t="s">
        <v>336</v>
      </c>
      <c r="L380" t="s">
        <v>128</v>
      </c>
      <c r="M380" t="s">
        <v>337</v>
      </c>
      <c r="N380" t="s">
        <v>2211</v>
      </c>
      <c r="O380" t="s">
        <v>131</v>
      </c>
      <c r="P380">
        <v>0</v>
      </c>
      <c r="Q380" t="s">
        <v>125</v>
      </c>
      <c r="R380">
        <v>6</v>
      </c>
      <c r="S380">
        <v>39</v>
      </c>
      <c r="T380" t="s">
        <v>132</v>
      </c>
      <c r="U380" t="s">
        <v>133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134</v>
      </c>
      <c r="AE380" t="s">
        <v>134</v>
      </c>
      <c r="AF380" s="2">
        <v>45518</v>
      </c>
      <c r="AG380" s="2">
        <v>45994</v>
      </c>
      <c r="AH380">
        <v>225</v>
      </c>
      <c r="AI380">
        <v>242.76</v>
      </c>
      <c r="AJ380">
        <v>450</v>
      </c>
      <c r="AK380">
        <v>0</v>
      </c>
      <c r="AL380">
        <v>0</v>
      </c>
      <c r="AM380">
        <v>0</v>
      </c>
      <c r="AN380" t="s">
        <v>135</v>
      </c>
      <c r="AO380" t="s">
        <v>135</v>
      </c>
      <c r="AP380" t="s">
        <v>136</v>
      </c>
      <c r="AQ380" t="s">
        <v>137</v>
      </c>
      <c r="AR380" t="s">
        <v>138</v>
      </c>
      <c r="AS380" t="s">
        <v>139</v>
      </c>
      <c r="AT380" t="s">
        <v>140</v>
      </c>
      <c r="AU380">
        <v>101</v>
      </c>
      <c r="AV380">
        <v>10</v>
      </c>
      <c r="AW380">
        <v>1</v>
      </c>
      <c r="AX380" s="2">
        <v>45881</v>
      </c>
      <c r="AY380" t="s">
        <v>377</v>
      </c>
      <c r="AZ380" s="2">
        <v>46028</v>
      </c>
      <c r="BA380">
        <v>0</v>
      </c>
      <c r="BB380">
        <v>0</v>
      </c>
      <c r="BC380">
        <v>0</v>
      </c>
      <c r="BD380">
        <v>700</v>
      </c>
      <c r="BE380">
        <v>70</v>
      </c>
      <c r="BF380">
        <v>9</v>
      </c>
      <c r="BG380" s="2">
        <v>45536</v>
      </c>
      <c r="BH380" t="s">
        <v>142</v>
      </c>
      <c r="BI380" s="2">
        <v>46026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207.24</v>
      </c>
      <c r="BQ380">
        <v>207.24</v>
      </c>
      <c r="BR380">
        <v>0</v>
      </c>
      <c r="BS380">
        <v>0</v>
      </c>
      <c r="BT380">
        <v>0</v>
      </c>
      <c r="BU380">
        <v>0</v>
      </c>
      <c r="BV380">
        <v>242.76</v>
      </c>
      <c r="BW380">
        <v>242.76</v>
      </c>
      <c r="BX380">
        <v>0</v>
      </c>
      <c r="BY380">
        <v>0</v>
      </c>
      <c r="BZ380">
        <v>0</v>
      </c>
      <c r="CA380">
        <v>0</v>
      </c>
      <c r="CB380">
        <v>195.46</v>
      </c>
      <c r="CC380" t="s">
        <v>339</v>
      </c>
    </row>
    <row r="381" spans="1:81" x14ac:dyDescent="0.25">
      <c r="A381">
        <v>345</v>
      </c>
      <c r="B381">
        <v>2</v>
      </c>
      <c r="C381">
        <v>598</v>
      </c>
      <c r="D381" t="s">
        <v>2212</v>
      </c>
      <c r="E381" t="s">
        <v>121</v>
      </c>
      <c r="F381" t="s">
        <v>2213</v>
      </c>
      <c r="G381" t="s">
        <v>2214</v>
      </c>
      <c r="H381" t="s">
        <v>2081</v>
      </c>
      <c r="I381" t="s">
        <v>125</v>
      </c>
      <c r="J381" t="s">
        <v>793</v>
      </c>
      <c r="K381" t="s">
        <v>336</v>
      </c>
      <c r="L381" t="s">
        <v>128</v>
      </c>
      <c r="M381" t="s">
        <v>337</v>
      </c>
      <c r="N381" t="s">
        <v>2215</v>
      </c>
      <c r="O381" t="s">
        <v>131</v>
      </c>
      <c r="P381">
        <v>0</v>
      </c>
      <c r="Q381" t="s">
        <v>125</v>
      </c>
      <c r="R381">
        <v>6</v>
      </c>
      <c r="S381">
        <v>44</v>
      </c>
      <c r="T381" t="s">
        <v>132</v>
      </c>
      <c r="U381" t="s">
        <v>133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134</v>
      </c>
      <c r="AE381" t="s">
        <v>134</v>
      </c>
      <c r="AF381" s="2">
        <v>45518</v>
      </c>
      <c r="AG381" s="2">
        <v>45996</v>
      </c>
      <c r="AH381" s="1">
        <v>1284.04</v>
      </c>
      <c r="AI381" s="1">
        <v>1522.12</v>
      </c>
      <c r="AJ381" s="1">
        <v>6420.22</v>
      </c>
      <c r="AK381">
        <v>0</v>
      </c>
      <c r="AL381">
        <v>0</v>
      </c>
      <c r="AM381">
        <v>0</v>
      </c>
      <c r="AN381" t="s">
        <v>135</v>
      </c>
      <c r="AO381" t="s">
        <v>135</v>
      </c>
      <c r="AP381" t="s">
        <v>136</v>
      </c>
      <c r="AQ381" t="s">
        <v>137</v>
      </c>
      <c r="AR381" t="s">
        <v>138</v>
      </c>
      <c r="AS381" t="s">
        <v>150</v>
      </c>
      <c r="AT381" t="s">
        <v>140</v>
      </c>
      <c r="AU381">
        <v>104</v>
      </c>
      <c r="AV381">
        <v>10</v>
      </c>
      <c r="AW381">
        <v>1</v>
      </c>
      <c r="AX381" s="2">
        <v>45841</v>
      </c>
      <c r="AY381" t="s">
        <v>308</v>
      </c>
      <c r="AZ381" s="2">
        <v>46023</v>
      </c>
      <c r="BA381">
        <v>0</v>
      </c>
      <c r="BB381">
        <v>0</v>
      </c>
      <c r="BC381">
        <v>0</v>
      </c>
      <c r="BD381">
        <v>700</v>
      </c>
      <c r="BE381">
        <v>70</v>
      </c>
      <c r="BF381">
        <v>9</v>
      </c>
      <c r="BG381" s="2">
        <v>45536</v>
      </c>
      <c r="BH381" t="s">
        <v>142</v>
      </c>
      <c r="BI381" s="2">
        <v>46026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s="1">
        <v>3723.15</v>
      </c>
      <c r="BQ381" s="1">
        <v>3723.15</v>
      </c>
      <c r="BR381">
        <v>0</v>
      </c>
      <c r="BS381">
        <v>0</v>
      </c>
      <c r="BT381">
        <v>0</v>
      </c>
      <c r="BU381">
        <v>0</v>
      </c>
      <c r="BV381" s="1">
        <v>1390.49</v>
      </c>
      <c r="BW381" s="1">
        <v>1390.49</v>
      </c>
      <c r="BX381">
        <v>0</v>
      </c>
      <c r="BY381">
        <v>0</v>
      </c>
      <c r="BZ381">
        <v>0</v>
      </c>
      <c r="CA381">
        <v>0</v>
      </c>
      <c r="CB381" s="1">
        <v>2295.5500000000002</v>
      </c>
      <c r="CC381" t="s">
        <v>143</v>
      </c>
    </row>
    <row r="382" spans="1:81" x14ac:dyDescent="0.25">
      <c r="A382">
        <v>345</v>
      </c>
      <c r="B382">
        <v>2</v>
      </c>
      <c r="C382">
        <v>599</v>
      </c>
      <c r="D382" t="s">
        <v>2216</v>
      </c>
      <c r="E382" t="s">
        <v>121</v>
      </c>
      <c r="F382" t="s">
        <v>2217</v>
      </c>
      <c r="G382" t="s">
        <v>2218</v>
      </c>
      <c r="H382" t="s">
        <v>2219</v>
      </c>
      <c r="I382" t="s">
        <v>125</v>
      </c>
      <c r="J382" t="s">
        <v>126</v>
      </c>
      <c r="K382" t="s">
        <v>336</v>
      </c>
      <c r="L382" t="s">
        <v>128</v>
      </c>
      <c r="M382" t="s">
        <v>337</v>
      </c>
      <c r="N382" t="s">
        <v>2220</v>
      </c>
      <c r="O382" t="s">
        <v>195</v>
      </c>
      <c r="P382">
        <v>0</v>
      </c>
      <c r="Q382" t="s">
        <v>125</v>
      </c>
      <c r="R382">
        <v>6</v>
      </c>
      <c r="S382">
        <v>40</v>
      </c>
      <c r="T382" t="s">
        <v>132</v>
      </c>
      <c r="U382" t="s">
        <v>133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134</v>
      </c>
      <c r="AE382" t="s">
        <v>134</v>
      </c>
      <c r="AF382" s="2">
        <v>45518</v>
      </c>
      <c r="AG382" s="2">
        <v>46008</v>
      </c>
      <c r="AH382">
        <v>191.51</v>
      </c>
      <c r="AI382">
        <v>197.86</v>
      </c>
      <c r="AJ382">
        <v>383.03</v>
      </c>
      <c r="AK382">
        <v>0</v>
      </c>
      <c r="AL382">
        <v>0</v>
      </c>
      <c r="AM382">
        <v>0</v>
      </c>
      <c r="AN382" t="s">
        <v>135</v>
      </c>
      <c r="AO382" t="s">
        <v>135</v>
      </c>
      <c r="AP382" t="s">
        <v>136</v>
      </c>
      <c r="AQ382" t="s">
        <v>137</v>
      </c>
      <c r="AR382" t="s">
        <v>138</v>
      </c>
      <c r="AS382" t="s">
        <v>150</v>
      </c>
      <c r="AT382" t="s">
        <v>140</v>
      </c>
      <c r="AU382">
        <v>101</v>
      </c>
      <c r="AV382">
        <v>10</v>
      </c>
      <c r="AW382">
        <v>1</v>
      </c>
      <c r="AX382" s="2">
        <v>45874</v>
      </c>
      <c r="AY382" t="s">
        <v>377</v>
      </c>
      <c r="AZ382" s="2">
        <v>46028</v>
      </c>
      <c r="BA382">
        <v>0</v>
      </c>
      <c r="BB382">
        <v>0</v>
      </c>
      <c r="BC382">
        <v>0</v>
      </c>
      <c r="BD382">
        <v>700</v>
      </c>
      <c r="BE382">
        <v>70</v>
      </c>
      <c r="BF382">
        <v>9</v>
      </c>
      <c r="BG382" s="2">
        <v>45536</v>
      </c>
      <c r="BH382" t="s">
        <v>142</v>
      </c>
      <c r="BI382" s="2">
        <v>46026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185.17</v>
      </c>
      <c r="BW382">
        <v>185.17</v>
      </c>
      <c r="BX382">
        <v>0</v>
      </c>
      <c r="BY382">
        <v>0</v>
      </c>
      <c r="BZ382">
        <v>0</v>
      </c>
      <c r="CA382">
        <v>0</v>
      </c>
      <c r="CB382">
        <v>133.12</v>
      </c>
      <c r="CC382" t="s">
        <v>161</v>
      </c>
    </row>
    <row r="383" spans="1:81" x14ac:dyDescent="0.25">
      <c r="A383">
        <v>345</v>
      </c>
      <c r="B383">
        <v>2</v>
      </c>
      <c r="C383">
        <v>600</v>
      </c>
      <c r="D383" t="s">
        <v>2221</v>
      </c>
      <c r="E383" t="s">
        <v>121</v>
      </c>
      <c r="F383" t="s">
        <v>2222</v>
      </c>
      <c r="G383" t="s">
        <v>2223</v>
      </c>
      <c r="H383" t="s">
        <v>2224</v>
      </c>
      <c r="I383" t="s">
        <v>2225</v>
      </c>
      <c r="J383" t="s">
        <v>2226</v>
      </c>
      <c r="K383" t="s">
        <v>473</v>
      </c>
      <c r="L383" t="s">
        <v>128</v>
      </c>
      <c r="M383" t="s">
        <v>474</v>
      </c>
      <c r="N383" t="s">
        <v>2227</v>
      </c>
      <c r="O383" t="s">
        <v>131</v>
      </c>
      <c r="P383">
        <v>0</v>
      </c>
      <c r="Q383" t="s">
        <v>125</v>
      </c>
      <c r="R383">
        <v>3</v>
      </c>
      <c r="S383">
        <v>86</v>
      </c>
      <c r="T383" t="s">
        <v>132</v>
      </c>
      <c r="U383" t="s">
        <v>133</v>
      </c>
      <c r="V383" s="1">
        <v>1300</v>
      </c>
      <c r="W383">
        <v>0</v>
      </c>
      <c r="X383" s="1">
        <v>1300</v>
      </c>
      <c r="Y383">
        <v>7</v>
      </c>
      <c r="Z383">
        <v>0</v>
      </c>
      <c r="AA383">
        <v>0</v>
      </c>
      <c r="AB383">
        <v>0</v>
      </c>
      <c r="AC383">
        <v>0</v>
      </c>
      <c r="AD383" t="s">
        <v>134</v>
      </c>
      <c r="AE383" t="s">
        <v>134</v>
      </c>
      <c r="AF383" s="2">
        <v>45518</v>
      </c>
      <c r="AG383" s="2">
        <v>46017</v>
      </c>
      <c r="AH383">
        <v>745.38</v>
      </c>
      <c r="AI383" s="1">
        <v>1138.21</v>
      </c>
      <c r="AJ383" s="1">
        <v>8944.65</v>
      </c>
      <c r="AK383">
        <v>0</v>
      </c>
      <c r="AL383">
        <v>0</v>
      </c>
      <c r="AM383">
        <v>0</v>
      </c>
      <c r="AN383" t="s">
        <v>135</v>
      </c>
      <c r="AO383" t="s">
        <v>135</v>
      </c>
      <c r="AP383" t="s">
        <v>136</v>
      </c>
      <c r="AQ383" t="s">
        <v>137</v>
      </c>
      <c r="AR383" t="s">
        <v>138</v>
      </c>
      <c r="AS383" t="s">
        <v>139</v>
      </c>
      <c r="AT383" t="s">
        <v>140</v>
      </c>
      <c r="AU383">
        <v>102</v>
      </c>
      <c r="AV383">
        <v>10</v>
      </c>
      <c r="AW383">
        <v>1</v>
      </c>
      <c r="AX383" s="2">
        <v>45909</v>
      </c>
      <c r="AY383" t="s">
        <v>377</v>
      </c>
      <c r="AZ383" s="2">
        <v>46028</v>
      </c>
      <c r="BA383">
        <v>0</v>
      </c>
      <c r="BB383">
        <v>0</v>
      </c>
      <c r="BC383">
        <v>0</v>
      </c>
      <c r="BD383">
        <v>999</v>
      </c>
      <c r="BE383">
        <v>99</v>
      </c>
      <c r="BF383">
        <v>9</v>
      </c>
      <c r="BG383" t="s">
        <v>135</v>
      </c>
      <c r="BH383" t="s">
        <v>250</v>
      </c>
      <c r="BI383" t="s">
        <v>135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s="1">
        <v>3083.21</v>
      </c>
      <c r="BQ383" s="1">
        <v>3083.21</v>
      </c>
      <c r="BR383">
        <v>0</v>
      </c>
      <c r="BS383">
        <v>0</v>
      </c>
      <c r="BT383">
        <v>0</v>
      </c>
      <c r="BU383">
        <v>0</v>
      </c>
      <c r="BV383" s="1">
        <v>3151.3</v>
      </c>
      <c r="BW383" s="1">
        <v>3151.3</v>
      </c>
      <c r="BX383">
        <v>0</v>
      </c>
      <c r="BY383">
        <v>0</v>
      </c>
      <c r="BZ383">
        <v>0</v>
      </c>
      <c r="CA383">
        <v>0</v>
      </c>
      <c r="CB383" s="1">
        <v>2242.61</v>
      </c>
      <c r="CC383" t="s">
        <v>143</v>
      </c>
    </row>
    <row r="384" spans="1:81" x14ac:dyDescent="0.25">
      <c r="A384">
        <v>345</v>
      </c>
      <c r="B384">
        <v>2</v>
      </c>
      <c r="C384">
        <v>601</v>
      </c>
      <c r="D384" t="s">
        <v>2228</v>
      </c>
      <c r="E384" t="s">
        <v>121</v>
      </c>
      <c r="F384" t="s">
        <v>2229</v>
      </c>
      <c r="G384" t="s">
        <v>2230</v>
      </c>
      <c r="H384" t="s">
        <v>2231</v>
      </c>
      <c r="I384" t="s">
        <v>2232</v>
      </c>
      <c r="J384" t="s">
        <v>606</v>
      </c>
      <c r="K384" t="s">
        <v>336</v>
      </c>
      <c r="L384" t="s">
        <v>128</v>
      </c>
      <c r="M384" t="s">
        <v>337</v>
      </c>
      <c r="N384" t="s">
        <v>2233</v>
      </c>
      <c r="O384" t="s">
        <v>167</v>
      </c>
      <c r="P384">
        <v>0</v>
      </c>
      <c r="Q384" t="s">
        <v>125</v>
      </c>
      <c r="R384">
        <v>6</v>
      </c>
      <c r="S384">
        <v>36</v>
      </c>
      <c r="T384" t="s">
        <v>132</v>
      </c>
      <c r="U384" t="s">
        <v>133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134</v>
      </c>
      <c r="AE384" t="s">
        <v>134</v>
      </c>
      <c r="AF384" s="2">
        <v>45518</v>
      </c>
      <c r="AG384" s="2">
        <v>46002</v>
      </c>
      <c r="AH384">
        <v>675.73</v>
      </c>
      <c r="AI384" s="1">
        <v>1980.24</v>
      </c>
      <c r="AJ384" s="1">
        <v>4054.42</v>
      </c>
      <c r="AK384">
        <v>0</v>
      </c>
      <c r="AL384">
        <v>0</v>
      </c>
      <c r="AM384">
        <v>0</v>
      </c>
      <c r="AN384" t="s">
        <v>135</v>
      </c>
      <c r="AO384" t="s">
        <v>135</v>
      </c>
      <c r="AP384" t="s">
        <v>136</v>
      </c>
      <c r="AQ384" t="s">
        <v>137</v>
      </c>
      <c r="AR384" t="s">
        <v>138</v>
      </c>
      <c r="AS384" t="s">
        <v>139</v>
      </c>
      <c r="AT384" t="s">
        <v>140</v>
      </c>
      <c r="AU384">
        <v>101</v>
      </c>
      <c r="AV384">
        <v>10</v>
      </c>
      <c r="AW384">
        <v>1</v>
      </c>
      <c r="AX384" s="2">
        <v>45812</v>
      </c>
      <c r="AY384" t="s">
        <v>168</v>
      </c>
      <c r="AZ384" s="2">
        <v>46022</v>
      </c>
      <c r="BA384">
        <v>0</v>
      </c>
      <c r="BB384">
        <v>0</v>
      </c>
      <c r="BC384">
        <v>0</v>
      </c>
      <c r="BD384">
        <v>700</v>
      </c>
      <c r="BE384">
        <v>70</v>
      </c>
      <c r="BF384">
        <v>9</v>
      </c>
      <c r="BG384" s="2">
        <v>45536</v>
      </c>
      <c r="BH384" t="s">
        <v>142</v>
      </c>
      <c r="BI384" s="2">
        <v>46026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s="1">
        <v>2266.7399999999998</v>
      </c>
      <c r="BQ384" s="1">
        <v>2266.7399999999998</v>
      </c>
      <c r="BR384">
        <v>0</v>
      </c>
      <c r="BS384">
        <v>0</v>
      </c>
      <c r="BT384">
        <v>0</v>
      </c>
      <c r="BU384">
        <v>0</v>
      </c>
      <c r="BV384">
        <v>928.18</v>
      </c>
      <c r="BW384">
        <v>928.18</v>
      </c>
      <c r="BX384">
        <v>0</v>
      </c>
      <c r="BY384">
        <v>0</v>
      </c>
      <c r="BZ384">
        <v>0</v>
      </c>
      <c r="CA384">
        <v>0</v>
      </c>
      <c r="CB384" s="1">
        <v>2078.09</v>
      </c>
      <c r="CC384" t="s">
        <v>161</v>
      </c>
    </row>
    <row r="385" spans="1:81" x14ac:dyDescent="0.25">
      <c r="A385">
        <v>345</v>
      </c>
      <c r="B385">
        <v>2</v>
      </c>
      <c r="C385">
        <v>603</v>
      </c>
      <c r="D385" t="s">
        <v>2234</v>
      </c>
      <c r="E385" t="s">
        <v>121</v>
      </c>
      <c r="F385" t="s">
        <v>2235</v>
      </c>
      <c r="G385" t="s">
        <v>2236</v>
      </c>
      <c r="H385" t="s">
        <v>2237</v>
      </c>
      <c r="I385" t="s">
        <v>2238</v>
      </c>
      <c r="J385" t="s">
        <v>1091</v>
      </c>
      <c r="K385" t="s">
        <v>466</v>
      </c>
      <c r="L385" t="s">
        <v>128</v>
      </c>
      <c r="M385" t="s">
        <v>467</v>
      </c>
      <c r="N385" t="s">
        <v>2239</v>
      </c>
      <c r="O385" t="s">
        <v>167</v>
      </c>
      <c r="P385">
        <v>0</v>
      </c>
      <c r="Q385" t="s">
        <v>125</v>
      </c>
      <c r="R385">
        <v>6</v>
      </c>
      <c r="S385">
        <v>36</v>
      </c>
      <c r="T385" t="s">
        <v>132</v>
      </c>
      <c r="U385" t="s">
        <v>133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134</v>
      </c>
      <c r="AE385" t="s">
        <v>134</v>
      </c>
      <c r="AF385" s="2">
        <v>45518</v>
      </c>
      <c r="AG385" s="2">
        <v>46021</v>
      </c>
      <c r="AH385">
        <v>252.66</v>
      </c>
      <c r="AI385">
        <v>767.82</v>
      </c>
      <c r="AJ385" s="1">
        <v>3031.98</v>
      </c>
      <c r="AK385">
        <v>0</v>
      </c>
      <c r="AL385">
        <v>0</v>
      </c>
      <c r="AM385">
        <v>0</v>
      </c>
      <c r="AN385" t="s">
        <v>135</v>
      </c>
      <c r="AO385" t="s">
        <v>135</v>
      </c>
      <c r="AP385" t="s">
        <v>136</v>
      </c>
      <c r="AQ385" t="s">
        <v>137</v>
      </c>
      <c r="AR385" t="s">
        <v>138</v>
      </c>
      <c r="AS385" t="s">
        <v>139</v>
      </c>
      <c r="AT385" t="s">
        <v>140</v>
      </c>
      <c r="AU385">
        <v>105</v>
      </c>
      <c r="AV385">
        <v>10</v>
      </c>
      <c r="AW385">
        <v>1</v>
      </c>
      <c r="AX385" s="2">
        <v>45859</v>
      </c>
      <c r="AY385" t="s">
        <v>141</v>
      </c>
      <c r="AZ385" s="2">
        <v>46027</v>
      </c>
      <c r="BA385">
        <v>0</v>
      </c>
      <c r="BB385">
        <v>0</v>
      </c>
      <c r="BC385">
        <v>0</v>
      </c>
      <c r="BD385">
        <v>700</v>
      </c>
      <c r="BE385">
        <v>70</v>
      </c>
      <c r="BF385">
        <v>9</v>
      </c>
      <c r="BG385" s="2">
        <v>45536</v>
      </c>
      <c r="BH385" t="s">
        <v>142</v>
      </c>
      <c r="BI385" s="2">
        <v>46026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124</v>
      </c>
      <c r="BQ385">
        <v>124</v>
      </c>
      <c r="BR385">
        <v>0</v>
      </c>
      <c r="BS385">
        <v>0</v>
      </c>
      <c r="BT385">
        <v>0</v>
      </c>
      <c r="BU385">
        <v>0</v>
      </c>
      <c r="BV385" s="1">
        <v>2358.94</v>
      </c>
      <c r="BW385" s="1">
        <v>2358.94</v>
      </c>
      <c r="BX385">
        <v>0</v>
      </c>
      <c r="BY385">
        <v>0</v>
      </c>
      <c r="BZ385">
        <v>0</v>
      </c>
      <c r="CA385">
        <v>0</v>
      </c>
      <c r="CB385">
        <v>554.54999999999995</v>
      </c>
      <c r="CC385" t="s">
        <v>161</v>
      </c>
    </row>
    <row r="386" spans="1:81" x14ac:dyDescent="0.25">
      <c r="A386">
        <v>345</v>
      </c>
      <c r="B386">
        <v>2</v>
      </c>
      <c r="C386">
        <v>604</v>
      </c>
      <c r="D386" t="s">
        <v>2240</v>
      </c>
      <c r="E386" t="s">
        <v>121</v>
      </c>
      <c r="F386" t="s">
        <v>2241</v>
      </c>
      <c r="G386" t="s">
        <v>2242</v>
      </c>
      <c r="H386" t="s">
        <v>2243</v>
      </c>
      <c r="I386" t="s">
        <v>2244</v>
      </c>
      <c r="J386" t="s">
        <v>459</v>
      </c>
      <c r="K386" t="s">
        <v>336</v>
      </c>
      <c r="L386" t="s">
        <v>128</v>
      </c>
      <c r="M386" t="s">
        <v>337</v>
      </c>
      <c r="N386" t="s">
        <v>2245</v>
      </c>
      <c r="O386" t="s">
        <v>131</v>
      </c>
      <c r="P386">
        <v>0</v>
      </c>
      <c r="Q386" t="s">
        <v>125</v>
      </c>
      <c r="R386">
        <v>6</v>
      </c>
      <c r="S386">
        <v>40</v>
      </c>
      <c r="T386" t="s">
        <v>132</v>
      </c>
      <c r="U386" t="s">
        <v>133</v>
      </c>
      <c r="V386" s="1">
        <v>8500</v>
      </c>
      <c r="W386" s="1">
        <v>3649.54</v>
      </c>
      <c r="X386" s="1">
        <v>4850.46</v>
      </c>
      <c r="Y386">
        <v>7</v>
      </c>
      <c r="Z386">
        <v>0</v>
      </c>
      <c r="AA386">
        <v>6</v>
      </c>
      <c r="AB386">
        <v>0</v>
      </c>
      <c r="AC386">
        <v>0</v>
      </c>
      <c r="AD386" t="s">
        <v>134</v>
      </c>
      <c r="AE386" t="s">
        <v>134</v>
      </c>
      <c r="AF386" s="2">
        <v>45518</v>
      </c>
      <c r="AG386" s="2">
        <v>46015</v>
      </c>
      <c r="AH386" s="1">
        <v>3353.13</v>
      </c>
      <c r="AI386" s="1">
        <v>4476.32</v>
      </c>
      <c r="AJ386" s="1">
        <v>46943.92</v>
      </c>
      <c r="AK386">
        <v>0</v>
      </c>
      <c r="AL386" s="1">
        <v>3649.54</v>
      </c>
      <c r="AM386">
        <v>106.49</v>
      </c>
      <c r="AN386" t="s">
        <v>135</v>
      </c>
      <c r="AO386" t="s">
        <v>135</v>
      </c>
      <c r="AP386" t="s">
        <v>136</v>
      </c>
      <c r="AQ386" t="s">
        <v>137</v>
      </c>
      <c r="AR386" t="s">
        <v>138</v>
      </c>
      <c r="AS386" t="s">
        <v>139</v>
      </c>
      <c r="AT386" t="s">
        <v>140</v>
      </c>
      <c r="AU386">
        <v>100</v>
      </c>
      <c r="AV386">
        <v>10</v>
      </c>
      <c r="AW386">
        <v>1</v>
      </c>
      <c r="AX386" s="2">
        <v>45817</v>
      </c>
      <c r="AY386" t="s">
        <v>141</v>
      </c>
      <c r="AZ386" s="2">
        <v>46027</v>
      </c>
      <c r="BA386">
        <v>0</v>
      </c>
      <c r="BB386">
        <v>0</v>
      </c>
      <c r="BC386">
        <v>0</v>
      </c>
      <c r="BD386">
        <v>700</v>
      </c>
      <c r="BE386">
        <v>70</v>
      </c>
      <c r="BF386">
        <v>9</v>
      </c>
      <c r="BG386" s="2">
        <v>45536</v>
      </c>
      <c r="BH386" t="s">
        <v>142</v>
      </c>
      <c r="BI386" s="2">
        <v>46026</v>
      </c>
      <c r="BJ386">
        <v>0</v>
      </c>
      <c r="BK386">
        <v>0</v>
      </c>
      <c r="BL386">
        <v>0</v>
      </c>
      <c r="BM386">
        <v>5.73</v>
      </c>
      <c r="BN386">
        <v>5.39</v>
      </c>
      <c r="BO386" s="1">
        <v>13330.43</v>
      </c>
      <c r="BP386">
        <v>840.07</v>
      </c>
      <c r="BQ386" s="1">
        <v>14170.5</v>
      </c>
      <c r="BR386" s="1">
        <v>3886.52</v>
      </c>
      <c r="BS386">
        <v>5.19</v>
      </c>
      <c r="BT386">
        <v>5.15</v>
      </c>
      <c r="BU386" s="1">
        <v>17206.04</v>
      </c>
      <c r="BV386">
        <v>123.9</v>
      </c>
      <c r="BW386" s="1">
        <v>17329.939999999999</v>
      </c>
      <c r="BX386" s="1">
        <v>3649.54</v>
      </c>
      <c r="BY386">
        <v>21.21</v>
      </c>
      <c r="BZ386">
        <v>0</v>
      </c>
      <c r="CA386">
        <v>0</v>
      </c>
      <c r="CB386" s="1">
        <v>16860.8</v>
      </c>
      <c r="CC386" t="s">
        <v>143</v>
      </c>
    </row>
    <row r="387" spans="1:81" x14ac:dyDescent="0.25">
      <c r="A387">
        <v>345</v>
      </c>
      <c r="B387">
        <v>2</v>
      </c>
      <c r="C387">
        <v>605</v>
      </c>
      <c r="D387" t="s">
        <v>2246</v>
      </c>
      <c r="E387" t="s">
        <v>121</v>
      </c>
      <c r="F387" t="s">
        <v>2247</v>
      </c>
      <c r="G387" t="s">
        <v>2248</v>
      </c>
      <c r="H387" t="s">
        <v>2249</v>
      </c>
      <c r="I387" t="s">
        <v>2250</v>
      </c>
      <c r="J387" t="s">
        <v>459</v>
      </c>
      <c r="K387" t="s">
        <v>336</v>
      </c>
      <c r="L387" t="s">
        <v>128</v>
      </c>
      <c r="M387" t="s">
        <v>337</v>
      </c>
      <c r="N387" t="s">
        <v>2251</v>
      </c>
      <c r="O387" t="s">
        <v>167</v>
      </c>
      <c r="P387">
        <v>0</v>
      </c>
      <c r="Q387" t="s">
        <v>125</v>
      </c>
      <c r="R387">
        <v>6</v>
      </c>
      <c r="S387">
        <v>33</v>
      </c>
      <c r="T387" t="s">
        <v>132</v>
      </c>
      <c r="U387" t="s">
        <v>133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134</v>
      </c>
      <c r="AE387" t="s">
        <v>134</v>
      </c>
      <c r="AF387" s="2">
        <v>45518</v>
      </c>
      <c r="AG387" s="2">
        <v>46008</v>
      </c>
      <c r="AH387" s="1">
        <v>1318.23</v>
      </c>
      <c r="AI387" s="1">
        <v>2190.69</v>
      </c>
      <c r="AJ387" s="1">
        <v>6591.16</v>
      </c>
      <c r="AK387">
        <v>0</v>
      </c>
      <c r="AL387">
        <v>0</v>
      </c>
      <c r="AM387">
        <v>0</v>
      </c>
      <c r="AN387" t="s">
        <v>135</v>
      </c>
      <c r="AO387" t="s">
        <v>135</v>
      </c>
      <c r="AP387" t="s">
        <v>136</v>
      </c>
      <c r="AQ387" t="s">
        <v>137</v>
      </c>
      <c r="AR387" t="s">
        <v>138</v>
      </c>
      <c r="AS387" t="s">
        <v>139</v>
      </c>
      <c r="AT387" t="s">
        <v>140</v>
      </c>
      <c r="AU387">
        <v>100</v>
      </c>
      <c r="AV387">
        <v>10</v>
      </c>
      <c r="AW387">
        <v>1</v>
      </c>
      <c r="AX387" s="2">
        <v>45817</v>
      </c>
      <c r="AY387" t="s">
        <v>141</v>
      </c>
      <c r="AZ387" s="2">
        <v>46027</v>
      </c>
      <c r="BA387">
        <v>0</v>
      </c>
      <c r="BB387">
        <v>0</v>
      </c>
      <c r="BC387">
        <v>0</v>
      </c>
      <c r="BD387">
        <v>700</v>
      </c>
      <c r="BE387">
        <v>70</v>
      </c>
      <c r="BF387">
        <v>9</v>
      </c>
      <c r="BG387" s="2">
        <v>45536</v>
      </c>
      <c r="BH387" t="s">
        <v>142</v>
      </c>
      <c r="BI387" s="2">
        <v>46026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s="1">
        <v>4219.1899999999996</v>
      </c>
      <c r="BQ387" s="1">
        <v>4219.1899999999996</v>
      </c>
      <c r="BR387">
        <v>0</v>
      </c>
      <c r="BS387">
        <v>0</v>
      </c>
      <c r="BT387">
        <v>0</v>
      </c>
      <c r="BU387">
        <v>0</v>
      </c>
      <c r="BV387" s="1">
        <v>2110.83</v>
      </c>
      <c r="BW387" s="1">
        <v>2110.83</v>
      </c>
      <c r="BX387">
        <v>0</v>
      </c>
      <c r="BY387">
        <v>0</v>
      </c>
      <c r="BZ387">
        <v>0</v>
      </c>
      <c r="CA387">
        <v>0</v>
      </c>
      <c r="CB387" s="1">
        <v>1611.86</v>
      </c>
      <c r="CC387" t="s">
        <v>161</v>
      </c>
    </row>
    <row r="388" spans="1:81" x14ac:dyDescent="0.25">
      <c r="A388">
        <v>345</v>
      </c>
      <c r="B388">
        <v>2</v>
      </c>
      <c r="C388">
        <v>606</v>
      </c>
      <c r="D388" t="s">
        <v>2252</v>
      </c>
      <c r="E388" t="s">
        <v>121</v>
      </c>
      <c r="F388" t="s">
        <v>2253</v>
      </c>
      <c r="G388" t="s">
        <v>2254</v>
      </c>
      <c r="H388" t="s">
        <v>2255</v>
      </c>
      <c r="I388" t="s">
        <v>2256</v>
      </c>
      <c r="J388" t="s">
        <v>2257</v>
      </c>
      <c r="K388" t="s">
        <v>336</v>
      </c>
      <c r="L388" t="s">
        <v>128</v>
      </c>
      <c r="M388" t="s">
        <v>337</v>
      </c>
      <c r="N388" t="s">
        <v>2258</v>
      </c>
      <c r="O388" t="s">
        <v>167</v>
      </c>
      <c r="P388">
        <v>0</v>
      </c>
      <c r="Q388" t="s">
        <v>125</v>
      </c>
      <c r="R388">
        <v>6</v>
      </c>
      <c r="S388">
        <v>36</v>
      </c>
      <c r="T388" t="s">
        <v>132</v>
      </c>
      <c r="U388" t="s">
        <v>133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134</v>
      </c>
      <c r="AE388" t="s">
        <v>134</v>
      </c>
      <c r="AF388" s="2">
        <v>45518</v>
      </c>
      <c r="AG388" s="2">
        <v>46017</v>
      </c>
      <c r="AH388">
        <v>564.20000000000005</v>
      </c>
      <c r="AI388" s="1">
        <v>1565.64</v>
      </c>
      <c r="AJ388" s="1">
        <v>7334.69</v>
      </c>
      <c r="AK388">
        <v>0</v>
      </c>
      <c r="AL388">
        <v>0</v>
      </c>
      <c r="AM388">
        <v>0</v>
      </c>
      <c r="AN388" t="s">
        <v>135</v>
      </c>
      <c r="AO388" t="s">
        <v>135</v>
      </c>
      <c r="AP388" t="s">
        <v>136</v>
      </c>
      <c r="AQ388" t="s">
        <v>137</v>
      </c>
      <c r="AR388" t="s">
        <v>138</v>
      </c>
      <c r="AS388" t="s">
        <v>139</v>
      </c>
      <c r="AT388" t="s">
        <v>140</v>
      </c>
      <c r="AU388">
        <v>101</v>
      </c>
      <c r="AV388">
        <v>10</v>
      </c>
      <c r="AW388">
        <v>1</v>
      </c>
      <c r="AX388" s="2">
        <v>45876</v>
      </c>
      <c r="AY388" t="s">
        <v>308</v>
      </c>
      <c r="AZ388" s="2">
        <v>46023</v>
      </c>
      <c r="BA388">
        <v>0</v>
      </c>
      <c r="BB388">
        <v>0</v>
      </c>
      <c r="BC388">
        <v>0</v>
      </c>
      <c r="BD388">
        <v>700</v>
      </c>
      <c r="BE388">
        <v>70</v>
      </c>
      <c r="BF388">
        <v>9</v>
      </c>
      <c r="BG388" s="2">
        <v>45536</v>
      </c>
      <c r="BH388" t="s">
        <v>142</v>
      </c>
      <c r="BI388" s="2">
        <v>46026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s="1">
        <v>2055.84</v>
      </c>
      <c r="BQ388" s="1">
        <v>2055.84</v>
      </c>
      <c r="BR388">
        <v>0</v>
      </c>
      <c r="BS388">
        <v>0</v>
      </c>
      <c r="BT388">
        <v>0</v>
      </c>
      <c r="BU388">
        <v>0</v>
      </c>
      <c r="BV388" s="1">
        <v>3083.25</v>
      </c>
      <c r="BW388" s="1">
        <v>3083.25</v>
      </c>
      <c r="BX388">
        <v>0</v>
      </c>
      <c r="BY388">
        <v>0</v>
      </c>
      <c r="BZ388">
        <v>0</v>
      </c>
      <c r="CA388">
        <v>0</v>
      </c>
      <c r="CB388" s="1">
        <v>2122.75</v>
      </c>
      <c r="CC388" t="s">
        <v>161</v>
      </c>
    </row>
    <row r="389" spans="1:81" x14ac:dyDescent="0.25">
      <c r="A389">
        <v>345</v>
      </c>
      <c r="B389">
        <v>2</v>
      </c>
      <c r="C389">
        <v>607</v>
      </c>
      <c r="D389" t="s">
        <v>2259</v>
      </c>
      <c r="E389" t="s">
        <v>121</v>
      </c>
      <c r="F389" t="s">
        <v>2260</v>
      </c>
      <c r="G389" t="s">
        <v>2261</v>
      </c>
      <c r="H389" t="s">
        <v>2262</v>
      </c>
      <c r="I389" t="s">
        <v>2263</v>
      </c>
      <c r="J389" t="s">
        <v>2264</v>
      </c>
      <c r="K389" t="s">
        <v>466</v>
      </c>
      <c r="L389" t="s">
        <v>128</v>
      </c>
      <c r="M389" t="s">
        <v>467</v>
      </c>
      <c r="N389" t="s">
        <v>2265</v>
      </c>
      <c r="O389" t="s">
        <v>131</v>
      </c>
      <c r="P389">
        <v>0</v>
      </c>
      <c r="Q389" t="s">
        <v>125</v>
      </c>
      <c r="R389">
        <v>6</v>
      </c>
      <c r="S389">
        <v>40</v>
      </c>
      <c r="T389" t="s">
        <v>132</v>
      </c>
      <c r="U389" t="s">
        <v>133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134</v>
      </c>
      <c r="AE389" t="s">
        <v>134</v>
      </c>
      <c r="AF389" s="2">
        <v>45518</v>
      </c>
      <c r="AG389" s="2">
        <v>46007</v>
      </c>
      <c r="AH389">
        <v>404.56</v>
      </c>
      <c r="AI389">
        <v>569.29999999999995</v>
      </c>
      <c r="AJ389" s="1">
        <v>3236.51</v>
      </c>
      <c r="AK389">
        <v>0</v>
      </c>
      <c r="AL389">
        <v>569.29999999999995</v>
      </c>
      <c r="AM389">
        <v>0</v>
      </c>
      <c r="AN389" t="s">
        <v>135</v>
      </c>
      <c r="AO389" t="s">
        <v>135</v>
      </c>
      <c r="AP389" t="s">
        <v>136</v>
      </c>
      <c r="AQ389" t="s">
        <v>137</v>
      </c>
      <c r="AR389" t="s">
        <v>138</v>
      </c>
      <c r="AS389" t="s">
        <v>139</v>
      </c>
      <c r="AT389" t="s">
        <v>140</v>
      </c>
      <c r="AU389">
        <v>105</v>
      </c>
      <c r="AV389">
        <v>10</v>
      </c>
      <c r="AW389">
        <v>1</v>
      </c>
      <c r="AX389" s="2">
        <v>45810</v>
      </c>
      <c r="AY389" t="s">
        <v>141</v>
      </c>
      <c r="AZ389" s="2">
        <v>46027</v>
      </c>
      <c r="BA389">
        <v>0</v>
      </c>
      <c r="BB389">
        <v>0</v>
      </c>
      <c r="BC389">
        <v>0</v>
      </c>
      <c r="BD389">
        <v>700</v>
      </c>
      <c r="BE389">
        <v>70</v>
      </c>
      <c r="BF389">
        <v>9</v>
      </c>
      <c r="BG389" s="2">
        <v>45536</v>
      </c>
      <c r="BH389" t="s">
        <v>142</v>
      </c>
      <c r="BI389" s="2">
        <v>46026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636.61</v>
      </c>
      <c r="BQ389">
        <v>636.61</v>
      </c>
      <c r="BR389">
        <v>0</v>
      </c>
      <c r="BS389">
        <v>0</v>
      </c>
      <c r="BT389">
        <v>0</v>
      </c>
      <c r="BU389">
        <v>0</v>
      </c>
      <c r="BV389" s="1">
        <v>1569.39</v>
      </c>
      <c r="BW389" s="1">
        <v>1569.39</v>
      </c>
      <c r="BX389">
        <v>0</v>
      </c>
      <c r="BY389">
        <v>0</v>
      </c>
      <c r="BZ389">
        <v>0</v>
      </c>
      <c r="CA389">
        <v>0</v>
      </c>
      <c r="CB389">
        <v>762.86</v>
      </c>
      <c r="CC389" t="s">
        <v>143</v>
      </c>
    </row>
    <row r="390" spans="1:81" x14ac:dyDescent="0.25">
      <c r="A390">
        <v>345</v>
      </c>
      <c r="B390">
        <v>2</v>
      </c>
      <c r="C390">
        <v>609</v>
      </c>
      <c r="D390" t="s">
        <v>2266</v>
      </c>
      <c r="E390" t="s">
        <v>121</v>
      </c>
      <c r="F390" t="s">
        <v>2267</v>
      </c>
      <c r="G390" t="s">
        <v>2268</v>
      </c>
      <c r="H390" t="s">
        <v>2269</v>
      </c>
      <c r="I390" t="s">
        <v>125</v>
      </c>
      <c r="J390" t="s">
        <v>459</v>
      </c>
      <c r="K390" t="s">
        <v>336</v>
      </c>
      <c r="L390" t="s">
        <v>128</v>
      </c>
      <c r="M390" t="s">
        <v>337</v>
      </c>
      <c r="N390" t="s">
        <v>2270</v>
      </c>
      <c r="O390" t="s">
        <v>167</v>
      </c>
      <c r="P390">
        <v>0</v>
      </c>
      <c r="Q390" t="s">
        <v>125</v>
      </c>
      <c r="R390">
        <v>3</v>
      </c>
      <c r="S390">
        <v>83</v>
      </c>
      <c r="T390" t="s">
        <v>132</v>
      </c>
      <c r="U390" t="s">
        <v>133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134</v>
      </c>
      <c r="AE390" t="s">
        <v>134</v>
      </c>
      <c r="AF390" s="2">
        <v>45518</v>
      </c>
      <c r="AG390" s="2">
        <v>45824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t="s">
        <v>135</v>
      </c>
      <c r="AO390" t="s">
        <v>135</v>
      </c>
      <c r="AP390" t="s">
        <v>136</v>
      </c>
      <c r="AQ390" t="s">
        <v>137</v>
      </c>
      <c r="AR390" t="s">
        <v>138</v>
      </c>
      <c r="AS390" t="s">
        <v>139</v>
      </c>
      <c r="AT390" t="s">
        <v>140</v>
      </c>
      <c r="AU390">
        <v>100</v>
      </c>
      <c r="AV390">
        <v>10</v>
      </c>
      <c r="AW390">
        <v>1</v>
      </c>
      <c r="AX390" t="s">
        <v>135</v>
      </c>
      <c r="AY390" t="s">
        <v>250</v>
      </c>
      <c r="AZ390" t="s">
        <v>135</v>
      </c>
      <c r="BA390">
        <v>0</v>
      </c>
      <c r="BB390">
        <v>0</v>
      </c>
      <c r="BC390">
        <v>0</v>
      </c>
      <c r="BD390">
        <v>999</v>
      </c>
      <c r="BE390">
        <v>99</v>
      </c>
      <c r="BF390">
        <v>9</v>
      </c>
      <c r="BG390" t="s">
        <v>135</v>
      </c>
      <c r="BH390" t="s">
        <v>250</v>
      </c>
      <c r="BI390" t="s">
        <v>135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 t="s">
        <v>161</v>
      </c>
    </row>
    <row r="391" spans="1:81" x14ac:dyDescent="0.25">
      <c r="A391">
        <v>345</v>
      </c>
      <c r="B391">
        <v>2</v>
      </c>
      <c r="C391">
        <v>610</v>
      </c>
      <c r="D391" t="s">
        <v>2271</v>
      </c>
      <c r="E391" t="s">
        <v>121</v>
      </c>
      <c r="F391" t="s">
        <v>2272</v>
      </c>
      <c r="G391" t="s">
        <v>2273</v>
      </c>
      <c r="H391" t="s">
        <v>2274</v>
      </c>
      <c r="I391" t="s">
        <v>2275</v>
      </c>
      <c r="J391" t="s">
        <v>126</v>
      </c>
      <c r="K391" t="s">
        <v>336</v>
      </c>
      <c r="L391" t="s">
        <v>128</v>
      </c>
      <c r="M391" t="s">
        <v>337</v>
      </c>
      <c r="N391" t="s">
        <v>2276</v>
      </c>
      <c r="O391" t="s">
        <v>159</v>
      </c>
      <c r="P391">
        <v>0</v>
      </c>
      <c r="Q391" t="s">
        <v>125</v>
      </c>
      <c r="R391">
        <v>6</v>
      </c>
      <c r="S391">
        <v>39</v>
      </c>
      <c r="T391" t="s">
        <v>132</v>
      </c>
      <c r="U391" t="s">
        <v>133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134</v>
      </c>
      <c r="AE391" t="s">
        <v>134</v>
      </c>
      <c r="AF391" s="2">
        <v>45518</v>
      </c>
      <c r="AG391" s="2">
        <v>46008</v>
      </c>
      <c r="AH391">
        <v>435.88</v>
      </c>
      <c r="AI391">
        <v>679.83</v>
      </c>
      <c r="AJ391" s="1">
        <v>2179.4</v>
      </c>
      <c r="AK391">
        <v>0</v>
      </c>
      <c r="AL391">
        <v>0</v>
      </c>
      <c r="AM391">
        <v>0</v>
      </c>
      <c r="AN391" t="s">
        <v>135</v>
      </c>
      <c r="AO391" t="s">
        <v>135</v>
      </c>
      <c r="AP391" t="s">
        <v>136</v>
      </c>
      <c r="AQ391" t="s">
        <v>137</v>
      </c>
      <c r="AR391" t="s">
        <v>138</v>
      </c>
      <c r="AS391" t="s">
        <v>150</v>
      </c>
      <c r="AT391" t="s">
        <v>140</v>
      </c>
      <c r="AU391">
        <v>501</v>
      </c>
      <c r="AV391">
        <v>10</v>
      </c>
      <c r="AW391">
        <v>1</v>
      </c>
      <c r="AX391" s="2">
        <v>45860</v>
      </c>
      <c r="AY391" t="s">
        <v>377</v>
      </c>
      <c r="AZ391" s="2">
        <v>46028</v>
      </c>
      <c r="BA391">
        <v>0</v>
      </c>
      <c r="BB391">
        <v>0</v>
      </c>
      <c r="BC391">
        <v>0</v>
      </c>
      <c r="BD391">
        <v>700</v>
      </c>
      <c r="BE391">
        <v>70</v>
      </c>
      <c r="BF391">
        <v>9</v>
      </c>
      <c r="BG391" s="2">
        <v>45536</v>
      </c>
      <c r="BH391" t="s">
        <v>142</v>
      </c>
      <c r="BI391" s="2">
        <v>46026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637.63</v>
      </c>
      <c r="BQ391">
        <v>637.63</v>
      </c>
      <c r="BR391">
        <v>0</v>
      </c>
      <c r="BS391">
        <v>0</v>
      </c>
      <c r="BT391">
        <v>0</v>
      </c>
      <c r="BU391">
        <v>0</v>
      </c>
      <c r="BV391">
        <v>679.83</v>
      </c>
      <c r="BW391">
        <v>679.83</v>
      </c>
      <c r="BX391">
        <v>0</v>
      </c>
      <c r="BY391">
        <v>0</v>
      </c>
      <c r="BZ391">
        <v>0</v>
      </c>
      <c r="CA391">
        <v>0</v>
      </c>
      <c r="CB391">
        <v>812.39</v>
      </c>
      <c r="CC391" t="s">
        <v>161</v>
      </c>
    </row>
    <row r="392" spans="1:81" x14ac:dyDescent="0.25">
      <c r="A392">
        <v>345</v>
      </c>
      <c r="B392">
        <v>2</v>
      </c>
      <c r="C392">
        <v>611</v>
      </c>
      <c r="D392" t="s">
        <v>2277</v>
      </c>
      <c r="E392" t="s">
        <v>121</v>
      </c>
      <c r="F392" t="s">
        <v>2278</v>
      </c>
      <c r="G392" t="s">
        <v>2279</v>
      </c>
      <c r="H392" t="s">
        <v>2280</v>
      </c>
      <c r="I392" t="s">
        <v>2281</v>
      </c>
      <c r="J392" t="s">
        <v>459</v>
      </c>
      <c r="K392" t="s">
        <v>336</v>
      </c>
      <c r="L392" t="s">
        <v>128</v>
      </c>
      <c r="M392" t="s">
        <v>337</v>
      </c>
      <c r="N392" t="s">
        <v>2282</v>
      </c>
      <c r="O392" t="s">
        <v>131</v>
      </c>
      <c r="P392">
        <v>0</v>
      </c>
      <c r="Q392" t="s">
        <v>125</v>
      </c>
      <c r="R392">
        <v>6</v>
      </c>
      <c r="S392">
        <v>39</v>
      </c>
      <c r="T392" t="s">
        <v>132</v>
      </c>
      <c r="U392" t="s">
        <v>133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134</v>
      </c>
      <c r="AE392" t="s">
        <v>134</v>
      </c>
      <c r="AF392" s="2">
        <v>45518</v>
      </c>
      <c r="AG392" s="2">
        <v>46007</v>
      </c>
      <c r="AH392">
        <v>306.32</v>
      </c>
      <c r="AI392">
        <v>503.4</v>
      </c>
      <c r="AJ392" s="1">
        <v>1837.92</v>
      </c>
      <c r="AK392">
        <v>0</v>
      </c>
      <c r="AL392">
        <v>0</v>
      </c>
      <c r="AM392">
        <v>0</v>
      </c>
      <c r="AN392" t="s">
        <v>135</v>
      </c>
      <c r="AO392" t="s">
        <v>135</v>
      </c>
      <c r="AP392" t="s">
        <v>136</v>
      </c>
      <c r="AQ392" t="s">
        <v>137</v>
      </c>
      <c r="AR392" t="s">
        <v>138</v>
      </c>
      <c r="AS392" t="s">
        <v>139</v>
      </c>
      <c r="AT392" t="s">
        <v>140</v>
      </c>
      <c r="AU392">
        <v>100</v>
      </c>
      <c r="AV392">
        <v>10</v>
      </c>
      <c r="AW392">
        <v>1</v>
      </c>
      <c r="AX392" s="2">
        <v>45859</v>
      </c>
      <c r="AY392" t="s">
        <v>141</v>
      </c>
      <c r="AZ392" s="2">
        <v>46027</v>
      </c>
      <c r="BA392">
        <v>0</v>
      </c>
      <c r="BB392">
        <v>0</v>
      </c>
      <c r="BC392">
        <v>0</v>
      </c>
      <c r="BD392">
        <v>700</v>
      </c>
      <c r="BE392">
        <v>70</v>
      </c>
      <c r="BF392">
        <v>9</v>
      </c>
      <c r="BG392" s="2">
        <v>45866</v>
      </c>
      <c r="BH392" t="s">
        <v>141</v>
      </c>
      <c r="BI392" s="2">
        <v>46034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234.33</v>
      </c>
      <c r="BQ392">
        <v>234.33</v>
      </c>
      <c r="BR392">
        <v>0</v>
      </c>
      <c r="BS392">
        <v>0</v>
      </c>
      <c r="BT392">
        <v>0</v>
      </c>
      <c r="BU392">
        <v>0</v>
      </c>
      <c r="BV392">
        <v>967.81</v>
      </c>
      <c r="BW392">
        <v>967.81</v>
      </c>
      <c r="BX392">
        <v>0</v>
      </c>
      <c r="BY392">
        <v>0</v>
      </c>
      <c r="BZ392">
        <v>0</v>
      </c>
      <c r="CA392">
        <v>0</v>
      </c>
      <c r="CB392">
        <v>455.26</v>
      </c>
      <c r="CC392" t="s">
        <v>143</v>
      </c>
    </row>
    <row r="393" spans="1:81" x14ac:dyDescent="0.25">
      <c r="A393">
        <v>345</v>
      </c>
      <c r="B393">
        <v>2</v>
      </c>
      <c r="C393">
        <v>612</v>
      </c>
      <c r="D393" t="s">
        <v>2283</v>
      </c>
      <c r="E393" t="s">
        <v>121</v>
      </c>
      <c r="F393" t="s">
        <v>2284</v>
      </c>
      <c r="G393" t="s">
        <v>2285</v>
      </c>
      <c r="H393" t="s">
        <v>2114</v>
      </c>
      <c r="I393" t="s">
        <v>2286</v>
      </c>
      <c r="J393" t="s">
        <v>688</v>
      </c>
      <c r="K393" t="s">
        <v>336</v>
      </c>
      <c r="L393" t="s">
        <v>128</v>
      </c>
      <c r="M393" t="s">
        <v>337</v>
      </c>
      <c r="N393" t="s">
        <v>2287</v>
      </c>
      <c r="O393" t="s">
        <v>131</v>
      </c>
      <c r="P393">
        <v>0</v>
      </c>
      <c r="Q393" t="s">
        <v>125</v>
      </c>
      <c r="R393">
        <v>2</v>
      </c>
      <c r="S393">
        <v>92</v>
      </c>
      <c r="T393" t="s">
        <v>132</v>
      </c>
      <c r="U393" t="s">
        <v>133</v>
      </c>
      <c r="V393" s="1">
        <v>4470</v>
      </c>
      <c r="W393">
        <v>0</v>
      </c>
      <c r="X393" s="1">
        <v>4470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134</v>
      </c>
      <c r="AE393" t="s">
        <v>134</v>
      </c>
      <c r="AF393" s="2">
        <v>45518</v>
      </c>
      <c r="AG393" s="2">
        <v>46020</v>
      </c>
      <c r="AH393" s="1">
        <v>2913.3</v>
      </c>
      <c r="AI393" s="1">
        <v>5703.69</v>
      </c>
      <c r="AJ393" s="1">
        <v>34959.71</v>
      </c>
      <c r="AK393">
        <v>0</v>
      </c>
      <c r="AL393">
        <v>0</v>
      </c>
      <c r="AM393">
        <v>0</v>
      </c>
      <c r="AN393" t="s">
        <v>135</v>
      </c>
      <c r="AO393" t="s">
        <v>135</v>
      </c>
      <c r="AP393" t="s">
        <v>136</v>
      </c>
      <c r="AQ393" t="s">
        <v>137</v>
      </c>
      <c r="AR393" t="s">
        <v>138</v>
      </c>
      <c r="AS393" t="s">
        <v>139</v>
      </c>
      <c r="AT393" t="s">
        <v>140</v>
      </c>
      <c r="AU393">
        <v>102</v>
      </c>
      <c r="AV393">
        <v>10</v>
      </c>
      <c r="AW393">
        <v>1</v>
      </c>
      <c r="AX393" s="2">
        <v>45842</v>
      </c>
      <c r="AY393" t="s">
        <v>151</v>
      </c>
      <c r="AZ393" s="2">
        <v>46024</v>
      </c>
      <c r="BA393">
        <v>0</v>
      </c>
      <c r="BB393">
        <v>0</v>
      </c>
      <c r="BC393">
        <v>0</v>
      </c>
      <c r="BD393">
        <v>700</v>
      </c>
      <c r="BE393">
        <v>70</v>
      </c>
      <c r="BF393">
        <v>9</v>
      </c>
      <c r="BG393" s="2">
        <v>45536</v>
      </c>
      <c r="BH393" t="s">
        <v>142</v>
      </c>
      <c r="BI393" s="2">
        <v>46026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s="1">
        <v>12447</v>
      </c>
      <c r="BQ393" s="1">
        <v>13593</v>
      </c>
      <c r="BR393">
        <v>0</v>
      </c>
      <c r="BS393">
        <v>0</v>
      </c>
      <c r="BT393">
        <v>0</v>
      </c>
      <c r="BU393">
        <v>0</v>
      </c>
      <c r="BV393" s="1">
        <v>13860.69</v>
      </c>
      <c r="BW393" s="1">
        <v>13860.69</v>
      </c>
      <c r="BX393">
        <v>0</v>
      </c>
      <c r="BY393">
        <v>0</v>
      </c>
      <c r="BZ393">
        <v>0</v>
      </c>
      <c r="CA393">
        <v>0</v>
      </c>
      <c r="CB393" s="1">
        <v>11118.65</v>
      </c>
      <c r="CC393" t="s">
        <v>143</v>
      </c>
    </row>
    <row r="394" spans="1:81" x14ac:dyDescent="0.25">
      <c r="A394">
        <v>345</v>
      </c>
      <c r="B394">
        <v>2</v>
      </c>
      <c r="C394">
        <v>614</v>
      </c>
      <c r="D394" t="s">
        <v>2288</v>
      </c>
      <c r="E394" t="s">
        <v>121</v>
      </c>
      <c r="F394" t="s">
        <v>2289</v>
      </c>
      <c r="G394" t="s">
        <v>2290</v>
      </c>
      <c r="H394" t="s">
        <v>2291</v>
      </c>
      <c r="I394" t="s">
        <v>125</v>
      </c>
      <c r="J394" t="s">
        <v>572</v>
      </c>
      <c r="K394" t="s">
        <v>466</v>
      </c>
      <c r="L394" t="s">
        <v>128</v>
      </c>
      <c r="M394" t="s">
        <v>467</v>
      </c>
      <c r="N394" t="s">
        <v>2292</v>
      </c>
      <c r="O394" t="s">
        <v>195</v>
      </c>
      <c r="P394">
        <v>0</v>
      </c>
      <c r="Q394" t="s">
        <v>125</v>
      </c>
      <c r="R394">
        <v>6</v>
      </c>
      <c r="S394">
        <v>36</v>
      </c>
      <c r="T394" t="s">
        <v>132</v>
      </c>
      <c r="U394" t="s">
        <v>133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134</v>
      </c>
      <c r="AE394" t="s">
        <v>134</v>
      </c>
      <c r="AF394" s="2">
        <v>45518</v>
      </c>
      <c r="AG394" s="2">
        <v>45990</v>
      </c>
      <c r="AH394">
        <v>659.88</v>
      </c>
      <c r="AI394">
        <v>744.3</v>
      </c>
      <c r="AJ394" s="1">
        <v>1979.64</v>
      </c>
      <c r="AK394">
        <v>0</v>
      </c>
      <c r="AL394">
        <v>0</v>
      </c>
      <c r="AM394">
        <v>0</v>
      </c>
      <c r="AN394" t="s">
        <v>135</v>
      </c>
      <c r="AO394" t="s">
        <v>135</v>
      </c>
      <c r="AP394" t="s">
        <v>136</v>
      </c>
      <c r="AQ394" t="s">
        <v>137</v>
      </c>
      <c r="AR394" t="s">
        <v>138</v>
      </c>
      <c r="AS394" t="s">
        <v>139</v>
      </c>
      <c r="AT394" t="s">
        <v>140</v>
      </c>
      <c r="AU394">
        <v>100</v>
      </c>
      <c r="AV394">
        <v>10</v>
      </c>
      <c r="AW394">
        <v>1</v>
      </c>
      <c r="AX394" s="2">
        <v>45534</v>
      </c>
      <c r="AY394" t="s">
        <v>151</v>
      </c>
      <c r="AZ394" s="2">
        <v>46024</v>
      </c>
      <c r="BA394">
        <v>0</v>
      </c>
      <c r="BB394">
        <v>0</v>
      </c>
      <c r="BC394">
        <v>0</v>
      </c>
      <c r="BD394">
        <v>700</v>
      </c>
      <c r="BE394">
        <v>70</v>
      </c>
      <c r="BF394">
        <v>9</v>
      </c>
      <c r="BG394" s="2">
        <v>45536</v>
      </c>
      <c r="BH394" t="s">
        <v>142</v>
      </c>
      <c r="BI394" s="2">
        <v>46026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s="1">
        <v>1235.3399999999999</v>
      </c>
      <c r="BQ394" s="1">
        <v>1235.3399999999999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659.88</v>
      </c>
      <c r="CC394" t="s">
        <v>161</v>
      </c>
    </row>
    <row r="395" spans="1:81" x14ac:dyDescent="0.25">
      <c r="A395">
        <v>345</v>
      </c>
      <c r="B395">
        <v>2</v>
      </c>
      <c r="C395">
        <v>615</v>
      </c>
      <c r="D395" t="s">
        <v>2293</v>
      </c>
      <c r="E395" t="s">
        <v>121</v>
      </c>
      <c r="F395" t="s">
        <v>2294</v>
      </c>
      <c r="G395" t="s">
        <v>2295</v>
      </c>
      <c r="H395" t="s">
        <v>2296</v>
      </c>
      <c r="I395" t="s">
        <v>334</v>
      </c>
      <c r="J395" t="s">
        <v>335</v>
      </c>
      <c r="K395" t="s">
        <v>336</v>
      </c>
      <c r="L395" t="s">
        <v>128</v>
      </c>
      <c r="M395" t="s">
        <v>337</v>
      </c>
      <c r="N395" t="s">
        <v>2297</v>
      </c>
      <c r="O395" t="s">
        <v>167</v>
      </c>
      <c r="P395">
        <v>0</v>
      </c>
      <c r="Q395" t="s">
        <v>125</v>
      </c>
      <c r="R395">
        <v>6</v>
      </c>
      <c r="S395">
        <v>39</v>
      </c>
      <c r="T395" t="s">
        <v>132</v>
      </c>
      <c r="U395" t="s">
        <v>133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134</v>
      </c>
      <c r="AE395" t="s">
        <v>134</v>
      </c>
      <c r="AF395" s="2">
        <v>45518</v>
      </c>
      <c r="AG395" s="2">
        <v>45985</v>
      </c>
      <c r="AH395">
        <v>404.72</v>
      </c>
      <c r="AI395">
        <v>530.89</v>
      </c>
      <c r="AJ395" s="1">
        <v>1214.17</v>
      </c>
      <c r="AK395">
        <v>0</v>
      </c>
      <c r="AL395">
        <v>0</v>
      </c>
      <c r="AM395">
        <v>0</v>
      </c>
      <c r="AN395" t="s">
        <v>135</v>
      </c>
      <c r="AO395" t="s">
        <v>135</v>
      </c>
      <c r="AP395" t="s">
        <v>136</v>
      </c>
      <c r="AQ395" t="s">
        <v>137</v>
      </c>
      <c r="AR395" t="s">
        <v>138</v>
      </c>
      <c r="AS395" t="s">
        <v>150</v>
      </c>
      <c r="AT395" t="s">
        <v>140</v>
      </c>
      <c r="AU395">
        <v>101</v>
      </c>
      <c r="AV395">
        <v>10</v>
      </c>
      <c r="AW395">
        <v>1</v>
      </c>
      <c r="AX395" s="2">
        <v>45856</v>
      </c>
      <c r="AY395" t="s">
        <v>151</v>
      </c>
      <c r="AZ395" s="2">
        <v>46024</v>
      </c>
      <c r="BA395">
        <v>0</v>
      </c>
      <c r="BB395">
        <v>0</v>
      </c>
      <c r="BC395">
        <v>0</v>
      </c>
      <c r="BD395">
        <v>700</v>
      </c>
      <c r="BE395">
        <v>70</v>
      </c>
      <c r="BF395">
        <v>9</v>
      </c>
      <c r="BG395" s="2">
        <v>45536</v>
      </c>
      <c r="BH395" t="s">
        <v>142</v>
      </c>
      <c r="BI395" s="2">
        <v>46026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530.89</v>
      </c>
      <c r="BQ395">
        <v>530.89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718.73</v>
      </c>
      <c r="CC395" t="s">
        <v>161</v>
      </c>
    </row>
    <row r="396" spans="1:81" x14ac:dyDescent="0.25">
      <c r="A396">
        <v>345</v>
      </c>
      <c r="B396">
        <v>2</v>
      </c>
      <c r="C396">
        <v>616</v>
      </c>
      <c r="D396" t="s">
        <v>2298</v>
      </c>
      <c r="E396" t="s">
        <v>121</v>
      </c>
      <c r="F396" t="s">
        <v>2299</v>
      </c>
      <c r="G396" t="s">
        <v>2300</v>
      </c>
      <c r="H396" t="s">
        <v>2301</v>
      </c>
      <c r="I396" t="s">
        <v>125</v>
      </c>
      <c r="J396" t="s">
        <v>126</v>
      </c>
      <c r="K396" t="s">
        <v>466</v>
      </c>
      <c r="L396" t="s">
        <v>128</v>
      </c>
      <c r="M396" t="s">
        <v>467</v>
      </c>
      <c r="N396" t="s">
        <v>2302</v>
      </c>
      <c r="O396" t="s">
        <v>131</v>
      </c>
      <c r="P396">
        <v>0</v>
      </c>
      <c r="Q396" t="s">
        <v>125</v>
      </c>
      <c r="R396">
        <v>6</v>
      </c>
      <c r="S396">
        <v>41</v>
      </c>
      <c r="T396" t="s">
        <v>132</v>
      </c>
      <c r="U396" t="s">
        <v>133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134</v>
      </c>
      <c r="AE396" t="s">
        <v>134</v>
      </c>
      <c r="AF396" s="2">
        <v>45518</v>
      </c>
      <c r="AG396" s="2">
        <v>46004</v>
      </c>
      <c r="AH396">
        <v>129.21</v>
      </c>
      <c r="AI396">
        <v>225.53</v>
      </c>
      <c r="AJ396">
        <v>387.63</v>
      </c>
      <c r="AK396">
        <v>0</v>
      </c>
      <c r="AL396">
        <v>0</v>
      </c>
      <c r="AM396">
        <v>0</v>
      </c>
      <c r="AN396" t="s">
        <v>135</v>
      </c>
      <c r="AO396" t="s">
        <v>135</v>
      </c>
      <c r="AP396" t="s">
        <v>136</v>
      </c>
      <c r="AQ396" t="s">
        <v>137</v>
      </c>
      <c r="AR396" t="s">
        <v>138</v>
      </c>
      <c r="AS396" t="s">
        <v>139</v>
      </c>
      <c r="AT396" t="s">
        <v>140</v>
      </c>
      <c r="AU396">
        <v>105</v>
      </c>
      <c r="AV396">
        <v>10</v>
      </c>
      <c r="AW396">
        <v>1</v>
      </c>
      <c r="AX396" s="2">
        <v>45849</v>
      </c>
      <c r="AY396" t="s">
        <v>151</v>
      </c>
      <c r="AZ396" s="2">
        <v>46024</v>
      </c>
      <c r="BA396">
        <v>0</v>
      </c>
      <c r="BB396">
        <v>0</v>
      </c>
      <c r="BC396">
        <v>0</v>
      </c>
      <c r="BD396">
        <v>700</v>
      </c>
      <c r="BE396">
        <v>70</v>
      </c>
      <c r="BF396">
        <v>9</v>
      </c>
      <c r="BG396" s="2">
        <v>45536</v>
      </c>
      <c r="BH396" t="s">
        <v>142</v>
      </c>
      <c r="BI396" s="2">
        <v>46026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90.37</v>
      </c>
      <c r="BQ396">
        <v>90.37</v>
      </c>
      <c r="BR396">
        <v>0</v>
      </c>
      <c r="BS396">
        <v>0</v>
      </c>
      <c r="BT396">
        <v>0</v>
      </c>
      <c r="BU396">
        <v>0</v>
      </c>
      <c r="BV396">
        <v>225.53</v>
      </c>
      <c r="BW396">
        <v>225.53</v>
      </c>
      <c r="BX396">
        <v>0</v>
      </c>
      <c r="BY396">
        <v>0</v>
      </c>
      <c r="BZ396">
        <v>0</v>
      </c>
      <c r="CA396">
        <v>0</v>
      </c>
      <c r="CB396">
        <v>102.82</v>
      </c>
      <c r="CC396" t="s">
        <v>143</v>
      </c>
    </row>
    <row r="397" spans="1:81" x14ac:dyDescent="0.25">
      <c r="A397">
        <v>345</v>
      </c>
      <c r="B397">
        <v>2</v>
      </c>
      <c r="C397">
        <v>619</v>
      </c>
      <c r="D397" t="s">
        <v>2303</v>
      </c>
      <c r="E397" t="s">
        <v>121</v>
      </c>
      <c r="F397" t="s">
        <v>2304</v>
      </c>
      <c r="G397" t="s">
        <v>2305</v>
      </c>
      <c r="H397" t="s">
        <v>2306</v>
      </c>
      <c r="I397" t="s">
        <v>2307</v>
      </c>
      <c r="J397" t="s">
        <v>612</v>
      </c>
      <c r="K397" t="s">
        <v>473</v>
      </c>
      <c r="L397" t="s">
        <v>128</v>
      </c>
      <c r="M397" t="s">
        <v>474</v>
      </c>
      <c r="N397" t="s">
        <v>2308</v>
      </c>
      <c r="O397" t="s">
        <v>131</v>
      </c>
      <c r="P397">
        <v>0</v>
      </c>
      <c r="Q397" t="s">
        <v>125</v>
      </c>
      <c r="R397">
        <v>6</v>
      </c>
      <c r="S397">
        <v>39</v>
      </c>
      <c r="T397" t="s">
        <v>132</v>
      </c>
      <c r="U397" t="s">
        <v>133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134</v>
      </c>
      <c r="AE397" t="s">
        <v>134</v>
      </c>
      <c r="AF397" s="2">
        <v>45518</v>
      </c>
      <c r="AG397" s="2">
        <v>46008</v>
      </c>
      <c r="AH397">
        <v>555.05999999999995</v>
      </c>
      <c r="AI397" s="1">
        <v>1188.72</v>
      </c>
      <c r="AJ397" s="1">
        <v>3885.46</v>
      </c>
      <c r="AK397">
        <v>0</v>
      </c>
      <c r="AL397">
        <v>481.5</v>
      </c>
      <c r="AM397">
        <v>0</v>
      </c>
      <c r="AN397" t="s">
        <v>135</v>
      </c>
      <c r="AO397" t="s">
        <v>135</v>
      </c>
      <c r="AP397" t="s">
        <v>136</v>
      </c>
      <c r="AQ397" t="s">
        <v>137</v>
      </c>
      <c r="AR397" t="s">
        <v>138</v>
      </c>
      <c r="AS397" t="s">
        <v>139</v>
      </c>
      <c r="AT397" t="s">
        <v>140</v>
      </c>
      <c r="AU397">
        <v>102</v>
      </c>
      <c r="AV397">
        <v>10</v>
      </c>
      <c r="AW397">
        <v>1</v>
      </c>
      <c r="AX397" s="2">
        <v>45811</v>
      </c>
      <c r="AY397" t="s">
        <v>377</v>
      </c>
      <c r="AZ397" s="2">
        <v>46028</v>
      </c>
      <c r="BA397">
        <v>0</v>
      </c>
      <c r="BB397">
        <v>0</v>
      </c>
      <c r="BC397">
        <v>0</v>
      </c>
      <c r="BD397">
        <v>700</v>
      </c>
      <c r="BE397">
        <v>70</v>
      </c>
      <c r="BF397">
        <v>9</v>
      </c>
      <c r="BG397" s="2">
        <v>45536</v>
      </c>
      <c r="BH397" t="s">
        <v>142</v>
      </c>
      <c r="BI397" s="2">
        <v>46026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 s="1">
        <v>1481.83</v>
      </c>
      <c r="BQ397" s="1">
        <v>1481.83</v>
      </c>
      <c r="BR397">
        <v>0</v>
      </c>
      <c r="BS397">
        <v>0</v>
      </c>
      <c r="BT397">
        <v>0</v>
      </c>
      <c r="BU397">
        <v>0</v>
      </c>
      <c r="BV397" s="1">
        <v>1637.89</v>
      </c>
      <c r="BW397" s="1">
        <v>1637.89</v>
      </c>
      <c r="BX397">
        <v>0</v>
      </c>
      <c r="BY397">
        <v>0</v>
      </c>
      <c r="BZ397">
        <v>0</v>
      </c>
      <c r="CA397">
        <v>0</v>
      </c>
      <c r="CB397">
        <v>931.03</v>
      </c>
      <c r="CC397" t="s">
        <v>143</v>
      </c>
    </row>
    <row r="398" spans="1:81" x14ac:dyDescent="0.25">
      <c r="A398">
        <v>345</v>
      </c>
      <c r="B398">
        <v>2</v>
      </c>
      <c r="C398">
        <v>620</v>
      </c>
      <c r="D398" t="s">
        <v>2309</v>
      </c>
      <c r="E398" t="s">
        <v>121</v>
      </c>
      <c r="F398" t="s">
        <v>2310</v>
      </c>
      <c r="G398" t="s">
        <v>2311</v>
      </c>
      <c r="H398" t="s">
        <v>2312</v>
      </c>
      <c r="I398" t="s">
        <v>125</v>
      </c>
      <c r="J398" t="s">
        <v>667</v>
      </c>
      <c r="K398" t="s">
        <v>336</v>
      </c>
      <c r="L398" t="s">
        <v>128</v>
      </c>
      <c r="M398" t="s">
        <v>337</v>
      </c>
      <c r="N398" t="s">
        <v>2313</v>
      </c>
      <c r="O398" t="s">
        <v>131</v>
      </c>
      <c r="P398">
        <v>0</v>
      </c>
      <c r="Q398" t="s">
        <v>125</v>
      </c>
      <c r="R398">
        <v>6</v>
      </c>
      <c r="S398">
        <v>44</v>
      </c>
      <c r="T398" t="s">
        <v>132</v>
      </c>
      <c r="U398" t="s">
        <v>133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134</v>
      </c>
      <c r="AE398" t="s">
        <v>134</v>
      </c>
      <c r="AF398" s="2">
        <v>45518</v>
      </c>
      <c r="AG398" s="2">
        <v>46020</v>
      </c>
      <c r="AH398">
        <v>218.78</v>
      </c>
      <c r="AI398">
        <v>381.58</v>
      </c>
      <c r="AJ398" s="1">
        <v>1969.07</v>
      </c>
      <c r="AK398">
        <v>0</v>
      </c>
      <c r="AL398">
        <v>0</v>
      </c>
      <c r="AM398">
        <v>0</v>
      </c>
      <c r="AN398" t="s">
        <v>135</v>
      </c>
      <c r="AO398" t="s">
        <v>135</v>
      </c>
      <c r="AP398" t="s">
        <v>136</v>
      </c>
      <c r="AQ398" t="s">
        <v>137</v>
      </c>
      <c r="AR398" t="s">
        <v>138</v>
      </c>
      <c r="AS398" t="s">
        <v>150</v>
      </c>
      <c r="AT398" t="s">
        <v>140</v>
      </c>
      <c r="AU398">
        <v>101</v>
      </c>
      <c r="AV398">
        <v>10</v>
      </c>
      <c r="AW398">
        <v>1</v>
      </c>
      <c r="AX398" s="2">
        <v>45534</v>
      </c>
      <c r="AY398" t="s">
        <v>151</v>
      </c>
      <c r="AZ398" s="2">
        <v>46024</v>
      </c>
      <c r="BA398">
        <v>0</v>
      </c>
      <c r="BB398">
        <v>0</v>
      </c>
      <c r="BC398">
        <v>0</v>
      </c>
      <c r="BD398">
        <v>700</v>
      </c>
      <c r="BE398">
        <v>70</v>
      </c>
      <c r="BF398">
        <v>9</v>
      </c>
      <c r="BG398" s="2">
        <v>45536</v>
      </c>
      <c r="BH398" t="s">
        <v>142</v>
      </c>
      <c r="BI398" s="2">
        <v>46026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349.95</v>
      </c>
      <c r="BQ398">
        <v>349.95</v>
      </c>
      <c r="BR398">
        <v>0</v>
      </c>
      <c r="BS398">
        <v>0</v>
      </c>
      <c r="BT398">
        <v>0</v>
      </c>
      <c r="BU398">
        <v>0</v>
      </c>
      <c r="BV398" s="1">
        <v>1128.6300000000001</v>
      </c>
      <c r="BW398" s="1">
        <v>1128.6300000000001</v>
      </c>
      <c r="BX398">
        <v>0</v>
      </c>
      <c r="BY398">
        <v>0</v>
      </c>
      <c r="BZ398">
        <v>0</v>
      </c>
      <c r="CA398">
        <v>0</v>
      </c>
      <c r="CB398">
        <v>535.6</v>
      </c>
      <c r="CC398" t="s">
        <v>339</v>
      </c>
    </row>
    <row r="399" spans="1:81" x14ac:dyDescent="0.25">
      <c r="A399">
        <v>345</v>
      </c>
      <c r="B399">
        <v>2</v>
      </c>
      <c r="C399">
        <v>622</v>
      </c>
      <c r="D399" t="s">
        <v>2314</v>
      </c>
      <c r="E399" t="s">
        <v>121</v>
      </c>
      <c r="F399" t="s">
        <v>2315</v>
      </c>
      <c r="G399" t="s">
        <v>2316</v>
      </c>
      <c r="H399" t="s">
        <v>2317</v>
      </c>
      <c r="I399" t="s">
        <v>125</v>
      </c>
      <c r="J399" t="s">
        <v>1622</v>
      </c>
      <c r="K399" t="s">
        <v>336</v>
      </c>
      <c r="L399" t="s">
        <v>128</v>
      </c>
      <c r="M399" t="s">
        <v>337</v>
      </c>
      <c r="N399" t="s">
        <v>2318</v>
      </c>
      <c r="O399" t="s">
        <v>167</v>
      </c>
      <c r="P399">
        <v>0</v>
      </c>
      <c r="Q399" t="s">
        <v>125</v>
      </c>
      <c r="R399">
        <v>3</v>
      </c>
      <c r="S399">
        <v>84</v>
      </c>
      <c r="T399" t="s">
        <v>132</v>
      </c>
      <c r="U399" t="s">
        <v>133</v>
      </c>
      <c r="V399" s="1">
        <v>2300</v>
      </c>
      <c r="W399">
        <v>0</v>
      </c>
      <c r="X399" s="1">
        <v>2300</v>
      </c>
      <c r="Y399">
        <v>7</v>
      </c>
      <c r="Z399">
        <v>0</v>
      </c>
      <c r="AA399">
        <v>9</v>
      </c>
      <c r="AB399">
        <v>0</v>
      </c>
      <c r="AC399">
        <v>3</v>
      </c>
      <c r="AD399" t="s">
        <v>134</v>
      </c>
      <c r="AE399" t="s">
        <v>134</v>
      </c>
      <c r="AF399" s="2">
        <v>45518</v>
      </c>
      <c r="AG399" s="2">
        <v>46015</v>
      </c>
      <c r="AH399" s="1">
        <v>1046.6199999999999</v>
      </c>
      <c r="AI399" s="1">
        <v>1579.67</v>
      </c>
      <c r="AJ399" s="1">
        <v>14652.81</v>
      </c>
      <c r="AK399">
        <v>0</v>
      </c>
      <c r="AL399">
        <v>0</v>
      </c>
      <c r="AM399">
        <v>0</v>
      </c>
      <c r="AN399" t="s">
        <v>135</v>
      </c>
      <c r="AO399" t="s">
        <v>135</v>
      </c>
      <c r="AP399" t="s">
        <v>136</v>
      </c>
      <c r="AQ399" t="s">
        <v>137</v>
      </c>
      <c r="AR399" t="s">
        <v>138</v>
      </c>
      <c r="AS399" t="s">
        <v>150</v>
      </c>
      <c r="AT399" t="s">
        <v>140</v>
      </c>
      <c r="AU399">
        <v>101</v>
      </c>
      <c r="AV399">
        <v>10</v>
      </c>
      <c r="AW399">
        <v>1</v>
      </c>
      <c r="AX399" s="2">
        <v>45692</v>
      </c>
      <c r="AY399" t="s">
        <v>377</v>
      </c>
      <c r="AZ399" s="2">
        <v>46028</v>
      </c>
      <c r="BA399">
        <v>0</v>
      </c>
      <c r="BB399">
        <v>0</v>
      </c>
      <c r="BC399">
        <v>0</v>
      </c>
      <c r="BD399">
        <v>700</v>
      </c>
      <c r="BE399">
        <v>70</v>
      </c>
      <c r="BF399">
        <v>9</v>
      </c>
      <c r="BG399" s="2">
        <v>45536</v>
      </c>
      <c r="BH399" t="s">
        <v>142</v>
      </c>
      <c r="BI399" s="2">
        <v>46026</v>
      </c>
      <c r="BJ399">
        <v>0</v>
      </c>
      <c r="BK399">
        <v>0</v>
      </c>
      <c r="BL399">
        <v>0</v>
      </c>
      <c r="BM399">
        <v>6.17</v>
      </c>
      <c r="BN399">
        <v>4.1900000000000004</v>
      </c>
      <c r="BO399" s="1">
        <v>3192.2</v>
      </c>
      <c r="BP399" s="1">
        <v>1509.7</v>
      </c>
      <c r="BQ399" s="1">
        <v>4701.8999999999996</v>
      </c>
      <c r="BR399">
        <v>886.87</v>
      </c>
      <c r="BS399">
        <v>5</v>
      </c>
      <c r="BT399">
        <v>5</v>
      </c>
      <c r="BU399" s="1">
        <v>4006.89</v>
      </c>
      <c r="BV399">
        <v>0</v>
      </c>
      <c r="BW399" s="1">
        <v>4006.89</v>
      </c>
      <c r="BX399">
        <v>0</v>
      </c>
      <c r="BY399">
        <v>0</v>
      </c>
      <c r="BZ399">
        <v>0</v>
      </c>
      <c r="CA399">
        <v>0</v>
      </c>
      <c r="CB399" s="1">
        <v>5158.95</v>
      </c>
      <c r="CC399" t="s">
        <v>161</v>
      </c>
    </row>
    <row r="400" spans="1:81" x14ac:dyDescent="0.25">
      <c r="A400">
        <v>345</v>
      </c>
      <c r="B400">
        <v>2</v>
      </c>
      <c r="C400">
        <v>624</v>
      </c>
      <c r="D400" t="s">
        <v>2319</v>
      </c>
      <c r="E400" t="s">
        <v>121</v>
      </c>
      <c r="F400" t="s">
        <v>2320</v>
      </c>
      <c r="G400" t="s">
        <v>2321</v>
      </c>
      <c r="H400" t="s">
        <v>2322</v>
      </c>
      <c r="I400" t="s">
        <v>2323</v>
      </c>
      <c r="J400" t="s">
        <v>606</v>
      </c>
      <c r="K400" t="s">
        <v>336</v>
      </c>
      <c r="L400" t="s">
        <v>128</v>
      </c>
      <c r="M400" t="s">
        <v>337</v>
      </c>
      <c r="N400" t="s">
        <v>2324</v>
      </c>
      <c r="O400" t="s">
        <v>167</v>
      </c>
      <c r="P400">
        <v>0</v>
      </c>
      <c r="Q400" t="s">
        <v>125</v>
      </c>
      <c r="R400">
        <v>6</v>
      </c>
      <c r="S400">
        <v>37</v>
      </c>
      <c r="T400" t="s">
        <v>132</v>
      </c>
      <c r="U400" t="s">
        <v>133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134</v>
      </c>
      <c r="AE400" t="s">
        <v>134</v>
      </c>
      <c r="AF400" s="2">
        <v>45518</v>
      </c>
      <c r="AG400" s="2">
        <v>46001</v>
      </c>
      <c r="AH400">
        <v>211.2</v>
      </c>
      <c r="AI400">
        <v>355.79</v>
      </c>
      <c r="AJ400">
        <v>633.62</v>
      </c>
      <c r="AK400">
        <v>0</v>
      </c>
      <c r="AL400">
        <v>0</v>
      </c>
      <c r="AM400">
        <v>0</v>
      </c>
      <c r="AN400" t="s">
        <v>135</v>
      </c>
      <c r="AO400" t="s">
        <v>135</v>
      </c>
      <c r="AP400" t="s">
        <v>136</v>
      </c>
      <c r="AQ400" t="s">
        <v>137</v>
      </c>
      <c r="AR400" t="s">
        <v>138</v>
      </c>
      <c r="AS400" t="s">
        <v>139</v>
      </c>
      <c r="AT400" t="s">
        <v>140</v>
      </c>
      <c r="AU400">
        <v>101</v>
      </c>
      <c r="AV400">
        <v>10</v>
      </c>
      <c r="AW400">
        <v>1</v>
      </c>
      <c r="AX400" s="2">
        <v>45811</v>
      </c>
      <c r="AY400" t="s">
        <v>377</v>
      </c>
      <c r="AZ400" s="2">
        <v>46028</v>
      </c>
      <c r="BA400">
        <v>0</v>
      </c>
      <c r="BB400">
        <v>0</v>
      </c>
      <c r="BC400">
        <v>0</v>
      </c>
      <c r="BD400">
        <v>700</v>
      </c>
      <c r="BE400">
        <v>70</v>
      </c>
      <c r="BF400">
        <v>9</v>
      </c>
      <c r="BG400" s="2">
        <v>45536</v>
      </c>
      <c r="BH400" t="s">
        <v>142</v>
      </c>
      <c r="BI400" s="2">
        <v>46026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167.64</v>
      </c>
      <c r="BQ400">
        <v>167.64</v>
      </c>
      <c r="BR400">
        <v>0</v>
      </c>
      <c r="BS400">
        <v>0</v>
      </c>
      <c r="BT400">
        <v>0</v>
      </c>
      <c r="BU400">
        <v>0</v>
      </c>
      <c r="BV400">
        <v>355.79</v>
      </c>
      <c r="BW400">
        <v>355.79</v>
      </c>
      <c r="BX400">
        <v>0</v>
      </c>
      <c r="BY400">
        <v>0</v>
      </c>
      <c r="BZ400">
        <v>0</v>
      </c>
      <c r="CA400">
        <v>0</v>
      </c>
      <c r="CB400">
        <v>134.13999999999999</v>
      </c>
      <c r="CC400" t="s">
        <v>161</v>
      </c>
    </row>
    <row r="401" spans="1:81" x14ac:dyDescent="0.25">
      <c r="A401">
        <v>345</v>
      </c>
      <c r="B401">
        <v>2</v>
      </c>
      <c r="C401">
        <v>625</v>
      </c>
      <c r="D401" t="s">
        <v>2325</v>
      </c>
      <c r="E401" t="s">
        <v>121</v>
      </c>
      <c r="F401" t="s">
        <v>2326</v>
      </c>
      <c r="G401" t="s">
        <v>2327</v>
      </c>
      <c r="H401" t="s">
        <v>2328</v>
      </c>
      <c r="I401" t="s">
        <v>2329</v>
      </c>
      <c r="J401" t="s">
        <v>126</v>
      </c>
      <c r="K401" t="s">
        <v>336</v>
      </c>
      <c r="L401" t="s">
        <v>128</v>
      </c>
      <c r="M401" t="s">
        <v>337</v>
      </c>
      <c r="N401" t="s">
        <v>2330</v>
      </c>
      <c r="O401" t="s">
        <v>131</v>
      </c>
      <c r="P401">
        <v>0</v>
      </c>
      <c r="Q401" t="s">
        <v>125</v>
      </c>
      <c r="R401">
        <v>3</v>
      </c>
      <c r="S401">
        <v>88</v>
      </c>
      <c r="T401" t="s">
        <v>132</v>
      </c>
      <c r="U401" t="s">
        <v>133</v>
      </c>
      <c r="V401" s="1">
        <v>1000</v>
      </c>
      <c r="W401">
        <v>279.01</v>
      </c>
      <c r="X401">
        <v>720.99</v>
      </c>
      <c r="Y401">
        <v>7</v>
      </c>
      <c r="Z401">
        <v>0</v>
      </c>
      <c r="AA401">
        <v>7</v>
      </c>
      <c r="AB401">
        <v>0</v>
      </c>
      <c r="AC401">
        <v>0</v>
      </c>
      <c r="AD401" t="s">
        <v>134</v>
      </c>
      <c r="AE401" t="s">
        <v>134</v>
      </c>
      <c r="AF401" s="2">
        <v>45518</v>
      </c>
      <c r="AG401" s="2">
        <v>46015</v>
      </c>
      <c r="AH401">
        <v>343.41</v>
      </c>
      <c r="AI401">
        <v>899</v>
      </c>
      <c r="AJ401" s="1">
        <v>3090.75</v>
      </c>
      <c r="AK401">
        <v>0</v>
      </c>
      <c r="AL401">
        <v>279.01</v>
      </c>
      <c r="AM401">
        <v>114.1</v>
      </c>
      <c r="AN401" t="s">
        <v>135</v>
      </c>
      <c r="AO401" t="s">
        <v>135</v>
      </c>
      <c r="AP401" t="s">
        <v>136</v>
      </c>
      <c r="AQ401" t="s">
        <v>137</v>
      </c>
      <c r="AR401" t="s">
        <v>138</v>
      </c>
      <c r="AS401" t="s">
        <v>139</v>
      </c>
      <c r="AT401" t="s">
        <v>140</v>
      </c>
      <c r="AU401">
        <v>501</v>
      </c>
      <c r="AV401">
        <v>10</v>
      </c>
      <c r="AW401">
        <v>1</v>
      </c>
      <c r="AX401" s="2">
        <v>45860</v>
      </c>
      <c r="AY401" t="s">
        <v>377</v>
      </c>
      <c r="AZ401" s="2">
        <v>46028</v>
      </c>
      <c r="BA401">
        <v>0</v>
      </c>
      <c r="BB401">
        <v>0</v>
      </c>
      <c r="BC401">
        <v>0</v>
      </c>
      <c r="BD401">
        <v>700</v>
      </c>
      <c r="BE401">
        <v>70</v>
      </c>
      <c r="BF401">
        <v>9</v>
      </c>
      <c r="BG401" s="2">
        <v>45536</v>
      </c>
      <c r="BH401" t="s">
        <v>142</v>
      </c>
      <c r="BI401" s="2">
        <v>46026</v>
      </c>
      <c r="BJ401">
        <v>0</v>
      </c>
      <c r="BK401">
        <v>0</v>
      </c>
      <c r="BL401">
        <v>0</v>
      </c>
      <c r="BM401">
        <v>7</v>
      </c>
      <c r="BN401">
        <v>5.62</v>
      </c>
      <c r="BO401">
        <v>896.85</v>
      </c>
      <c r="BP401">
        <v>220.22</v>
      </c>
      <c r="BQ401" s="1">
        <v>1117.07</v>
      </c>
      <c r="BR401">
        <v>318.36</v>
      </c>
      <c r="BS401">
        <v>7</v>
      </c>
      <c r="BT401">
        <v>7</v>
      </c>
      <c r="BU401">
        <v>923.18</v>
      </c>
      <c r="BV401">
        <v>0</v>
      </c>
      <c r="BW401">
        <v>923.18</v>
      </c>
      <c r="BX401">
        <v>0</v>
      </c>
      <c r="BY401">
        <v>0</v>
      </c>
      <c r="BZ401">
        <v>0</v>
      </c>
      <c r="CA401">
        <v>0</v>
      </c>
      <c r="CB401">
        <v>835.33</v>
      </c>
      <c r="CC401" t="s">
        <v>143</v>
      </c>
    </row>
    <row r="402" spans="1:81" x14ac:dyDescent="0.25">
      <c r="A402">
        <v>345</v>
      </c>
      <c r="B402">
        <v>2</v>
      </c>
      <c r="C402">
        <v>626</v>
      </c>
      <c r="D402" t="s">
        <v>2331</v>
      </c>
      <c r="E402" t="s">
        <v>121</v>
      </c>
      <c r="F402" t="s">
        <v>2332</v>
      </c>
      <c r="G402" t="s">
        <v>2333</v>
      </c>
      <c r="H402" t="s">
        <v>1786</v>
      </c>
      <c r="I402" t="s">
        <v>2334</v>
      </c>
      <c r="J402" t="s">
        <v>1217</v>
      </c>
      <c r="K402" t="s">
        <v>473</v>
      </c>
      <c r="L402" t="s">
        <v>128</v>
      </c>
      <c r="M402" t="s">
        <v>474</v>
      </c>
      <c r="N402" t="s">
        <v>2335</v>
      </c>
      <c r="O402" t="s">
        <v>167</v>
      </c>
      <c r="P402">
        <v>0</v>
      </c>
      <c r="Q402" t="s">
        <v>125</v>
      </c>
      <c r="R402">
        <v>6</v>
      </c>
      <c r="S402">
        <v>36</v>
      </c>
      <c r="T402" t="s">
        <v>132</v>
      </c>
      <c r="U402" t="s">
        <v>133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134</v>
      </c>
      <c r="AE402" t="s">
        <v>134</v>
      </c>
      <c r="AF402" s="2">
        <v>45518</v>
      </c>
      <c r="AG402" s="2">
        <v>46021</v>
      </c>
      <c r="AH402">
        <v>612.16</v>
      </c>
      <c r="AI402" s="1">
        <v>1275.3399999999999</v>
      </c>
      <c r="AJ402" s="1">
        <v>4897.34</v>
      </c>
      <c r="AK402" s="1">
        <v>1275.3399999999999</v>
      </c>
      <c r="AL402">
        <v>0</v>
      </c>
      <c r="AM402">
        <v>0</v>
      </c>
      <c r="AN402" t="s">
        <v>135</v>
      </c>
      <c r="AO402" t="s">
        <v>135</v>
      </c>
      <c r="AP402" t="s">
        <v>136</v>
      </c>
      <c r="AQ402" t="s">
        <v>137</v>
      </c>
      <c r="AR402" t="s">
        <v>138</v>
      </c>
      <c r="AS402" t="s">
        <v>139</v>
      </c>
      <c r="AT402" t="s">
        <v>140</v>
      </c>
      <c r="AU402">
        <v>105</v>
      </c>
      <c r="AV402">
        <v>10</v>
      </c>
      <c r="AW402">
        <v>1</v>
      </c>
      <c r="AX402" s="2">
        <v>45810</v>
      </c>
      <c r="AY402" t="s">
        <v>141</v>
      </c>
      <c r="AZ402" s="2">
        <v>46027</v>
      </c>
      <c r="BA402">
        <v>0</v>
      </c>
      <c r="BB402">
        <v>0</v>
      </c>
      <c r="BC402">
        <v>0</v>
      </c>
      <c r="BD402">
        <v>700</v>
      </c>
      <c r="BE402">
        <v>70</v>
      </c>
      <c r="BF402">
        <v>9</v>
      </c>
      <c r="BG402" s="2">
        <v>45536</v>
      </c>
      <c r="BH402" t="s">
        <v>142</v>
      </c>
      <c r="BI402" s="2">
        <v>46026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s="1">
        <v>1265.45</v>
      </c>
      <c r="BQ402" s="1">
        <v>1265.45</v>
      </c>
      <c r="BR402">
        <v>0</v>
      </c>
      <c r="BS402">
        <v>0</v>
      </c>
      <c r="BT402">
        <v>0</v>
      </c>
      <c r="BU402">
        <v>0</v>
      </c>
      <c r="BV402" s="1">
        <v>2572.25</v>
      </c>
      <c r="BW402" s="1">
        <v>2572.25</v>
      </c>
      <c r="BX402">
        <v>0</v>
      </c>
      <c r="BY402">
        <v>0</v>
      </c>
      <c r="BZ402">
        <v>0</v>
      </c>
      <c r="CA402">
        <v>0</v>
      </c>
      <c r="CB402" s="1">
        <v>1077.01</v>
      </c>
      <c r="CC402" t="s">
        <v>161</v>
      </c>
    </row>
    <row r="403" spans="1:81" x14ac:dyDescent="0.25">
      <c r="A403">
        <v>345</v>
      </c>
      <c r="B403">
        <v>2</v>
      </c>
      <c r="C403">
        <v>627</v>
      </c>
      <c r="D403" t="s">
        <v>2336</v>
      </c>
      <c r="E403" t="s">
        <v>121</v>
      </c>
      <c r="F403" t="s">
        <v>2337</v>
      </c>
      <c r="G403" t="s">
        <v>2338</v>
      </c>
      <c r="H403" t="s">
        <v>2339</v>
      </c>
      <c r="I403" t="s">
        <v>125</v>
      </c>
      <c r="J403" t="s">
        <v>2340</v>
      </c>
      <c r="K403" t="s">
        <v>336</v>
      </c>
      <c r="L403" t="s">
        <v>128</v>
      </c>
      <c r="M403" t="s">
        <v>337</v>
      </c>
      <c r="N403" t="s">
        <v>2341</v>
      </c>
      <c r="O403" t="s">
        <v>167</v>
      </c>
      <c r="P403">
        <v>0</v>
      </c>
      <c r="Q403" t="s">
        <v>125</v>
      </c>
      <c r="R403">
        <v>6</v>
      </c>
      <c r="S403">
        <v>35</v>
      </c>
      <c r="T403" t="s">
        <v>132</v>
      </c>
      <c r="U403" t="s">
        <v>133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134</v>
      </c>
      <c r="AE403" t="s">
        <v>134</v>
      </c>
      <c r="AF403" s="2">
        <v>45518</v>
      </c>
      <c r="AG403" s="2">
        <v>46014</v>
      </c>
      <c r="AH403">
        <v>597.53</v>
      </c>
      <c r="AI403">
        <v>859.5</v>
      </c>
      <c r="AJ403" s="1">
        <v>2987.67</v>
      </c>
      <c r="AK403">
        <v>0</v>
      </c>
      <c r="AL403">
        <v>0</v>
      </c>
      <c r="AM403">
        <v>0</v>
      </c>
      <c r="AN403" t="s">
        <v>135</v>
      </c>
      <c r="AO403" t="s">
        <v>135</v>
      </c>
      <c r="AP403" t="s">
        <v>136</v>
      </c>
      <c r="AQ403" t="s">
        <v>137</v>
      </c>
      <c r="AR403" t="s">
        <v>138</v>
      </c>
      <c r="AS403" t="s">
        <v>139</v>
      </c>
      <c r="AT403" t="s">
        <v>140</v>
      </c>
      <c r="AU403">
        <v>100</v>
      </c>
      <c r="AV403">
        <v>10</v>
      </c>
      <c r="AW403">
        <v>1</v>
      </c>
      <c r="AX403" s="2">
        <v>45817</v>
      </c>
      <c r="AY403" t="s">
        <v>141</v>
      </c>
      <c r="AZ403" s="2">
        <v>46027</v>
      </c>
      <c r="BA403">
        <v>0</v>
      </c>
      <c r="BB403">
        <v>0</v>
      </c>
      <c r="BC403">
        <v>0</v>
      </c>
      <c r="BD403">
        <v>700</v>
      </c>
      <c r="BE403">
        <v>70</v>
      </c>
      <c r="BF403">
        <v>9</v>
      </c>
      <c r="BG403" s="2">
        <v>45536</v>
      </c>
      <c r="BH403" t="s">
        <v>142</v>
      </c>
      <c r="BI403" s="2">
        <v>46026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859.5</v>
      </c>
      <c r="BQ403">
        <v>859.5</v>
      </c>
      <c r="BR403">
        <v>0</v>
      </c>
      <c r="BS403">
        <v>0</v>
      </c>
      <c r="BT403">
        <v>0</v>
      </c>
      <c r="BU403">
        <v>0</v>
      </c>
      <c r="BV403">
        <v>871.44</v>
      </c>
      <c r="BW403">
        <v>871.44</v>
      </c>
      <c r="BX403">
        <v>0</v>
      </c>
      <c r="BY403">
        <v>0</v>
      </c>
      <c r="BZ403">
        <v>0</v>
      </c>
      <c r="CA403">
        <v>0</v>
      </c>
      <c r="CB403" s="1">
        <v>1174.17</v>
      </c>
      <c r="CC403" t="s">
        <v>161</v>
      </c>
    </row>
    <row r="404" spans="1:81" x14ac:dyDescent="0.25">
      <c r="A404">
        <v>345</v>
      </c>
      <c r="B404">
        <v>2</v>
      </c>
      <c r="C404">
        <v>628</v>
      </c>
      <c r="D404" t="s">
        <v>2342</v>
      </c>
      <c r="E404" t="s">
        <v>121</v>
      </c>
      <c r="F404" t="s">
        <v>2343</v>
      </c>
      <c r="G404" t="s">
        <v>2344</v>
      </c>
      <c r="H404" t="s">
        <v>1812</v>
      </c>
      <c r="I404" t="s">
        <v>2345</v>
      </c>
      <c r="J404" t="s">
        <v>459</v>
      </c>
      <c r="K404" t="s">
        <v>336</v>
      </c>
      <c r="L404" t="s">
        <v>128</v>
      </c>
      <c r="M404" t="s">
        <v>337</v>
      </c>
      <c r="N404" t="s">
        <v>2346</v>
      </c>
      <c r="O404" t="s">
        <v>131</v>
      </c>
      <c r="P404">
        <v>0</v>
      </c>
      <c r="Q404" t="s">
        <v>125</v>
      </c>
      <c r="R404">
        <v>6</v>
      </c>
      <c r="S404">
        <v>41</v>
      </c>
      <c r="T404" t="s">
        <v>132</v>
      </c>
      <c r="U404" t="s">
        <v>133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134</v>
      </c>
      <c r="AE404" t="s">
        <v>134</v>
      </c>
      <c r="AF404" s="2">
        <v>45518</v>
      </c>
      <c r="AG404" s="2">
        <v>46015</v>
      </c>
      <c r="AH404">
        <v>165.65</v>
      </c>
      <c r="AI404">
        <v>257.52</v>
      </c>
      <c r="AJ404">
        <v>496.97</v>
      </c>
      <c r="AK404">
        <v>0</v>
      </c>
      <c r="AL404">
        <v>0</v>
      </c>
      <c r="AM404">
        <v>0</v>
      </c>
      <c r="AN404" t="s">
        <v>135</v>
      </c>
      <c r="AO404" t="s">
        <v>135</v>
      </c>
      <c r="AP404" t="s">
        <v>136</v>
      </c>
      <c r="AQ404" t="s">
        <v>137</v>
      </c>
      <c r="AR404" t="s">
        <v>138</v>
      </c>
      <c r="AS404" t="s">
        <v>139</v>
      </c>
      <c r="AT404" t="s">
        <v>140</v>
      </c>
      <c r="AU404">
        <v>100</v>
      </c>
      <c r="AV404">
        <v>10</v>
      </c>
      <c r="AW404">
        <v>1</v>
      </c>
      <c r="AX404" s="2">
        <v>45859</v>
      </c>
      <c r="AY404" t="s">
        <v>141</v>
      </c>
      <c r="AZ404" s="2">
        <v>46027</v>
      </c>
      <c r="BA404">
        <v>0</v>
      </c>
      <c r="BB404">
        <v>0</v>
      </c>
      <c r="BC404">
        <v>0</v>
      </c>
      <c r="BD404">
        <v>700</v>
      </c>
      <c r="BE404">
        <v>70</v>
      </c>
      <c r="BF404">
        <v>9</v>
      </c>
      <c r="BG404" s="2">
        <v>45866</v>
      </c>
      <c r="BH404" t="s">
        <v>141</v>
      </c>
      <c r="BI404" s="2">
        <v>46034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124.14</v>
      </c>
      <c r="BQ404">
        <v>124.14</v>
      </c>
      <c r="BR404">
        <v>0</v>
      </c>
      <c r="BS404">
        <v>0</v>
      </c>
      <c r="BT404">
        <v>0</v>
      </c>
      <c r="BU404">
        <v>0</v>
      </c>
      <c r="BV404">
        <v>372.83</v>
      </c>
      <c r="BW404">
        <v>372.83</v>
      </c>
      <c r="BX404">
        <v>0</v>
      </c>
      <c r="BY404">
        <v>0</v>
      </c>
      <c r="BZ404">
        <v>0</v>
      </c>
      <c r="CA404">
        <v>0</v>
      </c>
      <c r="CB404">
        <v>124.14</v>
      </c>
      <c r="CC404" t="s">
        <v>143</v>
      </c>
    </row>
    <row r="405" spans="1:81" x14ac:dyDescent="0.25">
      <c r="A405">
        <v>345</v>
      </c>
      <c r="B405">
        <v>2</v>
      </c>
      <c r="C405">
        <v>629</v>
      </c>
      <c r="D405" t="s">
        <v>2347</v>
      </c>
      <c r="E405" t="s">
        <v>121</v>
      </c>
      <c r="F405" t="s">
        <v>2348</v>
      </c>
      <c r="G405" t="s">
        <v>2349</v>
      </c>
      <c r="H405" t="s">
        <v>2350</v>
      </c>
      <c r="I405" t="s">
        <v>2351</v>
      </c>
      <c r="J405" t="s">
        <v>126</v>
      </c>
      <c r="K405" t="s">
        <v>336</v>
      </c>
      <c r="L405" t="s">
        <v>128</v>
      </c>
      <c r="M405" t="s">
        <v>337</v>
      </c>
      <c r="N405" t="s">
        <v>2352</v>
      </c>
      <c r="O405" t="s">
        <v>131</v>
      </c>
      <c r="P405">
        <v>0</v>
      </c>
      <c r="Q405" t="s">
        <v>125</v>
      </c>
      <c r="R405">
        <v>6</v>
      </c>
      <c r="S405">
        <v>39</v>
      </c>
      <c r="T405" t="s">
        <v>132</v>
      </c>
      <c r="U405" t="s">
        <v>133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134</v>
      </c>
      <c r="AE405" t="s">
        <v>134</v>
      </c>
      <c r="AF405" s="2">
        <v>45518</v>
      </c>
      <c r="AG405" s="2">
        <v>46006</v>
      </c>
      <c r="AH405">
        <v>410.5</v>
      </c>
      <c r="AI405">
        <v>707.91</v>
      </c>
      <c r="AJ405" s="1">
        <v>1642</v>
      </c>
      <c r="AK405">
        <v>0</v>
      </c>
      <c r="AL405">
        <v>0</v>
      </c>
      <c r="AM405">
        <v>0</v>
      </c>
      <c r="AN405" t="s">
        <v>135</v>
      </c>
      <c r="AO405" t="s">
        <v>135</v>
      </c>
      <c r="AP405" t="s">
        <v>136</v>
      </c>
      <c r="AQ405" t="s">
        <v>137</v>
      </c>
      <c r="AR405" t="s">
        <v>138</v>
      </c>
      <c r="AS405" t="s">
        <v>139</v>
      </c>
      <c r="AT405" t="s">
        <v>140</v>
      </c>
      <c r="AU405">
        <v>101</v>
      </c>
      <c r="AV405">
        <v>10</v>
      </c>
      <c r="AW405">
        <v>1</v>
      </c>
      <c r="AX405" s="2">
        <v>45815</v>
      </c>
      <c r="AY405" t="s">
        <v>160</v>
      </c>
      <c r="AZ405" s="2">
        <v>46025</v>
      </c>
      <c r="BA405">
        <v>0</v>
      </c>
      <c r="BB405">
        <v>0</v>
      </c>
      <c r="BC405">
        <v>0</v>
      </c>
      <c r="BD405">
        <v>700</v>
      </c>
      <c r="BE405">
        <v>70</v>
      </c>
      <c r="BF405">
        <v>9</v>
      </c>
      <c r="BG405" s="2">
        <v>45536</v>
      </c>
      <c r="BH405" t="s">
        <v>142</v>
      </c>
      <c r="BI405" s="2">
        <v>46026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167.16</v>
      </c>
      <c r="BQ405">
        <v>167.16</v>
      </c>
      <c r="BR405">
        <v>0</v>
      </c>
      <c r="BS405">
        <v>0</v>
      </c>
      <c r="BT405">
        <v>0</v>
      </c>
      <c r="BU405">
        <v>0</v>
      </c>
      <c r="BV405" s="1">
        <v>1293.24</v>
      </c>
      <c r="BW405" s="1">
        <v>1293.24</v>
      </c>
      <c r="BX405">
        <v>0</v>
      </c>
      <c r="BY405">
        <v>0</v>
      </c>
      <c r="BZ405">
        <v>0</v>
      </c>
      <c r="CA405">
        <v>0</v>
      </c>
      <c r="CB405">
        <v>369.19</v>
      </c>
      <c r="CC405" t="s">
        <v>143</v>
      </c>
    </row>
    <row r="406" spans="1:81" x14ac:dyDescent="0.25">
      <c r="A406">
        <v>345</v>
      </c>
      <c r="B406">
        <v>2</v>
      </c>
      <c r="C406">
        <v>630</v>
      </c>
      <c r="D406" t="s">
        <v>2353</v>
      </c>
      <c r="E406" t="s">
        <v>121</v>
      </c>
      <c r="F406" t="s">
        <v>2354</v>
      </c>
      <c r="G406" t="s">
        <v>2355</v>
      </c>
      <c r="H406" t="s">
        <v>2103</v>
      </c>
      <c r="I406" t="s">
        <v>2356</v>
      </c>
      <c r="J406" t="s">
        <v>600</v>
      </c>
      <c r="K406" t="s">
        <v>336</v>
      </c>
      <c r="L406" t="s">
        <v>128</v>
      </c>
      <c r="M406" t="s">
        <v>337</v>
      </c>
      <c r="N406" t="s">
        <v>2357</v>
      </c>
      <c r="O406" t="s">
        <v>167</v>
      </c>
      <c r="P406">
        <v>0</v>
      </c>
      <c r="Q406" t="s">
        <v>125</v>
      </c>
      <c r="R406">
        <v>3</v>
      </c>
      <c r="S406">
        <v>84</v>
      </c>
      <c r="T406" t="s">
        <v>132</v>
      </c>
      <c r="U406" t="s">
        <v>133</v>
      </c>
      <c r="V406" s="1">
        <v>1600</v>
      </c>
      <c r="W406">
        <v>0</v>
      </c>
      <c r="X406" s="1">
        <v>1600</v>
      </c>
      <c r="Y406">
        <v>7</v>
      </c>
      <c r="Z406">
        <v>0</v>
      </c>
      <c r="AA406">
        <v>0</v>
      </c>
      <c r="AB406">
        <v>0</v>
      </c>
      <c r="AC406">
        <v>0</v>
      </c>
      <c r="AD406" t="s">
        <v>134</v>
      </c>
      <c r="AE406" t="s">
        <v>134</v>
      </c>
      <c r="AF406" s="2">
        <v>45518</v>
      </c>
      <c r="AG406" s="2">
        <v>46004</v>
      </c>
      <c r="AH406" s="1">
        <v>1005.47</v>
      </c>
      <c r="AI406" s="1">
        <v>1291.04</v>
      </c>
      <c r="AJ406" s="1">
        <v>3016.41</v>
      </c>
      <c r="AK406">
        <v>0</v>
      </c>
      <c r="AL406">
        <v>0</v>
      </c>
      <c r="AM406">
        <v>0</v>
      </c>
      <c r="AN406" t="s">
        <v>135</v>
      </c>
      <c r="AO406" t="s">
        <v>135</v>
      </c>
      <c r="AP406" t="s">
        <v>136</v>
      </c>
      <c r="AQ406" t="s">
        <v>137</v>
      </c>
      <c r="AR406" t="s">
        <v>138</v>
      </c>
      <c r="AS406" t="s">
        <v>139</v>
      </c>
      <c r="AT406" t="s">
        <v>140</v>
      </c>
      <c r="AU406">
        <v>102</v>
      </c>
      <c r="AV406">
        <v>10</v>
      </c>
      <c r="AW406">
        <v>1</v>
      </c>
      <c r="AX406" s="2">
        <v>45982</v>
      </c>
      <c r="AY406" t="s">
        <v>151</v>
      </c>
      <c r="AZ406" s="2">
        <v>46024</v>
      </c>
      <c r="BA406">
        <v>0</v>
      </c>
      <c r="BB406">
        <v>0</v>
      </c>
      <c r="BC406">
        <v>0</v>
      </c>
      <c r="BD406">
        <v>700</v>
      </c>
      <c r="BE406">
        <v>70</v>
      </c>
      <c r="BF406">
        <v>9</v>
      </c>
      <c r="BG406" t="s">
        <v>135</v>
      </c>
      <c r="BH406" t="s">
        <v>250</v>
      </c>
      <c r="BI406" t="s">
        <v>135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 s="1">
        <v>1291.04</v>
      </c>
      <c r="BQ406" s="1">
        <v>1291.04</v>
      </c>
      <c r="BR406">
        <v>0</v>
      </c>
      <c r="BS406">
        <v>0</v>
      </c>
      <c r="BT406">
        <v>0</v>
      </c>
      <c r="BU406">
        <v>0</v>
      </c>
      <c r="BV406" s="1">
        <v>1725.37</v>
      </c>
      <c r="BW406" s="1">
        <v>1725.37</v>
      </c>
      <c r="BX406">
        <v>0</v>
      </c>
      <c r="BY406">
        <v>0</v>
      </c>
      <c r="BZ406">
        <v>0</v>
      </c>
      <c r="CA406">
        <v>0</v>
      </c>
      <c r="CB406">
        <v>430.34</v>
      </c>
      <c r="CC406" t="s">
        <v>161</v>
      </c>
    </row>
    <row r="407" spans="1:81" x14ac:dyDescent="0.25">
      <c r="A407">
        <v>345</v>
      </c>
      <c r="B407">
        <v>2</v>
      </c>
      <c r="C407">
        <v>631</v>
      </c>
      <c r="D407" t="s">
        <v>2358</v>
      </c>
      <c r="E407" t="s">
        <v>121</v>
      </c>
      <c r="F407" t="s">
        <v>2359</v>
      </c>
      <c r="G407" t="s">
        <v>2360</v>
      </c>
      <c r="H407" t="s">
        <v>2361</v>
      </c>
      <c r="I407" t="s">
        <v>125</v>
      </c>
      <c r="J407" t="s">
        <v>2362</v>
      </c>
      <c r="K407" t="s">
        <v>466</v>
      </c>
      <c r="L407" t="s">
        <v>128</v>
      </c>
      <c r="M407" t="s">
        <v>467</v>
      </c>
      <c r="N407" t="s">
        <v>2363</v>
      </c>
      <c r="O407" t="s">
        <v>167</v>
      </c>
      <c r="P407">
        <v>0</v>
      </c>
      <c r="Q407" t="s">
        <v>125</v>
      </c>
      <c r="R407">
        <v>6</v>
      </c>
      <c r="S407">
        <v>37</v>
      </c>
      <c r="T407" t="s">
        <v>132</v>
      </c>
      <c r="U407" t="s">
        <v>133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134</v>
      </c>
      <c r="AE407" t="s">
        <v>134</v>
      </c>
      <c r="AF407" s="2">
        <v>45518</v>
      </c>
      <c r="AG407" s="2">
        <v>46018</v>
      </c>
      <c r="AH407" s="1">
        <v>1338.39</v>
      </c>
      <c r="AI407" s="1">
        <v>2922.06</v>
      </c>
      <c r="AJ407" s="1">
        <v>14722.31</v>
      </c>
      <c r="AK407">
        <v>0</v>
      </c>
      <c r="AL407">
        <v>0</v>
      </c>
      <c r="AM407">
        <v>0</v>
      </c>
      <c r="AN407" t="s">
        <v>135</v>
      </c>
      <c r="AO407" t="s">
        <v>135</v>
      </c>
      <c r="AP407" t="s">
        <v>136</v>
      </c>
      <c r="AQ407" t="s">
        <v>137</v>
      </c>
      <c r="AR407" t="s">
        <v>138</v>
      </c>
      <c r="AS407" t="s">
        <v>139</v>
      </c>
      <c r="AT407" t="s">
        <v>140</v>
      </c>
      <c r="AU407">
        <v>105</v>
      </c>
      <c r="AV407">
        <v>10</v>
      </c>
      <c r="AW407">
        <v>1</v>
      </c>
      <c r="AX407" s="2">
        <v>45813</v>
      </c>
      <c r="AY407" t="s">
        <v>308</v>
      </c>
      <c r="AZ407" s="2">
        <v>46023</v>
      </c>
      <c r="BA407">
        <v>0</v>
      </c>
      <c r="BB407">
        <v>0</v>
      </c>
      <c r="BC407">
        <v>0</v>
      </c>
      <c r="BD407">
        <v>700</v>
      </c>
      <c r="BE407">
        <v>70</v>
      </c>
      <c r="BF407">
        <v>9</v>
      </c>
      <c r="BG407" s="2">
        <v>45536</v>
      </c>
      <c r="BH407" t="s">
        <v>142</v>
      </c>
      <c r="BI407" s="2">
        <v>46026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s="1">
        <v>6597.14</v>
      </c>
      <c r="BQ407" s="1">
        <v>6597.14</v>
      </c>
      <c r="BR407">
        <v>0</v>
      </c>
      <c r="BS407">
        <v>0</v>
      </c>
      <c r="BT407">
        <v>0</v>
      </c>
      <c r="BU407">
        <v>0</v>
      </c>
      <c r="BV407" s="1">
        <v>5058.1899999999996</v>
      </c>
      <c r="BW407" s="1">
        <v>5058.1899999999996</v>
      </c>
      <c r="BX407">
        <v>0</v>
      </c>
      <c r="BY407">
        <v>0</v>
      </c>
      <c r="BZ407">
        <v>0</v>
      </c>
      <c r="CA407">
        <v>0</v>
      </c>
      <c r="CB407" s="1">
        <v>4423.3599999999997</v>
      </c>
      <c r="CC407" t="s">
        <v>161</v>
      </c>
    </row>
    <row r="408" spans="1:81" x14ac:dyDescent="0.25">
      <c r="A408">
        <v>345</v>
      </c>
      <c r="B408">
        <v>2</v>
      </c>
      <c r="C408">
        <v>633</v>
      </c>
      <c r="D408" t="s">
        <v>2364</v>
      </c>
      <c r="E408" t="s">
        <v>121</v>
      </c>
      <c r="F408" t="s">
        <v>2365</v>
      </c>
      <c r="G408" t="s">
        <v>2366</v>
      </c>
      <c r="H408" t="s">
        <v>2367</v>
      </c>
      <c r="I408" t="s">
        <v>2368</v>
      </c>
      <c r="J408" t="s">
        <v>2226</v>
      </c>
      <c r="K408" t="s">
        <v>473</v>
      </c>
      <c r="L408" t="s">
        <v>128</v>
      </c>
      <c r="M408" t="s">
        <v>474</v>
      </c>
      <c r="N408" t="s">
        <v>2369</v>
      </c>
      <c r="O408" t="s">
        <v>167</v>
      </c>
      <c r="P408">
        <v>0</v>
      </c>
      <c r="Q408" t="s">
        <v>125</v>
      </c>
      <c r="R408">
        <v>6</v>
      </c>
      <c r="S408">
        <v>35</v>
      </c>
      <c r="T408" t="s">
        <v>132</v>
      </c>
      <c r="U408" t="s">
        <v>133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134</v>
      </c>
      <c r="AE408" t="s">
        <v>134</v>
      </c>
      <c r="AF408" s="2">
        <v>45518</v>
      </c>
      <c r="AG408" s="2">
        <v>46017</v>
      </c>
      <c r="AH408">
        <v>589</v>
      </c>
      <c r="AI408">
        <v>593</v>
      </c>
      <c r="AJ408" s="1">
        <v>3534</v>
      </c>
      <c r="AK408">
        <v>0</v>
      </c>
      <c r="AL408">
        <v>0</v>
      </c>
      <c r="AM408">
        <v>0</v>
      </c>
      <c r="AN408" t="s">
        <v>135</v>
      </c>
      <c r="AO408" t="s">
        <v>135</v>
      </c>
      <c r="AP408" t="s">
        <v>136</v>
      </c>
      <c r="AQ408" t="s">
        <v>137</v>
      </c>
      <c r="AR408" t="s">
        <v>138</v>
      </c>
      <c r="AS408" t="s">
        <v>139</v>
      </c>
      <c r="AT408" t="s">
        <v>140</v>
      </c>
      <c r="AU408">
        <v>102</v>
      </c>
      <c r="AV408">
        <v>10</v>
      </c>
      <c r="AW408">
        <v>1</v>
      </c>
      <c r="AX408" s="2">
        <v>45811</v>
      </c>
      <c r="AY408" t="s">
        <v>377</v>
      </c>
      <c r="AZ408" s="2">
        <v>46028</v>
      </c>
      <c r="BA408">
        <v>0</v>
      </c>
      <c r="BB408">
        <v>0</v>
      </c>
      <c r="BC408">
        <v>0</v>
      </c>
      <c r="BD408">
        <v>700</v>
      </c>
      <c r="BE408">
        <v>70</v>
      </c>
      <c r="BF408">
        <v>9</v>
      </c>
      <c r="BG408" s="2">
        <v>45536</v>
      </c>
      <c r="BH408" t="s">
        <v>142</v>
      </c>
      <c r="BI408" s="2">
        <v>46026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 s="1">
        <v>1186</v>
      </c>
      <c r="BQ408" s="1">
        <v>1186</v>
      </c>
      <c r="BR408">
        <v>0</v>
      </c>
      <c r="BS408">
        <v>0</v>
      </c>
      <c r="BT408">
        <v>0</v>
      </c>
      <c r="BU408">
        <v>0</v>
      </c>
      <c r="BV408" s="1">
        <v>1182</v>
      </c>
      <c r="BW408" s="1">
        <v>1182</v>
      </c>
      <c r="BX408">
        <v>0</v>
      </c>
      <c r="BY408">
        <v>0</v>
      </c>
      <c r="BZ408">
        <v>0</v>
      </c>
      <c r="CA408">
        <v>0</v>
      </c>
      <c r="CB408" s="1">
        <v>1367.56</v>
      </c>
      <c r="CC408" t="s">
        <v>161</v>
      </c>
    </row>
    <row r="409" spans="1:81" x14ac:dyDescent="0.25">
      <c r="A409">
        <v>345</v>
      </c>
      <c r="B409">
        <v>2</v>
      </c>
      <c r="C409">
        <v>635</v>
      </c>
      <c r="D409" t="s">
        <v>2370</v>
      </c>
      <c r="E409" t="s">
        <v>121</v>
      </c>
      <c r="F409" t="s">
        <v>2371</v>
      </c>
      <c r="G409" t="s">
        <v>2372</v>
      </c>
      <c r="H409" t="s">
        <v>1812</v>
      </c>
      <c r="I409" t="s">
        <v>2373</v>
      </c>
      <c r="J409" t="s">
        <v>1144</v>
      </c>
      <c r="K409" t="s">
        <v>473</v>
      </c>
      <c r="L409" t="s">
        <v>128</v>
      </c>
      <c r="M409" t="s">
        <v>474</v>
      </c>
      <c r="N409" t="s">
        <v>2374</v>
      </c>
      <c r="O409" t="s">
        <v>131</v>
      </c>
      <c r="P409">
        <v>0</v>
      </c>
      <c r="Q409" t="s">
        <v>125</v>
      </c>
      <c r="R409">
        <v>6</v>
      </c>
      <c r="S409">
        <v>39</v>
      </c>
      <c r="T409" t="s">
        <v>132</v>
      </c>
      <c r="U409" t="s">
        <v>133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134</v>
      </c>
      <c r="AE409" t="s">
        <v>134</v>
      </c>
      <c r="AF409" s="2">
        <v>45518</v>
      </c>
      <c r="AG409" s="2">
        <v>46021</v>
      </c>
      <c r="AH409">
        <v>396.71</v>
      </c>
      <c r="AI409">
        <v>679.96</v>
      </c>
      <c r="AJ409" s="1">
        <v>1983.55</v>
      </c>
      <c r="AK409">
        <v>181.97</v>
      </c>
      <c r="AL409">
        <v>0</v>
      </c>
      <c r="AM409">
        <v>0</v>
      </c>
      <c r="AN409" t="s">
        <v>135</v>
      </c>
      <c r="AO409" t="s">
        <v>135</v>
      </c>
      <c r="AP409" t="s">
        <v>136</v>
      </c>
      <c r="AQ409" t="s">
        <v>137</v>
      </c>
      <c r="AR409" t="s">
        <v>138</v>
      </c>
      <c r="AS409" t="s">
        <v>139</v>
      </c>
      <c r="AT409" t="s">
        <v>140</v>
      </c>
      <c r="AU409">
        <v>105</v>
      </c>
      <c r="AV409">
        <v>10</v>
      </c>
      <c r="AW409">
        <v>1</v>
      </c>
      <c r="AX409" s="2">
        <v>45845</v>
      </c>
      <c r="AY409" t="s">
        <v>141</v>
      </c>
      <c r="AZ409" s="2">
        <v>46027</v>
      </c>
      <c r="BA409">
        <v>0</v>
      </c>
      <c r="BB409">
        <v>0</v>
      </c>
      <c r="BC409">
        <v>0</v>
      </c>
      <c r="BD409">
        <v>700</v>
      </c>
      <c r="BE409">
        <v>70</v>
      </c>
      <c r="BF409">
        <v>9</v>
      </c>
      <c r="BG409" s="2">
        <v>45536</v>
      </c>
      <c r="BH409" t="s">
        <v>142</v>
      </c>
      <c r="BI409" s="2">
        <v>46026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880.21</v>
      </c>
      <c r="BQ409">
        <v>880.21</v>
      </c>
      <c r="BR409">
        <v>0</v>
      </c>
      <c r="BS409">
        <v>0</v>
      </c>
      <c r="BT409">
        <v>0</v>
      </c>
      <c r="BU409">
        <v>0</v>
      </c>
      <c r="BV409">
        <v>736.97</v>
      </c>
      <c r="BW409">
        <v>736.97</v>
      </c>
      <c r="BX409">
        <v>0</v>
      </c>
      <c r="BY409">
        <v>0</v>
      </c>
      <c r="BZ409">
        <v>0</v>
      </c>
      <c r="CA409">
        <v>0</v>
      </c>
      <c r="CB409">
        <v>511.02</v>
      </c>
      <c r="CC409" t="s">
        <v>143</v>
      </c>
    </row>
    <row r="410" spans="1:81" x14ac:dyDescent="0.25">
      <c r="A410">
        <v>345</v>
      </c>
      <c r="B410">
        <v>2</v>
      </c>
      <c r="C410">
        <v>636</v>
      </c>
      <c r="D410" t="s">
        <v>2375</v>
      </c>
      <c r="E410" t="s">
        <v>121</v>
      </c>
      <c r="F410" t="s">
        <v>2376</v>
      </c>
      <c r="G410" t="s">
        <v>2377</v>
      </c>
      <c r="H410" t="s">
        <v>2378</v>
      </c>
      <c r="I410" t="s">
        <v>125</v>
      </c>
      <c r="J410" t="s">
        <v>1201</v>
      </c>
      <c r="K410" t="s">
        <v>466</v>
      </c>
      <c r="L410" t="s">
        <v>128</v>
      </c>
      <c r="M410" t="s">
        <v>467</v>
      </c>
      <c r="N410" t="s">
        <v>2379</v>
      </c>
      <c r="O410" t="s">
        <v>159</v>
      </c>
      <c r="P410">
        <v>0</v>
      </c>
      <c r="Q410" t="s">
        <v>125</v>
      </c>
      <c r="R410">
        <v>6</v>
      </c>
      <c r="S410">
        <v>35</v>
      </c>
      <c r="T410" t="s">
        <v>132</v>
      </c>
      <c r="U410" t="s">
        <v>133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134</v>
      </c>
      <c r="AE410" t="s">
        <v>134</v>
      </c>
      <c r="AF410" s="2">
        <v>45518</v>
      </c>
      <c r="AG410" s="2">
        <v>46017</v>
      </c>
      <c r="AH410">
        <v>863.36</v>
      </c>
      <c r="AI410" s="1">
        <v>1244.8800000000001</v>
      </c>
      <c r="AJ410" s="1">
        <v>6043.52</v>
      </c>
      <c r="AK410">
        <v>0</v>
      </c>
      <c r="AL410">
        <v>0</v>
      </c>
      <c r="AM410">
        <v>0</v>
      </c>
      <c r="AN410" t="s">
        <v>135</v>
      </c>
      <c r="AO410" t="s">
        <v>135</v>
      </c>
      <c r="AP410" t="s">
        <v>136</v>
      </c>
      <c r="AQ410" t="s">
        <v>137</v>
      </c>
      <c r="AR410" t="s">
        <v>138</v>
      </c>
      <c r="AS410" t="s">
        <v>139</v>
      </c>
      <c r="AT410" t="s">
        <v>140</v>
      </c>
      <c r="AU410">
        <v>103</v>
      </c>
      <c r="AV410">
        <v>10</v>
      </c>
      <c r="AW410">
        <v>1</v>
      </c>
      <c r="AX410" s="2">
        <v>45867</v>
      </c>
      <c r="AY410" t="s">
        <v>377</v>
      </c>
      <c r="AZ410" s="2">
        <v>46028</v>
      </c>
      <c r="BA410">
        <v>0</v>
      </c>
      <c r="BB410">
        <v>0</v>
      </c>
      <c r="BC410">
        <v>0</v>
      </c>
      <c r="BD410">
        <v>700</v>
      </c>
      <c r="BE410">
        <v>70</v>
      </c>
      <c r="BF410">
        <v>9</v>
      </c>
      <c r="BG410" s="2">
        <v>45536</v>
      </c>
      <c r="BH410" t="s">
        <v>142</v>
      </c>
      <c r="BI410" s="2">
        <v>46026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 s="1">
        <v>1295.25</v>
      </c>
      <c r="BQ410" s="1">
        <v>1295.25</v>
      </c>
      <c r="BR410">
        <v>0</v>
      </c>
      <c r="BS410">
        <v>0</v>
      </c>
      <c r="BT410">
        <v>0</v>
      </c>
      <c r="BU410">
        <v>0</v>
      </c>
      <c r="BV410" s="1">
        <v>1968.09</v>
      </c>
      <c r="BW410" s="1">
        <v>1968.09</v>
      </c>
      <c r="BX410">
        <v>0</v>
      </c>
      <c r="BY410">
        <v>0</v>
      </c>
      <c r="BZ410">
        <v>0</v>
      </c>
      <c r="CA410">
        <v>0</v>
      </c>
      <c r="CB410" s="1">
        <v>1582.34</v>
      </c>
      <c r="CC410" t="s">
        <v>161</v>
      </c>
    </row>
    <row r="411" spans="1:81" x14ac:dyDescent="0.25">
      <c r="A411">
        <v>345</v>
      </c>
      <c r="B411">
        <v>2</v>
      </c>
      <c r="C411">
        <v>637</v>
      </c>
      <c r="D411" t="s">
        <v>2380</v>
      </c>
      <c r="E411" t="s">
        <v>121</v>
      </c>
      <c r="F411" t="s">
        <v>2381</v>
      </c>
      <c r="G411" t="s">
        <v>2382</v>
      </c>
      <c r="H411" t="s">
        <v>2383</v>
      </c>
      <c r="I411" t="s">
        <v>2384</v>
      </c>
      <c r="J411" t="s">
        <v>606</v>
      </c>
      <c r="K411" t="s">
        <v>336</v>
      </c>
      <c r="L411" t="s">
        <v>128</v>
      </c>
      <c r="M411" t="s">
        <v>337</v>
      </c>
      <c r="N411" t="s">
        <v>2385</v>
      </c>
      <c r="O411" t="s">
        <v>131</v>
      </c>
      <c r="P411">
        <v>0</v>
      </c>
      <c r="Q411" t="s">
        <v>125</v>
      </c>
      <c r="R411">
        <v>6</v>
      </c>
      <c r="S411">
        <v>44</v>
      </c>
      <c r="T411" t="s">
        <v>132</v>
      </c>
      <c r="U411" t="s">
        <v>133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134</v>
      </c>
      <c r="AE411" t="s">
        <v>134</v>
      </c>
      <c r="AF411" s="2">
        <v>45518</v>
      </c>
      <c r="AG411" s="2">
        <v>45995</v>
      </c>
      <c r="AH411">
        <v>403.99</v>
      </c>
      <c r="AI411">
        <v>540.02</v>
      </c>
      <c r="AJ411" s="1">
        <v>3231.96</v>
      </c>
      <c r="AK411">
        <v>0</v>
      </c>
      <c r="AL411">
        <v>0</v>
      </c>
      <c r="AM411">
        <v>0</v>
      </c>
      <c r="AN411" t="s">
        <v>135</v>
      </c>
      <c r="AO411" t="s">
        <v>135</v>
      </c>
      <c r="AP411" t="s">
        <v>136</v>
      </c>
      <c r="AQ411" t="s">
        <v>137</v>
      </c>
      <c r="AR411" t="s">
        <v>138</v>
      </c>
      <c r="AS411" t="s">
        <v>150</v>
      </c>
      <c r="AT411" t="s">
        <v>140</v>
      </c>
      <c r="AU411">
        <v>101</v>
      </c>
      <c r="AV411">
        <v>10</v>
      </c>
      <c r="AW411">
        <v>1</v>
      </c>
      <c r="AX411" s="2">
        <v>45812</v>
      </c>
      <c r="AY411" t="s">
        <v>168</v>
      </c>
      <c r="AZ411" s="2">
        <v>46022</v>
      </c>
      <c r="BA411">
        <v>0</v>
      </c>
      <c r="BB411">
        <v>0</v>
      </c>
      <c r="BC411">
        <v>0</v>
      </c>
      <c r="BD411">
        <v>700</v>
      </c>
      <c r="BE411">
        <v>70</v>
      </c>
      <c r="BF411">
        <v>9</v>
      </c>
      <c r="BG411" s="2">
        <v>45536</v>
      </c>
      <c r="BH411" t="s">
        <v>142</v>
      </c>
      <c r="BI411" s="2">
        <v>46026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 s="1">
        <v>1131.83</v>
      </c>
      <c r="BQ411" s="1">
        <v>1131.83</v>
      </c>
      <c r="BR411">
        <v>0</v>
      </c>
      <c r="BS411">
        <v>0</v>
      </c>
      <c r="BT411">
        <v>0</v>
      </c>
      <c r="BU411">
        <v>0</v>
      </c>
      <c r="BV411">
        <v>339.38</v>
      </c>
      <c r="BW411">
        <v>339.38</v>
      </c>
      <c r="BX411">
        <v>0</v>
      </c>
      <c r="BY411">
        <v>0</v>
      </c>
      <c r="BZ411">
        <v>0</v>
      </c>
      <c r="CA411">
        <v>0</v>
      </c>
      <c r="CB411" s="1">
        <v>1395.16</v>
      </c>
      <c r="CC411" t="s">
        <v>143</v>
      </c>
    </row>
    <row r="412" spans="1:81" x14ac:dyDescent="0.25">
      <c r="A412">
        <v>345</v>
      </c>
      <c r="B412">
        <v>2</v>
      </c>
      <c r="C412">
        <v>638</v>
      </c>
      <c r="D412" t="s">
        <v>2386</v>
      </c>
      <c r="E412" t="s">
        <v>121</v>
      </c>
      <c r="F412" t="s">
        <v>2387</v>
      </c>
      <c r="G412" t="s">
        <v>2388</v>
      </c>
      <c r="H412" t="s">
        <v>2059</v>
      </c>
      <c r="I412" t="s">
        <v>125</v>
      </c>
      <c r="J412" t="s">
        <v>499</v>
      </c>
      <c r="K412" t="s">
        <v>336</v>
      </c>
      <c r="L412" t="s">
        <v>128</v>
      </c>
      <c r="M412" t="s">
        <v>337</v>
      </c>
      <c r="N412" t="s">
        <v>2389</v>
      </c>
      <c r="O412" t="s">
        <v>167</v>
      </c>
      <c r="P412">
        <v>0</v>
      </c>
      <c r="Q412" t="s">
        <v>125</v>
      </c>
      <c r="R412">
        <v>6</v>
      </c>
      <c r="S412">
        <v>37</v>
      </c>
      <c r="T412" t="s">
        <v>132</v>
      </c>
      <c r="U412" t="s">
        <v>133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134</v>
      </c>
      <c r="AE412" t="s">
        <v>134</v>
      </c>
      <c r="AF412" s="2">
        <v>45518</v>
      </c>
      <c r="AG412" s="2">
        <v>46009</v>
      </c>
      <c r="AH412">
        <v>82.3</v>
      </c>
      <c r="AI412">
        <v>118.6</v>
      </c>
      <c r="AJ412">
        <v>493.84</v>
      </c>
      <c r="AK412">
        <v>0</v>
      </c>
      <c r="AL412">
        <v>0</v>
      </c>
      <c r="AM412">
        <v>0</v>
      </c>
      <c r="AN412" t="s">
        <v>135</v>
      </c>
      <c r="AO412" t="s">
        <v>135</v>
      </c>
      <c r="AP412" t="s">
        <v>136</v>
      </c>
      <c r="AQ412" t="s">
        <v>137</v>
      </c>
      <c r="AR412" t="s">
        <v>138</v>
      </c>
      <c r="AS412" t="s">
        <v>139</v>
      </c>
      <c r="AT412" t="s">
        <v>140</v>
      </c>
      <c r="AU412">
        <v>101</v>
      </c>
      <c r="AV412">
        <v>10</v>
      </c>
      <c r="AW412">
        <v>1</v>
      </c>
      <c r="AX412" s="2">
        <v>45875</v>
      </c>
      <c r="AY412" t="s">
        <v>168</v>
      </c>
      <c r="AZ412" s="2">
        <v>46022</v>
      </c>
      <c r="BA412">
        <v>0</v>
      </c>
      <c r="BB412">
        <v>0</v>
      </c>
      <c r="BC412">
        <v>0</v>
      </c>
      <c r="BD412">
        <v>700</v>
      </c>
      <c r="BE412">
        <v>70</v>
      </c>
      <c r="BF412">
        <v>9</v>
      </c>
      <c r="BG412" s="2">
        <v>45536</v>
      </c>
      <c r="BH412" t="s">
        <v>142</v>
      </c>
      <c r="BI412" s="2">
        <v>46026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177.9</v>
      </c>
      <c r="BQ412">
        <v>177.9</v>
      </c>
      <c r="BR412">
        <v>0</v>
      </c>
      <c r="BS412">
        <v>0</v>
      </c>
      <c r="BT412">
        <v>0</v>
      </c>
      <c r="BU412">
        <v>0</v>
      </c>
      <c r="BV412">
        <v>138.04</v>
      </c>
      <c r="BW412">
        <v>138.04</v>
      </c>
      <c r="BX412">
        <v>0</v>
      </c>
      <c r="BY412">
        <v>0</v>
      </c>
      <c r="BZ412">
        <v>0</v>
      </c>
      <c r="CA412">
        <v>0</v>
      </c>
      <c r="CB412">
        <v>138.36000000000001</v>
      </c>
      <c r="CC412" t="s">
        <v>161</v>
      </c>
    </row>
    <row r="413" spans="1:81" x14ac:dyDescent="0.25">
      <c r="A413">
        <v>345</v>
      </c>
      <c r="B413">
        <v>2</v>
      </c>
      <c r="C413">
        <v>639</v>
      </c>
      <c r="D413" t="s">
        <v>2390</v>
      </c>
      <c r="E413" t="s">
        <v>121</v>
      </c>
      <c r="F413" t="s">
        <v>2391</v>
      </c>
      <c r="G413" t="s">
        <v>2392</v>
      </c>
      <c r="H413" t="s">
        <v>2393</v>
      </c>
      <c r="I413" t="s">
        <v>2394</v>
      </c>
      <c r="J413" t="s">
        <v>897</v>
      </c>
      <c r="K413" t="s">
        <v>473</v>
      </c>
      <c r="L413" t="s">
        <v>128</v>
      </c>
      <c r="M413" t="s">
        <v>474</v>
      </c>
      <c r="N413" t="s">
        <v>2395</v>
      </c>
      <c r="O413" t="s">
        <v>149</v>
      </c>
      <c r="P413">
        <v>0</v>
      </c>
      <c r="Q413" t="s">
        <v>125</v>
      </c>
      <c r="R413">
        <v>6</v>
      </c>
      <c r="S413">
        <v>41</v>
      </c>
      <c r="T413" t="s">
        <v>132</v>
      </c>
      <c r="U413" t="s">
        <v>133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134</v>
      </c>
      <c r="AE413" t="s">
        <v>134</v>
      </c>
      <c r="AF413" s="2">
        <v>45518</v>
      </c>
      <c r="AG413" s="2">
        <v>46017</v>
      </c>
      <c r="AH413">
        <v>787.82</v>
      </c>
      <c r="AI413" s="1">
        <v>1912.63</v>
      </c>
      <c r="AJ413" s="1">
        <v>10241.700000000001</v>
      </c>
      <c r="AK413">
        <v>0</v>
      </c>
      <c r="AL413">
        <v>0</v>
      </c>
      <c r="AM413">
        <v>0</v>
      </c>
      <c r="AN413" t="s">
        <v>135</v>
      </c>
      <c r="AO413" t="s">
        <v>135</v>
      </c>
      <c r="AP413" t="s">
        <v>136</v>
      </c>
      <c r="AQ413" t="s">
        <v>137</v>
      </c>
      <c r="AR413" t="s">
        <v>138</v>
      </c>
      <c r="AS413" t="s">
        <v>139</v>
      </c>
      <c r="AT413" t="s">
        <v>140</v>
      </c>
      <c r="AU413">
        <v>102</v>
      </c>
      <c r="AV413">
        <v>10</v>
      </c>
      <c r="AW413">
        <v>1</v>
      </c>
      <c r="AX413" s="2">
        <v>45860</v>
      </c>
      <c r="AY413" t="s">
        <v>377</v>
      </c>
      <c r="AZ413" s="2">
        <v>46028</v>
      </c>
      <c r="BA413">
        <v>0</v>
      </c>
      <c r="BB413">
        <v>0</v>
      </c>
      <c r="BC413">
        <v>0</v>
      </c>
      <c r="BD413">
        <v>700</v>
      </c>
      <c r="BE413">
        <v>70</v>
      </c>
      <c r="BF413">
        <v>9</v>
      </c>
      <c r="BG413" s="2">
        <v>45536</v>
      </c>
      <c r="BH413" t="s">
        <v>142</v>
      </c>
      <c r="BI413" s="2">
        <v>46026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s="1">
        <v>2528.1999999999998</v>
      </c>
      <c r="BQ413" s="1">
        <v>2528.1999999999998</v>
      </c>
      <c r="BR413">
        <v>0</v>
      </c>
      <c r="BS413">
        <v>0</v>
      </c>
      <c r="BT413">
        <v>0</v>
      </c>
      <c r="BU413">
        <v>0</v>
      </c>
      <c r="BV413" s="1">
        <v>5735.62</v>
      </c>
      <c r="BW413" s="1">
        <v>5735.62</v>
      </c>
      <c r="BX413">
        <v>0</v>
      </c>
      <c r="BY413">
        <v>0</v>
      </c>
      <c r="BZ413">
        <v>0</v>
      </c>
      <c r="CA413">
        <v>0</v>
      </c>
      <c r="CB413" s="1">
        <v>2264.6</v>
      </c>
      <c r="CC413" t="s">
        <v>152</v>
      </c>
    </row>
    <row r="414" spans="1:81" x14ac:dyDescent="0.25">
      <c r="A414">
        <v>345</v>
      </c>
      <c r="B414">
        <v>2</v>
      </c>
      <c r="C414">
        <v>640</v>
      </c>
      <c r="D414" t="s">
        <v>2396</v>
      </c>
      <c r="E414" t="s">
        <v>121</v>
      </c>
      <c r="F414" t="s">
        <v>2397</v>
      </c>
      <c r="G414" t="s">
        <v>2398</v>
      </c>
      <c r="H414" t="s">
        <v>2399</v>
      </c>
      <c r="I414" t="s">
        <v>125</v>
      </c>
      <c r="J414" t="s">
        <v>915</v>
      </c>
      <c r="K414" t="s">
        <v>473</v>
      </c>
      <c r="L414" t="s">
        <v>128</v>
      </c>
      <c r="M414" t="s">
        <v>474</v>
      </c>
      <c r="N414" t="s">
        <v>2400</v>
      </c>
      <c r="O414" t="s">
        <v>167</v>
      </c>
      <c r="P414">
        <v>0</v>
      </c>
      <c r="Q414" t="s">
        <v>125</v>
      </c>
      <c r="R414">
        <v>6</v>
      </c>
      <c r="S414">
        <v>39</v>
      </c>
      <c r="T414" t="s">
        <v>132</v>
      </c>
      <c r="U414" t="s">
        <v>133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234</v>
      </c>
      <c r="AE414" t="s">
        <v>134</v>
      </c>
      <c r="AF414" s="2">
        <v>45518</v>
      </c>
      <c r="AG414" s="2">
        <v>46021</v>
      </c>
      <c r="AH414" s="1">
        <v>1413.77</v>
      </c>
      <c r="AI414" s="1">
        <v>2025</v>
      </c>
      <c r="AJ414" s="1">
        <v>14137.75</v>
      </c>
      <c r="AK414">
        <v>0</v>
      </c>
      <c r="AL414">
        <v>0</v>
      </c>
      <c r="AM414">
        <v>0</v>
      </c>
      <c r="AN414" t="s">
        <v>135</v>
      </c>
      <c r="AO414" t="s">
        <v>135</v>
      </c>
      <c r="AP414" t="s">
        <v>136</v>
      </c>
      <c r="AQ414" t="s">
        <v>137</v>
      </c>
      <c r="AR414" t="s">
        <v>138</v>
      </c>
      <c r="AS414" t="s">
        <v>150</v>
      </c>
      <c r="AT414" t="s">
        <v>140</v>
      </c>
      <c r="AU414">
        <v>501</v>
      </c>
      <c r="AV414">
        <v>10</v>
      </c>
      <c r="AW414">
        <v>1</v>
      </c>
      <c r="AX414" s="2">
        <v>45857</v>
      </c>
      <c r="AY414" t="s">
        <v>160</v>
      </c>
      <c r="AZ414" s="2">
        <v>46025</v>
      </c>
      <c r="BA414">
        <v>0</v>
      </c>
      <c r="BB414">
        <v>0</v>
      </c>
      <c r="BC414">
        <v>0</v>
      </c>
      <c r="BD414">
        <v>700</v>
      </c>
      <c r="BE414">
        <v>70</v>
      </c>
      <c r="BF414">
        <v>9</v>
      </c>
      <c r="BG414" s="2">
        <v>45536</v>
      </c>
      <c r="BH414" t="s">
        <v>142</v>
      </c>
      <c r="BI414" s="2">
        <v>46026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s="1">
        <v>5778.48</v>
      </c>
      <c r="BQ414" s="1">
        <v>5778.48</v>
      </c>
      <c r="BR414">
        <v>0</v>
      </c>
      <c r="BS414">
        <v>0</v>
      </c>
      <c r="BT414">
        <v>0</v>
      </c>
      <c r="BU414">
        <v>0</v>
      </c>
      <c r="BV414" s="1">
        <v>6554.39</v>
      </c>
      <c r="BW414" s="1">
        <v>6554.39</v>
      </c>
      <c r="BX414">
        <v>0</v>
      </c>
      <c r="BY414">
        <v>0</v>
      </c>
      <c r="BZ414">
        <v>0</v>
      </c>
      <c r="CA414">
        <v>0</v>
      </c>
      <c r="CB414" s="1">
        <v>3777.76</v>
      </c>
      <c r="CC414" t="s">
        <v>161</v>
      </c>
    </row>
    <row r="415" spans="1:81" x14ac:dyDescent="0.25">
      <c r="A415">
        <v>345</v>
      </c>
      <c r="B415">
        <v>2</v>
      </c>
      <c r="C415">
        <v>641</v>
      </c>
      <c r="D415" t="s">
        <v>2401</v>
      </c>
      <c r="E415" t="s">
        <v>121</v>
      </c>
      <c r="F415" t="s">
        <v>2402</v>
      </c>
      <c r="G415" t="s">
        <v>2403</v>
      </c>
      <c r="H415" t="s">
        <v>2404</v>
      </c>
      <c r="I415" t="s">
        <v>2405</v>
      </c>
      <c r="J415" t="s">
        <v>944</v>
      </c>
      <c r="K415" t="s">
        <v>466</v>
      </c>
      <c r="L415" t="s">
        <v>128</v>
      </c>
      <c r="M415" t="s">
        <v>467</v>
      </c>
      <c r="N415" t="s">
        <v>2406</v>
      </c>
      <c r="O415" t="s">
        <v>167</v>
      </c>
      <c r="P415">
        <v>0</v>
      </c>
      <c r="Q415" t="s">
        <v>125</v>
      </c>
      <c r="R415">
        <v>6</v>
      </c>
      <c r="S415">
        <v>39</v>
      </c>
      <c r="T415" t="s">
        <v>132</v>
      </c>
      <c r="U415" t="s">
        <v>133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134</v>
      </c>
      <c r="AE415" t="s">
        <v>134</v>
      </c>
      <c r="AF415" s="2">
        <v>45518</v>
      </c>
      <c r="AG415" s="2">
        <v>46010</v>
      </c>
      <c r="AH415">
        <v>969.35</v>
      </c>
      <c r="AI415" s="1">
        <v>2316.46</v>
      </c>
      <c r="AJ415" s="1">
        <v>3877.42</v>
      </c>
      <c r="AK415">
        <v>0</v>
      </c>
      <c r="AL415">
        <v>0</v>
      </c>
      <c r="AM415">
        <v>0</v>
      </c>
      <c r="AN415" t="s">
        <v>135</v>
      </c>
      <c r="AO415" t="s">
        <v>135</v>
      </c>
      <c r="AP415" t="s">
        <v>136</v>
      </c>
      <c r="AQ415" t="s">
        <v>137</v>
      </c>
      <c r="AR415" t="s">
        <v>138</v>
      </c>
      <c r="AS415" t="s">
        <v>150</v>
      </c>
      <c r="AT415" t="s">
        <v>140</v>
      </c>
      <c r="AU415">
        <v>100</v>
      </c>
      <c r="AV415">
        <v>10</v>
      </c>
      <c r="AW415">
        <v>1</v>
      </c>
      <c r="AX415" s="2">
        <v>45967</v>
      </c>
      <c r="AY415" t="s">
        <v>308</v>
      </c>
      <c r="AZ415" s="2">
        <v>46023</v>
      </c>
      <c r="BA415">
        <v>0</v>
      </c>
      <c r="BB415">
        <v>0</v>
      </c>
      <c r="BC415">
        <v>0</v>
      </c>
      <c r="BD415">
        <v>700</v>
      </c>
      <c r="BE415">
        <v>70</v>
      </c>
      <c r="BF415">
        <v>9</v>
      </c>
      <c r="BG415" s="2">
        <v>45536</v>
      </c>
      <c r="BH415" t="s">
        <v>142</v>
      </c>
      <c r="BI415" s="2">
        <v>46026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 s="1">
        <v>1126.7</v>
      </c>
      <c r="BQ415" s="1">
        <v>1126.7</v>
      </c>
      <c r="BR415">
        <v>0</v>
      </c>
      <c r="BS415">
        <v>0</v>
      </c>
      <c r="BT415">
        <v>0</v>
      </c>
      <c r="BU415">
        <v>0</v>
      </c>
      <c r="BV415" s="1">
        <v>2316.46</v>
      </c>
      <c r="BW415" s="1">
        <v>2316.46</v>
      </c>
      <c r="BX415">
        <v>0</v>
      </c>
      <c r="BY415">
        <v>0</v>
      </c>
      <c r="BZ415">
        <v>0</v>
      </c>
      <c r="CA415">
        <v>0</v>
      </c>
      <c r="CB415">
        <v>809.15</v>
      </c>
      <c r="CC415" t="s">
        <v>161</v>
      </c>
    </row>
    <row r="416" spans="1:81" x14ac:dyDescent="0.25">
      <c r="A416">
        <v>345</v>
      </c>
      <c r="B416">
        <v>2</v>
      </c>
      <c r="C416">
        <v>642</v>
      </c>
      <c r="D416" t="s">
        <v>2407</v>
      </c>
      <c r="E416" t="s">
        <v>121</v>
      </c>
      <c r="F416" t="s">
        <v>401</v>
      </c>
      <c r="G416" t="s">
        <v>2408</v>
      </c>
      <c r="H416" t="s">
        <v>2409</v>
      </c>
      <c r="I416" t="s">
        <v>2410</v>
      </c>
      <c r="J416" t="s">
        <v>1021</v>
      </c>
      <c r="K416" t="s">
        <v>473</v>
      </c>
      <c r="L416" t="s">
        <v>128</v>
      </c>
      <c r="M416" t="s">
        <v>474</v>
      </c>
      <c r="N416" t="s">
        <v>2411</v>
      </c>
      <c r="O416" t="s">
        <v>131</v>
      </c>
      <c r="P416">
        <v>0</v>
      </c>
      <c r="Q416" t="s">
        <v>125</v>
      </c>
      <c r="R416">
        <v>6</v>
      </c>
      <c r="S416">
        <v>39</v>
      </c>
      <c r="T416" t="s">
        <v>132</v>
      </c>
      <c r="U416" t="s">
        <v>133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134</v>
      </c>
      <c r="AE416" t="s">
        <v>134</v>
      </c>
      <c r="AF416" s="2">
        <v>45518</v>
      </c>
      <c r="AG416" s="2">
        <v>46021</v>
      </c>
      <c r="AH416">
        <v>468.07</v>
      </c>
      <c r="AI416">
        <v>775.59</v>
      </c>
      <c r="AJ416" s="1">
        <v>2808.46</v>
      </c>
      <c r="AK416">
        <v>504.75</v>
      </c>
      <c r="AL416">
        <v>0</v>
      </c>
      <c r="AM416">
        <v>0</v>
      </c>
      <c r="AN416" t="s">
        <v>135</v>
      </c>
      <c r="AO416" t="s">
        <v>135</v>
      </c>
      <c r="AP416" t="s">
        <v>136</v>
      </c>
      <c r="AQ416" t="s">
        <v>137</v>
      </c>
      <c r="AR416" t="s">
        <v>138</v>
      </c>
      <c r="AS416" t="s">
        <v>139</v>
      </c>
      <c r="AT416" t="s">
        <v>140</v>
      </c>
      <c r="AU416">
        <v>105</v>
      </c>
      <c r="AV416">
        <v>10</v>
      </c>
      <c r="AW416">
        <v>1</v>
      </c>
      <c r="AX416" s="2">
        <v>45810</v>
      </c>
      <c r="AY416" t="s">
        <v>141</v>
      </c>
      <c r="AZ416" s="2">
        <v>46027</v>
      </c>
      <c r="BA416">
        <v>0</v>
      </c>
      <c r="BB416">
        <v>0</v>
      </c>
      <c r="BC416">
        <v>0</v>
      </c>
      <c r="BD416">
        <v>700</v>
      </c>
      <c r="BE416">
        <v>70</v>
      </c>
      <c r="BF416">
        <v>9</v>
      </c>
      <c r="BG416" s="2">
        <v>45536</v>
      </c>
      <c r="BH416" t="s">
        <v>142</v>
      </c>
      <c r="BI416" s="2">
        <v>46026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695.67</v>
      </c>
      <c r="BQ416">
        <v>695.67</v>
      </c>
      <c r="BR416">
        <v>0</v>
      </c>
      <c r="BS416">
        <v>0</v>
      </c>
      <c r="BT416">
        <v>0</v>
      </c>
      <c r="BU416">
        <v>0</v>
      </c>
      <c r="BV416" s="1">
        <v>1337.2</v>
      </c>
      <c r="BW416" s="1">
        <v>1337.2</v>
      </c>
      <c r="BX416">
        <v>0</v>
      </c>
      <c r="BY416">
        <v>0</v>
      </c>
      <c r="BZ416">
        <v>0</v>
      </c>
      <c r="CA416">
        <v>0</v>
      </c>
      <c r="CB416">
        <v>784.28</v>
      </c>
      <c r="CC416" t="s">
        <v>143</v>
      </c>
    </row>
    <row r="417" spans="1:81" x14ac:dyDescent="0.25">
      <c r="A417">
        <v>345</v>
      </c>
      <c r="B417">
        <v>2</v>
      </c>
      <c r="C417">
        <v>643</v>
      </c>
      <c r="D417" t="s">
        <v>2412</v>
      </c>
      <c r="E417" t="s">
        <v>121</v>
      </c>
      <c r="F417" t="s">
        <v>2413</v>
      </c>
      <c r="G417" t="s">
        <v>2414</v>
      </c>
      <c r="H417" t="s">
        <v>2415</v>
      </c>
      <c r="I417" t="s">
        <v>2416</v>
      </c>
      <c r="J417" t="s">
        <v>1180</v>
      </c>
      <c r="K417" t="s">
        <v>466</v>
      </c>
      <c r="L417" t="s">
        <v>128</v>
      </c>
      <c r="M417" t="s">
        <v>467</v>
      </c>
      <c r="N417" t="s">
        <v>2417</v>
      </c>
      <c r="O417" t="s">
        <v>149</v>
      </c>
      <c r="P417">
        <v>0</v>
      </c>
      <c r="Q417" t="s">
        <v>125</v>
      </c>
      <c r="R417">
        <v>6</v>
      </c>
      <c r="S417">
        <v>41</v>
      </c>
      <c r="T417" t="s">
        <v>132</v>
      </c>
      <c r="U417" t="s">
        <v>133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134</v>
      </c>
      <c r="AE417" t="s">
        <v>134</v>
      </c>
      <c r="AF417" s="2">
        <v>45518</v>
      </c>
      <c r="AG417" s="2">
        <v>46017</v>
      </c>
      <c r="AH417">
        <v>857.31</v>
      </c>
      <c r="AI417" s="1">
        <v>1949.5</v>
      </c>
      <c r="AJ417" s="1">
        <v>9430.43</v>
      </c>
      <c r="AK417">
        <v>0</v>
      </c>
      <c r="AL417">
        <v>0</v>
      </c>
      <c r="AM417">
        <v>0</v>
      </c>
      <c r="AN417" t="s">
        <v>135</v>
      </c>
      <c r="AO417" t="s">
        <v>135</v>
      </c>
      <c r="AP417" t="s">
        <v>136</v>
      </c>
      <c r="AQ417" t="s">
        <v>137</v>
      </c>
      <c r="AR417" t="s">
        <v>138</v>
      </c>
      <c r="AS417" t="s">
        <v>139</v>
      </c>
      <c r="AT417" t="s">
        <v>140</v>
      </c>
      <c r="AU417">
        <v>105</v>
      </c>
      <c r="AV417">
        <v>10</v>
      </c>
      <c r="AW417">
        <v>1</v>
      </c>
      <c r="AX417" s="2">
        <v>45846</v>
      </c>
      <c r="AY417" t="s">
        <v>377</v>
      </c>
      <c r="AZ417" s="2">
        <v>46028</v>
      </c>
      <c r="BA417">
        <v>0</v>
      </c>
      <c r="BB417">
        <v>0</v>
      </c>
      <c r="BC417">
        <v>0</v>
      </c>
      <c r="BD417">
        <v>700</v>
      </c>
      <c r="BE417">
        <v>70</v>
      </c>
      <c r="BF417">
        <v>9</v>
      </c>
      <c r="BG417" s="2">
        <v>45536</v>
      </c>
      <c r="BH417" t="s">
        <v>142</v>
      </c>
      <c r="BI417" s="2">
        <v>46026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s="1">
        <v>3424.6</v>
      </c>
      <c r="BQ417" s="1">
        <v>3424.6</v>
      </c>
      <c r="BR417">
        <v>0</v>
      </c>
      <c r="BS417">
        <v>0</v>
      </c>
      <c r="BT417">
        <v>0</v>
      </c>
      <c r="BU417">
        <v>0</v>
      </c>
      <c r="BV417" s="1">
        <v>1641.92</v>
      </c>
      <c r="BW417" s="1">
        <v>1641.92</v>
      </c>
      <c r="BX417">
        <v>0</v>
      </c>
      <c r="BY417">
        <v>0</v>
      </c>
      <c r="BZ417">
        <v>0</v>
      </c>
      <c r="CA417">
        <v>0</v>
      </c>
      <c r="CB417" s="1">
        <v>5781.8</v>
      </c>
      <c r="CC417" t="s">
        <v>152</v>
      </c>
    </row>
    <row r="418" spans="1:81" x14ac:dyDescent="0.25">
      <c r="A418">
        <v>345</v>
      </c>
      <c r="B418">
        <v>2</v>
      </c>
      <c r="C418">
        <v>645</v>
      </c>
      <c r="D418" t="s">
        <v>2418</v>
      </c>
      <c r="E418" t="s">
        <v>121</v>
      </c>
      <c r="F418" t="s">
        <v>2419</v>
      </c>
      <c r="G418" t="s">
        <v>2420</v>
      </c>
      <c r="H418" t="s">
        <v>2421</v>
      </c>
      <c r="I418" t="s">
        <v>125</v>
      </c>
      <c r="J418" t="s">
        <v>606</v>
      </c>
      <c r="K418" t="s">
        <v>336</v>
      </c>
      <c r="L418" t="s">
        <v>128</v>
      </c>
      <c r="M418" t="s">
        <v>337</v>
      </c>
      <c r="N418" t="s">
        <v>2422</v>
      </c>
      <c r="O418" t="s">
        <v>131</v>
      </c>
      <c r="P418">
        <v>0</v>
      </c>
      <c r="Q418" t="s">
        <v>125</v>
      </c>
      <c r="R418">
        <v>6</v>
      </c>
      <c r="S418">
        <v>41</v>
      </c>
      <c r="T418" t="s">
        <v>132</v>
      </c>
      <c r="U418" t="s">
        <v>133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134</v>
      </c>
      <c r="AE418" t="s">
        <v>134</v>
      </c>
      <c r="AF418" s="2">
        <v>45518</v>
      </c>
      <c r="AG418" s="2">
        <v>46009</v>
      </c>
      <c r="AH418">
        <v>159.27000000000001</v>
      </c>
      <c r="AI418">
        <v>210.57</v>
      </c>
      <c r="AJ418">
        <v>955.62</v>
      </c>
      <c r="AK418">
        <v>0</v>
      </c>
      <c r="AL418">
        <v>0</v>
      </c>
      <c r="AM418">
        <v>0</v>
      </c>
      <c r="AN418" t="s">
        <v>135</v>
      </c>
      <c r="AO418" t="s">
        <v>135</v>
      </c>
      <c r="AP418" t="s">
        <v>136</v>
      </c>
      <c r="AQ418" t="s">
        <v>137</v>
      </c>
      <c r="AR418" t="s">
        <v>138</v>
      </c>
      <c r="AS418" t="s">
        <v>139</v>
      </c>
      <c r="AT418" t="s">
        <v>140</v>
      </c>
      <c r="AU418">
        <v>101</v>
      </c>
      <c r="AV418">
        <v>10</v>
      </c>
      <c r="AW418">
        <v>1</v>
      </c>
      <c r="AX418" s="2">
        <v>45812</v>
      </c>
      <c r="AY418" t="s">
        <v>168</v>
      </c>
      <c r="AZ418" s="2">
        <v>46022</v>
      </c>
      <c r="BA418">
        <v>0</v>
      </c>
      <c r="BB418">
        <v>0</v>
      </c>
      <c r="BC418">
        <v>0</v>
      </c>
      <c r="BD418">
        <v>700</v>
      </c>
      <c r="BE418">
        <v>70</v>
      </c>
      <c r="BF418">
        <v>9</v>
      </c>
      <c r="BG418" s="2">
        <v>45536</v>
      </c>
      <c r="BH418" t="s">
        <v>142</v>
      </c>
      <c r="BI418" s="2">
        <v>46026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248.35</v>
      </c>
      <c r="BQ418">
        <v>248.35</v>
      </c>
      <c r="BR418">
        <v>0</v>
      </c>
      <c r="BS418">
        <v>0</v>
      </c>
      <c r="BT418">
        <v>0</v>
      </c>
      <c r="BU418">
        <v>0</v>
      </c>
      <c r="BV418">
        <v>353.1</v>
      </c>
      <c r="BW418">
        <v>353.1</v>
      </c>
      <c r="BX418">
        <v>0</v>
      </c>
      <c r="BY418">
        <v>0</v>
      </c>
      <c r="BZ418">
        <v>0</v>
      </c>
      <c r="CA418">
        <v>0</v>
      </c>
      <c r="CB418">
        <v>275.37</v>
      </c>
      <c r="CC418" t="s">
        <v>143</v>
      </c>
    </row>
    <row r="419" spans="1:81" x14ac:dyDescent="0.25">
      <c r="A419">
        <v>345</v>
      </c>
      <c r="B419">
        <v>2</v>
      </c>
      <c r="C419">
        <v>646</v>
      </c>
      <c r="D419" t="s">
        <v>2423</v>
      </c>
      <c r="E419" t="s">
        <v>121</v>
      </c>
      <c r="F419" t="s">
        <v>2424</v>
      </c>
      <c r="G419" t="s">
        <v>2425</v>
      </c>
      <c r="H419" t="s">
        <v>2426</v>
      </c>
      <c r="I419" t="s">
        <v>125</v>
      </c>
      <c r="J419" t="s">
        <v>1217</v>
      </c>
      <c r="K419" t="s">
        <v>473</v>
      </c>
      <c r="L419" t="s">
        <v>128</v>
      </c>
      <c r="M419" t="s">
        <v>474</v>
      </c>
      <c r="N419" t="s">
        <v>2427</v>
      </c>
      <c r="O419" t="s">
        <v>149</v>
      </c>
      <c r="P419">
        <v>0</v>
      </c>
      <c r="Q419" t="s">
        <v>125</v>
      </c>
      <c r="R419">
        <v>6</v>
      </c>
      <c r="S419">
        <v>42</v>
      </c>
      <c r="T419" t="s">
        <v>132</v>
      </c>
      <c r="U419" t="s">
        <v>133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134</v>
      </c>
      <c r="AE419" t="s">
        <v>134</v>
      </c>
      <c r="AF419" s="2">
        <v>45518</v>
      </c>
      <c r="AG419" s="2">
        <v>46014</v>
      </c>
      <c r="AH419" s="1">
        <v>3935.34</v>
      </c>
      <c r="AI419" s="1">
        <v>10074.120000000001</v>
      </c>
      <c r="AJ419" s="1">
        <v>55094.81</v>
      </c>
      <c r="AK419">
        <v>0</v>
      </c>
      <c r="AL419" s="1">
        <v>2942</v>
      </c>
      <c r="AM419">
        <v>0</v>
      </c>
      <c r="AN419" t="s">
        <v>135</v>
      </c>
      <c r="AO419" t="s">
        <v>135</v>
      </c>
      <c r="AP419" t="s">
        <v>136</v>
      </c>
      <c r="AQ419" t="s">
        <v>137</v>
      </c>
      <c r="AR419" t="s">
        <v>138</v>
      </c>
      <c r="AS419" t="s">
        <v>139</v>
      </c>
      <c r="AT419" t="s">
        <v>140</v>
      </c>
      <c r="AU419">
        <v>105</v>
      </c>
      <c r="AV419">
        <v>10</v>
      </c>
      <c r="AW419">
        <v>1</v>
      </c>
      <c r="AX419" s="2">
        <v>45810</v>
      </c>
      <c r="AY419" t="s">
        <v>141</v>
      </c>
      <c r="AZ419" s="2">
        <v>46027</v>
      </c>
      <c r="BA419">
        <v>0</v>
      </c>
      <c r="BB419">
        <v>0</v>
      </c>
      <c r="BC419">
        <v>0</v>
      </c>
      <c r="BD419">
        <v>700</v>
      </c>
      <c r="BE419">
        <v>70</v>
      </c>
      <c r="BF419">
        <v>9</v>
      </c>
      <c r="BG419" s="2">
        <v>45536</v>
      </c>
      <c r="BH419" t="s">
        <v>142</v>
      </c>
      <c r="BI419" s="2">
        <v>46026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s="1">
        <v>15833.53</v>
      </c>
      <c r="BQ419" s="1">
        <v>15833.53</v>
      </c>
      <c r="BR419">
        <v>0</v>
      </c>
      <c r="BS419">
        <v>0</v>
      </c>
      <c r="BT419">
        <v>0</v>
      </c>
      <c r="BU419">
        <v>0</v>
      </c>
      <c r="BV419" s="1">
        <v>12532</v>
      </c>
      <c r="BW419" s="1">
        <v>12532</v>
      </c>
      <c r="BX419">
        <v>0</v>
      </c>
      <c r="BY419">
        <v>0</v>
      </c>
      <c r="BZ419">
        <v>0</v>
      </c>
      <c r="CA419">
        <v>0</v>
      </c>
      <c r="CB419" s="1">
        <v>21474.86</v>
      </c>
      <c r="CC419" t="s">
        <v>152</v>
      </c>
    </row>
    <row r="420" spans="1:81" x14ac:dyDescent="0.25">
      <c r="A420">
        <v>345</v>
      </c>
      <c r="B420">
        <v>2</v>
      </c>
      <c r="C420">
        <v>648</v>
      </c>
      <c r="D420" t="s">
        <v>2428</v>
      </c>
      <c r="E420" t="s">
        <v>121</v>
      </c>
      <c r="F420" t="s">
        <v>2429</v>
      </c>
      <c r="G420" t="s">
        <v>2430</v>
      </c>
      <c r="H420" t="s">
        <v>2431</v>
      </c>
      <c r="I420" t="s">
        <v>2432</v>
      </c>
      <c r="J420" t="s">
        <v>126</v>
      </c>
      <c r="K420" t="s">
        <v>336</v>
      </c>
      <c r="L420" t="s">
        <v>128</v>
      </c>
      <c r="M420" t="s">
        <v>337</v>
      </c>
      <c r="N420" t="s">
        <v>2433</v>
      </c>
      <c r="O420" t="s">
        <v>167</v>
      </c>
      <c r="P420">
        <v>0</v>
      </c>
      <c r="Q420" t="s">
        <v>125</v>
      </c>
      <c r="R420">
        <v>4</v>
      </c>
      <c r="S420">
        <v>81</v>
      </c>
      <c r="T420" t="s">
        <v>132</v>
      </c>
      <c r="U420" t="s">
        <v>133</v>
      </c>
      <c r="V420" s="1">
        <v>1000</v>
      </c>
      <c r="W420">
        <v>0</v>
      </c>
      <c r="X420" s="1">
        <v>1000</v>
      </c>
      <c r="Y420">
        <v>7</v>
      </c>
      <c r="Z420">
        <v>0</v>
      </c>
      <c r="AA420">
        <v>0</v>
      </c>
      <c r="AB420">
        <v>0</v>
      </c>
      <c r="AC420">
        <v>0</v>
      </c>
      <c r="AD420" t="s">
        <v>134</v>
      </c>
      <c r="AE420" t="s">
        <v>134</v>
      </c>
      <c r="AF420" s="2">
        <v>45518</v>
      </c>
      <c r="AG420" s="2">
        <v>46010</v>
      </c>
      <c r="AH420">
        <v>593.29999999999995</v>
      </c>
      <c r="AI420">
        <v>593.29999999999995</v>
      </c>
      <c r="AJ420">
        <v>593.29999999999995</v>
      </c>
      <c r="AK420">
        <v>0</v>
      </c>
      <c r="AL420">
        <v>0</v>
      </c>
      <c r="AM420">
        <v>0</v>
      </c>
      <c r="AN420" t="s">
        <v>135</v>
      </c>
      <c r="AO420" t="s">
        <v>135</v>
      </c>
      <c r="AP420" t="s">
        <v>136</v>
      </c>
      <c r="AQ420" t="s">
        <v>137</v>
      </c>
      <c r="AR420" t="s">
        <v>138</v>
      </c>
      <c r="AS420" t="s">
        <v>139</v>
      </c>
      <c r="AT420" t="s">
        <v>140</v>
      </c>
      <c r="AU420">
        <v>101</v>
      </c>
      <c r="AV420">
        <v>10</v>
      </c>
      <c r="AW420">
        <v>1</v>
      </c>
      <c r="AX420" s="2">
        <v>45813</v>
      </c>
      <c r="AY420" t="s">
        <v>308</v>
      </c>
      <c r="AZ420" s="2">
        <v>46023</v>
      </c>
      <c r="BA420">
        <v>0</v>
      </c>
      <c r="BB420">
        <v>0</v>
      </c>
      <c r="BC420">
        <v>0</v>
      </c>
      <c r="BD420">
        <v>700</v>
      </c>
      <c r="BE420">
        <v>70</v>
      </c>
      <c r="BF420">
        <v>9</v>
      </c>
      <c r="BG420" s="2">
        <v>45809</v>
      </c>
      <c r="BH420" t="s">
        <v>142</v>
      </c>
      <c r="BI420" s="2">
        <v>46026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593.29999999999995</v>
      </c>
      <c r="BW420">
        <v>593.29999999999995</v>
      </c>
      <c r="BX420">
        <v>0</v>
      </c>
      <c r="BY420">
        <v>0</v>
      </c>
      <c r="BZ420">
        <v>0</v>
      </c>
      <c r="CA420">
        <v>0</v>
      </c>
      <c r="CB420">
        <v>119.59</v>
      </c>
      <c r="CC420" t="s">
        <v>161</v>
      </c>
    </row>
    <row r="421" spans="1:81" x14ac:dyDescent="0.25">
      <c r="A421">
        <v>345</v>
      </c>
      <c r="B421">
        <v>2</v>
      </c>
      <c r="C421">
        <v>650</v>
      </c>
      <c r="D421" t="s">
        <v>2434</v>
      </c>
      <c r="E421" t="s">
        <v>121</v>
      </c>
      <c r="F421" t="s">
        <v>2435</v>
      </c>
      <c r="G421" t="s">
        <v>2436</v>
      </c>
      <c r="H421" t="s">
        <v>2437</v>
      </c>
      <c r="I421" t="s">
        <v>125</v>
      </c>
      <c r="J421" t="s">
        <v>126</v>
      </c>
      <c r="K421" t="s">
        <v>466</v>
      </c>
      <c r="L421" t="s">
        <v>128</v>
      </c>
      <c r="M421" t="s">
        <v>467</v>
      </c>
      <c r="N421" t="s">
        <v>2438</v>
      </c>
      <c r="O421" t="s">
        <v>149</v>
      </c>
      <c r="P421">
        <v>0</v>
      </c>
      <c r="Q421" t="s">
        <v>125</v>
      </c>
      <c r="R421">
        <v>6</v>
      </c>
      <c r="S421">
        <v>42</v>
      </c>
      <c r="T421" t="s">
        <v>132</v>
      </c>
      <c r="U421" t="s">
        <v>133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134</v>
      </c>
      <c r="AE421" t="s">
        <v>134</v>
      </c>
      <c r="AF421" s="2">
        <v>45518</v>
      </c>
      <c r="AG421" s="2">
        <v>46020</v>
      </c>
      <c r="AH421" s="1">
        <v>4565.24</v>
      </c>
      <c r="AI421" s="1">
        <v>10654.1</v>
      </c>
      <c r="AJ421" s="1">
        <v>63913.43</v>
      </c>
      <c r="AK421">
        <v>0</v>
      </c>
      <c r="AL421">
        <v>0</v>
      </c>
      <c r="AM421">
        <v>0</v>
      </c>
      <c r="AN421" t="s">
        <v>135</v>
      </c>
      <c r="AO421" t="s">
        <v>135</v>
      </c>
      <c r="AP421" t="s">
        <v>136</v>
      </c>
      <c r="AQ421" t="s">
        <v>137</v>
      </c>
      <c r="AR421" t="s">
        <v>138</v>
      </c>
      <c r="AS421" t="s">
        <v>139</v>
      </c>
      <c r="AT421" t="s">
        <v>140</v>
      </c>
      <c r="AU421">
        <v>501</v>
      </c>
      <c r="AV421">
        <v>10</v>
      </c>
      <c r="AW421">
        <v>1</v>
      </c>
      <c r="AX421" s="2">
        <v>45854</v>
      </c>
      <c r="AY421" t="s">
        <v>168</v>
      </c>
      <c r="AZ421" s="2">
        <v>46022</v>
      </c>
      <c r="BA421">
        <v>0</v>
      </c>
      <c r="BB421">
        <v>0</v>
      </c>
      <c r="BC421">
        <v>0</v>
      </c>
      <c r="BD421">
        <v>700</v>
      </c>
      <c r="BE421">
        <v>70</v>
      </c>
      <c r="BF421">
        <v>9</v>
      </c>
      <c r="BG421" s="2">
        <v>45536</v>
      </c>
      <c r="BH421" t="s">
        <v>142</v>
      </c>
      <c r="BI421" s="2">
        <v>46026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s="1">
        <v>22521.19</v>
      </c>
      <c r="BQ421" s="1">
        <v>22521.19</v>
      </c>
      <c r="BR421">
        <v>0</v>
      </c>
      <c r="BS421">
        <v>0</v>
      </c>
      <c r="BT421">
        <v>0</v>
      </c>
      <c r="BU421">
        <v>0</v>
      </c>
      <c r="BV421" s="1">
        <v>30464.11</v>
      </c>
      <c r="BW421" s="1">
        <v>30464.11</v>
      </c>
      <c r="BX421">
        <v>0</v>
      </c>
      <c r="BY421">
        <v>0</v>
      </c>
      <c r="BZ421">
        <v>0</v>
      </c>
      <c r="CA421">
        <v>0</v>
      </c>
      <c r="CB421" s="1">
        <v>14450.96</v>
      </c>
      <c r="CC421" t="s">
        <v>152</v>
      </c>
    </row>
    <row r="422" spans="1:81" x14ac:dyDescent="0.25">
      <c r="A422">
        <v>345</v>
      </c>
      <c r="B422">
        <v>2</v>
      </c>
      <c r="C422">
        <v>651</v>
      </c>
      <c r="D422" t="s">
        <v>2439</v>
      </c>
      <c r="E422" t="s">
        <v>121</v>
      </c>
      <c r="F422" t="s">
        <v>2440</v>
      </c>
      <c r="G422" t="s">
        <v>2441</v>
      </c>
      <c r="H422" t="s">
        <v>2442</v>
      </c>
      <c r="I422" t="s">
        <v>125</v>
      </c>
      <c r="J422" t="s">
        <v>126</v>
      </c>
      <c r="K422" t="s">
        <v>466</v>
      </c>
      <c r="L422" t="s">
        <v>128</v>
      </c>
      <c r="M422" t="s">
        <v>467</v>
      </c>
      <c r="N422" t="s">
        <v>2443</v>
      </c>
      <c r="O422" t="s">
        <v>131</v>
      </c>
      <c r="P422">
        <v>0</v>
      </c>
      <c r="Q422" t="s">
        <v>125</v>
      </c>
      <c r="R422">
        <v>3</v>
      </c>
      <c r="S422">
        <v>87</v>
      </c>
      <c r="T422" t="s">
        <v>132</v>
      </c>
      <c r="U422" t="s">
        <v>133</v>
      </c>
      <c r="V422" s="1">
        <v>5000</v>
      </c>
      <c r="W422">
        <v>0</v>
      </c>
      <c r="X422" s="1">
        <v>5000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134</v>
      </c>
      <c r="AE422" t="s">
        <v>134</v>
      </c>
      <c r="AF422" s="2">
        <v>45518</v>
      </c>
      <c r="AG422" s="2">
        <v>46020</v>
      </c>
      <c r="AH422" s="1">
        <v>4304.87</v>
      </c>
      <c r="AI422" s="1">
        <v>11715.33</v>
      </c>
      <c r="AJ422" s="1">
        <v>47353.57</v>
      </c>
      <c r="AK422">
        <v>0</v>
      </c>
      <c r="AL422">
        <v>0</v>
      </c>
      <c r="AM422">
        <v>0</v>
      </c>
      <c r="AN422" t="s">
        <v>135</v>
      </c>
      <c r="AO422" t="s">
        <v>135</v>
      </c>
      <c r="AP422" t="s">
        <v>136</v>
      </c>
      <c r="AQ422" t="s">
        <v>137</v>
      </c>
      <c r="AR422" t="s">
        <v>138</v>
      </c>
      <c r="AS422" t="s">
        <v>150</v>
      </c>
      <c r="AT422" t="s">
        <v>140</v>
      </c>
      <c r="AU422">
        <v>105</v>
      </c>
      <c r="AV422">
        <v>10</v>
      </c>
      <c r="AW422">
        <v>1</v>
      </c>
      <c r="AX422" s="2">
        <v>45974</v>
      </c>
      <c r="AY422" t="s">
        <v>308</v>
      </c>
      <c r="AZ422" s="2">
        <v>46023</v>
      </c>
      <c r="BA422">
        <v>0</v>
      </c>
      <c r="BB422">
        <v>0</v>
      </c>
      <c r="BC422">
        <v>0</v>
      </c>
      <c r="BD422">
        <v>700</v>
      </c>
      <c r="BE422">
        <v>70</v>
      </c>
      <c r="BF422">
        <v>9</v>
      </c>
      <c r="BG422" s="2">
        <v>45536</v>
      </c>
      <c r="BH422" t="s">
        <v>142</v>
      </c>
      <c r="BI422" s="2">
        <v>46026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s="1">
        <v>14822.4</v>
      </c>
      <c r="BQ422" s="1">
        <v>14822.4</v>
      </c>
      <c r="BR422">
        <v>0</v>
      </c>
      <c r="BS422">
        <v>0</v>
      </c>
      <c r="BT422">
        <v>0</v>
      </c>
      <c r="BU422">
        <v>0</v>
      </c>
      <c r="BV422" s="1">
        <v>17269.830000000002</v>
      </c>
      <c r="BW422" s="1">
        <v>17269.830000000002</v>
      </c>
      <c r="BX422">
        <v>0</v>
      </c>
      <c r="BY422">
        <v>0</v>
      </c>
      <c r="BZ422">
        <v>0</v>
      </c>
      <c r="CA422">
        <v>0</v>
      </c>
      <c r="CB422" s="1">
        <v>14707.49</v>
      </c>
      <c r="CC422" t="s">
        <v>143</v>
      </c>
    </row>
    <row r="423" spans="1:81" x14ac:dyDescent="0.25">
      <c r="A423">
        <v>345</v>
      </c>
      <c r="B423">
        <v>2</v>
      </c>
      <c r="C423">
        <v>652</v>
      </c>
      <c r="D423" t="s">
        <v>2444</v>
      </c>
      <c r="E423" t="s">
        <v>121</v>
      </c>
      <c r="F423" t="s">
        <v>2445</v>
      </c>
      <c r="G423" t="s">
        <v>2446</v>
      </c>
      <c r="H423" t="s">
        <v>2447</v>
      </c>
      <c r="I423" t="s">
        <v>125</v>
      </c>
      <c r="J423" t="s">
        <v>126</v>
      </c>
      <c r="K423" t="s">
        <v>466</v>
      </c>
      <c r="L423" t="s">
        <v>128</v>
      </c>
      <c r="M423" t="s">
        <v>467</v>
      </c>
      <c r="N423" t="s">
        <v>2448</v>
      </c>
      <c r="O423" t="s">
        <v>131</v>
      </c>
      <c r="P423">
        <v>0</v>
      </c>
      <c r="Q423" t="s">
        <v>125</v>
      </c>
      <c r="R423">
        <v>6</v>
      </c>
      <c r="S423">
        <v>43</v>
      </c>
      <c r="T423" t="s">
        <v>132</v>
      </c>
      <c r="U423" t="s">
        <v>133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134</v>
      </c>
      <c r="AE423" t="s">
        <v>134</v>
      </c>
      <c r="AF423" s="2">
        <v>45518</v>
      </c>
      <c r="AG423" s="2">
        <v>46004</v>
      </c>
      <c r="AH423">
        <v>128.37</v>
      </c>
      <c r="AI423">
        <v>138.81</v>
      </c>
      <c r="AJ423">
        <v>513.5</v>
      </c>
      <c r="AK423">
        <v>0</v>
      </c>
      <c r="AL423">
        <v>0</v>
      </c>
      <c r="AM423">
        <v>0</v>
      </c>
      <c r="AN423" t="s">
        <v>135</v>
      </c>
      <c r="AO423" t="s">
        <v>135</v>
      </c>
      <c r="AP423" t="s">
        <v>136</v>
      </c>
      <c r="AQ423" t="s">
        <v>137</v>
      </c>
      <c r="AR423" t="s">
        <v>138</v>
      </c>
      <c r="AS423" t="s">
        <v>150</v>
      </c>
      <c r="AT423" t="s">
        <v>140</v>
      </c>
      <c r="AU423">
        <v>105</v>
      </c>
      <c r="AV423">
        <v>10</v>
      </c>
      <c r="AW423">
        <v>1</v>
      </c>
      <c r="AX423" s="2">
        <v>45849</v>
      </c>
      <c r="AY423" t="s">
        <v>151</v>
      </c>
      <c r="AZ423" s="2">
        <v>46024</v>
      </c>
      <c r="BA423">
        <v>0</v>
      </c>
      <c r="BB423">
        <v>0</v>
      </c>
      <c r="BC423">
        <v>0</v>
      </c>
      <c r="BD423">
        <v>700</v>
      </c>
      <c r="BE423">
        <v>70</v>
      </c>
      <c r="BF423">
        <v>9</v>
      </c>
      <c r="BG423" s="2">
        <v>45536</v>
      </c>
      <c r="BH423" t="s">
        <v>142</v>
      </c>
      <c r="BI423" s="2">
        <v>46026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240.49</v>
      </c>
      <c r="BQ423">
        <v>240.49</v>
      </c>
      <c r="BR423">
        <v>0</v>
      </c>
      <c r="BS423">
        <v>0</v>
      </c>
      <c r="BT423">
        <v>0</v>
      </c>
      <c r="BU423">
        <v>0</v>
      </c>
      <c r="BV423">
        <v>134.19999999999999</v>
      </c>
      <c r="BW423">
        <v>134.19999999999999</v>
      </c>
      <c r="BX423">
        <v>0</v>
      </c>
      <c r="BY423">
        <v>0</v>
      </c>
      <c r="BZ423">
        <v>0</v>
      </c>
      <c r="CA423">
        <v>0</v>
      </c>
      <c r="CB423">
        <v>159.76</v>
      </c>
      <c r="CC423" t="s">
        <v>143</v>
      </c>
    </row>
    <row r="424" spans="1:81" x14ac:dyDescent="0.25">
      <c r="A424">
        <v>345</v>
      </c>
      <c r="B424">
        <v>2</v>
      </c>
      <c r="C424">
        <v>657</v>
      </c>
      <c r="D424" t="s">
        <v>2449</v>
      </c>
      <c r="E424" t="s">
        <v>121</v>
      </c>
      <c r="F424" t="s">
        <v>2450</v>
      </c>
      <c r="G424" t="s">
        <v>2451</v>
      </c>
      <c r="H424" t="s">
        <v>2452</v>
      </c>
      <c r="I424" t="s">
        <v>125</v>
      </c>
      <c r="J424" t="s">
        <v>612</v>
      </c>
      <c r="K424" t="s">
        <v>473</v>
      </c>
      <c r="L424" t="s">
        <v>128</v>
      </c>
      <c r="M424" t="s">
        <v>474</v>
      </c>
      <c r="N424" t="s">
        <v>2453</v>
      </c>
      <c r="O424" t="s">
        <v>131</v>
      </c>
      <c r="P424">
        <v>0</v>
      </c>
      <c r="Q424" t="s">
        <v>125</v>
      </c>
      <c r="R424">
        <v>6</v>
      </c>
      <c r="S424">
        <v>44</v>
      </c>
      <c r="T424" t="s">
        <v>132</v>
      </c>
      <c r="U424" t="s">
        <v>133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134</v>
      </c>
      <c r="AE424" t="s">
        <v>134</v>
      </c>
      <c r="AF424" s="2">
        <v>45518</v>
      </c>
      <c r="AG424" s="2">
        <v>46017</v>
      </c>
      <c r="AH424">
        <v>648.88</v>
      </c>
      <c r="AI424" s="1">
        <v>1307.0999999999999</v>
      </c>
      <c r="AJ424" s="1">
        <v>5191.1000000000004</v>
      </c>
      <c r="AK424">
        <v>0</v>
      </c>
      <c r="AL424" s="1">
        <v>1307.0999999999999</v>
      </c>
      <c r="AM424">
        <v>0</v>
      </c>
      <c r="AN424" t="s">
        <v>135</v>
      </c>
      <c r="AO424" t="s">
        <v>135</v>
      </c>
      <c r="AP424" t="s">
        <v>136</v>
      </c>
      <c r="AQ424" t="s">
        <v>137</v>
      </c>
      <c r="AR424" t="s">
        <v>138</v>
      </c>
      <c r="AS424" t="s">
        <v>150</v>
      </c>
      <c r="AT424" t="s">
        <v>140</v>
      </c>
      <c r="AU424">
        <v>102</v>
      </c>
      <c r="AV424">
        <v>10</v>
      </c>
      <c r="AW424">
        <v>1</v>
      </c>
      <c r="AX424" s="2">
        <v>45811</v>
      </c>
      <c r="AY424" t="s">
        <v>377</v>
      </c>
      <c r="AZ424" s="2">
        <v>46028</v>
      </c>
      <c r="BA424">
        <v>0</v>
      </c>
      <c r="BB424">
        <v>0</v>
      </c>
      <c r="BC424">
        <v>0</v>
      </c>
      <c r="BD424">
        <v>700</v>
      </c>
      <c r="BE424">
        <v>70</v>
      </c>
      <c r="BF424">
        <v>9</v>
      </c>
      <c r="BG424" s="2">
        <v>45536</v>
      </c>
      <c r="BH424" t="s">
        <v>142</v>
      </c>
      <c r="BI424" s="2">
        <v>46026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s="1">
        <v>1596.82</v>
      </c>
      <c r="BQ424" s="1">
        <v>1596.82</v>
      </c>
      <c r="BR424">
        <v>0</v>
      </c>
      <c r="BS424">
        <v>0</v>
      </c>
      <c r="BT424">
        <v>0</v>
      </c>
      <c r="BU424">
        <v>0</v>
      </c>
      <c r="BV424" s="1">
        <v>2211.7800000000002</v>
      </c>
      <c r="BW424" s="1">
        <v>2211.7800000000002</v>
      </c>
      <c r="BX424">
        <v>0</v>
      </c>
      <c r="BY424">
        <v>0</v>
      </c>
      <c r="BZ424">
        <v>0</v>
      </c>
      <c r="CA424">
        <v>0</v>
      </c>
      <c r="CB424" s="1">
        <v>1458.84</v>
      </c>
      <c r="CC424" t="s">
        <v>143</v>
      </c>
    </row>
    <row r="425" spans="1:81" x14ac:dyDescent="0.25">
      <c r="A425">
        <v>345</v>
      </c>
      <c r="B425">
        <v>2</v>
      </c>
      <c r="C425">
        <v>658</v>
      </c>
      <c r="D425" t="s">
        <v>2454</v>
      </c>
      <c r="E425" t="s">
        <v>121</v>
      </c>
      <c r="F425" t="s">
        <v>2455</v>
      </c>
      <c r="G425" t="s">
        <v>2456</v>
      </c>
      <c r="H425" t="s">
        <v>2457</v>
      </c>
      <c r="I425" t="s">
        <v>125</v>
      </c>
      <c r="J425" t="s">
        <v>126</v>
      </c>
      <c r="K425" t="s">
        <v>473</v>
      </c>
      <c r="L425" t="s">
        <v>128</v>
      </c>
      <c r="M425" t="s">
        <v>474</v>
      </c>
      <c r="N425" t="s">
        <v>2458</v>
      </c>
      <c r="O425" t="s">
        <v>159</v>
      </c>
      <c r="P425">
        <v>0</v>
      </c>
      <c r="Q425" t="s">
        <v>125</v>
      </c>
      <c r="R425">
        <v>4</v>
      </c>
      <c r="S425">
        <v>79</v>
      </c>
      <c r="T425" t="s">
        <v>132</v>
      </c>
      <c r="U425" t="s">
        <v>133</v>
      </c>
      <c r="V425" s="1">
        <v>1000</v>
      </c>
      <c r="W425">
        <v>0</v>
      </c>
      <c r="X425" s="1">
        <v>1000</v>
      </c>
      <c r="Y425">
        <v>7</v>
      </c>
      <c r="Z425">
        <v>0</v>
      </c>
      <c r="AA425">
        <v>0</v>
      </c>
      <c r="AB425">
        <v>0</v>
      </c>
      <c r="AC425">
        <v>0</v>
      </c>
      <c r="AD425" t="s">
        <v>134</v>
      </c>
      <c r="AE425" t="s">
        <v>134</v>
      </c>
      <c r="AF425" s="2">
        <v>45518</v>
      </c>
      <c r="AG425" s="2">
        <v>45932</v>
      </c>
      <c r="AH425">
        <v>704.11</v>
      </c>
      <c r="AI425">
        <v>704.11</v>
      </c>
      <c r="AJ425">
        <v>704.11</v>
      </c>
      <c r="AK425">
        <v>0</v>
      </c>
      <c r="AL425">
        <v>0</v>
      </c>
      <c r="AM425">
        <v>0</v>
      </c>
      <c r="AN425" t="s">
        <v>135</v>
      </c>
      <c r="AO425" t="s">
        <v>135</v>
      </c>
      <c r="AP425" t="s">
        <v>136</v>
      </c>
      <c r="AQ425" t="s">
        <v>137</v>
      </c>
      <c r="AR425" t="s">
        <v>138</v>
      </c>
      <c r="AS425" t="s">
        <v>150</v>
      </c>
      <c r="AT425" t="s">
        <v>140</v>
      </c>
      <c r="AU425">
        <v>105</v>
      </c>
      <c r="AV425">
        <v>10</v>
      </c>
      <c r="AW425">
        <v>1</v>
      </c>
      <c r="AX425" s="2">
        <v>45812</v>
      </c>
      <c r="AY425" t="s">
        <v>168</v>
      </c>
      <c r="AZ425" s="2">
        <v>46022</v>
      </c>
      <c r="BA425">
        <v>0</v>
      </c>
      <c r="BB425">
        <v>0</v>
      </c>
      <c r="BC425">
        <v>0</v>
      </c>
      <c r="BD425">
        <v>700</v>
      </c>
      <c r="BE425">
        <v>70</v>
      </c>
      <c r="BF425">
        <v>9</v>
      </c>
      <c r="BG425" s="2">
        <v>45809</v>
      </c>
      <c r="BH425" t="s">
        <v>142</v>
      </c>
      <c r="BI425" s="2">
        <v>46026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302.86</v>
      </c>
      <c r="CC425" t="s">
        <v>161</v>
      </c>
    </row>
    <row r="426" spans="1:81" x14ac:dyDescent="0.25">
      <c r="A426">
        <v>345</v>
      </c>
      <c r="B426">
        <v>2</v>
      </c>
      <c r="C426">
        <v>663</v>
      </c>
      <c r="D426" t="s">
        <v>2459</v>
      </c>
      <c r="E426" t="s">
        <v>121</v>
      </c>
      <c r="F426" t="s">
        <v>2460</v>
      </c>
      <c r="G426" t="s">
        <v>2461</v>
      </c>
      <c r="H426" t="s">
        <v>2462</v>
      </c>
      <c r="I426" t="s">
        <v>2463</v>
      </c>
      <c r="J426" t="s">
        <v>572</v>
      </c>
      <c r="K426" t="s">
        <v>466</v>
      </c>
      <c r="L426" t="s">
        <v>128</v>
      </c>
      <c r="M426" t="s">
        <v>467</v>
      </c>
      <c r="N426" t="s">
        <v>2464</v>
      </c>
      <c r="O426" t="s">
        <v>149</v>
      </c>
      <c r="P426">
        <v>0</v>
      </c>
      <c r="Q426" t="s">
        <v>125</v>
      </c>
      <c r="R426">
        <v>6</v>
      </c>
      <c r="S426">
        <v>43</v>
      </c>
      <c r="T426" t="s">
        <v>132</v>
      </c>
      <c r="U426" t="s">
        <v>133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134</v>
      </c>
      <c r="AE426" t="s">
        <v>134</v>
      </c>
      <c r="AF426" s="2">
        <v>45518</v>
      </c>
      <c r="AG426" s="2">
        <v>46012</v>
      </c>
      <c r="AH426">
        <v>735.15</v>
      </c>
      <c r="AI426">
        <v>911.02</v>
      </c>
      <c r="AJ426" s="1">
        <v>2205.4699999999998</v>
      </c>
      <c r="AK426">
        <v>0</v>
      </c>
      <c r="AL426">
        <v>0</v>
      </c>
      <c r="AM426">
        <v>0</v>
      </c>
      <c r="AN426" t="s">
        <v>135</v>
      </c>
      <c r="AO426" t="s">
        <v>135</v>
      </c>
      <c r="AP426" t="s">
        <v>136</v>
      </c>
      <c r="AQ426" t="s">
        <v>137</v>
      </c>
      <c r="AR426" t="s">
        <v>138</v>
      </c>
      <c r="AS426" t="s">
        <v>150</v>
      </c>
      <c r="AT426" t="s">
        <v>140</v>
      </c>
      <c r="AU426">
        <v>100</v>
      </c>
      <c r="AV426">
        <v>10</v>
      </c>
      <c r="AW426">
        <v>1</v>
      </c>
      <c r="AX426" s="2">
        <v>45842</v>
      </c>
      <c r="AY426" t="s">
        <v>151</v>
      </c>
      <c r="AZ426" s="2">
        <v>46024</v>
      </c>
      <c r="BA426">
        <v>0</v>
      </c>
      <c r="BB426">
        <v>0</v>
      </c>
      <c r="BC426">
        <v>0</v>
      </c>
      <c r="BD426">
        <v>700</v>
      </c>
      <c r="BE426">
        <v>70</v>
      </c>
      <c r="BF426">
        <v>9</v>
      </c>
      <c r="BG426" s="2">
        <v>45536</v>
      </c>
      <c r="BH426" t="s">
        <v>142</v>
      </c>
      <c r="BI426" s="2">
        <v>46026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721.45</v>
      </c>
      <c r="BQ426">
        <v>721.45</v>
      </c>
      <c r="BR426">
        <v>0</v>
      </c>
      <c r="BS426">
        <v>0</v>
      </c>
      <c r="BT426">
        <v>0</v>
      </c>
      <c r="BU426">
        <v>0</v>
      </c>
      <c r="BV426">
        <v>573</v>
      </c>
      <c r="BW426">
        <v>573</v>
      </c>
      <c r="BX426">
        <v>0</v>
      </c>
      <c r="BY426">
        <v>0</v>
      </c>
      <c r="BZ426">
        <v>0</v>
      </c>
      <c r="CA426">
        <v>0</v>
      </c>
      <c r="CB426" s="1">
        <v>1021.99</v>
      </c>
      <c r="CC426" t="s">
        <v>152</v>
      </c>
    </row>
    <row r="427" spans="1:81" x14ac:dyDescent="0.25">
      <c r="A427">
        <v>345</v>
      </c>
      <c r="B427">
        <v>2</v>
      </c>
      <c r="C427">
        <v>665</v>
      </c>
      <c r="D427" t="s">
        <v>2465</v>
      </c>
      <c r="E427" t="s">
        <v>121</v>
      </c>
      <c r="F427" t="s">
        <v>2466</v>
      </c>
      <c r="G427" t="s">
        <v>2467</v>
      </c>
      <c r="H427" t="s">
        <v>2468</v>
      </c>
      <c r="I427" t="s">
        <v>2469</v>
      </c>
      <c r="J427" t="s">
        <v>126</v>
      </c>
      <c r="K427" t="s">
        <v>466</v>
      </c>
      <c r="L427" t="s">
        <v>128</v>
      </c>
      <c r="M427" t="s">
        <v>467</v>
      </c>
      <c r="N427" t="s">
        <v>2470</v>
      </c>
      <c r="O427" t="s">
        <v>149</v>
      </c>
      <c r="P427">
        <v>0</v>
      </c>
      <c r="Q427" t="s">
        <v>125</v>
      </c>
      <c r="R427">
        <v>6</v>
      </c>
      <c r="S427">
        <v>39</v>
      </c>
      <c r="T427" t="s">
        <v>132</v>
      </c>
      <c r="U427" t="s">
        <v>133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134</v>
      </c>
      <c r="AE427" t="s">
        <v>134</v>
      </c>
      <c r="AF427" s="2">
        <v>45518</v>
      </c>
      <c r="AG427" s="2">
        <v>46019</v>
      </c>
      <c r="AH427">
        <v>950.58</v>
      </c>
      <c r="AI427" s="1">
        <v>2543.6999999999998</v>
      </c>
      <c r="AJ427" s="1">
        <v>6654.09</v>
      </c>
      <c r="AK427">
        <v>0</v>
      </c>
      <c r="AL427">
        <v>0</v>
      </c>
      <c r="AM427">
        <v>0</v>
      </c>
      <c r="AN427" t="s">
        <v>135</v>
      </c>
      <c r="AO427" t="s">
        <v>135</v>
      </c>
      <c r="AP427" t="s">
        <v>136</v>
      </c>
      <c r="AQ427" t="s">
        <v>137</v>
      </c>
      <c r="AR427" t="s">
        <v>138</v>
      </c>
      <c r="AS427" t="s">
        <v>139</v>
      </c>
      <c r="AT427" t="s">
        <v>140</v>
      </c>
      <c r="AU427">
        <v>105</v>
      </c>
      <c r="AV427">
        <v>10</v>
      </c>
      <c r="AW427">
        <v>1</v>
      </c>
      <c r="AX427" s="2">
        <v>45849</v>
      </c>
      <c r="AY427" t="s">
        <v>151</v>
      </c>
      <c r="AZ427" s="2">
        <v>46024</v>
      </c>
      <c r="BA427">
        <v>0</v>
      </c>
      <c r="BB427">
        <v>0</v>
      </c>
      <c r="BC427">
        <v>0</v>
      </c>
      <c r="BD427">
        <v>700</v>
      </c>
      <c r="BE427">
        <v>70</v>
      </c>
      <c r="BF427">
        <v>9</v>
      </c>
      <c r="BG427" s="2">
        <v>45536</v>
      </c>
      <c r="BH427" t="s">
        <v>142</v>
      </c>
      <c r="BI427" s="2">
        <v>46026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667.7</v>
      </c>
      <c r="BQ427">
        <v>667.7</v>
      </c>
      <c r="BR427">
        <v>0</v>
      </c>
      <c r="BS427">
        <v>0</v>
      </c>
      <c r="BT427">
        <v>0</v>
      </c>
      <c r="BU427">
        <v>0</v>
      </c>
      <c r="BV427" s="1">
        <v>3457.98</v>
      </c>
      <c r="BW427" s="1">
        <v>3457.98</v>
      </c>
      <c r="BX427">
        <v>0</v>
      </c>
      <c r="BY427">
        <v>0</v>
      </c>
      <c r="BZ427">
        <v>0</v>
      </c>
      <c r="CA427">
        <v>0</v>
      </c>
      <c r="CB427" s="1">
        <v>1112.98</v>
      </c>
      <c r="CC427" t="s">
        <v>152</v>
      </c>
    </row>
    <row r="428" spans="1:81" x14ac:dyDescent="0.25">
      <c r="A428">
        <v>345</v>
      </c>
      <c r="B428">
        <v>2</v>
      </c>
      <c r="C428">
        <v>667</v>
      </c>
      <c r="D428" t="s">
        <v>2471</v>
      </c>
      <c r="E428" t="s">
        <v>121</v>
      </c>
      <c r="F428" t="s">
        <v>2472</v>
      </c>
      <c r="G428" t="s">
        <v>2473</v>
      </c>
      <c r="H428" t="s">
        <v>2474</v>
      </c>
      <c r="I428" t="s">
        <v>2475</v>
      </c>
      <c r="J428" t="s">
        <v>126</v>
      </c>
      <c r="K428" t="s">
        <v>336</v>
      </c>
      <c r="L428" t="s">
        <v>128</v>
      </c>
      <c r="M428" t="s">
        <v>337</v>
      </c>
      <c r="N428" t="s">
        <v>2476</v>
      </c>
      <c r="O428" t="s">
        <v>131</v>
      </c>
      <c r="P428">
        <v>0</v>
      </c>
      <c r="Q428" t="s">
        <v>125</v>
      </c>
      <c r="R428">
        <v>6</v>
      </c>
      <c r="S428">
        <v>42</v>
      </c>
      <c r="T428" t="s">
        <v>132</v>
      </c>
      <c r="U428" t="s">
        <v>133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134</v>
      </c>
      <c r="AE428" t="s">
        <v>134</v>
      </c>
      <c r="AF428" s="2">
        <v>45518</v>
      </c>
      <c r="AG428" s="2">
        <v>46018</v>
      </c>
      <c r="AH428" s="1">
        <v>1320.22</v>
      </c>
      <c r="AI428" s="1">
        <v>2565.04</v>
      </c>
      <c r="AJ428" s="1">
        <v>17162.91</v>
      </c>
      <c r="AK428">
        <v>0</v>
      </c>
      <c r="AL428">
        <v>0</v>
      </c>
      <c r="AM428">
        <v>0</v>
      </c>
      <c r="AN428" t="s">
        <v>135</v>
      </c>
      <c r="AO428" t="s">
        <v>135</v>
      </c>
      <c r="AP428" t="s">
        <v>136</v>
      </c>
      <c r="AQ428" t="s">
        <v>137</v>
      </c>
      <c r="AR428" t="s">
        <v>138</v>
      </c>
      <c r="AS428" t="s">
        <v>139</v>
      </c>
      <c r="AT428" t="s">
        <v>140</v>
      </c>
      <c r="AU428">
        <v>101</v>
      </c>
      <c r="AV428">
        <v>10</v>
      </c>
      <c r="AW428">
        <v>1</v>
      </c>
      <c r="AX428" s="2">
        <v>45813</v>
      </c>
      <c r="AY428" t="s">
        <v>308</v>
      </c>
      <c r="AZ428" s="2">
        <v>46023</v>
      </c>
      <c r="BA428">
        <v>0</v>
      </c>
      <c r="BB428">
        <v>0</v>
      </c>
      <c r="BC428">
        <v>0</v>
      </c>
      <c r="BD428">
        <v>700</v>
      </c>
      <c r="BE428">
        <v>70</v>
      </c>
      <c r="BF428">
        <v>9</v>
      </c>
      <c r="BG428" s="2">
        <v>45536</v>
      </c>
      <c r="BH428" t="s">
        <v>142</v>
      </c>
      <c r="BI428" s="2">
        <v>46026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s="1">
        <v>5364.21</v>
      </c>
      <c r="BQ428" s="1">
        <v>5364.21</v>
      </c>
      <c r="BR428">
        <v>0</v>
      </c>
      <c r="BS428">
        <v>0</v>
      </c>
      <c r="BT428">
        <v>0</v>
      </c>
      <c r="BU428">
        <v>0</v>
      </c>
      <c r="BV428" s="1">
        <v>2809.43</v>
      </c>
      <c r="BW428" s="1">
        <v>2809.43</v>
      </c>
      <c r="BX428">
        <v>0</v>
      </c>
      <c r="BY428">
        <v>0</v>
      </c>
      <c r="BZ428">
        <v>0</v>
      </c>
      <c r="CA428">
        <v>0</v>
      </c>
      <c r="CB428" s="1">
        <v>5990.02</v>
      </c>
      <c r="CC428" t="s">
        <v>143</v>
      </c>
    </row>
    <row r="429" spans="1:81" x14ac:dyDescent="0.25">
      <c r="A429">
        <v>345</v>
      </c>
      <c r="B429">
        <v>2</v>
      </c>
      <c r="C429">
        <v>670</v>
      </c>
      <c r="D429" t="s">
        <v>2477</v>
      </c>
      <c r="E429" t="s">
        <v>121</v>
      </c>
      <c r="F429" t="s">
        <v>2478</v>
      </c>
      <c r="G429" t="s">
        <v>2479</v>
      </c>
      <c r="H429" t="s">
        <v>2480</v>
      </c>
      <c r="I429" t="s">
        <v>125</v>
      </c>
      <c r="J429" t="s">
        <v>527</v>
      </c>
      <c r="K429" t="s">
        <v>466</v>
      </c>
      <c r="L429" t="s">
        <v>128</v>
      </c>
      <c r="M429" t="s">
        <v>467</v>
      </c>
      <c r="N429" t="s">
        <v>528</v>
      </c>
      <c r="O429" t="s">
        <v>131</v>
      </c>
      <c r="P429">
        <v>0</v>
      </c>
      <c r="Q429" t="s">
        <v>125</v>
      </c>
      <c r="R429">
        <v>6</v>
      </c>
      <c r="S429">
        <v>44</v>
      </c>
      <c r="T429" t="s">
        <v>132</v>
      </c>
      <c r="U429" t="s">
        <v>133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134</v>
      </c>
      <c r="AE429" t="s">
        <v>134</v>
      </c>
      <c r="AF429" s="2">
        <v>45518</v>
      </c>
      <c r="AG429" s="2">
        <v>46020</v>
      </c>
      <c r="AH429">
        <v>453.59</v>
      </c>
      <c r="AI429" s="1">
        <v>1038.3800000000001</v>
      </c>
      <c r="AJ429" s="1">
        <v>3628.73</v>
      </c>
      <c r="AK429">
        <v>0</v>
      </c>
      <c r="AL429">
        <v>0</v>
      </c>
      <c r="AM429">
        <v>0</v>
      </c>
      <c r="AN429" t="s">
        <v>135</v>
      </c>
      <c r="AO429" t="s">
        <v>135</v>
      </c>
      <c r="AP429" t="s">
        <v>136</v>
      </c>
      <c r="AQ429" t="s">
        <v>137</v>
      </c>
      <c r="AR429" t="s">
        <v>138</v>
      </c>
      <c r="AS429" t="s">
        <v>150</v>
      </c>
      <c r="AT429" t="s">
        <v>140</v>
      </c>
      <c r="AU429">
        <v>105</v>
      </c>
      <c r="AV429">
        <v>10</v>
      </c>
      <c r="AW429">
        <v>1</v>
      </c>
      <c r="AX429" s="2">
        <v>45843</v>
      </c>
      <c r="AY429" t="s">
        <v>160</v>
      </c>
      <c r="AZ429" s="2">
        <v>46025</v>
      </c>
      <c r="BA429">
        <v>0</v>
      </c>
      <c r="BB429">
        <v>0</v>
      </c>
      <c r="BC429">
        <v>0</v>
      </c>
      <c r="BD429">
        <v>700</v>
      </c>
      <c r="BE429">
        <v>70</v>
      </c>
      <c r="BF429">
        <v>9</v>
      </c>
      <c r="BG429" s="2">
        <v>45536</v>
      </c>
      <c r="BH429" t="s">
        <v>142</v>
      </c>
      <c r="BI429" s="2">
        <v>46026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713.84</v>
      </c>
      <c r="BQ429">
        <v>713.84</v>
      </c>
      <c r="BR429">
        <v>0</v>
      </c>
      <c r="BS429">
        <v>0</v>
      </c>
      <c r="BT429">
        <v>0</v>
      </c>
      <c r="BU429">
        <v>0</v>
      </c>
      <c r="BV429">
        <v>982.72</v>
      </c>
      <c r="BW429">
        <v>982.72</v>
      </c>
      <c r="BX429">
        <v>0</v>
      </c>
      <c r="BY429">
        <v>0</v>
      </c>
      <c r="BZ429">
        <v>0</v>
      </c>
      <c r="CA429">
        <v>0</v>
      </c>
      <c r="CB429" s="1">
        <v>1127.99</v>
      </c>
      <c r="CC429" t="s">
        <v>143</v>
      </c>
    </row>
    <row r="430" spans="1:81" x14ac:dyDescent="0.25">
      <c r="A430">
        <v>345</v>
      </c>
      <c r="B430">
        <v>2</v>
      </c>
      <c r="C430">
        <v>671</v>
      </c>
      <c r="D430" t="s">
        <v>2481</v>
      </c>
      <c r="E430" t="s">
        <v>121</v>
      </c>
      <c r="F430" t="s">
        <v>2482</v>
      </c>
      <c r="G430" t="s">
        <v>2483</v>
      </c>
      <c r="H430" t="s">
        <v>594</v>
      </c>
      <c r="I430" t="s">
        <v>2484</v>
      </c>
      <c r="J430" t="s">
        <v>565</v>
      </c>
      <c r="K430" t="s">
        <v>336</v>
      </c>
      <c r="L430" t="s">
        <v>128</v>
      </c>
      <c r="M430" t="s">
        <v>337</v>
      </c>
      <c r="N430" t="s">
        <v>2485</v>
      </c>
      <c r="O430" t="s">
        <v>131</v>
      </c>
      <c r="P430">
        <v>0</v>
      </c>
      <c r="Q430" t="s">
        <v>125</v>
      </c>
      <c r="R430">
        <v>6</v>
      </c>
      <c r="S430">
        <v>44</v>
      </c>
      <c r="T430" t="s">
        <v>132</v>
      </c>
      <c r="U430" t="s">
        <v>133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134</v>
      </c>
      <c r="AE430" t="s">
        <v>134</v>
      </c>
      <c r="AF430" s="2">
        <v>45518</v>
      </c>
      <c r="AG430" s="2">
        <v>46007</v>
      </c>
      <c r="AH430">
        <v>438.36</v>
      </c>
      <c r="AI430">
        <v>576.33000000000004</v>
      </c>
      <c r="AJ430" s="1">
        <v>3506.94</v>
      </c>
      <c r="AK430">
        <v>0</v>
      </c>
      <c r="AL430">
        <v>0</v>
      </c>
      <c r="AM430">
        <v>0</v>
      </c>
      <c r="AN430" t="s">
        <v>135</v>
      </c>
      <c r="AO430" t="s">
        <v>135</v>
      </c>
      <c r="AP430" t="s">
        <v>136</v>
      </c>
      <c r="AQ430" t="s">
        <v>137</v>
      </c>
      <c r="AR430" t="s">
        <v>138</v>
      </c>
      <c r="AS430" t="s">
        <v>150</v>
      </c>
      <c r="AT430" t="s">
        <v>140</v>
      </c>
      <c r="AU430">
        <v>501</v>
      </c>
      <c r="AV430">
        <v>10</v>
      </c>
      <c r="AW430">
        <v>1</v>
      </c>
      <c r="AX430" s="2">
        <v>45859</v>
      </c>
      <c r="AY430" t="s">
        <v>141</v>
      </c>
      <c r="AZ430" s="2">
        <v>46027</v>
      </c>
      <c r="BA430">
        <v>0</v>
      </c>
      <c r="BB430">
        <v>0</v>
      </c>
      <c r="BC430">
        <v>0</v>
      </c>
      <c r="BD430">
        <v>700</v>
      </c>
      <c r="BE430">
        <v>70</v>
      </c>
      <c r="BF430">
        <v>9</v>
      </c>
      <c r="BG430" s="2">
        <v>45536</v>
      </c>
      <c r="BH430" t="s">
        <v>142</v>
      </c>
      <c r="BI430" s="2">
        <v>46026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918.69</v>
      </c>
      <c r="BQ430">
        <v>918.69</v>
      </c>
      <c r="BR430">
        <v>0</v>
      </c>
      <c r="BS430">
        <v>0</v>
      </c>
      <c r="BT430">
        <v>0</v>
      </c>
      <c r="BU430">
        <v>0</v>
      </c>
      <c r="BV430">
        <v>985.51</v>
      </c>
      <c r="BW430">
        <v>985.51</v>
      </c>
      <c r="BX430">
        <v>0</v>
      </c>
      <c r="BY430">
        <v>0</v>
      </c>
      <c r="BZ430">
        <v>0</v>
      </c>
      <c r="CA430">
        <v>0</v>
      </c>
      <c r="CB430" s="1">
        <v>1518.73</v>
      </c>
      <c r="CC430" t="s">
        <v>143</v>
      </c>
    </row>
    <row r="431" spans="1:81" x14ac:dyDescent="0.25">
      <c r="A431">
        <v>345</v>
      </c>
      <c r="B431">
        <v>2</v>
      </c>
      <c r="C431">
        <v>674</v>
      </c>
      <c r="D431" t="s">
        <v>2486</v>
      </c>
      <c r="E431" t="s">
        <v>121</v>
      </c>
      <c r="F431" t="s">
        <v>2487</v>
      </c>
      <c r="G431" t="s">
        <v>2488</v>
      </c>
      <c r="H431" t="s">
        <v>2489</v>
      </c>
      <c r="I431" t="s">
        <v>2490</v>
      </c>
      <c r="J431" t="s">
        <v>1399</v>
      </c>
      <c r="K431" t="s">
        <v>336</v>
      </c>
      <c r="L431" t="s">
        <v>128</v>
      </c>
      <c r="M431" t="s">
        <v>337</v>
      </c>
      <c r="N431" t="s">
        <v>2491</v>
      </c>
      <c r="O431" t="s">
        <v>131</v>
      </c>
      <c r="P431">
        <v>0</v>
      </c>
      <c r="Q431" t="s">
        <v>125</v>
      </c>
      <c r="R431">
        <v>6</v>
      </c>
      <c r="S431">
        <v>42</v>
      </c>
      <c r="T431" t="s">
        <v>132</v>
      </c>
      <c r="U431" t="s">
        <v>133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134</v>
      </c>
      <c r="AE431" t="s">
        <v>134</v>
      </c>
      <c r="AF431" s="2">
        <v>45518</v>
      </c>
      <c r="AG431" s="2">
        <v>46020</v>
      </c>
      <c r="AH431" s="1">
        <v>2552.89</v>
      </c>
      <c r="AI431" s="1">
        <v>4167.84</v>
      </c>
      <c r="AJ431" s="1">
        <v>30634.69</v>
      </c>
      <c r="AK431">
        <v>0</v>
      </c>
      <c r="AL431">
        <v>0</v>
      </c>
      <c r="AM431">
        <v>0</v>
      </c>
      <c r="AN431" t="s">
        <v>135</v>
      </c>
      <c r="AO431" t="s">
        <v>135</v>
      </c>
      <c r="AP431" t="s">
        <v>136</v>
      </c>
      <c r="AQ431" t="s">
        <v>137</v>
      </c>
      <c r="AR431" t="s">
        <v>138</v>
      </c>
      <c r="AS431" t="s">
        <v>139</v>
      </c>
      <c r="AT431" t="s">
        <v>140</v>
      </c>
      <c r="AU431">
        <v>100</v>
      </c>
      <c r="AV431">
        <v>10</v>
      </c>
      <c r="AW431">
        <v>1</v>
      </c>
      <c r="AX431" s="2">
        <v>45815</v>
      </c>
      <c r="AY431" t="s">
        <v>160</v>
      </c>
      <c r="AZ431" s="2">
        <v>46025</v>
      </c>
      <c r="BA431">
        <v>0</v>
      </c>
      <c r="BB431">
        <v>0</v>
      </c>
      <c r="BC431">
        <v>0</v>
      </c>
      <c r="BD431">
        <v>700</v>
      </c>
      <c r="BE431">
        <v>70</v>
      </c>
      <c r="BF431">
        <v>9</v>
      </c>
      <c r="BG431" s="2">
        <v>45536</v>
      </c>
      <c r="BH431" t="s">
        <v>142</v>
      </c>
      <c r="BI431" s="2">
        <v>46026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s="1">
        <v>11486.98</v>
      </c>
      <c r="BQ431" s="1">
        <v>11486.98</v>
      </c>
      <c r="BR431">
        <v>0</v>
      </c>
      <c r="BS431">
        <v>0</v>
      </c>
      <c r="BT431">
        <v>0</v>
      </c>
      <c r="BU431">
        <v>0</v>
      </c>
      <c r="BV431" s="1">
        <v>11387.8</v>
      </c>
      <c r="BW431" s="1">
        <v>11387.8</v>
      </c>
      <c r="BX431">
        <v>0</v>
      </c>
      <c r="BY431">
        <v>0</v>
      </c>
      <c r="BZ431">
        <v>0</v>
      </c>
      <c r="CA431">
        <v>0</v>
      </c>
      <c r="CB431" s="1">
        <v>9213.5</v>
      </c>
      <c r="CC431" t="s">
        <v>143</v>
      </c>
    </row>
    <row r="432" spans="1:81" x14ac:dyDescent="0.25">
      <c r="A432">
        <v>345</v>
      </c>
      <c r="B432">
        <v>2</v>
      </c>
      <c r="C432">
        <v>675</v>
      </c>
      <c r="D432" t="s">
        <v>2492</v>
      </c>
      <c r="E432" t="s">
        <v>121</v>
      </c>
      <c r="F432" t="s">
        <v>2493</v>
      </c>
      <c r="G432" t="s">
        <v>2494</v>
      </c>
      <c r="H432" t="s">
        <v>2495</v>
      </c>
      <c r="I432" t="s">
        <v>2496</v>
      </c>
      <c r="J432" t="s">
        <v>915</v>
      </c>
      <c r="K432" t="s">
        <v>473</v>
      </c>
      <c r="L432" t="s">
        <v>128</v>
      </c>
      <c r="M432" t="s">
        <v>474</v>
      </c>
      <c r="N432" t="s">
        <v>2497</v>
      </c>
      <c r="O432" t="s">
        <v>149</v>
      </c>
      <c r="P432">
        <v>0</v>
      </c>
      <c r="Q432" t="s">
        <v>125</v>
      </c>
      <c r="R432">
        <v>6</v>
      </c>
      <c r="S432">
        <v>41</v>
      </c>
      <c r="T432" t="s">
        <v>132</v>
      </c>
      <c r="U432" t="s">
        <v>133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134</v>
      </c>
      <c r="AE432" t="s">
        <v>134</v>
      </c>
      <c r="AF432" s="2">
        <v>45518</v>
      </c>
      <c r="AG432" s="2">
        <v>46020</v>
      </c>
      <c r="AH432" s="1">
        <v>8642.7199999999993</v>
      </c>
      <c r="AI432" s="1">
        <v>10413.35</v>
      </c>
      <c r="AJ432" s="1">
        <v>103712.65</v>
      </c>
      <c r="AK432">
        <v>0</v>
      </c>
      <c r="AL432">
        <v>0</v>
      </c>
      <c r="AM432">
        <v>0</v>
      </c>
      <c r="AN432" t="s">
        <v>135</v>
      </c>
      <c r="AO432" t="s">
        <v>135</v>
      </c>
      <c r="AP432" t="s">
        <v>136</v>
      </c>
      <c r="AQ432" t="s">
        <v>137</v>
      </c>
      <c r="AR432" t="s">
        <v>138</v>
      </c>
      <c r="AS432" t="s">
        <v>139</v>
      </c>
      <c r="AT432" t="s">
        <v>140</v>
      </c>
      <c r="AU432">
        <v>501</v>
      </c>
      <c r="AV432">
        <v>10</v>
      </c>
      <c r="AW432">
        <v>1</v>
      </c>
      <c r="AX432" s="2">
        <v>45857</v>
      </c>
      <c r="AY432" t="s">
        <v>160</v>
      </c>
      <c r="AZ432" s="2">
        <v>46025</v>
      </c>
      <c r="BA432">
        <v>0</v>
      </c>
      <c r="BB432">
        <v>0</v>
      </c>
      <c r="BC432">
        <v>0</v>
      </c>
      <c r="BD432">
        <v>700</v>
      </c>
      <c r="BE432">
        <v>70</v>
      </c>
      <c r="BF432">
        <v>9</v>
      </c>
      <c r="BG432" s="2">
        <v>45536</v>
      </c>
      <c r="BH432" t="s">
        <v>142</v>
      </c>
      <c r="BI432" s="2">
        <v>46026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s="1">
        <v>25192.69</v>
      </c>
      <c r="BQ432" s="1">
        <v>25192.69</v>
      </c>
      <c r="BR432">
        <v>0</v>
      </c>
      <c r="BS432">
        <v>0</v>
      </c>
      <c r="BT432">
        <v>0</v>
      </c>
      <c r="BU432">
        <v>0</v>
      </c>
      <c r="BV432" s="1">
        <v>47268.47</v>
      </c>
      <c r="BW432" s="1">
        <v>47268.47</v>
      </c>
      <c r="BX432">
        <v>0</v>
      </c>
      <c r="BY432">
        <v>0</v>
      </c>
      <c r="BZ432">
        <v>0</v>
      </c>
      <c r="CA432">
        <v>0</v>
      </c>
      <c r="CB432" s="1">
        <v>28254.68</v>
      </c>
      <c r="CC432" t="s">
        <v>152</v>
      </c>
    </row>
    <row r="433" spans="1:81" x14ac:dyDescent="0.25">
      <c r="A433">
        <v>345</v>
      </c>
      <c r="B433">
        <v>2</v>
      </c>
      <c r="C433">
        <v>676</v>
      </c>
      <c r="D433" t="s">
        <v>2498</v>
      </c>
      <c r="E433" t="s">
        <v>121</v>
      </c>
      <c r="F433" t="s">
        <v>2499</v>
      </c>
      <c r="G433" t="s">
        <v>2500</v>
      </c>
      <c r="H433" t="s">
        <v>2501</v>
      </c>
      <c r="I433" t="s">
        <v>2502</v>
      </c>
      <c r="J433" t="s">
        <v>2503</v>
      </c>
      <c r="K433" t="s">
        <v>466</v>
      </c>
      <c r="L433" t="s">
        <v>128</v>
      </c>
      <c r="M433" t="s">
        <v>467</v>
      </c>
      <c r="N433" t="s">
        <v>2504</v>
      </c>
      <c r="O433" t="s">
        <v>131</v>
      </c>
      <c r="P433">
        <v>0</v>
      </c>
      <c r="Q433" t="s">
        <v>125</v>
      </c>
      <c r="R433">
        <v>6</v>
      </c>
      <c r="S433">
        <v>40</v>
      </c>
      <c r="T433" t="s">
        <v>132</v>
      </c>
      <c r="U433" t="s">
        <v>133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134</v>
      </c>
      <c r="AE433" t="s">
        <v>134</v>
      </c>
      <c r="AF433" s="2">
        <v>45518</v>
      </c>
      <c r="AG433" s="2">
        <v>46009</v>
      </c>
      <c r="AH433" s="1">
        <v>6852.16</v>
      </c>
      <c r="AI433" s="1">
        <v>12684.66</v>
      </c>
      <c r="AJ433" s="1">
        <v>75373.789999999994</v>
      </c>
      <c r="AK433">
        <v>0</v>
      </c>
      <c r="AL433">
        <v>0</v>
      </c>
      <c r="AM433">
        <v>0</v>
      </c>
      <c r="AN433" t="s">
        <v>135</v>
      </c>
      <c r="AO433" t="s">
        <v>135</v>
      </c>
      <c r="AP433" t="s">
        <v>136</v>
      </c>
      <c r="AQ433" t="s">
        <v>137</v>
      </c>
      <c r="AR433" t="s">
        <v>138</v>
      </c>
      <c r="AS433" t="s">
        <v>139</v>
      </c>
      <c r="AT433" t="s">
        <v>140</v>
      </c>
      <c r="AU433">
        <v>500</v>
      </c>
      <c r="AV433">
        <v>10</v>
      </c>
      <c r="AW433">
        <v>1</v>
      </c>
      <c r="AX433" s="2">
        <v>45840</v>
      </c>
      <c r="AY433" t="s">
        <v>168</v>
      </c>
      <c r="AZ433" s="2">
        <v>46022</v>
      </c>
      <c r="BA433">
        <v>0</v>
      </c>
      <c r="BB433">
        <v>0</v>
      </c>
      <c r="BC433">
        <v>0</v>
      </c>
      <c r="BD433">
        <v>700</v>
      </c>
      <c r="BE433">
        <v>70</v>
      </c>
      <c r="BF433">
        <v>9</v>
      </c>
      <c r="BG433" s="2">
        <v>45536</v>
      </c>
      <c r="BH433" t="s">
        <v>142</v>
      </c>
      <c r="BI433" s="2">
        <v>46026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s="1">
        <v>33543.24</v>
      </c>
      <c r="BQ433" s="1">
        <v>33543.24</v>
      </c>
      <c r="BR433">
        <v>0</v>
      </c>
      <c r="BS433">
        <v>0</v>
      </c>
      <c r="BT433">
        <v>0</v>
      </c>
      <c r="BU433">
        <v>0</v>
      </c>
      <c r="BV433" s="1">
        <v>20081.939999999999</v>
      </c>
      <c r="BW433" s="1">
        <v>20081.939999999999</v>
      </c>
      <c r="BX433">
        <v>0</v>
      </c>
      <c r="BY433">
        <v>0</v>
      </c>
      <c r="BZ433">
        <v>0</v>
      </c>
      <c r="CA433">
        <v>0</v>
      </c>
      <c r="CB433" s="1">
        <v>28359.85</v>
      </c>
      <c r="CC433" t="s">
        <v>143</v>
      </c>
    </row>
    <row r="434" spans="1:81" x14ac:dyDescent="0.25">
      <c r="A434">
        <v>345</v>
      </c>
      <c r="B434">
        <v>2</v>
      </c>
      <c r="C434">
        <v>677</v>
      </c>
      <c r="D434" t="s">
        <v>2505</v>
      </c>
      <c r="E434" t="s">
        <v>121</v>
      </c>
      <c r="F434" t="s">
        <v>2506</v>
      </c>
      <c r="G434" t="s">
        <v>2507</v>
      </c>
      <c r="H434" t="s">
        <v>2508</v>
      </c>
      <c r="I434" t="s">
        <v>2509</v>
      </c>
      <c r="J434" t="s">
        <v>858</v>
      </c>
      <c r="K434" t="s">
        <v>336</v>
      </c>
      <c r="L434" t="s">
        <v>128</v>
      </c>
      <c r="M434" t="s">
        <v>337</v>
      </c>
      <c r="N434" t="s">
        <v>2510</v>
      </c>
      <c r="O434" t="s">
        <v>131</v>
      </c>
      <c r="P434">
        <v>0</v>
      </c>
      <c r="Q434" t="s">
        <v>125</v>
      </c>
      <c r="R434">
        <v>6</v>
      </c>
      <c r="S434">
        <v>41</v>
      </c>
      <c r="T434" t="s">
        <v>132</v>
      </c>
      <c r="U434" t="s">
        <v>133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134</v>
      </c>
      <c r="AE434" t="s">
        <v>134</v>
      </c>
      <c r="AF434" s="2">
        <v>45518</v>
      </c>
      <c r="AG434" s="2">
        <v>46018</v>
      </c>
      <c r="AH434">
        <v>960.97</v>
      </c>
      <c r="AI434" s="1">
        <v>1836.62</v>
      </c>
      <c r="AJ434" s="1">
        <v>11531.71</v>
      </c>
      <c r="AK434">
        <v>0</v>
      </c>
      <c r="AL434">
        <v>0</v>
      </c>
      <c r="AM434">
        <v>0</v>
      </c>
      <c r="AN434" t="s">
        <v>135</v>
      </c>
      <c r="AO434" t="s">
        <v>135</v>
      </c>
      <c r="AP434" t="s">
        <v>136</v>
      </c>
      <c r="AQ434" t="s">
        <v>137</v>
      </c>
      <c r="AR434" t="s">
        <v>138</v>
      </c>
      <c r="AS434" t="s">
        <v>139</v>
      </c>
      <c r="AT434" t="s">
        <v>140</v>
      </c>
      <c r="AU434">
        <v>101</v>
      </c>
      <c r="AV434">
        <v>10</v>
      </c>
      <c r="AW434">
        <v>1</v>
      </c>
      <c r="AX434" s="2">
        <v>45882</v>
      </c>
      <c r="AY434" t="s">
        <v>168</v>
      </c>
      <c r="AZ434" s="2">
        <v>46022</v>
      </c>
      <c r="BA434">
        <v>0</v>
      </c>
      <c r="BB434">
        <v>0</v>
      </c>
      <c r="BC434">
        <v>0</v>
      </c>
      <c r="BD434">
        <v>700</v>
      </c>
      <c r="BE434">
        <v>70</v>
      </c>
      <c r="BF434">
        <v>9</v>
      </c>
      <c r="BG434" s="2">
        <v>45536</v>
      </c>
      <c r="BH434" t="s">
        <v>142</v>
      </c>
      <c r="BI434" s="2">
        <v>46026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s="1">
        <v>4330.68</v>
      </c>
      <c r="BQ434" s="1">
        <v>4330.68</v>
      </c>
      <c r="BR434">
        <v>0</v>
      </c>
      <c r="BS434">
        <v>0</v>
      </c>
      <c r="BT434">
        <v>0</v>
      </c>
      <c r="BU434">
        <v>0</v>
      </c>
      <c r="BV434" s="1">
        <v>2045.37</v>
      </c>
      <c r="BW434" s="1">
        <v>2045.37</v>
      </c>
      <c r="BX434">
        <v>0</v>
      </c>
      <c r="BY434">
        <v>0</v>
      </c>
      <c r="BZ434">
        <v>0</v>
      </c>
      <c r="CA434">
        <v>0</v>
      </c>
      <c r="CB434" s="1">
        <v>4116.1099999999997</v>
      </c>
      <c r="CC434" t="s">
        <v>143</v>
      </c>
    </row>
    <row r="435" spans="1:81" x14ac:dyDescent="0.25">
      <c r="A435">
        <v>345</v>
      </c>
      <c r="B435">
        <v>2</v>
      </c>
      <c r="C435">
        <v>678</v>
      </c>
      <c r="D435" t="s">
        <v>2511</v>
      </c>
      <c r="E435" t="s">
        <v>121</v>
      </c>
      <c r="F435" t="s">
        <v>2512</v>
      </c>
      <c r="G435" t="s">
        <v>2513</v>
      </c>
      <c r="H435" t="s">
        <v>2514</v>
      </c>
      <c r="I435" t="s">
        <v>2515</v>
      </c>
      <c r="J435" t="s">
        <v>499</v>
      </c>
      <c r="K435" t="s">
        <v>336</v>
      </c>
      <c r="L435" t="s">
        <v>128</v>
      </c>
      <c r="M435" t="s">
        <v>337</v>
      </c>
      <c r="N435" t="s">
        <v>2516</v>
      </c>
      <c r="O435" t="s">
        <v>149</v>
      </c>
      <c r="P435">
        <v>0</v>
      </c>
      <c r="Q435" t="s">
        <v>125</v>
      </c>
      <c r="R435">
        <v>2</v>
      </c>
      <c r="S435">
        <v>91</v>
      </c>
      <c r="T435" t="s">
        <v>132</v>
      </c>
      <c r="U435" t="s">
        <v>133</v>
      </c>
      <c r="V435" s="1">
        <v>12300</v>
      </c>
      <c r="W435">
        <v>0</v>
      </c>
      <c r="X435" s="1">
        <v>12300</v>
      </c>
      <c r="Y435">
        <v>7</v>
      </c>
      <c r="Z435">
        <v>0</v>
      </c>
      <c r="AA435">
        <v>7</v>
      </c>
      <c r="AB435">
        <v>0</v>
      </c>
      <c r="AC435">
        <v>0</v>
      </c>
      <c r="AD435" t="s">
        <v>234</v>
      </c>
      <c r="AE435" t="s">
        <v>134</v>
      </c>
      <c r="AF435" s="2">
        <v>45518</v>
      </c>
      <c r="AG435" s="2">
        <v>46014</v>
      </c>
      <c r="AH435" s="1">
        <v>6512.31</v>
      </c>
      <c r="AI435" s="1">
        <v>36586.620000000003</v>
      </c>
      <c r="AJ435" s="1">
        <v>130246.38</v>
      </c>
      <c r="AK435">
        <v>0</v>
      </c>
      <c r="AL435">
        <v>0</v>
      </c>
      <c r="AM435">
        <v>0</v>
      </c>
      <c r="AN435" t="s">
        <v>135</v>
      </c>
      <c r="AO435" t="s">
        <v>135</v>
      </c>
      <c r="AP435" t="s">
        <v>136</v>
      </c>
      <c r="AQ435" t="s">
        <v>137</v>
      </c>
      <c r="AR435" t="s">
        <v>138</v>
      </c>
      <c r="AS435" t="s">
        <v>139</v>
      </c>
      <c r="AT435" t="s">
        <v>140</v>
      </c>
      <c r="AU435">
        <v>501</v>
      </c>
      <c r="AV435">
        <v>10</v>
      </c>
      <c r="AW435">
        <v>1</v>
      </c>
      <c r="AX435" s="2">
        <v>45859</v>
      </c>
      <c r="AY435" t="s">
        <v>141</v>
      </c>
      <c r="AZ435" s="2">
        <v>46027</v>
      </c>
      <c r="BA435">
        <v>0</v>
      </c>
      <c r="BB435">
        <v>0</v>
      </c>
      <c r="BC435">
        <v>0</v>
      </c>
      <c r="BD435">
        <v>700</v>
      </c>
      <c r="BE435">
        <v>70</v>
      </c>
      <c r="BF435">
        <v>9</v>
      </c>
      <c r="BG435" s="2">
        <v>45536</v>
      </c>
      <c r="BH435" t="s">
        <v>142</v>
      </c>
      <c r="BI435" s="2">
        <v>46026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s="1">
        <v>45762.97</v>
      </c>
      <c r="BQ435" s="1">
        <v>45762.97</v>
      </c>
      <c r="BR435">
        <v>0</v>
      </c>
      <c r="BS435">
        <v>7</v>
      </c>
      <c r="BT435">
        <v>0.21</v>
      </c>
      <c r="BU435" s="1">
        <v>1763.22</v>
      </c>
      <c r="BV435" s="1">
        <v>56164.17</v>
      </c>
      <c r="BW435" s="1">
        <v>57927.39</v>
      </c>
      <c r="BX435">
        <v>0</v>
      </c>
      <c r="BY435">
        <v>0</v>
      </c>
      <c r="BZ435">
        <v>0</v>
      </c>
      <c r="CA435">
        <v>0</v>
      </c>
      <c r="CB435" s="1">
        <v>47005.83</v>
      </c>
      <c r="CC435" t="s">
        <v>152</v>
      </c>
    </row>
    <row r="436" spans="1:81" x14ac:dyDescent="0.25">
      <c r="A436">
        <v>345</v>
      </c>
      <c r="B436">
        <v>2</v>
      </c>
      <c r="C436">
        <v>679</v>
      </c>
      <c r="D436" t="s">
        <v>2517</v>
      </c>
      <c r="E436" t="s">
        <v>121</v>
      </c>
      <c r="F436" t="s">
        <v>2518</v>
      </c>
      <c r="G436" t="s">
        <v>2519</v>
      </c>
      <c r="H436" t="s">
        <v>2520</v>
      </c>
      <c r="I436" t="s">
        <v>125</v>
      </c>
      <c r="J436" t="s">
        <v>2340</v>
      </c>
      <c r="K436" t="s">
        <v>336</v>
      </c>
      <c r="L436" t="s">
        <v>128</v>
      </c>
      <c r="M436" t="s">
        <v>337</v>
      </c>
      <c r="N436" t="s">
        <v>2521</v>
      </c>
      <c r="O436" t="s">
        <v>131</v>
      </c>
      <c r="P436">
        <v>0</v>
      </c>
      <c r="Q436" t="s">
        <v>125</v>
      </c>
      <c r="R436">
        <v>6</v>
      </c>
      <c r="S436">
        <v>40</v>
      </c>
      <c r="T436" t="s">
        <v>132</v>
      </c>
      <c r="U436" t="s">
        <v>133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134</v>
      </c>
      <c r="AE436" t="s">
        <v>134</v>
      </c>
      <c r="AF436" s="2">
        <v>45518</v>
      </c>
      <c r="AG436" s="2">
        <v>46014</v>
      </c>
      <c r="AH436">
        <v>271.72000000000003</v>
      </c>
      <c r="AI436">
        <v>495.92</v>
      </c>
      <c r="AJ436" s="1">
        <v>2717.2</v>
      </c>
      <c r="AK436">
        <v>0</v>
      </c>
      <c r="AL436">
        <v>293.12</v>
      </c>
      <c r="AM436">
        <v>0</v>
      </c>
      <c r="AN436" t="s">
        <v>135</v>
      </c>
      <c r="AO436" t="s">
        <v>135</v>
      </c>
      <c r="AP436" t="s">
        <v>136</v>
      </c>
      <c r="AQ436" t="s">
        <v>137</v>
      </c>
      <c r="AR436" t="s">
        <v>138</v>
      </c>
      <c r="AS436" t="s">
        <v>139</v>
      </c>
      <c r="AT436" t="s">
        <v>140</v>
      </c>
      <c r="AU436">
        <v>100</v>
      </c>
      <c r="AV436">
        <v>10</v>
      </c>
      <c r="AW436">
        <v>1</v>
      </c>
      <c r="AX436" s="2">
        <v>45810</v>
      </c>
      <c r="AY436" t="s">
        <v>141</v>
      </c>
      <c r="AZ436" s="2">
        <v>46027</v>
      </c>
      <c r="BA436">
        <v>0</v>
      </c>
      <c r="BB436">
        <v>0</v>
      </c>
      <c r="BC436">
        <v>0</v>
      </c>
      <c r="BD436">
        <v>700</v>
      </c>
      <c r="BE436">
        <v>70</v>
      </c>
      <c r="BF436">
        <v>9</v>
      </c>
      <c r="BG436" s="2">
        <v>45536</v>
      </c>
      <c r="BH436" t="s">
        <v>142</v>
      </c>
      <c r="BI436" s="2">
        <v>46026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642.17999999999995</v>
      </c>
      <c r="BQ436">
        <v>642.17999999999995</v>
      </c>
      <c r="BR436">
        <v>0</v>
      </c>
      <c r="BS436">
        <v>0</v>
      </c>
      <c r="BT436">
        <v>0</v>
      </c>
      <c r="BU436">
        <v>0</v>
      </c>
      <c r="BV436" s="1">
        <v>1419.65</v>
      </c>
      <c r="BW436" s="1">
        <v>1419.65</v>
      </c>
      <c r="BX436">
        <v>0</v>
      </c>
      <c r="BY436">
        <v>0</v>
      </c>
      <c r="BZ436">
        <v>0</v>
      </c>
      <c r="CA436">
        <v>0</v>
      </c>
      <c r="CB436">
        <v>564.59</v>
      </c>
      <c r="CC436" t="s">
        <v>143</v>
      </c>
    </row>
    <row r="437" spans="1:81" x14ac:dyDescent="0.25">
      <c r="A437">
        <v>345</v>
      </c>
      <c r="B437">
        <v>2</v>
      </c>
      <c r="C437">
        <v>680</v>
      </c>
      <c r="D437" t="s">
        <v>2522</v>
      </c>
      <c r="E437" t="s">
        <v>121</v>
      </c>
      <c r="F437" t="s">
        <v>2523</v>
      </c>
      <c r="G437" t="s">
        <v>2524</v>
      </c>
      <c r="H437" t="s">
        <v>640</v>
      </c>
      <c r="I437" t="s">
        <v>125</v>
      </c>
      <c r="J437" t="s">
        <v>642</v>
      </c>
      <c r="K437" t="s">
        <v>336</v>
      </c>
      <c r="L437" t="s">
        <v>128</v>
      </c>
      <c r="M437" t="s">
        <v>337</v>
      </c>
      <c r="N437" t="s">
        <v>2525</v>
      </c>
      <c r="O437" t="s">
        <v>167</v>
      </c>
      <c r="P437">
        <v>0</v>
      </c>
      <c r="Q437" t="s">
        <v>125</v>
      </c>
      <c r="R437">
        <v>6</v>
      </c>
      <c r="S437">
        <v>37</v>
      </c>
      <c r="T437" t="s">
        <v>132</v>
      </c>
      <c r="U437" t="s">
        <v>133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134</v>
      </c>
      <c r="AE437" t="s">
        <v>134</v>
      </c>
      <c r="AF437" s="2">
        <v>45518</v>
      </c>
      <c r="AG437" s="2">
        <v>46011</v>
      </c>
      <c r="AH437">
        <v>61.28</v>
      </c>
      <c r="AI437">
        <v>92.9</v>
      </c>
      <c r="AJ437">
        <v>183.84</v>
      </c>
      <c r="AK437">
        <v>0</v>
      </c>
      <c r="AL437">
        <v>0</v>
      </c>
      <c r="AM437">
        <v>0</v>
      </c>
      <c r="AN437" t="s">
        <v>135</v>
      </c>
      <c r="AO437" t="s">
        <v>135</v>
      </c>
      <c r="AP437" t="s">
        <v>136</v>
      </c>
      <c r="AQ437" t="s">
        <v>137</v>
      </c>
      <c r="AR437" t="s">
        <v>138</v>
      </c>
      <c r="AS437" t="s">
        <v>139</v>
      </c>
      <c r="AT437" t="s">
        <v>140</v>
      </c>
      <c r="AU437">
        <v>101</v>
      </c>
      <c r="AV437">
        <v>10</v>
      </c>
      <c r="AW437">
        <v>1</v>
      </c>
      <c r="AX437" s="2">
        <v>45856</v>
      </c>
      <c r="AY437" t="s">
        <v>151</v>
      </c>
      <c r="AZ437" s="2">
        <v>46024</v>
      </c>
      <c r="BA437">
        <v>0</v>
      </c>
      <c r="BB437">
        <v>0</v>
      </c>
      <c r="BC437">
        <v>0</v>
      </c>
      <c r="BD437">
        <v>700</v>
      </c>
      <c r="BE437">
        <v>70</v>
      </c>
      <c r="BF437">
        <v>9</v>
      </c>
      <c r="BG437" s="2">
        <v>45536</v>
      </c>
      <c r="BH437" t="s">
        <v>142</v>
      </c>
      <c r="BI437" s="2">
        <v>46026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33.85</v>
      </c>
      <c r="BQ437">
        <v>33.85</v>
      </c>
      <c r="BR437">
        <v>0</v>
      </c>
      <c r="BS437">
        <v>0</v>
      </c>
      <c r="BT437">
        <v>0</v>
      </c>
      <c r="BU437">
        <v>0</v>
      </c>
      <c r="BV437">
        <v>57.09</v>
      </c>
      <c r="BW437">
        <v>57.09</v>
      </c>
      <c r="BX437">
        <v>0</v>
      </c>
      <c r="BY437">
        <v>0</v>
      </c>
      <c r="BZ437">
        <v>0</v>
      </c>
      <c r="CA437">
        <v>0</v>
      </c>
      <c r="CB437">
        <v>62.65</v>
      </c>
      <c r="CC437" t="s">
        <v>161</v>
      </c>
    </row>
    <row r="438" spans="1:81" x14ac:dyDescent="0.25">
      <c r="A438">
        <v>345</v>
      </c>
      <c r="B438">
        <v>2</v>
      </c>
      <c r="C438">
        <v>685</v>
      </c>
      <c r="D438" t="s">
        <v>2526</v>
      </c>
      <c r="E438" t="s">
        <v>121</v>
      </c>
      <c r="F438" t="s">
        <v>2527</v>
      </c>
      <c r="G438" t="s">
        <v>2528</v>
      </c>
      <c r="H438" t="s">
        <v>2529</v>
      </c>
      <c r="I438" t="s">
        <v>2530</v>
      </c>
      <c r="J438" t="s">
        <v>1622</v>
      </c>
      <c r="K438" t="s">
        <v>336</v>
      </c>
      <c r="L438" t="s">
        <v>128</v>
      </c>
      <c r="M438" t="s">
        <v>337</v>
      </c>
      <c r="N438" t="s">
        <v>2531</v>
      </c>
      <c r="O438" t="s">
        <v>167</v>
      </c>
      <c r="P438">
        <v>0</v>
      </c>
      <c r="Q438" t="s">
        <v>125</v>
      </c>
      <c r="R438">
        <v>3</v>
      </c>
      <c r="S438">
        <v>83</v>
      </c>
      <c r="T438" t="s">
        <v>132</v>
      </c>
      <c r="U438" t="s">
        <v>133</v>
      </c>
      <c r="V438" s="1">
        <v>1000</v>
      </c>
      <c r="W438">
        <v>0</v>
      </c>
      <c r="X438" s="1">
        <v>1000</v>
      </c>
      <c r="Y438">
        <v>7</v>
      </c>
      <c r="Z438">
        <v>0</v>
      </c>
      <c r="AA438">
        <v>0</v>
      </c>
      <c r="AB438">
        <v>0</v>
      </c>
      <c r="AC438">
        <v>0</v>
      </c>
      <c r="AD438" t="s">
        <v>134</v>
      </c>
      <c r="AE438" t="s">
        <v>134</v>
      </c>
      <c r="AF438" s="2">
        <v>45518</v>
      </c>
      <c r="AG438" s="2">
        <v>45957</v>
      </c>
      <c r="AH438">
        <v>13.15</v>
      </c>
      <c r="AI438">
        <v>13.15</v>
      </c>
      <c r="AJ438">
        <v>13.15</v>
      </c>
      <c r="AK438">
        <v>0</v>
      </c>
      <c r="AL438">
        <v>0</v>
      </c>
      <c r="AM438">
        <v>0</v>
      </c>
      <c r="AN438" t="s">
        <v>135</v>
      </c>
      <c r="AO438" t="s">
        <v>135</v>
      </c>
      <c r="AP438" t="s">
        <v>136</v>
      </c>
      <c r="AQ438" t="s">
        <v>137</v>
      </c>
      <c r="AR438" t="s">
        <v>138</v>
      </c>
      <c r="AS438" t="s">
        <v>139</v>
      </c>
      <c r="AT438" t="s">
        <v>140</v>
      </c>
      <c r="AU438">
        <v>101</v>
      </c>
      <c r="AV438">
        <v>10</v>
      </c>
      <c r="AW438">
        <v>1</v>
      </c>
      <c r="AX438" s="2">
        <v>45920</v>
      </c>
      <c r="AY438" t="s">
        <v>160</v>
      </c>
      <c r="AZ438" s="2">
        <v>46025</v>
      </c>
      <c r="BA438">
        <v>0</v>
      </c>
      <c r="BB438">
        <v>0</v>
      </c>
      <c r="BC438">
        <v>0</v>
      </c>
      <c r="BD438">
        <v>700</v>
      </c>
      <c r="BE438">
        <v>70</v>
      </c>
      <c r="BF438">
        <v>9</v>
      </c>
      <c r="BG438" t="s">
        <v>135</v>
      </c>
      <c r="BH438" t="s">
        <v>250</v>
      </c>
      <c r="BI438" t="s">
        <v>135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24.15</v>
      </c>
      <c r="CC438" t="s">
        <v>161</v>
      </c>
    </row>
    <row r="439" spans="1:81" x14ac:dyDescent="0.25">
      <c r="A439">
        <v>345</v>
      </c>
      <c r="B439">
        <v>2</v>
      </c>
      <c r="C439">
        <v>686</v>
      </c>
      <c r="D439" t="s">
        <v>2532</v>
      </c>
      <c r="E439" t="s">
        <v>121</v>
      </c>
      <c r="F439" t="s">
        <v>2533</v>
      </c>
      <c r="G439" t="s">
        <v>2534</v>
      </c>
      <c r="H439" t="s">
        <v>2535</v>
      </c>
      <c r="I439" t="s">
        <v>2536</v>
      </c>
      <c r="J439" t="s">
        <v>1556</v>
      </c>
      <c r="K439" t="s">
        <v>473</v>
      </c>
      <c r="L439" t="s">
        <v>128</v>
      </c>
      <c r="M439" t="s">
        <v>474</v>
      </c>
      <c r="N439" t="s">
        <v>2537</v>
      </c>
      <c r="O439" t="s">
        <v>167</v>
      </c>
      <c r="P439">
        <v>0</v>
      </c>
      <c r="Q439" t="s">
        <v>125</v>
      </c>
      <c r="R439">
        <v>6</v>
      </c>
      <c r="S439">
        <v>40</v>
      </c>
      <c r="T439" t="s">
        <v>132</v>
      </c>
      <c r="U439" t="s">
        <v>133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134</v>
      </c>
      <c r="AE439" t="s">
        <v>134</v>
      </c>
      <c r="AF439" s="2">
        <v>45518</v>
      </c>
      <c r="AG439" s="2">
        <v>46018</v>
      </c>
      <c r="AH439">
        <v>419.83</v>
      </c>
      <c r="AI439">
        <v>756.77</v>
      </c>
      <c r="AJ439" s="1">
        <v>5037.97</v>
      </c>
      <c r="AK439">
        <v>0</v>
      </c>
      <c r="AL439">
        <v>0</v>
      </c>
      <c r="AM439">
        <v>0</v>
      </c>
      <c r="AN439" t="s">
        <v>135</v>
      </c>
      <c r="AO439" t="s">
        <v>135</v>
      </c>
      <c r="AP439" t="s">
        <v>136</v>
      </c>
      <c r="AQ439" t="s">
        <v>137</v>
      </c>
      <c r="AR439" t="s">
        <v>138</v>
      </c>
      <c r="AS439" t="s">
        <v>150</v>
      </c>
      <c r="AT439" t="s">
        <v>140</v>
      </c>
      <c r="AU439">
        <v>102</v>
      </c>
      <c r="AV439">
        <v>10</v>
      </c>
      <c r="AW439">
        <v>1</v>
      </c>
      <c r="AX439" s="2">
        <v>45855</v>
      </c>
      <c r="AY439" t="s">
        <v>308</v>
      </c>
      <c r="AZ439" s="2">
        <v>46023</v>
      </c>
      <c r="BA439">
        <v>0</v>
      </c>
      <c r="BB439">
        <v>0</v>
      </c>
      <c r="BC439">
        <v>0</v>
      </c>
      <c r="BD439">
        <v>700</v>
      </c>
      <c r="BE439">
        <v>70</v>
      </c>
      <c r="BF439">
        <v>9</v>
      </c>
      <c r="BG439" s="2">
        <v>45536</v>
      </c>
      <c r="BH439" t="s">
        <v>142</v>
      </c>
      <c r="BI439" s="2">
        <v>46026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s="1">
        <v>1964.61</v>
      </c>
      <c r="BQ439" s="1">
        <v>1964.61</v>
      </c>
      <c r="BR439">
        <v>0</v>
      </c>
      <c r="BS439">
        <v>0</v>
      </c>
      <c r="BT439">
        <v>0</v>
      </c>
      <c r="BU439">
        <v>0</v>
      </c>
      <c r="BV439" s="1">
        <v>1779.21</v>
      </c>
      <c r="BW439" s="1">
        <v>1779.21</v>
      </c>
      <c r="BX439">
        <v>0</v>
      </c>
      <c r="BY439">
        <v>0</v>
      </c>
      <c r="BZ439">
        <v>0</v>
      </c>
      <c r="CA439">
        <v>0</v>
      </c>
      <c r="CB439" s="1">
        <v>1443.88</v>
      </c>
      <c r="CC439" t="s">
        <v>161</v>
      </c>
    </row>
    <row r="440" spans="1:81" x14ac:dyDescent="0.25">
      <c r="A440">
        <v>345</v>
      </c>
      <c r="B440">
        <v>2</v>
      </c>
      <c r="C440">
        <v>687</v>
      </c>
      <c r="D440" t="s">
        <v>2538</v>
      </c>
      <c r="E440" t="s">
        <v>121</v>
      </c>
      <c r="F440" t="s">
        <v>2539</v>
      </c>
      <c r="G440" t="s">
        <v>2540</v>
      </c>
      <c r="H440" t="s">
        <v>2541</v>
      </c>
      <c r="I440" t="s">
        <v>891</v>
      </c>
      <c r="J440" t="s">
        <v>126</v>
      </c>
      <c r="K440" t="s">
        <v>336</v>
      </c>
      <c r="L440" t="s">
        <v>128</v>
      </c>
      <c r="M440" t="s">
        <v>337</v>
      </c>
      <c r="N440" t="s">
        <v>2542</v>
      </c>
      <c r="O440" t="s">
        <v>131</v>
      </c>
      <c r="P440">
        <v>0</v>
      </c>
      <c r="Q440" t="s">
        <v>125</v>
      </c>
      <c r="R440">
        <v>6</v>
      </c>
      <c r="S440">
        <v>43</v>
      </c>
      <c r="T440" t="s">
        <v>132</v>
      </c>
      <c r="U440" t="s">
        <v>133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134</v>
      </c>
      <c r="AE440" t="s">
        <v>134</v>
      </c>
      <c r="AF440" s="2">
        <v>45518</v>
      </c>
      <c r="AG440" s="2">
        <v>46018</v>
      </c>
      <c r="AH440" s="1">
        <v>1455.3</v>
      </c>
      <c r="AI440" s="1">
        <v>3011.79</v>
      </c>
      <c r="AJ440" s="1">
        <v>7276.5</v>
      </c>
      <c r="AK440">
        <v>0</v>
      </c>
      <c r="AL440">
        <v>0</v>
      </c>
      <c r="AM440">
        <v>0</v>
      </c>
      <c r="AN440" t="s">
        <v>135</v>
      </c>
      <c r="AO440" t="s">
        <v>135</v>
      </c>
      <c r="AP440" t="s">
        <v>136</v>
      </c>
      <c r="AQ440" t="s">
        <v>137</v>
      </c>
      <c r="AR440" t="s">
        <v>138</v>
      </c>
      <c r="AS440" t="s">
        <v>150</v>
      </c>
      <c r="AT440" t="s">
        <v>140</v>
      </c>
      <c r="AU440">
        <v>101</v>
      </c>
      <c r="AV440">
        <v>10</v>
      </c>
      <c r="AW440">
        <v>1</v>
      </c>
      <c r="AX440" s="2">
        <v>45967</v>
      </c>
      <c r="AY440" t="s">
        <v>308</v>
      </c>
      <c r="AZ440" s="2">
        <v>46023</v>
      </c>
      <c r="BA440">
        <v>0</v>
      </c>
      <c r="BB440">
        <v>0</v>
      </c>
      <c r="BC440">
        <v>0</v>
      </c>
      <c r="BD440">
        <v>700</v>
      </c>
      <c r="BE440">
        <v>70</v>
      </c>
      <c r="BF440">
        <v>9</v>
      </c>
      <c r="BG440" s="2">
        <v>45536</v>
      </c>
      <c r="BH440" t="s">
        <v>142</v>
      </c>
      <c r="BI440" s="2">
        <v>46026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841.61</v>
      </c>
      <c r="BQ440">
        <v>841.61</v>
      </c>
      <c r="BR440">
        <v>0</v>
      </c>
      <c r="BS440">
        <v>0</v>
      </c>
      <c r="BT440">
        <v>0</v>
      </c>
      <c r="BU440">
        <v>0</v>
      </c>
      <c r="BV440" s="1">
        <v>6283.5</v>
      </c>
      <c r="BW440" s="1">
        <v>6283.5</v>
      </c>
      <c r="BX440">
        <v>0</v>
      </c>
      <c r="BY440">
        <v>0</v>
      </c>
      <c r="BZ440">
        <v>0</v>
      </c>
      <c r="CA440">
        <v>0</v>
      </c>
      <c r="CB440">
        <v>331</v>
      </c>
      <c r="CC440" t="s">
        <v>143</v>
      </c>
    </row>
    <row r="441" spans="1:81" x14ac:dyDescent="0.25">
      <c r="A441">
        <v>345</v>
      </c>
      <c r="B441">
        <v>2</v>
      </c>
      <c r="C441">
        <v>689</v>
      </c>
      <c r="D441" t="s">
        <v>2543</v>
      </c>
      <c r="E441" t="s">
        <v>121</v>
      </c>
      <c r="F441" t="s">
        <v>2544</v>
      </c>
      <c r="G441" t="s">
        <v>2545</v>
      </c>
      <c r="H441" t="s">
        <v>2546</v>
      </c>
      <c r="I441" t="s">
        <v>2547</v>
      </c>
      <c r="J441" t="s">
        <v>126</v>
      </c>
      <c r="K441" t="s">
        <v>466</v>
      </c>
      <c r="L441" t="s">
        <v>128</v>
      </c>
      <c r="M441" t="s">
        <v>467</v>
      </c>
      <c r="N441" t="s">
        <v>2504</v>
      </c>
      <c r="O441" t="s">
        <v>195</v>
      </c>
      <c r="P441">
        <v>0</v>
      </c>
      <c r="Q441" t="s">
        <v>125</v>
      </c>
      <c r="R441">
        <v>6</v>
      </c>
      <c r="S441">
        <v>35</v>
      </c>
      <c r="T441" t="s">
        <v>132</v>
      </c>
      <c r="U441" t="s">
        <v>133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134</v>
      </c>
      <c r="AE441" t="s">
        <v>134</v>
      </c>
      <c r="AF441" s="2">
        <v>45518</v>
      </c>
      <c r="AG441" s="2">
        <v>46020</v>
      </c>
      <c r="AH441">
        <v>159.62</v>
      </c>
      <c r="AI441">
        <v>259.32</v>
      </c>
      <c r="AJ441" s="1">
        <v>1755.89</v>
      </c>
      <c r="AK441">
        <v>0</v>
      </c>
      <c r="AL441">
        <v>0</v>
      </c>
      <c r="AM441">
        <v>0</v>
      </c>
      <c r="AN441" t="s">
        <v>135</v>
      </c>
      <c r="AO441" t="s">
        <v>135</v>
      </c>
      <c r="AP441" t="s">
        <v>136</v>
      </c>
      <c r="AQ441" t="s">
        <v>137</v>
      </c>
      <c r="AR441" t="s">
        <v>138</v>
      </c>
      <c r="AS441" t="s">
        <v>139</v>
      </c>
      <c r="AT441" t="s">
        <v>140</v>
      </c>
      <c r="AU441">
        <v>105</v>
      </c>
      <c r="AV441">
        <v>10</v>
      </c>
      <c r="AW441">
        <v>1</v>
      </c>
      <c r="AX441" s="2">
        <v>45849</v>
      </c>
      <c r="AY441" t="s">
        <v>151</v>
      </c>
      <c r="AZ441" s="2">
        <v>46024</v>
      </c>
      <c r="BA441">
        <v>0</v>
      </c>
      <c r="BB441">
        <v>0</v>
      </c>
      <c r="BC441">
        <v>0</v>
      </c>
      <c r="BD441">
        <v>700</v>
      </c>
      <c r="BE441">
        <v>70</v>
      </c>
      <c r="BF441">
        <v>9</v>
      </c>
      <c r="BG441" s="2">
        <v>45536</v>
      </c>
      <c r="BH441" t="s">
        <v>142</v>
      </c>
      <c r="BI441" s="2">
        <v>46026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669.42</v>
      </c>
      <c r="BQ441">
        <v>669.42</v>
      </c>
      <c r="BR441">
        <v>0</v>
      </c>
      <c r="BS441">
        <v>0</v>
      </c>
      <c r="BT441">
        <v>0</v>
      </c>
      <c r="BU441">
        <v>0</v>
      </c>
      <c r="BV441">
        <v>840.1</v>
      </c>
      <c r="BW441">
        <v>840.1</v>
      </c>
      <c r="BX441">
        <v>0</v>
      </c>
      <c r="BY441">
        <v>0</v>
      </c>
      <c r="BZ441">
        <v>0</v>
      </c>
      <c r="CA441">
        <v>0</v>
      </c>
      <c r="CB441">
        <v>503.65</v>
      </c>
      <c r="CC441" t="s">
        <v>161</v>
      </c>
    </row>
    <row r="442" spans="1:81" x14ac:dyDescent="0.25">
      <c r="A442">
        <v>345</v>
      </c>
      <c r="B442">
        <v>2</v>
      </c>
      <c r="C442">
        <v>690</v>
      </c>
      <c r="D442" t="s">
        <v>2548</v>
      </c>
      <c r="E442" t="s">
        <v>121</v>
      </c>
      <c r="F442" t="s">
        <v>2549</v>
      </c>
      <c r="G442" t="s">
        <v>2550</v>
      </c>
      <c r="H442" t="s">
        <v>2551</v>
      </c>
      <c r="I442" t="s">
        <v>2552</v>
      </c>
      <c r="J442" t="s">
        <v>572</v>
      </c>
      <c r="K442" t="s">
        <v>466</v>
      </c>
      <c r="L442" t="s">
        <v>128</v>
      </c>
      <c r="M442" t="s">
        <v>467</v>
      </c>
      <c r="N442" t="s">
        <v>2553</v>
      </c>
      <c r="O442" t="s">
        <v>131</v>
      </c>
      <c r="P442">
        <v>0</v>
      </c>
      <c r="Q442" t="s">
        <v>125</v>
      </c>
      <c r="R442">
        <v>6</v>
      </c>
      <c r="S442">
        <v>39</v>
      </c>
      <c r="T442" t="s">
        <v>132</v>
      </c>
      <c r="U442" t="s">
        <v>133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134</v>
      </c>
      <c r="AE442" t="s">
        <v>134</v>
      </c>
      <c r="AF442" s="2">
        <v>45518</v>
      </c>
      <c r="AG442" s="2">
        <v>45948</v>
      </c>
      <c r="AH442">
        <v>916.28</v>
      </c>
      <c r="AI442">
        <v>916.28</v>
      </c>
      <c r="AJ442">
        <v>916.28</v>
      </c>
      <c r="AK442">
        <v>0</v>
      </c>
      <c r="AL442">
        <v>0</v>
      </c>
      <c r="AM442">
        <v>0</v>
      </c>
      <c r="AN442" t="s">
        <v>135</v>
      </c>
      <c r="AO442" t="s">
        <v>135</v>
      </c>
      <c r="AP442" t="s">
        <v>136</v>
      </c>
      <c r="AQ442" t="s">
        <v>137</v>
      </c>
      <c r="AR442" t="s">
        <v>138</v>
      </c>
      <c r="AS442" t="s">
        <v>139</v>
      </c>
      <c r="AT442" t="s">
        <v>140</v>
      </c>
      <c r="AU442">
        <v>100</v>
      </c>
      <c r="AV442">
        <v>10</v>
      </c>
      <c r="AW442">
        <v>1</v>
      </c>
      <c r="AX442" s="2">
        <v>45534</v>
      </c>
      <c r="AY442" t="s">
        <v>151</v>
      </c>
      <c r="AZ442" s="2">
        <v>46024</v>
      </c>
      <c r="BA442">
        <v>0</v>
      </c>
      <c r="BB442">
        <v>0</v>
      </c>
      <c r="BC442">
        <v>0</v>
      </c>
      <c r="BD442">
        <v>700</v>
      </c>
      <c r="BE442">
        <v>70</v>
      </c>
      <c r="BF442">
        <v>9</v>
      </c>
      <c r="BG442" s="2">
        <v>45536</v>
      </c>
      <c r="BH442" t="s">
        <v>142</v>
      </c>
      <c r="BI442" s="2">
        <v>46026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496.42</v>
      </c>
      <c r="CC442" t="s">
        <v>143</v>
      </c>
    </row>
    <row r="443" spans="1:81" x14ac:dyDescent="0.25">
      <c r="A443">
        <v>345</v>
      </c>
      <c r="B443">
        <v>2</v>
      </c>
      <c r="C443">
        <v>691</v>
      </c>
      <c r="D443" t="s">
        <v>2554</v>
      </c>
      <c r="E443" t="s">
        <v>121</v>
      </c>
      <c r="F443" t="s">
        <v>2555</v>
      </c>
      <c r="G443" t="s">
        <v>2556</v>
      </c>
      <c r="H443" t="s">
        <v>2557</v>
      </c>
      <c r="I443" t="s">
        <v>2558</v>
      </c>
      <c r="J443" t="s">
        <v>825</v>
      </c>
      <c r="K443" t="s">
        <v>336</v>
      </c>
      <c r="L443" t="s">
        <v>128</v>
      </c>
      <c r="M443" t="s">
        <v>337</v>
      </c>
      <c r="N443" t="s">
        <v>2559</v>
      </c>
      <c r="O443" t="s">
        <v>131</v>
      </c>
      <c r="P443">
        <v>0</v>
      </c>
      <c r="Q443" t="s">
        <v>125</v>
      </c>
      <c r="R443">
        <v>6</v>
      </c>
      <c r="S443">
        <v>44</v>
      </c>
      <c r="T443" t="s">
        <v>132</v>
      </c>
      <c r="U443" t="s">
        <v>133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134</v>
      </c>
      <c r="AE443" t="s">
        <v>134</v>
      </c>
      <c r="AF443" s="2">
        <v>45518</v>
      </c>
      <c r="AG443" s="2">
        <v>46021</v>
      </c>
      <c r="AH443" s="1">
        <v>1264.1400000000001</v>
      </c>
      <c r="AI443" s="1">
        <v>3358.15</v>
      </c>
      <c r="AJ443" s="1">
        <v>8849</v>
      </c>
      <c r="AK443">
        <v>0</v>
      </c>
      <c r="AL443">
        <v>0</v>
      </c>
      <c r="AM443">
        <v>0</v>
      </c>
      <c r="AN443" t="s">
        <v>135</v>
      </c>
      <c r="AO443" t="s">
        <v>135</v>
      </c>
      <c r="AP443" t="s">
        <v>136</v>
      </c>
      <c r="AQ443" t="s">
        <v>137</v>
      </c>
      <c r="AR443" t="s">
        <v>138</v>
      </c>
      <c r="AS443" t="s">
        <v>150</v>
      </c>
      <c r="AT443" t="s">
        <v>140</v>
      </c>
      <c r="AU443">
        <v>101</v>
      </c>
      <c r="AV443">
        <v>10</v>
      </c>
      <c r="AW443">
        <v>1</v>
      </c>
      <c r="AX443" s="2">
        <v>45838</v>
      </c>
      <c r="AY443" t="s">
        <v>141</v>
      </c>
      <c r="AZ443" s="2">
        <v>46027</v>
      </c>
      <c r="BA443">
        <v>0</v>
      </c>
      <c r="BB443">
        <v>0</v>
      </c>
      <c r="BC443">
        <v>0</v>
      </c>
      <c r="BD443">
        <v>700</v>
      </c>
      <c r="BE443">
        <v>70</v>
      </c>
      <c r="BF443">
        <v>9</v>
      </c>
      <c r="BG443" s="2">
        <v>45536</v>
      </c>
      <c r="BH443" t="s">
        <v>142</v>
      </c>
      <c r="BI443" s="2">
        <v>46026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s="1">
        <v>1638.13</v>
      </c>
      <c r="BQ443" s="1">
        <v>1638.13</v>
      </c>
      <c r="BR443">
        <v>0</v>
      </c>
      <c r="BS443">
        <v>0</v>
      </c>
      <c r="BT443">
        <v>0</v>
      </c>
      <c r="BU443">
        <v>0</v>
      </c>
      <c r="BV443" s="1">
        <v>6442.45</v>
      </c>
      <c r="BW443" s="1">
        <v>6442.45</v>
      </c>
      <c r="BX443">
        <v>0</v>
      </c>
      <c r="BY443">
        <v>0</v>
      </c>
      <c r="BZ443">
        <v>0</v>
      </c>
      <c r="CA443">
        <v>0</v>
      </c>
      <c r="CB443" s="1">
        <v>1932.24</v>
      </c>
      <c r="CC443" t="s">
        <v>143</v>
      </c>
    </row>
    <row r="444" spans="1:81" x14ac:dyDescent="0.25">
      <c r="A444">
        <v>345</v>
      </c>
      <c r="B444">
        <v>2</v>
      </c>
      <c r="C444">
        <v>692</v>
      </c>
      <c r="D444" t="s">
        <v>2560</v>
      </c>
      <c r="E444" t="s">
        <v>121</v>
      </c>
      <c r="F444" t="s">
        <v>2561</v>
      </c>
      <c r="G444" t="s">
        <v>2562</v>
      </c>
      <c r="H444" t="s">
        <v>2563</v>
      </c>
      <c r="I444" t="s">
        <v>2564</v>
      </c>
      <c r="J444" t="s">
        <v>630</v>
      </c>
      <c r="K444" t="s">
        <v>336</v>
      </c>
      <c r="L444" t="s">
        <v>128</v>
      </c>
      <c r="M444" t="s">
        <v>337</v>
      </c>
      <c r="N444" t="s">
        <v>2565</v>
      </c>
      <c r="O444" t="s">
        <v>131</v>
      </c>
      <c r="P444">
        <v>0</v>
      </c>
      <c r="Q444" t="s">
        <v>125</v>
      </c>
      <c r="R444">
        <v>6</v>
      </c>
      <c r="S444">
        <v>39</v>
      </c>
      <c r="T444" t="s">
        <v>132</v>
      </c>
      <c r="U444" t="s">
        <v>133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134</v>
      </c>
      <c r="AE444" t="s">
        <v>134</v>
      </c>
      <c r="AF444" s="2">
        <v>45518</v>
      </c>
      <c r="AG444" s="2">
        <v>46007</v>
      </c>
      <c r="AH444" s="1">
        <v>1042.02</v>
      </c>
      <c r="AI444" s="1">
        <v>1110.0899999999999</v>
      </c>
      <c r="AJ444" s="1">
        <v>2084.0500000000002</v>
      </c>
      <c r="AK444">
        <v>0</v>
      </c>
      <c r="AL444">
        <v>0</v>
      </c>
      <c r="AM444">
        <v>0</v>
      </c>
      <c r="AN444" t="s">
        <v>135</v>
      </c>
      <c r="AO444" t="s">
        <v>135</v>
      </c>
      <c r="AP444" t="s">
        <v>136</v>
      </c>
      <c r="AQ444" t="s">
        <v>137</v>
      </c>
      <c r="AR444" t="s">
        <v>138</v>
      </c>
      <c r="AS444" t="s">
        <v>139</v>
      </c>
      <c r="AT444" t="s">
        <v>140</v>
      </c>
      <c r="AU444">
        <v>104</v>
      </c>
      <c r="AV444">
        <v>10</v>
      </c>
      <c r="AW444">
        <v>1</v>
      </c>
      <c r="AX444" s="2">
        <v>45845</v>
      </c>
      <c r="AY444" t="s">
        <v>141</v>
      </c>
      <c r="AZ444" s="2">
        <v>46027</v>
      </c>
      <c r="BA444">
        <v>0</v>
      </c>
      <c r="BB444">
        <v>0</v>
      </c>
      <c r="BC444">
        <v>0</v>
      </c>
      <c r="BD444">
        <v>700</v>
      </c>
      <c r="BE444">
        <v>70</v>
      </c>
      <c r="BF444">
        <v>9</v>
      </c>
      <c r="BG444" s="2">
        <v>45536</v>
      </c>
      <c r="BH444" t="s">
        <v>142</v>
      </c>
      <c r="BI444" s="2">
        <v>46026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973.96</v>
      </c>
      <c r="BQ444">
        <v>973.96</v>
      </c>
      <c r="BR444">
        <v>0</v>
      </c>
      <c r="BS444">
        <v>0</v>
      </c>
      <c r="BT444">
        <v>0</v>
      </c>
      <c r="BU444">
        <v>0</v>
      </c>
      <c r="BV444" s="1">
        <v>1110.0899999999999</v>
      </c>
      <c r="BW444" s="1">
        <v>1110.0899999999999</v>
      </c>
      <c r="BX444">
        <v>0</v>
      </c>
      <c r="BY444">
        <v>0</v>
      </c>
      <c r="BZ444">
        <v>0</v>
      </c>
      <c r="CA444">
        <v>0</v>
      </c>
      <c r="CB444">
        <v>415.61</v>
      </c>
      <c r="CC444" t="s">
        <v>143</v>
      </c>
    </row>
    <row r="445" spans="1:81" x14ac:dyDescent="0.25">
      <c r="A445">
        <v>345</v>
      </c>
      <c r="B445">
        <v>2</v>
      </c>
      <c r="C445">
        <v>695</v>
      </c>
      <c r="D445" t="s">
        <v>2566</v>
      </c>
      <c r="E445" t="s">
        <v>121</v>
      </c>
      <c r="F445" t="s">
        <v>2567</v>
      </c>
      <c r="G445" t="s">
        <v>2568</v>
      </c>
      <c r="H445" t="s">
        <v>2569</v>
      </c>
      <c r="I445" t="s">
        <v>2570</v>
      </c>
      <c r="J445" t="s">
        <v>126</v>
      </c>
      <c r="K445" t="s">
        <v>466</v>
      </c>
      <c r="L445" t="s">
        <v>128</v>
      </c>
      <c r="M445" t="s">
        <v>467</v>
      </c>
      <c r="N445" t="s">
        <v>2504</v>
      </c>
      <c r="O445" t="s">
        <v>159</v>
      </c>
      <c r="P445">
        <v>0</v>
      </c>
      <c r="Q445" t="s">
        <v>125</v>
      </c>
      <c r="R445">
        <v>6</v>
      </c>
      <c r="S445">
        <v>35</v>
      </c>
      <c r="T445" t="s">
        <v>132</v>
      </c>
      <c r="U445" t="s">
        <v>133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134</v>
      </c>
      <c r="AE445" t="s">
        <v>134</v>
      </c>
      <c r="AF445" s="2">
        <v>45518</v>
      </c>
      <c r="AG445" s="2">
        <v>45996</v>
      </c>
      <c r="AH445">
        <v>139.62</v>
      </c>
      <c r="AI445">
        <v>139.62</v>
      </c>
      <c r="AJ445">
        <v>139.62</v>
      </c>
      <c r="AK445">
        <v>0</v>
      </c>
      <c r="AL445">
        <v>0</v>
      </c>
      <c r="AM445">
        <v>0</v>
      </c>
      <c r="AN445" t="s">
        <v>135</v>
      </c>
      <c r="AO445" t="s">
        <v>135</v>
      </c>
      <c r="AP445" t="s">
        <v>136</v>
      </c>
      <c r="AQ445" t="s">
        <v>137</v>
      </c>
      <c r="AR445" t="s">
        <v>138</v>
      </c>
      <c r="AS445" t="s">
        <v>139</v>
      </c>
      <c r="AT445" t="s">
        <v>140</v>
      </c>
      <c r="AU445">
        <v>105</v>
      </c>
      <c r="AV445">
        <v>10</v>
      </c>
      <c r="AW445">
        <v>1</v>
      </c>
      <c r="AX445" s="2">
        <v>45813</v>
      </c>
      <c r="AY445" t="s">
        <v>308</v>
      </c>
      <c r="AZ445" s="2">
        <v>46023</v>
      </c>
      <c r="BA445">
        <v>0</v>
      </c>
      <c r="BB445">
        <v>0</v>
      </c>
      <c r="BC445">
        <v>0</v>
      </c>
      <c r="BD445">
        <v>700</v>
      </c>
      <c r="BE445">
        <v>70</v>
      </c>
      <c r="BF445">
        <v>9</v>
      </c>
      <c r="BG445" s="2">
        <v>45536</v>
      </c>
      <c r="BH445" t="s">
        <v>142</v>
      </c>
      <c r="BI445" s="2">
        <v>46026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139.62</v>
      </c>
      <c r="BW445">
        <v>139.62</v>
      </c>
      <c r="BX445">
        <v>0</v>
      </c>
      <c r="BY445">
        <v>0</v>
      </c>
      <c r="BZ445">
        <v>0</v>
      </c>
      <c r="CA445">
        <v>0</v>
      </c>
      <c r="CB445">
        <v>0</v>
      </c>
      <c r="CC445" t="s">
        <v>161</v>
      </c>
    </row>
    <row r="446" spans="1:81" x14ac:dyDescent="0.25">
      <c r="A446">
        <v>345</v>
      </c>
      <c r="B446">
        <v>2</v>
      </c>
      <c r="C446">
        <v>696</v>
      </c>
      <c r="D446" t="s">
        <v>2571</v>
      </c>
      <c r="E446" t="s">
        <v>121</v>
      </c>
      <c r="F446" t="s">
        <v>2572</v>
      </c>
      <c r="G446" t="s">
        <v>2573</v>
      </c>
      <c r="H446" t="s">
        <v>2574</v>
      </c>
      <c r="I446" t="s">
        <v>2575</v>
      </c>
      <c r="J446" t="s">
        <v>459</v>
      </c>
      <c r="K446" t="s">
        <v>336</v>
      </c>
      <c r="L446" t="s">
        <v>128</v>
      </c>
      <c r="M446" t="s">
        <v>337</v>
      </c>
      <c r="N446" t="s">
        <v>2576</v>
      </c>
      <c r="O446" t="s">
        <v>167</v>
      </c>
      <c r="P446">
        <v>0</v>
      </c>
      <c r="Q446" t="s">
        <v>125</v>
      </c>
      <c r="R446">
        <v>3</v>
      </c>
      <c r="S446">
        <v>83</v>
      </c>
      <c r="T446" t="s">
        <v>132</v>
      </c>
      <c r="U446" t="s">
        <v>133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134</v>
      </c>
      <c r="AE446" t="s">
        <v>134</v>
      </c>
      <c r="AF446" s="2">
        <v>45518</v>
      </c>
      <c r="AG446" s="2">
        <v>45902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t="s">
        <v>135</v>
      </c>
      <c r="AO446" t="s">
        <v>135</v>
      </c>
      <c r="AP446" t="s">
        <v>136</v>
      </c>
      <c r="AQ446" t="s">
        <v>137</v>
      </c>
      <c r="AR446" t="s">
        <v>138</v>
      </c>
      <c r="AS446" t="s">
        <v>139</v>
      </c>
      <c r="AT446" t="s">
        <v>140</v>
      </c>
      <c r="AU446">
        <v>100</v>
      </c>
      <c r="AV446">
        <v>10</v>
      </c>
      <c r="AW446">
        <v>1</v>
      </c>
      <c r="AX446" s="2">
        <v>46027</v>
      </c>
      <c r="AY446" t="s">
        <v>141</v>
      </c>
      <c r="AZ446" s="2">
        <v>46027</v>
      </c>
      <c r="BA446">
        <v>0</v>
      </c>
      <c r="BB446">
        <v>0</v>
      </c>
      <c r="BC446">
        <v>0</v>
      </c>
      <c r="BD446">
        <v>999</v>
      </c>
      <c r="BE446">
        <v>99</v>
      </c>
      <c r="BF446">
        <v>9</v>
      </c>
      <c r="BG446" t="s">
        <v>135</v>
      </c>
      <c r="BH446" t="s">
        <v>250</v>
      </c>
      <c r="BI446" t="s">
        <v>135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90.4</v>
      </c>
      <c r="CC446" t="s">
        <v>161</v>
      </c>
    </row>
    <row r="447" spans="1:81" x14ac:dyDescent="0.25">
      <c r="A447">
        <v>345</v>
      </c>
      <c r="B447">
        <v>2</v>
      </c>
      <c r="C447">
        <v>697</v>
      </c>
      <c r="D447" t="s">
        <v>2577</v>
      </c>
      <c r="E447" t="s">
        <v>121</v>
      </c>
      <c r="F447" t="s">
        <v>2578</v>
      </c>
      <c r="G447" t="s">
        <v>2579</v>
      </c>
      <c r="H447" t="s">
        <v>2580</v>
      </c>
      <c r="I447" t="s">
        <v>125</v>
      </c>
      <c r="J447" t="s">
        <v>2581</v>
      </c>
      <c r="K447" t="s">
        <v>473</v>
      </c>
      <c r="L447" t="s">
        <v>128</v>
      </c>
      <c r="M447" t="s">
        <v>474</v>
      </c>
      <c r="N447" t="s">
        <v>2582</v>
      </c>
      <c r="O447" t="s">
        <v>149</v>
      </c>
      <c r="P447">
        <v>0</v>
      </c>
      <c r="Q447" t="s">
        <v>125</v>
      </c>
      <c r="R447">
        <v>6</v>
      </c>
      <c r="S447">
        <v>41</v>
      </c>
      <c r="T447" t="s">
        <v>132</v>
      </c>
      <c r="U447" t="s">
        <v>133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134</v>
      </c>
      <c r="AE447" t="s">
        <v>134</v>
      </c>
      <c r="AF447" s="2">
        <v>45518</v>
      </c>
      <c r="AG447" s="2">
        <v>46021</v>
      </c>
      <c r="AH447" s="1">
        <v>5659.4</v>
      </c>
      <c r="AI447" s="1">
        <v>17190</v>
      </c>
      <c r="AJ447" s="1">
        <v>62253.49</v>
      </c>
      <c r="AK447">
        <v>0</v>
      </c>
      <c r="AL447">
        <v>0</v>
      </c>
      <c r="AM447">
        <v>0</v>
      </c>
      <c r="AN447" t="s">
        <v>135</v>
      </c>
      <c r="AO447" t="s">
        <v>135</v>
      </c>
      <c r="AP447" t="s">
        <v>136</v>
      </c>
      <c r="AQ447" t="s">
        <v>137</v>
      </c>
      <c r="AR447" t="s">
        <v>138</v>
      </c>
      <c r="AS447" t="s">
        <v>139</v>
      </c>
      <c r="AT447" t="s">
        <v>140</v>
      </c>
      <c r="AU447">
        <v>501</v>
      </c>
      <c r="AV447">
        <v>10</v>
      </c>
      <c r="AW447">
        <v>1</v>
      </c>
      <c r="AX447" s="2">
        <v>45857</v>
      </c>
      <c r="AY447" t="s">
        <v>160</v>
      </c>
      <c r="AZ447" s="2">
        <v>46025</v>
      </c>
      <c r="BA447">
        <v>0</v>
      </c>
      <c r="BB447">
        <v>0</v>
      </c>
      <c r="BC447">
        <v>0</v>
      </c>
      <c r="BD447">
        <v>700</v>
      </c>
      <c r="BE447">
        <v>70</v>
      </c>
      <c r="BF447">
        <v>9</v>
      </c>
      <c r="BG447" s="2">
        <v>45536</v>
      </c>
      <c r="BH447" t="s">
        <v>142</v>
      </c>
      <c r="BI447" s="2">
        <v>46026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s="1">
        <v>39425.769999999997</v>
      </c>
      <c r="BQ447" s="1">
        <v>39425.769999999997</v>
      </c>
      <c r="BR447">
        <v>0</v>
      </c>
      <c r="BS447">
        <v>0</v>
      </c>
      <c r="BT447">
        <v>0</v>
      </c>
      <c r="BU447">
        <v>0</v>
      </c>
      <c r="BV447" s="1">
        <v>10894.12</v>
      </c>
      <c r="BW447" s="1">
        <v>10894.12</v>
      </c>
      <c r="BX447">
        <v>0</v>
      </c>
      <c r="BY447">
        <v>0</v>
      </c>
      <c r="BZ447">
        <v>0</v>
      </c>
      <c r="CA447">
        <v>0</v>
      </c>
      <c r="CB447" s="1">
        <v>26570.92</v>
      </c>
      <c r="CC447" t="s">
        <v>152</v>
      </c>
    </row>
    <row r="448" spans="1:81" x14ac:dyDescent="0.25">
      <c r="A448">
        <v>345</v>
      </c>
      <c r="B448">
        <v>2</v>
      </c>
      <c r="C448">
        <v>699</v>
      </c>
      <c r="D448" t="s">
        <v>2583</v>
      </c>
      <c r="E448" t="s">
        <v>121</v>
      </c>
      <c r="F448" t="s">
        <v>2584</v>
      </c>
      <c r="G448" t="s">
        <v>2585</v>
      </c>
      <c r="H448" t="s">
        <v>2586</v>
      </c>
      <c r="I448" t="s">
        <v>2587</v>
      </c>
      <c r="J448" t="s">
        <v>126</v>
      </c>
      <c r="K448" t="s">
        <v>466</v>
      </c>
      <c r="L448" t="s">
        <v>128</v>
      </c>
      <c r="M448" t="s">
        <v>467</v>
      </c>
      <c r="N448" t="s">
        <v>2588</v>
      </c>
      <c r="O448" t="s">
        <v>167</v>
      </c>
      <c r="P448">
        <v>0</v>
      </c>
      <c r="Q448" t="s">
        <v>125</v>
      </c>
      <c r="R448">
        <v>6</v>
      </c>
      <c r="S448">
        <v>37</v>
      </c>
      <c r="T448" t="s">
        <v>132</v>
      </c>
      <c r="U448" t="s">
        <v>133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134</v>
      </c>
      <c r="AE448" t="s">
        <v>134</v>
      </c>
      <c r="AF448" s="2">
        <v>45518</v>
      </c>
      <c r="AG448" s="2">
        <v>46015</v>
      </c>
      <c r="AH448" s="1">
        <v>2515.2800000000002</v>
      </c>
      <c r="AI448" s="1">
        <v>4937.3599999999997</v>
      </c>
      <c r="AJ448" s="1">
        <v>27668.16</v>
      </c>
      <c r="AK448">
        <v>0</v>
      </c>
      <c r="AL448">
        <v>0</v>
      </c>
      <c r="AM448">
        <v>0</v>
      </c>
      <c r="AN448" t="s">
        <v>135</v>
      </c>
      <c r="AO448" t="s">
        <v>135</v>
      </c>
      <c r="AP448" t="s">
        <v>136</v>
      </c>
      <c r="AQ448" t="s">
        <v>137</v>
      </c>
      <c r="AR448" t="s">
        <v>138</v>
      </c>
      <c r="AS448" t="s">
        <v>139</v>
      </c>
      <c r="AT448" t="s">
        <v>140</v>
      </c>
      <c r="AU448">
        <v>105</v>
      </c>
      <c r="AV448">
        <v>10</v>
      </c>
      <c r="AW448">
        <v>1</v>
      </c>
      <c r="AX448" s="2">
        <v>45874</v>
      </c>
      <c r="AY448" t="s">
        <v>377</v>
      </c>
      <c r="AZ448" s="2">
        <v>46028</v>
      </c>
      <c r="BA448">
        <v>0</v>
      </c>
      <c r="BB448">
        <v>0</v>
      </c>
      <c r="BC448">
        <v>0</v>
      </c>
      <c r="BD448">
        <v>700</v>
      </c>
      <c r="BE448">
        <v>70</v>
      </c>
      <c r="BF448">
        <v>9</v>
      </c>
      <c r="BG448" s="2">
        <v>45536</v>
      </c>
      <c r="BH448" t="s">
        <v>142</v>
      </c>
      <c r="BI448" s="2">
        <v>46026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s="1">
        <v>10274.14</v>
      </c>
      <c r="BQ448" s="1">
        <v>10274.14</v>
      </c>
      <c r="BR448">
        <v>0</v>
      </c>
      <c r="BS448">
        <v>0</v>
      </c>
      <c r="BT448">
        <v>0</v>
      </c>
      <c r="BU448">
        <v>0</v>
      </c>
      <c r="BV448" s="1">
        <v>9050.9500000000007</v>
      </c>
      <c r="BW448" s="1">
        <v>9050.9500000000007</v>
      </c>
      <c r="BX448">
        <v>0</v>
      </c>
      <c r="BY448">
        <v>0</v>
      </c>
      <c r="BZ448">
        <v>0</v>
      </c>
      <c r="CA448">
        <v>0</v>
      </c>
      <c r="CB448" s="1">
        <v>9343.41</v>
      </c>
      <c r="CC448" t="s">
        <v>161</v>
      </c>
    </row>
    <row r="449" spans="1:81" x14ac:dyDescent="0.25">
      <c r="A449">
        <v>345</v>
      </c>
      <c r="B449">
        <v>2</v>
      </c>
      <c r="C449">
        <v>700</v>
      </c>
      <c r="D449" t="s">
        <v>2589</v>
      </c>
      <c r="E449" t="s">
        <v>121</v>
      </c>
      <c r="F449" t="s">
        <v>2590</v>
      </c>
      <c r="G449" t="s">
        <v>2591</v>
      </c>
      <c r="H449" t="s">
        <v>2592</v>
      </c>
      <c r="I449" t="s">
        <v>2593</v>
      </c>
      <c r="J449" t="s">
        <v>527</v>
      </c>
      <c r="K449" t="s">
        <v>466</v>
      </c>
      <c r="L449" t="s">
        <v>128</v>
      </c>
      <c r="M449" t="s">
        <v>467</v>
      </c>
      <c r="N449" t="s">
        <v>2504</v>
      </c>
      <c r="O449" t="s">
        <v>167</v>
      </c>
      <c r="P449">
        <v>0</v>
      </c>
      <c r="Q449" t="s">
        <v>125</v>
      </c>
      <c r="R449">
        <v>6</v>
      </c>
      <c r="S449">
        <v>33</v>
      </c>
      <c r="T449" t="s">
        <v>132</v>
      </c>
      <c r="U449" t="s">
        <v>133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134</v>
      </c>
      <c r="AE449" t="s">
        <v>134</v>
      </c>
      <c r="AF449" s="2">
        <v>45518</v>
      </c>
      <c r="AG449" s="2">
        <v>46020</v>
      </c>
      <c r="AH449">
        <v>460.43</v>
      </c>
      <c r="AI449">
        <v>525.66</v>
      </c>
      <c r="AJ449" s="1">
        <v>2302.16</v>
      </c>
      <c r="AK449">
        <v>0</v>
      </c>
      <c r="AL449">
        <v>0</v>
      </c>
      <c r="AM449">
        <v>0</v>
      </c>
      <c r="AN449" t="s">
        <v>135</v>
      </c>
      <c r="AO449" t="s">
        <v>135</v>
      </c>
      <c r="AP449" t="s">
        <v>136</v>
      </c>
      <c r="AQ449" t="s">
        <v>137</v>
      </c>
      <c r="AR449" t="s">
        <v>138</v>
      </c>
      <c r="AS449" t="s">
        <v>139</v>
      </c>
      <c r="AT449" t="s">
        <v>140</v>
      </c>
      <c r="AU449">
        <v>105</v>
      </c>
      <c r="AV449">
        <v>10</v>
      </c>
      <c r="AW449">
        <v>1</v>
      </c>
      <c r="AX449" s="2">
        <v>45815</v>
      </c>
      <c r="AY449" t="s">
        <v>160</v>
      </c>
      <c r="AZ449" s="2">
        <v>46025</v>
      </c>
      <c r="BA449">
        <v>0</v>
      </c>
      <c r="BB449">
        <v>0</v>
      </c>
      <c r="BC449">
        <v>0</v>
      </c>
      <c r="BD449">
        <v>700</v>
      </c>
      <c r="BE449">
        <v>70</v>
      </c>
      <c r="BF449">
        <v>9</v>
      </c>
      <c r="BG449" s="2">
        <v>45536</v>
      </c>
      <c r="BH449" t="s">
        <v>142</v>
      </c>
      <c r="BI449" s="2">
        <v>46026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468.94</v>
      </c>
      <c r="BQ449">
        <v>468.94</v>
      </c>
      <c r="BR449">
        <v>0</v>
      </c>
      <c r="BS449">
        <v>0</v>
      </c>
      <c r="BT449">
        <v>0</v>
      </c>
      <c r="BU449">
        <v>0</v>
      </c>
      <c r="BV449">
        <v>957.46</v>
      </c>
      <c r="BW449">
        <v>957.46</v>
      </c>
      <c r="BX449">
        <v>0</v>
      </c>
      <c r="BY449">
        <v>0</v>
      </c>
      <c r="BZ449">
        <v>0</v>
      </c>
      <c r="CA449">
        <v>0</v>
      </c>
      <c r="CB449">
        <v>739.96</v>
      </c>
      <c r="CC449" t="s">
        <v>161</v>
      </c>
    </row>
    <row r="450" spans="1:81" x14ac:dyDescent="0.25">
      <c r="A450">
        <v>345</v>
      </c>
      <c r="B450">
        <v>2</v>
      </c>
      <c r="C450">
        <v>702</v>
      </c>
      <c r="D450" t="s">
        <v>2594</v>
      </c>
      <c r="E450" t="s">
        <v>121</v>
      </c>
      <c r="F450" t="s">
        <v>2595</v>
      </c>
      <c r="G450" t="s">
        <v>2596</v>
      </c>
      <c r="H450" t="s">
        <v>2597</v>
      </c>
      <c r="I450" t="s">
        <v>2598</v>
      </c>
      <c r="J450" t="s">
        <v>459</v>
      </c>
      <c r="K450" t="s">
        <v>336</v>
      </c>
      <c r="L450" t="s">
        <v>128</v>
      </c>
      <c r="M450" t="s">
        <v>337</v>
      </c>
      <c r="N450" t="s">
        <v>2599</v>
      </c>
      <c r="O450" t="s">
        <v>201</v>
      </c>
      <c r="P450">
        <v>0</v>
      </c>
      <c r="Q450" t="s">
        <v>125</v>
      </c>
      <c r="R450">
        <v>3</v>
      </c>
      <c r="S450">
        <v>85</v>
      </c>
      <c r="T450" t="s">
        <v>132</v>
      </c>
      <c r="U450" t="s">
        <v>133</v>
      </c>
      <c r="V450" s="1">
        <v>3600</v>
      </c>
      <c r="W450">
        <v>0</v>
      </c>
      <c r="X450" s="1">
        <v>3600</v>
      </c>
      <c r="Y450">
        <v>7</v>
      </c>
      <c r="Z450">
        <v>0</v>
      </c>
      <c r="AA450">
        <v>0</v>
      </c>
      <c r="AB450">
        <v>0</v>
      </c>
      <c r="AC450">
        <v>0</v>
      </c>
      <c r="AD450" t="s">
        <v>134</v>
      </c>
      <c r="AE450" t="s">
        <v>134</v>
      </c>
      <c r="AF450" s="2">
        <v>45518</v>
      </c>
      <c r="AG450" s="2">
        <v>46015</v>
      </c>
      <c r="AH450" s="1">
        <v>1454.46</v>
      </c>
      <c r="AI450" s="1">
        <v>3531.3</v>
      </c>
      <c r="AJ450" s="1">
        <v>14544.61</v>
      </c>
      <c r="AK450">
        <v>0</v>
      </c>
      <c r="AL450" s="1">
        <v>1186</v>
      </c>
      <c r="AM450">
        <v>0</v>
      </c>
      <c r="AN450" t="s">
        <v>135</v>
      </c>
      <c r="AO450" t="s">
        <v>135</v>
      </c>
      <c r="AP450" t="s">
        <v>136</v>
      </c>
      <c r="AQ450" t="s">
        <v>137</v>
      </c>
      <c r="AR450" t="s">
        <v>138</v>
      </c>
      <c r="AS450" t="s">
        <v>139</v>
      </c>
      <c r="AT450" t="s">
        <v>140</v>
      </c>
      <c r="AU450">
        <v>100</v>
      </c>
      <c r="AV450">
        <v>10</v>
      </c>
      <c r="AW450">
        <v>1</v>
      </c>
      <c r="AX450" s="2">
        <v>45929</v>
      </c>
      <c r="AY450" t="s">
        <v>141</v>
      </c>
      <c r="AZ450" s="2">
        <v>46027</v>
      </c>
      <c r="BA450">
        <v>0</v>
      </c>
      <c r="BB450">
        <v>0</v>
      </c>
      <c r="BC450">
        <v>0</v>
      </c>
      <c r="BD450">
        <v>999</v>
      </c>
      <c r="BE450">
        <v>99</v>
      </c>
      <c r="BF450">
        <v>9</v>
      </c>
      <c r="BG450" t="s">
        <v>135</v>
      </c>
      <c r="BH450" t="s">
        <v>250</v>
      </c>
      <c r="BI450" t="s">
        <v>135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s="1">
        <v>4164.3</v>
      </c>
      <c r="BQ450" s="1">
        <v>4164.3</v>
      </c>
      <c r="BR450">
        <v>0</v>
      </c>
      <c r="BS450">
        <v>0</v>
      </c>
      <c r="BT450">
        <v>0</v>
      </c>
      <c r="BU450">
        <v>0</v>
      </c>
      <c r="BV450" s="1">
        <v>5383.93</v>
      </c>
      <c r="BW450" s="1">
        <v>5383.93</v>
      </c>
      <c r="BX450">
        <v>0</v>
      </c>
      <c r="BY450">
        <v>0</v>
      </c>
      <c r="BZ450">
        <v>0</v>
      </c>
      <c r="CA450">
        <v>0</v>
      </c>
      <c r="CB450" s="1">
        <v>3537.09</v>
      </c>
      <c r="CC450" t="s">
        <v>143</v>
      </c>
    </row>
    <row r="451" spans="1:81" x14ac:dyDescent="0.25">
      <c r="A451">
        <v>345</v>
      </c>
      <c r="B451">
        <v>2</v>
      </c>
      <c r="C451">
        <v>703</v>
      </c>
      <c r="D451" t="s">
        <v>2600</v>
      </c>
      <c r="E451" t="s">
        <v>121</v>
      </c>
      <c r="F451" t="s">
        <v>2601</v>
      </c>
      <c r="G451" t="s">
        <v>2602</v>
      </c>
      <c r="H451" t="s">
        <v>2603</v>
      </c>
      <c r="I451" t="s">
        <v>2604</v>
      </c>
      <c r="J451" t="s">
        <v>851</v>
      </c>
      <c r="K451" t="s">
        <v>466</v>
      </c>
      <c r="L451" t="s">
        <v>128</v>
      </c>
      <c r="M451" t="s">
        <v>467</v>
      </c>
      <c r="N451" t="s">
        <v>2605</v>
      </c>
      <c r="O451" t="s">
        <v>131</v>
      </c>
      <c r="P451">
        <v>0</v>
      </c>
      <c r="Q451" t="s">
        <v>125</v>
      </c>
      <c r="R451">
        <v>6</v>
      </c>
      <c r="S451">
        <v>41</v>
      </c>
      <c r="T451" t="s">
        <v>132</v>
      </c>
      <c r="U451" t="s">
        <v>133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134</v>
      </c>
      <c r="AE451" t="s">
        <v>134</v>
      </c>
      <c r="AF451" s="2">
        <v>45518</v>
      </c>
      <c r="AG451" s="2">
        <v>46018</v>
      </c>
      <c r="AH451" s="1">
        <v>3603.32</v>
      </c>
      <c r="AI451" s="1">
        <v>7296.9</v>
      </c>
      <c r="AJ451" s="1">
        <v>36033.29</v>
      </c>
      <c r="AK451">
        <v>0</v>
      </c>
      <c r="AL451">
        <v>0</v>
      </c>
      <c r="AM451">
        <v>0</v>
      </c>
      <c r="AN451" t="s">
        <v>135</v>
      </c>
      <c r="AO451" t="s">
        <v>135</v>
      </c>
      <c r="AP451" t="s">
        <v>136</v>
      </c>
      <c r="AQ451" t="s">
        <v>137</v>
      </c>
      <c r="AR451" t="s">
        <v>138</v>
      </c>
      <c r="AS451" t="s">
        <v>139</v>
      </c>
      <c r="AT451" t="s">
        <v>140</v>
      </c>
      <c r="AU451">
        <v>100</v>
      </c>
      <c r="AV451">
        <v>10</v>
      </c>
      <c r="AW451">
        <v>1</v>
      </c>
      <c r="AX451" s="2">
        <v>45848</v>
      </c>
      <c r="AY451" t="s">
        <v>308</v>
      </c>
      <c r="AZ451" s="2">
        <v>46023</v>
      </c>
      <c r="BA451">
        <v>0</v>
      </c>
      <c r="BB451">
        <v>0</v>
      </c>
      <c r="BC451">
        <v>0</v>
      </c>
      <c r="BD451">
        <v>700</v>
      </c>
      <c r="BE451">
        <v>70</v>
      </c>
      <c r="BF451">
        <v>9</v>
      </c>
      <c r="BG451" s="2">
        <v>45536</v>
      </c>
      <c r="BH451" t="s">
        <v>142</v>
      </c>
      <c r="BI451" s="2">
        <v>46026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s="1">
        <v>7456.64</v>
      </c>
      <c r="BQ451" s="1">
        <v>7456.64</v>
      </c>
      <c r="BR451">
        <v>0</v>
      </c>
      <c r="BS451">
        <v>0</v>
      </c>
      <c r="BT451">
        <v>0</v>
      </c>
      <c r="BU451">
        <v>0</v>
      </c>
      <c r="BV451" s="1">
        <v>20154.96</v>
      </c>
      <c r="BW451" s="1">
        <v>20154.96</v>
      </c>
      <c r="BX451">
        <v>0</v>
      </c>
      <c r="BY451">
        <v>0</v>
      </c>
      <c r="BZ451">
        <v>0</v>
      </c>
      <c r="CA451">
        <v>0</v>
      </c>
      <c r="CB451" s="1">
        <v>7497.3</v>
      </c>
      <c r="CC451" t="s">
        <v>143</v>
      </c>
    </row>
    <row r="452" spans="1:81" x14ac:dyDescent="0.25">
      <c r="A452">
        <v>345</v>
      </c>
      <c r="B452">
        <v>2</v>
      </c>
      <c r="C452">
        <v>704</v>
      </c>
      <c r="D452" t="s">
        <v>2606</v>
      </c>
      <c r="E452" t="s">
        <v>121</v>
      </c>
      <c r="F452" t="s">
        <v>2607</v>
      </c>
      <c r="G452" t="s">
        <v>2608</v>
      </c>
      <c r="H452" t="s">
        <v>2609</v>
      </c>
      <c r="I452" t="s">
        <v>2610</v>
      </c>
      <c r="J452" t="s">
        <v>781</v>
      </c>
      <c r="K452" t="s">
        <v>466</v>
      </c>
      <c r="L452" t="s">
        <v>128</v>
      </c>
      <c r="M452" t="s">
        <v>467</v>
      </c>
      <c r="N452" t="s">
        <v>2611</v>
      </c>
      <c r="O452" t="s">
        <v>131</v>
      </c>
      <c r="P452">
        <v>0</v>
      </c>
      <c r="Q452" t="s">
        <v>125</v>
      </c>
      <c r="R452">
        <v>6</v>
      </c>
      <c r="S452">
        <v>37</v>
      </c>
      <c r="T452" t="s">
        <v>132</v>
      </c>
      <c r="U452" t="s">
        <v>133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134</v>
      </c>
      <c r="AE452" t="s">
        <v>134</v>
      </c>
      <c r="AF452" s="2">
        <v>45518</v>
      </c>
      <c r="AG452" s="2">
        <v>46002</v>
      </c>
      <c r="AH452">
        <v>723.37</v>
      </c>
      <c r="AI452" s="1">
        <v>1107.49</v>
      </c>
      <c r="AJ452" s="1">
        <v>2893.51</v>
      </c>
      <c r="AK452">
        <v>0</v>
      </c>
      <c r="AL452">
        <v>0</v>
      </c>
      <c r="AM452">
        <v>0</v>
      </c>
      <c r="AN452" t="s">
        <v>135</v>
      </c>
      <c r="AO452" t="s">
        <v>135</v>
      </c>
      <c r="AP452" t="s">
        <v>136</v>
      </c>
      <c r="AQ452" t="s">
        <v>137</v>
      </c>
      <c r="AR452" t="s">
        <v>138</v>
      </c>
      <c r="AS452" t="s">
        <v>139</v>
      </c>
      <c r="AT452" t="s">
        <v>140</v>
      </c>
      <c r="AU452">
        <v>103</v>
      </c>
      <c r="AV452">
        <v>10</v>
      </c>
      <c r="AW452">
        <v>1</v>
      </c>
      <c r="AX452" s="2">
        <v>45839</v>
      </c>
      <c r="AY452" t="s">
        <v>377</v>
      </c>
      <c r="AZ452" s="2">
        <v>46028</v>
      </c>
      <c r="BA452">
        <v>0</v>
      </c>
      <c r="BB452">
        <v>0</v>
      </c>
      <c r="BC452">
        <v>0</v>
      </c>
      <c r="BD452">
        <v>700</v>
      </c>
      <c r="BE452">
        <v>70</v>
      </c>
      <c r="BF452">
        <v>9</v>
      </c>
      <c r="BG452" s="2">
        <v>45536</v>
      </c>
      <c r="BH452" t="s">
        <v>142</v>
      </c>
      <c r="BI452" s="2">
        <v>46026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570.99</v>
      </c>
      <c r="BQ452">
        <v>570.99</v>
      </c>
      <c r="BR452">
        <v>0</v>
      </c>
      <c r="BS452">
        <v>0</v>
      </c>
      <c r="BT452">
        <v>0</v>
      </c>
      <c r="BU452">
        <v>0</v>
      </c>
      <c r="BV452">
        <v>604.9</v>
      </c>
      <c r="BW452">
        <v>604.9</v>
      </c>
      <c r="BX452">
        <v>0</v>
      </c>
      <c r="BY452">
        <v>0</v>
      </c>
      <c r="BZ452">
        <v>0</v>
      </c>
      <c r="CA452">
        <v>0</v>
      </c>
      <c r="CB452">
        <v>762.87</v>
      </c>
      <c r="CC452" t="s">
        <v>143</v>
      </c>
    </row>
    <row r="453" spans="1:81" x14ac:dyDescent="0.25">
      <c r="A453">
        <v>345</v>
      </c>
      <c r="B453">
        <v>2</v>
      </c>
      <c r="C453">
        <v>707</v>
      </c>
      <c r="D453" t="s">
        <v>2612</v>
      </c>
      <c r="E453" t="s">
        <v>121</v>
      </c>
      <c r="F453" t="s">
        <v>2613</v>
      </c>
      <c r="G453" t="s">
        <v>2614</v>
      </c>
      <c r="H453" t="s">
        <v>2615</v>
      </c>
      <c r="I453" t="s">
        <v>2616</v>
      </c>
      <c r="J453" t="s">
        <v>606</v>
      </c>
      <c r="K453" t="s">
        <v>336</v>
      </c>
      <c r="L453" t="s">
        <v>128</v>
      </c>
      <c r="M453" t="s">
        <v>337</v>
      </c>
      <c r="N453" t="s">
        <v>2617</v>
      </c>
      <c r="O453" t="s">
        <v>131</v>
      </c>
      <c r="P453">
        <v>0</v>
      </c>
      <c r="Q453" t="s">
        <v>125</v>
      </c>
      <c r="R453">
        <v>6</v>
      </c>
      <c r="S453">
        <v>42</v>
      </c>
      <c r="T453" t="s">
        <v>132</v>
      </c>
      <c r="U453" t="s">
        <v>133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134</v>
      </c>
      <c r="AE453" t="s">
        <v>134</v>
      </c>
      <c r="AF453" s="2">
        <v>45518</v>
      </c>
      <c r="AG453" s="2">
        <v>46020</v>
      </c>
      <c r="AH453" s="1">
        <v>2908.65</v>
      </c>
      <c r="AI453" s="1">
        <v>5730.88</v>
      </c>
      <c r="AJ453" s="1">
        <v>46538.41</v>
      </c>
      <c r="AK453">
        <v>0</v>
      </c>
      <c r="AL453">
        <v>0</v>
      </c>
      <c r="AM453">
        <v>0</v>
      </c>
      <c r="AN453" t="s">
        <v>135</v>
      </c>
      <c r="AO453" t="s">
        <v>135</v>
      </c>
      <c r="AP453" t="s">
        <v>136</v>
      </c>
      <c r="AQ453" t="s">
        <v>137</v>
      </c>
      <c r="AR453" t="s">
        <v>138</v>
      </c>
      <c r="AS453" t="s">
        <v>139</v>
      </c>
      <c r="AT453" t="s">
        <v>140</v>
      </c>
      <c r="AU453">
        <v>101</v>
      </c>
      <c r="AV453">
        <v>10</v>
      </c>
      <c r="AW453">
        <v>1</v>
      </c>
      <c r="AX453" s="2">
        <v>45812</v>
      </c>
      <c r="AY453" t="s">
        <v>168</v>
      </c>
      <c r="AZ453" s="2">
        <v>46022</v>
      </c>
      <c r="BA453">
        <v>0</v>
      </c>
      <c r="BB453">
        <v>0</v>
      </c>
      <c r="BC453">
        <v>0</v>
      </c>
      <c r="BD453">
        <v>700</v>
      </c>
      <c r="BE453">
        <v>70</v>
      </c>
      <c r="BF453">
        <v>9</v>
      </c>
      <c r="BG453" s="2">
        <v>45536</v>
      </c>
      <c r="BH453" t="s">
        <v>142</v>
      </c>
      <c r="BI453" s="2">
        <v>46026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s="1">
        <v>10688.76</v>
      </c>
      <c r="BQ453" s="1">
        <v>10688.76</v>
      </c>
      <c r="BR453">
        <v>0</v>
      </c>
      <c r="BS453">
        <v>0</v>
      </c>
      <c r="BT453">
        <v>0</v>
      </c>
      <c r="BU453">
        <v>0</v>
      </c>
      <c r="BV453" s="1">
        <v>23978.45</v>
      </c>
      <c r="BW453" s="1">
        <v>23978.45</v>
      </c>
      <c r="BX453">
        <v>0</v>
      </c>
      <c r="BY453">
        <v>0</v>
      </c>
      <c r="BZ453">
        <v>0</v>
      </c>
      <c r="CA453">
        <v>0</v>
      </c>
      <c r="CB453" s="1">
        <v>11912.49</v>
      </c>
      <c r="CC453" t="s">
        <v>143</v>
      </c>
    </row>
    <row r="454" spans="1:81" x14ac:dyDescent="0.25">
      <c r="A454">
        <v>345</v>
      </c>
      <c r="B454">
        <v>2</v>
      </c>
      <c r="C454">
        <v>708</v>
      </c>
      <c r="D454" t="s">
        <v>2618</v>
      </c>
      <c r="E454" t="s">
        <v>121</v>
      </c>
      <c r="F454" t="s">
        <v>2619</v>
      </c>
      <c r="G454" t="s">
        <v>2620</v>
      </c>
      <c r="H454" t="s">
        <v>2621</v>
      </c>
      <c r="I454" t="s">
        <v>125</v>
      </c>
      <c r="J454" t="s">
        <v>217</v>
      </c>
      <c r="K454" t="s">
        <v>336</v>
      </c>
      <c r="L454" t="s">
        <v>128</v>
      </c>
      <c r="M454" t="s">
        <v>337</v>
      </c>
      <c r="N454" t="s">
        <v>2622</v>
      </c>
      <c r="O454" t="s">
        <v>149</v>
      </c>
      <c r="P454">
        <v>0</v>
      </c>
      <c r="Q454" t="s">
        <v>125</v>
      </c>
      <c r="R454">
        <v>6</v>
      </c>
      <c r="S454">
        <v>41</v>
      </c>
      <c r="T454" t="s">
        <v>132</v>
      </c>
      <c r="U454" t="s">
        <v>133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134</v>
      </c>
      <c r="AE454" t="s">
        <v>134</v>
      </c>
      <c r="AF454" s="2">
        <v>45518</v>
      </c>
      <c r="AG454" s="2">
        <v>46011</v>
      </c>
      <c r="AH454" s="1">
        <v>1521.47</v>
      </c>
      <c r="AI454" s="1">
        <v>2898.09</v>
      </c>
      <c r="AJ454" s="1">
        <v>10650.31</v>
      </c>
      <c r="AK454">
        <v>0</v>
      </c>
      <c r="AL454">
        <v>0</v>
      </c>
      <c r="AM454">
        <v>0</v>
      </c>
      <c r="AN454" t="s">
        <v>135</v>
      </c>
      <c r="AO454" t="s">
        <v>135</v>
      </c>
      <c r="AP454" t="s">
        <v>136</v>
      </c>
      <c r="AQ454" t="s">
        <v>137</v>
      </c>
      <c r="AR454" t="s">
        <v>138</v>
      </c>
      <c r="AS454" t="s">
        <v>139</v>
      </c>
      <c r="AT454" t="s">
        <v>140</v>
      </c>
      <c r="AU454">
        <v>102</v>
      </c>
      <c r="AV454">
        <v>10</v>
      </c>
      <c r="AW454">
        <v>1</v>
      </c>
      <c r="AX454" s="2">
        <v>45814</v>
      </c>
      <c r="AY454" t="s">
        <v>151</v>
      </c>
      <c r="AZ454" s="2">
        <v>46024</v>
      </c>
      <c r="BA454">
        <v>0</v>
      </c>
      <c r="BB454">
        <v>0</v>
      </c>
      <c r="BC454">
        <v>0</v>
      </c>
      <c r="BD454">
        <v>700</v>
      </c>
      <c r="BE454">
        <v>70</v>
      </c>
      <c r="BF454">
        <v>9</v>
      </c>
      <c r="BG454" s="2">
        <v>45536</v>
      </c>
      <c r="BH454" t="s">
        <v>142</v>
      </c>
      <c r="BI454" s="2">
        <v>46026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s="1">
        <v>3852.8</v>
      </c>
      <c r="BQ454" s="1">
        <v>3852.8</v>
      </c>
      <c r="BR454">
        <v>0</v>
      </c>
      <c r="BS454">
        <v>0</v>
      </c>
      <c r="BT454">
        <v>0</v>
      </c>
      <c r="BU454">
        <v>0</v>
      </c>
      <c r="BV454" s="1">
        <v>1515.92</v>
      </c>
      <c r="BW454" s="1">
        <v>1515.92</v>
      </c>
      <c r="BX454">
        <v>0</v>
      </c>
      <c r="BY454">
        <v>0</v>
      </c>
      <c r="BZ454">
        <v>0</v>
      </c>
      <c r="CA454">
        <v>0</v>
      </c>
      <c r="CB454" s="1">
        <v>4382.91</v>
      </c>
      <c r="CC454" t="s">
        <v>152</v>
      </c>
    </row>
    <row r="455" spans="1:81" x14ac:dyDescent="0.25">
      <c r="A455">
        <v>345</v>
      </c>
      <c r="B455">
        <v>2</v>
      </c>
      <c r="C455">
        <v>709</v>
      </c>
      <c r="D455" t="s">
        <v>2623</v>
      </c>
      <c r="E455" t="s">
        <v>121</v>
      </c>
      <c r="F455" t="s">
        <v>2624</v>
      </c>
      <c r="G455" t="s">
        <v>2625</v>
      </c>
      <c r="H455" t="s">
        <v>2626</v>
      </c>
      <c r="I455" t="s">
        <v>2627</v>
      </c>
      <c r="J455" t="s">
        <v>527</v>
      </c>
      <c r="K455" t="s">
        <v>466</v>
      </c>
      <c r="L455" t="s">
        <v>128</v>
      </c>
      <c r="M455" t="s">
        <v>467</v>
      </c>
      <c r="N455" t="s">
        <v>2628</v>
      </c>
      <c r="O455" t="s">
        <v>167</v>
      </c>
      <c r="P455">
        <v>0</v>
      </c>
      <c r="Q455" t="s">
        <v>125</v>
      </c>
      <c r="R455">
        <v>6</v>
      </c>
      <c r="S455">
        <v>41</v>
      </c>
      <c r="T455" t="s">
        <v>132</v>
      </c>
      <c r="U455" t="s">
        <v>133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134</v>
      </c>
      <c r="AE455" t="s">
        <v>134</v>
      </c>
      <c r="AF455" s="2">
        <v>45518</v>
      </c>
      <c r="AG455" s="2">
        <v>46020</v>
      </c>
      <c r="AH455">
        <v>420.06</v>
      </c>
      <c r="AI455">
        <v>669.03</v>
      </c>
      <c r="AJ455" s="1">
        <v>5460.88</v>
      </c>
      <c r="AK455">
        <v>0</v>
      </c>
      <c r="AL455">
        <v>0</v>
      </c>
      <c r="AM455">
        <v>0</v>
      </c>
      <c r="AN455" t="s">
        <v>135</v>
      </c>
      <c r="AO455" t="s">
        <v>135</v>
      </c>
      <c r="AP455" t="s">
        <v>136</v>
      </c>
      <c r="AQ455" t="s">
        <v>137</v>
      </c>
      <c r="AR455" t="s">
        <v>138</v>
      </c>
      <c r="AS455" t="s">
        <v>150</v>
      </c>
      <c r="AT455" t="s">
        <v>140</v>
      </c>
      <c r="AU455">
        <v>105</v>
      </c>
      <c r="AV455">
        <v>10</v>
      </c>
      <c r="AW455">
        <v>1</v>
      </c>
      <c r="AX455" s="2">
        <v>45843</v>
      </c>
      <c r="AY455" t="s">
        <v>160</v>
      </c>
      <c r="AZ455" s="2">
        <v>46025</v>
      </c>
      <c r="BA455">
        <v>0</v>
      </c>
      <c r="BB455">
        <v>0</v>
      </c>
      <c r="BC455">
        <v>0</v>
      </c>
      <c r="BD455">
        <v>700</v>
      </c>
      <c r="BE455">
        <v>70</v>
      </c>
      <c r="BF455">
        <v>9</v>
      </c>
      <c r="BG455" s="2">
        <v>45536</v>
      </c>
      <c r="BH455" t="s">
        <v>142</v>
      </c>
      <c r="BI455" s="2">
        <v>46026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s="1">
        <v>1597.48</v>
      </c>
      <c r="BQ455" s="1">
        <v>1597.48</v>
      </c>
      <c r="BR455">
        <v>0</v>
      </c>
      <c r="BS455">
        <v>0</v>
      </c>
      <c r="BT455">
        <v>0</v>
      </c>
      <c r="BU455">
        <v>0</v>
      </c>
      <c r="BV455" s="1">
        <v>2512.41</v>
      </c>
      <c r="BW455" s="1">
        <v>2512.41</v>
      </c>
      <c r="BX455">
        <v>0</v>
      </c>
      <c r="BY455">
        <v>0</v>
      </c>
      <c r="BZ455">
        <v>0</v>
      </c>
      <c r="CA455">
        <v>0</v>
      </c>
      <c r="CB455" s="1">
        <v>1984.39</v>
      </c>
      <c r="CC455" t="s">
        <v>161</v>
      </c>
    </row>
    <row r="456" spans="1:81" x14ac:dyDescent="0.25">
      <c r="A456">
        <v>345</v>
      </c>
      <c r="B456">
        <v>2</v>
      </c>
      <c r="C456">
        <v>710</v>
      </c>
      <c r="D456" t="s">
        <v>2629</v>
      </c>
      <c r="E456" t="s">
        <v>121</v>
      </c>
      <c r="F456" t="s">
        <v>2630</v>
      </c>
      <c r="G456" t="s">
        <v>2631</v>
      </c>
      <c r="H456" t="s">
        <v>2632</v>
      </c>
      <c r="I456" t="s">
        <v>125</v>
      </c>
      <c r="J456" t="s">
        <v>825</v>
      </c>
      <c r="K456" t="s">
        <v>336</v>
      </c>
      <c r="L456" t="s">
        <v>128</v>
      </c>
      <c r="M456" t="s">
        <v>337</v>
      </c>
      <c r="N456" t="s">
        <v>2633</v>
      </c>
      <c r="O456" t="s">
        <v>131</v>
      </c>
      <c r="P456">
        <v>0</v>
      </c>
      <c r="Q456" t="s">
        <v>125</v>
      </c>
      <c r="R456">
        <v>6</v>
      </c>
      <c r="S456">
        <v>46</v>
      </c>
      <c r="T456" t="s">
        <v>132</v>
      </c>
      <c r="U456" t="s">
        <v>133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134</v>
      </c>
      <c r="AE456" t="s">
        <v>134</v>
      </c>
      <c r="AF456" s="2">
        <v>45518</v>
      </c>
      <c r="AG456" s="2">
        <v>46021</v>
      </c>
      <c r="AH456" s="1">
        <v>2364.13</v>
      </c>
      <c r="AI456" s="1">
        <v>4113.25</v>
      </c>
      <c r="AJ456" s="1">
        <v>30733.75</v>
      </c>
      <c r="AK456">
        <v>0</v>
      </c>
      <c r="AL456">
        <v>0</v>
      </c>
      <c r="AM456">
        <v>0</v>
      </c>
      <c r="AN456" t="s">
        <v>135</v>
      </c>
      <c r="AO456" t="s">
        <v>135</v>
      </c>
      <c r="AP456" t="s">
        <v>136</v>
      </c>
      <c r="AQ456" t="s">
        <v>137</v>
      </c>
      <c r="AR456" t="s">
        <v>138</v>
      </c>
      <c r="AS456" t="s">
        <v>150</v>
      </c>
      <c r="AT456" t="s">
        <v>140</v>
      </c>
      <c r="AU456">
        <v>101</v>
      </c>
      <c r="AV456">
        <v>10</v>
      </c>
      <c r="AW456">
        <v>1</v>
      </c>
      <c r="AX456" s="2">
        <v>45838</v>
      </c>
      <c r="AY456" t="s">
        <v>141</v>
      </c>
      <c r="AZ456" s="2">
        <v>46027</v>
      </c>
      <c r="BA456">
        <v>0</v>
      </c>
      <c r="BB456">
        <v>0</v>
      </c>
      <c r="BC456">
        <v>0</v>
      </c>
      <c r="BD456">
        <v>700</v>
      </c>
      <c r="BE456">
        <v>70</v>
      </c>
      <c r="BF456">
        <v>9</v>
      </c>
      <c r="BG456" s="2">
        <v>45536</v>
      </c>
      <c r="BH456" t="s">
        <v>142</v>
      </c>
      <c r="BI456" s="2">
        <v>46026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 s="1">
        <v>7901.78</v>
      </c>
      <c r="BQ456" s="1">
        <v>7901.78</v>
      </c>
      <c r="BR456">
        <v>0</v>
      </c>
      <c r="BS456">
        <v>0</v>
      </c>
      <c r="BT456">
        <v>0</v>
      </c>
      <c r="BU456">
        <v>0</v>
      </c>
      <c r="BV456" s="1">
        <v>14616.63</v>
      </c>
      <c r="BW456" s="1">
        <v>14616.63</v>
      </c>
      <c r="BX456">
        <v>0</v>
      </c>
      <c r="BY456">
        <v>0</v>
      </c>
      <c r="BZ456">
        <v>0</v>
      </c>
      <c r="CA456">
        <v>0</v>
      </c>
      <c r="CB456" s="1">
        <v>9003.31</v>
      </c>
      <c r="CC456" t="s">
        <v>143</v>
      </c>
    </row>
    <row r="457" spans="1:81" x14ac:dyDescent="0.25">
      <c r="A457">
        <v>345</v>
      </c>
      <c r="B457">
        <v>2</v>
      </c>
      <c r="C457">
        <v>711</v>
      </c>
      <c r="D457" t="s">
        <v>2634</v>
      </c>
      <c r="E457" t="s">
        <v>121</v>
      </c>
      <c r="F457" t="s">
        <v>2635</v>
      </c>
      <c r="G457" t="s">
        <v>2636</v>
      </c>
      <c r="H457" t="s">
        <v>2609</v>
      </c>
      <c r="I457" t="s">
        <v>2637</v>
      </c>
      <c r="J457" t="s">
        <v>781</v>
      </c>
      <c r="K457" t="s">
        <v>466</v>
      </c>
      <c r="L457" t="s">
        <v>128</v>
      </c>
      <c r="M457" t="s">
        <v>467</v>
      </c>
      <c r="N457" t="s">
        <v>2638</v>
      </c>
      <c r="O457" t="s">
        <v>167</v>
      </c>
      <c r="P457">
        <v>0</v>
      </c>
      <c r="Q457" t="s">
        <v>125</v>
      </c>
      <c r="R457">
        <v>6</v>
      </c>
      <c r="S457">
        <v>33</v>
      </c>
      <c r="T457" t="s">
        <v>132</v>
      </c>
      <c r="U457" t="s">
        <v>133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134</v>
      </c>
      <c r="AE457" t="s">
        <v>134</v>
      </c>
      <c r="AF457" s="2">
        <v>45518</v>
      </c>
      <c r="AG457" s="2">
        <v>45987</v>
      </c>
      <c r="AH457">
        <v>584.54999999999995</v>
      </c>
      <c r="AI457" s="1">
        <v>1074.3900000000001</v>
      </c>
      <c r="AJ457" s="1">
        <v>2338.21</v>
      </c>
      <c r="AK457">
        <v>0</v>
      </c>
      <c r="AL457">
        <v>861.82</v>
      </c>
      <c r="AM457">
        <v>0</v>
      </c>
      <c r="AN457" t="s">
        <v>135</v>
      </c>
      <c r="AO457" t="s">
        <v>135</v>
      </c>
      <c r="AP457" t="s">
        <v>136</v>
      </c>
      <c r="AQ457" t="s">
        <v>137</v>
      </c>
      <c r="AR457" t="s">
        <v>138</v>
      </c>
      <c r="AS457" t="s">
        <v>139</v>
      </c>
      <c r="AT457" t="s">
        <v>140</v>
      </c>
      <c r="AU457">
        <v>103</v>
      </c>
      <c r="AV457">
        <v>10</v>
      </c>
      <c r="AW457">
        <v>1</v>
      </c>
      <c r="AX457" s="2">
        <v>45846</v>
      </c>
      <c r="AY457" t="s">
        <v>377</v>
      </c>
      <c r="AZ457" s="2">
        <v>46028</v>
      </c>
      <c r="BA457">
        <v>0</v>
      </c>
      <c r="BB457">
        <v>0</v>
      </c>
      <c r="BC457">
        <v>0</v>
      </c>
      <c r="BD457">
        <v>700</v>
      </c>
      <c r="BE457">
        <v>70</v>
      </c>
      <c r="BF457">
        <v>9</v>
      </c>
      <c r="BG457" s="2">
        <v>45536</v>
      </c>
      <c r="BH457" t="s">
        <v>142</v>
      </c>
      <c r="BI457" s="2">
        <v>46026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s="1">
        <v>1074.3900000000001</v>
      </c>
      <c r="BQ457" s="1">
        <v>1074.3900000000001</v>
      </c>
      <c r="BR457">
        <v>0</v>
      </c>
      <c r="BS457">
        <v>0</v>
      </c>
      <c r="BT457">
        <v>0</v>
      </c>
      <c r="BU457">
        <v>0</v>
      </c>
      <c r="BV457">
        <v>861.82</v>
      </c>
      <c r="BW457">
        <v>861.82</v>
      </c>
      <c r="BX457">
        <v>0</v>
      </c>
      <c r="BY457">
        <v>0</v>
      </c>
      <c r="BZ457">
        <v>0</v>
      </c>
      <c r="CA457">
        <v>0</v>
      </c>
      <c r="CB457">
        <v>657.96</v>
      </c>
      <c r="CC457" t="s">
        <v>161</v>
      </c>
    </row>
    <row r="458" spans="1:81" x14ac:dyDescent="0.25">
      <c r="A458">
        <v>345</v>
      </c>
      <c r="B458">
        <v>2</v>
      </c>
      <c r="C458">
        <v>713</v>
      </c>
      <c r="D458" t="s">
        <v>2639</v>
      </c>
      <c r="E458" t="s">
        <v>121</v>
      </c>
      <c r="F458" t="s">
        <v>2640</v>
      </c>
      <c r="G458" t="s">
        <v>2641</v>
      </c>
      <c r="H458" t="s">
        <v>2642</v>
      </c>
      <c r="I458" t="s">
        <v>2643</v>
      </c>
      <c r="J458" t="s">
        <v>1009</v>
      </c>
      <c r="K458" t="s">
        <v>336</v>
      </c>
      <c r="L458" t="s">
        <v>128</v>
      </c>
      <c r="M458" t="s">
        <v>337</v>
      </c>
      <c r="N458" t="s">
        <v>2644</v>
      </c>
      <c r="O458" t="s">
        <v>167</v>
      </c>
      <c r="P458">
        <v>0</v>
      </c>
      <c r="Q458" t="s">
        <v>125</v>
      </c>
      <c r="R458">
        <v>5</v>
      </c>
      <c r="S458">
        <v>61</v>
      </c>
      <c r="T458" t="s">
        <v>132</v>
      </c>
      <c r="U458" t="s">
        <v>133</v>
      </c>
      <c r="V458">
        <v>0</v>
      </c>
      <c r="W458" s="1">
        <v>4085.91</v>
      </c>
      <c r="X458" s="1">
        <v>-4085.91</v>
      </c>
      <c r="Y458">
        <v>0</v>
      </c>
      <c r="Z458">
        <v>0</v>
      </c>
      <c r="AA458">
        <v>7</v>
      </c>
      <c r="AB458">
        <v>122</v>
      </c>
      <c r="AC458">
        <v>100</v>
      </c>
      <c r="AD458" t="s">
        <v>234</v>
      </c>
      <c r="AE458" t="s">
        <v>134</v>
      </c>
      <c r="AF458" s="2">
        <v>45518</v>
      </c>
      <c r="AG458" s="2">
        <v>45868</v>
      </c>
      <c r="AH458">
        <v>0</v>
      </c>
      <c r="AI458">
        <v>0</v>
      </c>
      <c r="AJ458">
        <v>0</v>
      </c>
      <c r="AK458" s="1">
        <v>4085.91</v>
      </c>
      <c r="AL458">
        <v>0</v>
      </c>
      <c r="AM458">
        <v>0</v>
      </c>
      <c r="AN458" t="s">
        <v>135</v>
      </c>
      <c r="AO458" t="s">
        <v>135</v>
      </c>
      <c r="AP458" t="s">
        <v>136</v>
      </c>
      <c r="AQ458" t="s">
        <v>137</v>
      </c>
      <c r="AR458" t="s">
        <v>138</v>
      </c>
      <c r="AS458" t="s">
        <v>150</v>
      </c>
      <c r="AT458" t="s">
        <v>140</v>
      </c>
      <c r="AU458">
        <v>501</v>
      </c>
      <c r="AV458">
        <v>10</v>
      </c>
      <c r="AW458">
        <v>1</v>
      </c>
      <c r="AX458" s="2">
        <v>45944</v>
      </c>
      <c r="AY458" t="s">
        <v>142</v>
      </c>
      <c r="AZ458" s="2">
        <v>46026</v>
      </c>
      <c r="BA458">
        <v>0</v>
      </c>
      <c r="BB458">
        <v>0</v>
      </c>
      <c r="BC458">
        <v>0</v>
      </c>
      <c r="BD458">
        <v>700</v>
      </c>
      <c r="BE458">
        <v>70</v>
      </c>
      <c r="BF458">
        <v>9</v>
      </c>
      <c r="BG458" s="2">
        <v>45536</v>
      </c>
      <c r="BH458" t="s">
        <v>142</v>
      </c>
      <c r="BI458" s="2">
        <v>46026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 t="s">
        <v>161</v>
      </c>
    </row>
    <row r="459" spans="1:81" x14ac:dyDescent="0.25">
      <c r="A459">
        <v>345</v>
      </c>
      <c r="B459">
        <v>2</v>
      </c>
      <c r="C459">
        <v>716</v>
      </c>
      <c r="D459" t="s">
        <v>2645</v>
      </c>
      <c r="E459" t="s">
        <v>121</v>
      </c>
      <c r="F459" t="s">
        <v>2646</v>
      </c>
      <c r="G459" t="s">
        <v>2647</v>
      </c>
      <c r="H459" t="s">
        <v>2648</v>
      </c>
      <c r="I459" t="s">
        <v>2649</v>
      </c>
      <c r="J459" t="s">
        <v>527</v>
      </c>
      <c r="K459" t="s">
        <v>466</v>
      </c>
      <c r="L459" t="s">
        <v>128</v>
      </c>
      <c r="M459" t="s">
        <v>467</v>
      </c>
      <c r="N459" t="s">
        <v>2504</v>
      </c>
      <c r="O459" t="s">
        <v>131</v>
      </c>
      <c r="P459">
        <v>0</v>
      </c>
      <c r="Q459" t="s">
        <v>125</v>
      </c>
      <c r="R459">
        <v>6</v>
      </c>
      <c r="S459">
        <v>37</v>
      </c>
      <c r="T459" t="s">
        <v>132</v>
      </c>
      <c r="U459" t="s">
        <v>133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134</v>
      </c>
      <c r="AE459" t="s">
        <v>134</v>
      </c>
      <c r="AF459" s="2">
        <v>45518</v>
      </c>
      <c r="AG459" s="2">
        <v>46006</v>
      </c>
      <c r="AH459">
        <v>224.22</v>
      </c>
      <c r="AI459">
        <v>275.85000000000002</v>
      </c>
      <c r="AJ459" s="1">
        <v>1345.35</v>
      </c>
      <c r="AK459">
        <v>0</v>
      </c>
      <c r="AL459">
        <v>0</v>
      </c>
      <c r="AM459">
        <v>0</v>
      </c>
      <c r="AN459" t="s">
        <v>135</v>
      </c>
      <c r="AO459" t="s">
        <v>135</v>
      </c>
      <c r="AP459" t="s">
        <v>136</v>
      </c>
      <c r="AQ459" t="s">
        <v>137</v>
      </c>
      <c r="AR459" t="s">
        <v>138</v>
      </c>
      <c r="AS459" t="s">
        <v>139</v>
      </c>
      <c r="AT459" t="s">
        <v>140</v>
      </c>
      <c r="AU459">
        <v>105</v>
      </c>
      <c r="AV459">
        <v>10</v>
      </c>
      <c r="AW459">
        <v>1</v>
      </c>
      <c r="AX459" s="2">
        <v>45843</v>
      </c>
      <c r="AY459" t="s">
        <v>160</v>
      </c>
      <c r="AZ459" s="2">
        <v>46025</v>
      </c>
      <c r="BA459">
        <v>0</v>
      </c>
      <c r="BB459">
        <v>0</v>
      </c>
      <c r="BC459">
        <v>0</v>
      </c>
      <c r="BD459">
        <v>700</v>
      </c>
      <c r="BE459">
        <v>70</v>
      </c>
      <c r="BF459">
        <v>9</v>
      </c>
      <c r="BG459" s="2">
        <v>45536</v>
      </c>
      <c r="BH459" t="s">
        <v>142</v>
      </c>
      <c r="BI459" s="2">
        <v>46026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275.85000000000002</v>
      </c>
      <c r="BQ459">
        <v>275.85000000000002</v>
      </c>
      <c r="BR459">
        <v>0</v>
      </c>
      <c r="BS459">
        <v>0</v>
      </c>
      <c r="BT459">
        <v>0</v>
      </c>
      <c r="BU459">
        <v>0</v>
      </c>
      <c r="BV459">
        <v>356.69</v>
      </c>
      <c r="BW459">
        <v>356.69</v>
      </c>
      <c r="BX459">
        <v>0</v>
      </c>
      <c r="BY459">
        <v>0</v>
      </c>
      <c r="BZ459">
        <v>0</v>
      </c>
      <c r="CA459">
        <v>0</v>
      </c>
      <c r="CB459">
        <v>421.82</v>
      </c>
      <c r="CC459" t="s">
        <v>143</v>
      </c>
    </row>
    <row r="460" spans="1:81" x14ac:dyDescent="0.25">
      <c r="A460">
        <v>345</v>
      </c>
      <c r="B460">
        <v>2</v>
      </c>
      <c r="C460">
        <v>718</v>
      </c>
      <c r="D460" t="s">
        <v>2650</v>
      </c>
      <c r="E460" t="s">
        <v>121</v>
      </c>
      <c r="F460" t="s">
        <v>2651</v>
      </c>
      <c r="G460" t="s">
        <v>2652</v>
      </c>
      <c r="H460" t="s">
        <v>2653</v>
      </c>
      <c r="I460" t="s">
        <v>2654</v>
      </c>
      <c r="J460" t="s">
        <v>126</v>
      </c>
      <c r="K460" t="s">
        <v>473</v>
      </c>
      <c r="L460" t="s">
        <v>128</v>
      </c>
      <c r="M460" t="s">
        <v>474</v>
      </c>
      <c r="N460" t="s">
        <v>2655</v>
      </c>
      <c r="O460" t="s">
        <v>131</v>
      </c>
      <c r="P460">
        <v>0</v>
      </c>
      <c r="Q460" t="s">
        <v>125</v>
      </c>
      <c r="R460">
        <v>3</v>
      </c>
      <c r="S460">
        <v>85</v>
      </c>
      <c r="T460" t="s">
        <v>132</v>
      </c>
      <c r="U460" t="s">
        <v>133</v>
      </c>
      <c r="V460" s="1">
        <v>1400</v>
      </c>
      <c r="W460">
        <v>0</v>
      </c>
      <c r="X460" s="1">
        <v>1400</v>
      </c>
      <c r="Y460">
        <v>7</v>
      </c>
      <c r="Z460">
        <v>0</v>
      </c>
      <c r="AA460">
        <v>0</v>
      </c>
      <c r="AB460">
        <v>0</v>
      </c>
      <c r="AC460">
        <v>0</v>
      </c>
      <c r="AD460" t="s">
        <v>134</v>
      </c>
      <c r="AE460" t="s">
        <v>134</v>
      </c>
      <c r="AF460" s="2">
        <v>45518</v>
      </c>
      <c r="AG460" s="2">
        <v>46010</v>
      </c>
      <c r="AH460">
        <v>459.64</v>
      </c>
      <c r="AI460">
        <v>656.26</v>
      </c>
      <c r="AJ460" s="1">
        <v>1838.56</v>
      </c>
      <c r="AK460">
        <v>0</v>
      </c>
      <c r="AL460">
        <v>0</v>
      </c>
      <c r="AM460">
        <v>0</v>
      </c>
      <c r="AN460" t="s">
        <v>135</v>
      </c>
      <c r="AO460" t="s">
        <v>135</v>
      </c>
      <c r="AP460" t="s">
        <v>136</v>
      </c>
      <c r="AQ460" t="s">
        <v>137</v>
      </c>
      <c r="AR460" t="s">
        <v>138</v>
      </c>
      <c r="AS460" t="s">
        <v>139</v>
      </c>
      <c r="AT460" t="s">
        <v>140</v>
      </c>
      <c r="AU460">
        <v>105</v>
      </c>
      <c r="AV460">
        <v>10</v>
      </c>
      <c r="AW460">
        <v>1</v>
      </c>
      <c r="AX460" s="2">
        <v>45903</v>
      </c>
      <c r="AY460" t="s">
        <v>168</v>
      </c>
      <c r="AZ460" s="2">
        <v>46022</v>
      </c>
      <c r="BA460">
        <v>0</v>
      </c>
      <c r="BB460">
        <v>0</v>
      </c>
      <c r="BC460">
        <v>0</v>
      </c>
      <c r="BD460">
        <v>999</v>
      </c>
      <c r="BE460">
        <v>99</v>
      </c>
      <c r="BF460">
        <v>9</v>
      </c>
      <c r="BG460" t="s">
        <v>135</v>
      </c>
      <c r="BH460" t="s">
        <v>250</v>
      </c>
      <c r="BI460" t="s">
        <v>135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380.58</v>
      </c>
      <c r="BQ460">
        <v>380.58</v>
      </c>
      <c r="BR460">
        <v>0</v>
      </c>
      <c r="BS460">
        <v>0</v>
      </c>
      <c r="BT460">
        <v>0</v>
      </c>
      <c r="BU460">
        <v>0</v>
      </c>
      <c r="BV460">
        <v>801.72</v>
      </c>
      <c r="BW460">
        <v>801.72</v>
      </c>
      <c r="BX460">
        <v>0</v>
      </c>
      <c r="BY460">
        <v>0</v>
      </c>
      <c r="BZ460">
        <v>0</v>
      </c>
      <c r="CA460">
        <v>0</v>
      </c>
      <c r="CB460">
        <v>345.61</v>
      </c>
      <c r="CC460" t="s">
        <v>143</v>
      </c>
    </row>
    <row r="461" spans="1:81" x14ac:dyDescent="0.25">
      <c r="A461">
        <v>345</v>
      </c>
      <c r="B461">
        <v>2</v>
      </c>
      <c r="C461">
        <v>719</v>
      </c>
      <c r="D461" t="s">
        <v>2656</v>
      </c>
      <c r="E461" t="s">
        <v>121</v>
      </c>
      <c r="F461" t="s">
        <v>2657</v>
      </c>
      <c r="G461" t="s">
        <v>2658</v>
      </c>
      <c r="H461" t="s">
        <v>2659</v>
      </c>
      <c r="I461" t="s">
        <v>2660</v>
      </c>
      <c r="J461" t="s">
        <v>606</v>
      </c>
      <c r="K461" t="s">
        <v>336</v>
      </c>
      <c r="L461" t="s">
        <v>128</v>
      </c>
      <c r="M461" t="s">
        <v>337</v>
      </c>
      <c r="N461" t="s">
        <v>2661</v>
      </c>
      <c r="O461" t="s">
        <v>131</v>
      </c>
      <c r="P461">
        <v>0</v>
      </c>
      <c r="Q461" t="s">
        <v>125</v>
      </c>
      <c r="R461">
        <v>2</v>
      </c>
      <c r="S461">
        <v>90</v>
      </c>
      <c r="T461" t="s">
        <v>132</v>
      </c>
      <c r="U461" t="s">
        <v>133</v>
      </c>
      <c r="V461" s="1">
        <v>1150</v>
      </c>
      <c r="W461">
        <v>0</v>
      </c>
      <c r="X461" s="1">
        <v>1150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134</v>
      </c>
      <c r="AE461" t="s">
        <v>134</v>
      </c>
      <c r="AF461" s="2">
        <v>45518</v>
      </c>
      <c r="AG461" s="2">
        <v>46018</v>
      </c>
      <c r="AH461">
        <v>561.63</v>
      </c>
      <c r="AI461">
        <v>727.02</v>
      </c>
      <c r="AJ461" s="1">
        <v>4493.09</v>
      </c>
      <c r="AK461">
        <v>0</v>
      </c>
      <c r="AL461">
        <v>0</v>
      </c>
      <c r="AM461">
        <v>0</v>
      </c>
      <c r="AN461" t="s">
        <v>135</v>
      </c>
      <c r="AO461" t="s">
        <v>135</v>
      </c>
      <c r="AP461" t="s">
        <v>136</v>
      </c>
      <c r="AQ461" t="s">
        <v>137</v>
      </c>
      <c r="AR461" t="s">
        <v>138</v>
      </c>
      <c r="AS461" t="s">
        <v>139</v>
      </c>
      <c r="AT461" t="s">
        <v>140</v>
      </c>
      <c r="AU461">
        <v>101</v>
      </c>
      <c r="AV461">
        <v>10</v>
      </c>
      <c r="AW461">
        <v>1</v>
      </c>
      <c r="AX461" s="2">
        <v>45812</v>
      </c>
      <c r="AY461" t="s">
        <v>168</v>
      </c>
      <c r="AZ461" s="2">
        <v>46022</v>
      </c>
      <c r="BA461">
        <v>0</v>
      </c>
      <c r="BB461">
        <v>0</v>
      </c>
      <c r="BC461">
        <v>0</v>
      </c>
      <c r="BD461">
        <v>700</v>
      </c>
      <c r="BE461">
        <v>70</v>
      </c>
      <c r="BF461">
        <v>9</v>
      </c>
      <c r="BG461" s="2">
        <v>45536</v>
      </c>
      <c r="BH461" t="s">
        <v>142</v>
      </c>
      <c r="BI461" s="2">
        <v>46026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582.22</v>
      </c>
      <c r="BQ461" s="1">
        <v>1201.5</v>
      </c>
      <c r="BR461">
        <v>0</v>
      </c>
      <c r="BS461">
        <v>0</v>
      </c>
      <c r="BT461">
        <v>0</v>
      </c>
      <c r="BU461">
        <v>0</v>
      </c>
      <c r="BV461">
        <v>714</v>
      </c>
      <c r="BW461" s="1">
        <v>1093.04</v>
      </c>
      <c r="BX461">
        <v>0</v>
      </c>
      <c r="BY461">
        <v>0</v>
      </c>
      <c r="BZ461">
        <v>0</v>
      </c>
      <c r="CA461">
        <v>0</v>
      </c>
      <c r="CB461" s="1">
        <v>1668.11</v>
      </c>
      <c r="CC461" t="s">
        <v>143</v>
      </c>
    </row>
    <row r="462" spans="1:81" x14ac:dyDescent="0.25">
      <c r="A462">
        <v>345</v>
      </c>
      <c r="B462">
        <v>2</v>
      </c>
      <c r="C462">
        <v>720</v>
      </c>
      <c r="D462" t="s">
        <v>2662</v>
      </c>
      <c r="E462" t="s">
        <v>121</v>
      </c>
      <c r="F462" t="s">
        <v>2663</v>
      </c>
      <c r="G462" t="s">
        <v>2664</v>
      </c>
      <c r="H462" t="s">
        <v>2665</v>
      </c>
      <c r="I462" t="s">
        <v>2666</v>
      </c>
      <c r="J462" t="s">
        <v>126</v>
      </c>
      <c r="K462" t="s">
        <v>336</v>
      </c>
      <c r="L462" t="s">
        <v>128</v>
      </c>
      <c r="M462" t="s">
        <v>337</v>
      </c>
      <c r="N462" t="s">
        <v>2667</v>
      </c>
      <c r="O462" t="s">
        <v>149</v>
      </c>
      <c r="P462">
        <v>0</v>
      </c>
      <c r="Q462" t="s">
        <v>125</v>
      </c>
      <c r="R462">
        <v>6</v>
      </c>
      <c r="S462">
        <v>41</v>
      </c>
      <c r="T462" t="s">
        <v>132</v>
      </c>
      <c r="U462" t="s">
        <v>133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134</v>
      </c>
      <c r="AE462" t="s">
        <v>134</v>
      </c>
      <c r="AF462" s="2">
        <v>45518</v>
      </c>
      <c r="AG462" s="2">
        <v>46015</v>
      </c>
      <c r="AH462" s="1">
        <v>6654.52</v>
      </c>
      <c r="AI462" s="1">
        <v>10554.18</v>
      </c>
      <c r="AJ462" s="1">
        <v>66545.210000000006</v>
      </c>
      <c r="AK462">
        <v>0</v>
      </c>
      <c r="AL462">
        <v>0</v>
      </c>
      <c r="AM462">
        <v>0</v>
      </c>
      <c r="AN462" t="s">
        <v>135</v>
      </c>
      <c r="AO462" t="s">
        <v>135</v>
      </c>
      <c r="AP462" t="s">
        <v>136</v>
      </c>
      <c r="AQ462" t="s">
        <v>137</v>
      </c>
      <c r="AR462" t="s">
        <v>138</v>
      </c>
      <c r="AS462" t="s">
        <v>139</v>
      </c>
      <c r="AT462" t="s">
        <v>140</v>
      </c>
      <c r="AU462">
        <v>501</v>
      </c>
      <c r="AV462">
        <v>10</v>
      </c>
      <c r="AW462">
        <v>1</v>
      </c>
      <c r="AX462" s="2">
        <v>45860</v>
      </c>
      <c r="AY462" t="s">
        <v>377</v>
      </c>
      <c r="AZ462" s="2">
        <v>46028</v>
      </c>
      <c r="BA462">
        <v>0</v>
      </c>
      <c r="BB462">
        <v>0</v>
      </c>
      <c r="BC462">
        <v>0</v>
      </c>
      <c r="BD462">
        <v>700</v>
      </c>
      <c r="BE462">
        <v>70</v>
      </c>
      <c r="BF462">
        <v>9</v>
      </c>
      <c r="BG462" s="2">
        <v>45536</v>
      </c>
      <c r="BH462" t="s">
        <v>142</v>
      </c>
      <c r="BI462" s="2">
        <v>46026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s="1">
        <v>25414.2</v>
      </c>
      <c r="BQ462" s="1">
        <v>25414.2</v>
      </c>
      <c r="BR462">
        <v>0</v>
      </c>
      <c r="BS462">
        <v>0</v>
      </c>
      <c r="BT462">
        <v>0</v>
      </c>
      <c r="BU462">
        <v>0</v>
      </c>
      <c r="BV462" s="1">
        <v>34600</v>
      </c>
      <c r="BW462" s="1">
        <v>34600</v>
      </c>
      <c r="BX462">
        <v>0</v>
      </c>
      <c r="BY462">
        <v>0</v>
      </c>
      <c r="BZ462">
        <v>0</v>
      </c>
      <c r="CA462">
        <v>0</v>
      </c>
      <c r="CB462" s="1">
        <v>17027.57</v>
      </c>
      <c r="CC462" t="s">
        <v>152</v>
      </c>
    </row>
    <row r="463" spans="1:81" x14ac:dyDescent="0.25">
      <c r="A463">
        <v>345</v>
      </c>
      <c r="B463">
        <v>2</v>
      </c>
      <c r="C463">
        <v>721</v>
      </c>
      <c r="D463" t="s">
        <v>2668</v>
      </c>
      <c r="E463" t="s">
        <v>121</v>
      </c>
      <c r="F463" t="s">
        <v>2669</v>
      </c>
      <c r="G463" t="s">
        <v>2670</v>
      </c>
      <c r="H463" t="s">
        <v>2671</v>
      </c>
      <c r="I463" t="s">
        <v>2672</v>
      </c>
      <c r="J463" t="s">
        <v>364</v>
      </c>
      <c r="K463" t="s">
        <v>127</v>
      </c>
      <c r="L463" t="s">
        <v>128</v>
      </c>
      <c r="M463" t="s">
        <v>129</v>
      </c>
      <c r="N463" t="s">
        <v>2673</v>
      </c>
      <c r="O463" t="s">
        <v>131</v>
      </c>
      <c r="P463">
        <v>0</v>
      </c>
      <c r="Q463" t="s">
        <v>125</v>
      </c>
      <c r="R463">
        <v>6</v>
      </c>
      <c r="S463">
        <v>43</v>
      </c>
      <c r="T463" t="s">
        <v>132</v>
      </c>
      <c r="U463" t="s">
        <v>133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134</v>
      </c>
      <c r="AE463" t="s">
        <v>134</v>
      </c>
      <c r="AF463" s="2">
        <v>45518</v>
      </c>
      <c r="AG463" s="2">
        <v>46017</v>
      </c>
      <c r="AH463">
        <v>216.42</v>
      </c>
      <c r="AI463">
        <v>374.82</v>
      </c>
      <c r="AJ463" s="1">
        <v>1082.1099999999999</v>
      </c>
      <c r="AK463">
        <v>0</v>
      </c>
      <c r="AL463">
        <v>0</v>
      </c>
      <c r="AM463">
        <v>0</v>
      </c>
      <c r="AN463" t="s">
        <v>135</v>
      </c>
      <c r="AO463" t="s">
        <v>135</v>
      </c>
      <c r="AP463" t="s">
        <v>136</v>
      </c>
      <c r="AQ463" t="s">
        <v>137</v>
      </c>
      <c r="AR463" t="s">
        <v>138</v>
      </c>
      <c r="AS463" t="s">
        <v>150</v>
      </c>
      <c r="AT463" t="s">
        <v>140</v>
      </c>
      <c r="AU463">
        <v>102</v>
      </c>
      <c r="AV463">
        <v>10</v>
      </c>
      <c r="AW463">
        <v>1</v>
      </c>
      <c r="AX463" s="2">
        <v>45848</v>
      </c>
      <c r="AY463" t="s">
        <v>308</v>
      </c>
      <c r="AZ463" s="2">
        <v>46023</v>
      </c>
      <c r="BA463">
        <v>0</v>
      </c>
      <c r="BB463">
        <v>0</v>
      </c>
      <c r="BC463">
        <v>0</v>
      </c>
      <c r="BD463">
        <v>700</v>
      </c>
      <c r="BE463">
        <v>70</v>
      </c>
      <c r="BF463">
        <v>9</v>
      </c>
      <c r="BG463" s="2">
        <v>45536</v>
      </c>
      <c r="BH463" t="s">
        <v>142</v>
      </c>
      <c r="BI463" s="2">
        <v>46026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471.16</v>
      </c>
      <c r="BQ463">
        <v>471.16</v>
      </c>
      <c r="BR463">
        <v>0</v>
      </c>
      <c r="BS463">
        <v>0</v>
      </c>
      <c r="BT463">
        <v>0</v>
      </c>
      <c r="BU463">
        <v>0</v>
      </c>
      <c r="BV463">
        <v>374.82</v>
      </c>
      <c r="BW463">
        <v>374.82</v>
      </c>
      <c r="BX463">
        <v>0</v>
      </c>
      <c r="BY463">
        <v>0</v>
      </c>
      <c r="BZ463">
        <v>0</v>
      </c>
      <c r="CA463">
        <v>0</v>
      </c>
      <c r="CB463">
        <v>856.94</v>
      </c>
      <c r="CC463" t="s">
        <v>143</v>
      </c>
    </row>
    <row r="464" spans="1:81" x14ac:dyDescent="0.25">
      <c r="A464">
        <v>345</v>
      </c>
      <c r="B464">
        <v>2</v>
      </c>
      <c r="C464">
        <v>723</v>
      </c>
      <c r="D464" t="s">
        <v>2674</v>
      </c>
      <c r="E464" t="s">
        <v>121</v>
      </c>
      <c r="F464" t="s">
        <v>2675</v>
      </c>
      <c r="G464" t="s">
        <v>2676</v>
      </c>
      <c r="H464" t="s">
        <v>2677</v>
      </c>
      <c r="I464" t="s">
        <v>2678</v>
      </c>
      <c r="J464" t="s">
        <v>2679</v>
      </c>
      <c r="K464" t="s">
        <v>473</v>
      </c>
      <c r="L464" t="s">
        <v>128</v>
      </c>
      <c r="M464" t="s">
        <v>474</v>
      </c>
      <c r="N464" t="s">
        <v>2680</v>
      </c>
      <c r="O464" t="s">
        <v>131</v>
      </c>
      <c r="P464">
        <v>0</v>
      </c>
      <c r="Q464" t="s">
        <v>125</v>
      </c>
      <c r="R464">
        <v>6</v>
      </c>
      <c r="S464">
        <v>38</v>
      </c>
      <c r="T464" t="s">
        <v>132</v>
      </c>
      <c r="U464" t="s">
        <v>133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134</v>
      </c>
      <c r="AE464" t="s">
        <v>134</v>
      </c>
      <c r="AF464" s="2">
        <v>45518</v>
      </c>
      <c r="AG464" s="2">
        <v>46021</v>
      </c>
      <c r="AH464" s="1">
        <v>1812.35</v>
      </c>
      <c r="AI464" s="1">
        <v>3469.92</v>
      </c>
      <c r="AJ464" s="1">
        <v>10874.14</v>
      </c>
      <c r="AK464">
        <v>0</v>
      </c>
      <c r="AL464">
        <v>0</v>
      </c>
      <c r="AM464">
        <v>0</v>
      </c>
      <c r="AN464" t="s">
        <v>135</v>
      </c>
      <c r="AO464" t="s">
        <v>135</v>
      </c>
      <c r="AP464" t="s">
        <v>136</v>
      </c>
      <c r="AQ464" t="s">
        <v>137</v>
      </c>
      <c r="AR464" t="s">
        <v>138</v>
      </c>
      <c r="AS464" t="s">
        <v>139</v>
      </c>
      <c r="AT464" t="s">
        <v>140</v>
      </c>
      <c r="AU464">
        <v>105</v>
      </c>
      <c r="AV464">
        <v>10</v>
      </c>
      <c r="AW464">
        <v>1</v>
      </c>
      <c r="AX464" s="2">
        <v>45810</v>
      </c>
      <c r="AY464" t="s">
        <v>141</v>
      </c>
      <c r="AZ464" s="2">
        <v>46027</v>
      </c>
      <c r="BA464">
        <v>0</v>
      </c>
      <c r="BB464">
        <v>0</v>
      </c>
      <c r="BC464">
        <v>0</v>
      </c>
      <c r="BD464">
        <v>700</v>
      </c>
      <c r="BE464">
        <v>70</v>
      </c>
      <c r="BF464">
        <v>9</v>
      </c>
      <c r="BG464" s="2">
        <v>45536</v>
      </c>
      <c r="BH464" t="s">
        <v>142</v>
      </c>
      <c r="BI464" s="2">
        <v>46026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s="1">
        <v>2493.87</v>
      </c>
      <c r="BQ464" s="1">
        <v>2493.87</v>
      </c>
      <c r="BR464">
        <v>0</v>
      </c>
      <c r="BS464">
        <v>0</v>
      </c>
      <c r="BT464">
        <v>0</v>
      </c>
      <c r="BU464">
        <v>0</v>
      </c>
      <c r="BV464" s="1">
        <v>4991.96</v>
      </c>
      <c r="BW464" s="1">
        <v>4991.96</v>
      </c>
      <c r="BX464">
        <v>0</v>
      </c>
      <c r="BY464">
        <v>0</v>
      </c>
      <c r="BZ464">
        <v>0</v>
      </c>
      <c r="CA464">
        <v>0</v>
      </c>
      <c r="CB464" s="1">
        <v>3243.56</v>
      </c>
      <c r="CC464" t="s">
        <v>143</v>
      </c>
    </row>
    <row r="465" spans="1:81" x14ac:dyDescent="0.25">
      <c r="A465">
        <v>345</v>
      </c>
      <c r="B465">
        <v>2</v>
      </c>
      <c r="C465">
        <v>725</v>
      </c>
      <c r="D465" t="s">
        <v>2681</v>
      </c>
      <c r="E465" t="s">
        <v>121</v>
      </c>
      <c r="F465" t="s">
        <v>2682</v>
      </c>
      <c r="G465" t="s">
        <v>2683</v>
      </c>
      <c r="H465" t="s">
        <v>2609</v>
      </c>
      <c r="I465" t="s">
        <v>2684</v>
      </c>
      <c r="J465" t="s">
        <v>781</v>
      </c>
      <c r="K465" t="s">
        <v>466</v>
      </c>
      <c r="L465" t="s">
        <v>128</v>
      </c>
      <c r="M465" t="s">
        <v>467</v>
      </c>
      <c r="N465" t="s">
        <v>2685</v>
      </c>
      <c r="O465" t="s">
        <v>131</v>
      </c>
      <c r="P465">
        <v>0</v>
      </c>
      <c r="Q465" t="s">
        <v>125</v>
      </c>
      <c r="R465">
        <v>6</v>
      </c>
      <c r="S465">
        <v>42</v>
      </c>
      <c r="T465" t="s">
        <v>132</v>
      </c>
      <c r="U465" t="s">
        <v>133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134</v>
      </c>
      <c r="AE465" t="s">
        <v>134</v>
      </c>
      <c r="AF465" s="2">
        <v>45518</v>
      </c>
      <c r="AG465" s="2">
        <v>46008</v>
      </c>
      <c r="AH465">
        <v>612.41</v>
      </c>
      <c r="AI465" s="1">
        <v>1407.22</v>
      </c>
      <c r="AJ465" s="1">
        <v>4899.33</v>
      </c>
      <c r="AK465">
        <v>0</v>
      </c>
      <c r="AL465">
        <v>701.08</v>
      </c>
      <c r="AM465">
        <v>0</v>
      </c>
      <c r="AN465" t="s">
        <v>135</v>
      </c>
      <c r="AO465" t="s">
        <v>135</v>
      </c>
      <c r="AP465" t="s">
        <v>136</v>
      </c>
      <c r="AQ465" t="s">
        <v>137</v>
      </c>
      <c r="AR465" t="s">
        <v>138</v>
      </c>
      <c r="AS465" t="s">
        <v>150</v>
      </c>
      <c r="AT465" t="s">
        <v>140</v>
      </c>
      <c r="AU465">
        <v>103</v>
      </c>
      <c r="AV465">
        <v>10</v>
      </c>
      <c r="AW465">
        <v>1</v>
      </c>
      <c r="AX465" s="2">
        <v>45860</v>
      </c>
      <c r="AY465" t="s">
        <v>377</v>
      </c>
      <c r="AZ465" s="2">
        <v>46028</v>
      </c>
      <c r="BA465">
        <v>0</v>
      </c>
      <c r="BB465">
        <v>0</v>
      </c>
      <c r="BC465">
        <v>0</v>
      </c>
      <c r="BD465">
        <v>700</v>
      </c>
      <c r="BE465">
        <v>70</v>
      </c>
      <c r="BF465">
        <v>9</v>
      </c>
      <c r="BG465" s="2">
        <v>45536</v>
      </c>
      <c r="BH465" t="s">
        <v>142</v>
      </c>
      <c r="BI465" s="2">
        <v>46026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s="1">
        <v>1705.17</v>
      </c>
      <c r="BQ465" s="1">
        <v>1705.17</v>
      </c>
      <c r="BR465">
        <v>0</v>
      </c>
      <c r="BS465">
        <v>0</v>
      </c>
      <c r="BT465">
        <v>0</v>
      </c>
      <c r="BU465">
        <v>0</v>
      </c>
      <c r="BV465" s="1">
        <v>2343.64</v>
      </c>
      <c r="BW465" s="1">
        <v>2343.64</v>
      </c>
      <c r="BX465">
        <v>0</v>
      </c>
      <c r="BY465">
        <v>0</v>
      </c>
      <c r="BZ465">
        <v>0</v>
      </c>
      <c r="CA465">
        <v>0</v>
      </c>
      <c r="CB465" s="1">
        <v>1239.57</v>
      </c>
      <c r="CC465" t="s">
        <v>143</v>
      </c>
    </row>
    <row r="466" spans="1:81" x14ac:dyDescent="0.25">
      <c r="A466">
        <v>345</v>
      </c>
      <c r="B466">
        <v>2</v>
      </c>
      <c r="C466">
        <v>727</v>
      </c>
      <c r="D466" t="s">
        <v>2686</v>
      </c>
      <c r="E466" t="s">
        <v>121</v>
      </c>
      <c r="F466" t="s">
        <v>2687</v>
      </c>
      <c r="G466" t="s">
        <v>2688</v>
      </c>
      <c r="H466" t="s">
        <v>2689</v>
      </c>
      <c r="I466" t="s">
        <v>125</v>
      </c>
      <c r="J466" t="s">
        <v>1622</v>
      </c>
      <c r="K466" t="s">
        <v>336</v>
      </c>
      <c r="L466" t="s">
        <v>128</v>
      </c>
      <c r="M466" t="s">
        <v>337</v>
      </c>
      <c r="N466" t="s">
        <v>2690</v>
      </c>
      <c r="O466" t="s">
        <v>131</v>
      </c>
      <c r="P466">
        <v>0</v>
      </c>
      <c r="Q466" t="s">
        <v>125</v>
      </c>
      <c r="R466">
        <v>6</v>
      </c>
      <c r="S466">
        <v>41</v>
      </c>
      <c r="T466" t="s">
        <v>132</v>
      </c>
      <c r="U466" t="s">
        <v>133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134</v>
      </c>
      <c r="AE466" t="s">
        <v>134</v>
      </c>
      <c r="AF466" s="2">
        <v>45518</v>
      </c>
      <c r="AG466" s="2">
        <v>46020</v>
      </c>
      <c r="AH466">
        <v>572.58000000000004</v>
      </c>
      <c r="AI466" s="1">
        <v>1110</v>
      </c>
      <c r="AJ466" s="1">
        <v>7443.6</v>
      </c>
      <c r="AK466">
        <v>0</v>
      </c>
      <c r="AL466">
        <v>0</v>
      </c>
      <c r="AM466">
        <v>0</v>
      </c>
      <c r="AN466" t="s">
        <v>135</v>
      </c>
      <c r="AO466" t="s">
        <v>135</v>
      </c>
      <c r="AP466" t="s">
        <v>136</v>
      </c>
      <c r="AQ466" t="s">
        <v>137</v>
      </c>
      <c r="AR466" t="s">
        <v>138</v>
      </c>
      <c r="AS466" t="s">
        <v>139</v>
      </c>
      <c r="AT466" t="s">
        <v>140</v>
      </c>
      <c r="AU466">
        <v>101</v>
      </c>
      <c r="AV466">
        <v>10</v>
      </c>
      <c r="AW466">
        <v>1</v>
      </c>
      <c r="AX466" s="2">
        <v>45535</v>
      </c>
      <c r="AY466" t="s">
        <v>160</v>
      </c>
      <c r="AZ466" s="2">
        <v>46025</v>
      </c>
      <c r="BA466">
        <v>0</v>
      </c>
      <c r="BB466">
        <v>0</v>
      </c>
      <c r="BC466">
        <v>0</v>
      </c>
      <c r="BD466">
        <v>700</v>
      </c>
      <c r="BE466">
        <v>70</v>
      </c>
      <c r="BF466">
        <v>9</v>
      </c>
      <c r="BG466" s="2">
        <v>45536</v>
      </c>
      <c r="BH466" t="s">
        <v>142</v>
      </c>
      <c r="BI466" s="2">
        <v>46026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s="1">
        <v>2385.56</v>
      </c>
      <c r="BQ466" s="1">
        <v>2385.56</v>
      </c>
      <c r="BR466">
        <v>0</v>
      </c>
      <c r="BS466">
        <v>0</v>
      </c>
      <c r="BT466">
        <v>0</v>
      </c>
      <c r="BU466">
        <v>0</v>
      </c>
      <c r="BV466" s="1">
        <v>3441.54</v>
      </c>
      <c r="BW466" s="1">
        <v>3441.54</v>
      </c>
      <c r="BX466">
        <v>0</v>
      </c>
      <c r="BY466">
        <v>0</v>
      </c>
      <c r="BZ466">
        <v>0</v>
      </c>
      <c r="CA466">
        <v>0</v>
      </c>
      <c r="CB466" s="1">
        <v>2327.58</v>
      </c>
      <c r="CC466" t="s">
        <v>143</v>
      </c>
    </row>
    <row r="467" spans="1:81" x14ac:dyDescent="0.25">
      <c r="A467">
        <v>345</v>
      </c>
      <c r="B467">
        <v>2</v>
      </c>
      <c r="C467">
        <v>728</v>
      </c>
      <c r="D467" t="s">
        <v>2691</v>
      </c>
      <c r="E467" t="s">
        <v>121</v>
      </c>
      <c r="F467" t="s">
        <v>2692</v>
      </c>
      <c r="G467" t="s">
        <v>2693</v>
      </c>
      <c r="H467" t="s">
        <v>2694</v>
      </c>
      <c r="I467" t="s">
        <v>2695</v>
      </c>
      <c r="J467" t="s">
        <v>492</v>
      </c>
      <c r="K467" t="s">
        <v>466</v>
      </c>
      <c r="L467" t="s">
        <v>128</v>
      </c>
      <c r="M467" t="s">
        <v>467</v>
      </c>
      <c r="N467" t="s">
        <v>2696</v>
      </c>
      <c r="O467" t="s">
        <v>167</v>
      </c>
      <c r="P467">
        <v>0</v>
      </c>
      <c r="Q467" t="s">
        <v>125</v>
      </c>
      <c r="R467">
        <v>6</v>
      </c>
      <c r="S467">
        <v>35</v>
      </c>
      <c r="T467" t="s">
        <v>132</v>
      </c>
      <c r="U467" t="s">
        <v>133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134</v>
      </c>
      <c r="AE467" t="s">
        <v>134</v>
      </c>
      <c r="AF467" s="2">
        <v>45518</v>
      </c>
      <c r="AG467" s="2">
        <v>46000</v>
      </c>
      <c r="AH467">
        <v>311.08999999999997</v>
      </c>
      <c r="AI467">
        <v>396.99</v>
      </c>
      <c r="AJ467">
        <v>622.17999999999995</v>
      </c>
      <c r="AK467">
        <v>0</v>
      </c>
      <c r="AL467">
        <v>0</v>
      </c>
      <c r="AM467">
        <v>0</v>
      </c>
      <c r="AN467" t="s">
        <v>135</v>
      </c>
      <c r="AO467" t="s">
        <v>135</v>
      </c>
      <c r="AP467" t="s">
        <v>136</v>
      </c>
      <c r="AQ467" t="s">
        <v>137</v>
      </c>
      <c r="AR467" t="s">
        <v>138</v>
      </c>
      <c r="AS467" t="s">
        <v>139</v>
      </c>
      <c r="AT467" t="s">
        <v>140</v>
      </c>
      <c r="AU467">
        <v>105</v>
      </c>
      <c r="AV467">
        <v>10</v>
      </c>
      <c r="AW467">
        <v>1</v>
      </c>
      <c r="AX467" s="2">
        <v>45859</v>
      </c>
      <c r="AY467" t="s">
        <v>141</v>
      </c>
      <c r="AZ467" s="2">
        <v>46027</v>
      </c>
      <c r="BA467">
        <v>0</v>
      </c>
      <c r="BB467">
        <v>0</v>
      </c>
      <c r="BC467">
        <v>0</v>
      </c>
      <c r="BD467">
        <v>700</v>
      </c>
      <c r="BE467">
        <v>70</v>
      </c>
      <c r="BF467">
        <v>9</v>
      </c>
      <c r="BG467" s="2">
        <v>45536</v>
      </c>
      <c r="BH467" t="s">
        <v>142</v>
      </c>
      <c r="BI467" s="2">
        <v>46026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225.19</v>
      </c>
      <c r="BW467">
        <v>225.19</v>
      </c>
      <c r="BX467">
        <v>0</v>
      </c>
      <c r="BY467">
        <v>0</v>
      </c>
      <c r="BZ467">
        <v>0</v>
      </c>
      <c r="CA467">
        <v>0</v>
      </c>
      <c r="CB467">
        <v>481.04</v>
      </c>
      <c r="CC467" t="s">
        <v>161</v>
      </c>
    </row>
    <row r="468" spans="1:81" x14ac:dyDescent="0.25">
      <c r="A468">
        <v>345</v>
      </c>
      <c r="B468">
        <v>2</v>
      </c>
      <c r="C468">
        <v>730</v>
      </c>
      <c r="D468" t="s">
        <v>2697</v>
      </c>
      <c r="E468" t="s">
        <v>121</v>
      </c>
      <c r="F468" t="s">
        <v>2698</v>
      </c>
      <c r="G468" t="s">
        <v>2699</v>
      </c>
      <c r="H468" t="s">
        <v>2700</v>
      </c>
      <c r="I468" t="s">
        <v>2701</v>
      </c>
      <c r="J468" t="s">
        <v>1278</v>
      </c>
      <c r="K468" t="s">
        <v>336</v>
      </c>
      <c r="L468" t="s">
        <v>128</v>
      </c>
      <c r="M468" t="s">
        <v>337</v>
      </c>
      <c r="N468" t="s">
        <v>2702</v>
      </c>
      <c r="O468" t="s">
        <v>167</v>
      </c>
      <c r="P468">
        <v>0</v>
      </c>
      <c r="Q468" t="s">
        <v>125</v>
      </c>
      <c r="R468">
        <v>6</v>
      </c>
      <c r="S468">
        <v>35</v>
      </c>
      <c r="T468" t="s">
        <v>132</v>
      </c>
      <c r="U468" t="s">
        <v>133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134</v>
      </c>
      <c r="AE468" t="s">
        <v>134</v>
      </c>
      <c r="AF468" s="2">
        <v>45518</v>
      </c>
      <c r="AG468" s="2">
        <v>46020</v>
      </c>
      <c r="AH468">
        <v>328.28</v>
      </c>
      <c r="AI468">
        <v>353.35</v>
      </c>
      <c r="AJ468" s="1">
        <v>2297.96</v>
      </c>
      <c r="AK468">
        <v>0</v>
      </c>
      <c r="AL468">
        <v>0</v>
      </c>
      <c r="AM468">
        <v>0</v>
      </c>
      <c r="AN468" t="s">
        <v>135</v>
      </c>
      <c r="AO468" t="s">
        <v>135</v>
      </c>
      <c r="AP468" t="s">
        <v>136</v>
      </c>
      <c r="AQ468" t="s">
        <v>137</v>
      </c>
      <c r="AR468" t="s">
        <v>138</v>
      </c>
      <c r="AS468" t="s">
        <v>139</v>
      </c>
      <c r="AT468" t="s">
        <v>140</v>
      </c>
      <c r="AU468">
        <v>101</v>
      </c>
      <c r="AV468">
        <v>10</v>
      </c>
      <c r="AW468">
        <v>1</v>
      </c>
      <c r="AX468" s="2">
        <v>45534</v>
      </c>
      <c r="AY468" t="s">
        <v>151</v>
      </c>
      <c r="AZ468" s="2">
        <v>46024</v>
      </c>
      <c r="BA468">
        <v>0</v>
      </c>
      <c r="BB468">
        <v>0</v>
      </c>
      <c r="BC468">
        <v>0</v>
      </c>
      <c r="BD468">
        <v>700</v>
      </c>
      <c r="BE468">
        <v>70</v>
      </c>
      <c r="BF468">
        <v>9</v>
      </c>
      <c r="BG468" s="2">
        <v>45536</v>
      </c>
      <c r="BH468" t="s">
        <v>142</v>
      </c>
      <c r="BI468" s="2">
        <v>46026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649.85</v>
      </c>
      <c r="BQ468">
        <v>649.85</v>
      </c>
      <c r="BR468">
        <v>0</v>
      </c>
      <c r="BS468">
        <v>0</v>
      </c>
      <c r="BT468">
        <v>0</v>
      </c>
      <c r="BU468">
        <v>0</v>
      </c>
      <c r="BV468">
        <v>971.83</v>
      </c>
      <c r="BW468">
        <v>971.83</v>
      </c>
      <c r="BX468">
        <v>0</v>
      </c>
      <c r="BY468">
        <v>0</v>
      </c>
      <c r="BZ468">
        <v>0</v>
      </c>
      <c r="CA468">
        <v>0</v>
      </c>
      <c r="CB468">
        <v>703.11</v>
      </c>
      <c r="CC468" t="s">
        <v>161</v>
      </c>
    </row>
    <row r="469" spans="1:81" x14ac:dyDescent="0.25">
      <c r="A469">
        <v>345</v>
      </c>
      <c r="B469">
        <v>2</v>
      </c>
      <c r="C469">
        <v>734</v>
      </c>
      <c r="D469" t="s">
        <v>2703</v>
      </c>
      <c r="E469" t="s">
        <v>121</v>
      </c>
      <c r="F469" t="s">
        <v>2704</v>
      </c>
      <c r="G469" t="s">
        <v>2705</v>
      </c>
      <c r="H469" t="s">
        <v>2706</v>
      </c>
      <c r="I469" t="s">
        <v>2707</v>
      </c>
      <c r="J469" t="s">
        <v>944</v>
      </c>
      <c r="K469" t="s">
        <v>466</v>
      </c>
      <c r="L469" t="s">
        <v>128</v>
      </c>
      <c r="M469" t="s">
        <v>467</v>
      </c>
      <c r="N469" t="s">
        <v>2504</v>
      </c>
      <c r="O469" t="s">
        <v>167</v>
      </c>
      <c r="P469">
        <v>0</v>
      </c>
      <c r="Q469" t="s">
        <v>125</v>
      </c>
      <c r="R469">
        <v>6</v>
      </c>
      <c r="S469">
        <v>34</v>
      </c>
      <c r="T469" t="s">
        <v>132</v>
      </c>
      <c r="U469" t="s">
        <v>133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134</v>
      </c>
      <c r="AE469" t="s">
        <v>134</v>
      </c>
      <c r="AF469" s="2">
        <v>45518</v>
      </c>
      <c r="AG469" s="2">
        <v>46010</v>
      </c>
      <c r="AH469">
        <v>271.74</v>
      </c>
      <c r="AI469">
        <v>393.5</v>
      </c>
      <c r="AJ469" s="1">
        <v>2173.92</v>
      </c>
      <c r="AK469">
        <v>0</v>
      </c>
      <c r="AL469">
        <v>0</v>
      </c>
      <c r="AM469">
        <v>0</v>
      </c>
      <c r="AN469" t="s">
        <v>135</v>
      </c>
      <c r="AO469" t="s">
        <v>135</v>
      </c>
      <c r="AP469" t="s">
        <v>136</v>
      </c>
      <c r="AQ469" t="s">
        <v>137</v>
      </c>
      <c r="AR469" t="s">
        <v>138</v>
      </c>
      <c r="AS469" t="s">
        <v>139</v>
      </c>
      <c r="AT469" t="s">
        <v>140</v>
      </c>
      <c r="AU469">
        <v>100</v>
      </c>
      <c r="AV469">
        <v>10</v>
      </c>
      <c r="AW469">
        <v>1</v>
      </c>
      <c r="AX469" s="2">
        <v>45848</v>
      </c>
      <c r="AY469" t="s">
        <v>308</v>
      </c>
      <c r="AZ469" s="2">
        <v>46023</v>
      </c>
      <c r="BA469">
        <v>0</v>
      </c>
      <c r="BB469">
        <v>0</v>
      </c>
      <c r="BC469">
        <v>0</v>
      </c>
      <c r="BD469">
        <v>700</v>
      </c>
      <c r="BE469">
        <v>70</v>
      </c>
      <c r="BF469">
        <v>9</v>
      </c>
      <c r="BG469" s="2">
        <v>45536</v>
      </c>
      <c r="BH469" t="s">
        <v>142</v>
      </c>
      <c r="BI469" s="2">
        <v>46026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542.65</v>
      </c>
      <c r="BQ469">
        <v>542.65</v>
      </c>
      <c r="BR469">
        <v>0</v>
      </c>
      <c r="BS469">
        <v>0</v>
      </c>
      <c r="BT469">
        <v>0</v>
      </c>
      <c r="BU469">
        <v>0</v>
      </c>
      <c r="BV469">
        <v>905.62</v>
      </c>
      <c r="BW469">
        <v>905.62</v>
      </c>
      <c r="BX469">
        <v>0</v>
      </c>
      <c r="BY469">
        <v>0</v>
      </c>
      <c r="BZ469">
        <v>0</v>
      </c>
      <c r="CA469">
        <v>0</v>
      </c>
      <c r="CB469">
        <v>611.28</v>
      </c>
      <c r="CC469" t="s">
        <v>161</v>
      </c>
    </row>
    <row r="470" spans="1:81" x14ac:dyDescent="0.25">
      <c r="A470">
        <v>345</v>
      </c>
      <c r="B470">
        <v>2</v>
      </c>
      <c r="C470">
        <v>736</v>
      </c>
      <c r="D470" t="s">
        <v>2708</v>
      </c>
      <c r="E470" t="s">
        <v>121</v>
      </c>
      <c r="F470" t="s">
        <v>2709</v>
      </c>
      <c r="G470" t="s">
        <v>2710</v>
      </c>
      <c r="H470" t="s">
        <v>2711</v>
      </c>
      <c r="I470" t="s">
        <v>2712</v>
      </c>
      <c r="J470" t="s">
        <v>206</v>
      </c>
      <c r="K470" t="s">
        <v>127</v>
      </c>
      <c r="L470" t="s">
        <v>128</v>
      </c>
      <c r="M470" t="s">
        <v>129</v>
      </c>
      <c r="N470" t="s">
        <v>2713</v>
      </c>
      <c r="O470" t="s">
        <v>131</v>
      </c>
      <c r="P470">
        <v>0</v>
      </c>
      <c r="Q470" t="s">
        <v>125</v>
      </c>
      <c r="R470">
        <v>3</v>
      </c>
      <c r="S470">
        <v>87</v>
      </c>
      <c r="T470" t="s">
        <v>132</v>
      </c>
      <c r="U470" t="s">
        <v>133</v>
      </c>
      <c r="V470" s="1">
        <v>1310</v>
      </c>
      <c r="W470">
        <v>0</v>
      </c>
      <c r="X470" s="1">
        <v>1310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134</v>
      </c>
      <c r="AE470" t="s">
        <v>134</v>
      </c>
      <c r="AF470" s="2">
        <v>45518</v>
      </c>
      <c r="AG470" s="2">
        <v>46011</v>
      </c>
      <c r="AH470">
        <v>604.34</v>
      </c>
      <c r="AI470">
        <v>844.32</v>
      </c>
      <c r="AJ470" s="1">
        <v>3021.72</v>
      </c>
      <c r="AK470">
        <v>0</v>
      </c>
      <c r="AL470">
        <v>0</v>
      </c>
      <c r="AM470">
        <v>0</v>
      </c>
      <c r="AN470" t="s">
        <v>135</v>
      </c>
      <c r="AO470" t="s">
        <v>135</v>
      </c>
      <c r="AP470" t="s">
        <v>136</v>
      </c>
      <c r="AQ470" t="s">
        <v>137</v>
      </c>
      <c r="AR470" t="s">
        <v>138</v>
      </c>
      <c r="AS470" t="s">
        <v>139</v>
      </c>
      <c r="AT470" t="s">
        <v>140</v>
      </c>
      <c r="AU470">
        <v>102</v>
      </c>
      <c r="AV470">
        <v>10</v>
      </c>
      <c r="AW470">
        <v>1</v>
      </c>
      <c r="AX470" s="2">
        <v>45995</v>
      </c>
      <c r="AY470" t="s">
        <v>308</v>
      </c>
      <c r="AZ470" s="2">
        <v>46023</v>
      </c>
      <c r="BA470">
        <v>0</v>
      </c>
      <c r="BB470">
        <v>0</v>
      </c>
      <c r="BC470">
        <v>0</v>
      </c>
      <c r="BD470">
        <v>700</v>
      </c>
      <c r="BE470">
        <v>70</v>
      </c>
      <c r="BF470">
        <v>9</v>
      </c>
      <c r="BG470" s="2">
        <v>45536</v>
      </c>
      <c r="BH470" t="s">
        <v>142</v>
      </c>
      <c r="BI470" s="2">
        <v>46026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844.32</v>
      </c>
      <c r="BQ470">
        <v>844.32</v>
      </c>
      <c r="BR470">
        <v>0</v>
      </c>
      <c r="BS470">
        <v>0</v>
      </c>
      <c r="BT470">
        <v>0</v>
      </c>
      <c r="BU470">
        <v>0</v>
      </c>
      <c r="BV470" s="1">
        <v>1146</v>
      </c>
      <c r="BW470" s="1">
        <v>1146</v>
      </c>
      <c r="BX470">
        <v>0</v>
      </c>
      <c r="BY470">
        <v>0</v>
      </c>
      <c r="BZ470">
        <v>0</v>
      </c>
      <c r="CA470">
        <v>0</v>
      </c>
      <c r="CB470" s="1">
        <v>1102.74</v>
      </c>
      <c r="CC470" t="s">
        <v>152</v>
      </c>
    </row>
    <row r="471" spans="1:81" x14ac:dyDescent="0.25">
      <c r="A471">
        <v>345</v>
      </c>
      <c r="B471">
        <v>2</v>
      </c>
      <c r="C471">
        <v>738</v>
      </c>
      <c r="D471" t="s">
        <v>2714</v>
      </c>
      <c r="E471" t="s">
        <v>121</v>
      </c>
      <c r="F471" t="s">
        <v>2715</v>
      </c>
      <c r="G471" t="s">
        <v>2716</v>
      </c>
      <c r="H471" t="s">
        <v>2717</v>
      </c>
      <c r="I471" t="s">
        <v>2718</v>
      </c>
      <c r="J471" t="s">
        <v>126</v>
      </c>
      <c r="K471" t="s">
        <v>466</v>
      </c>
      <c r="L471" t="s">
        <v>128</v>
      </c>
      <c r="M471" t="s">
        <v>467</v>
      </c>
      <c r="N471" t="s">
        <v>2719</v>
      </c>
      <c r="O471" t="s">
        <v>131</v>
      </c>
      <c r="P471">
        <v>0</v>
      </c>
      <c r="Q471" t="s">
        <v>125</v>
      </c>
      <c r="R471">
        <v>6</v>
      </c>
      <c r="S471">
        <v>39</v>
      </c>
      <c r="T471" t="s">
        <v>132</v>
      </c>
      <c r="U471" t="s">
        <v>133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134</v>
      </c>
      <c r="AE471" t="s">
        <v>134</v>
      </c>
      <c r="AF471" s="2">
        <v>45518</v>
      </c>
      <c r="AG471" s="2">
        <v>46004</v>
      </c>
      <c r="AH471">
        <v>252.93</v>
      </c>
      <c r="AI471">
        <v>656.05</v>
      </c>
      <c r="AJ471">
        <v>758.8</v>
      </c>
      <c r="AK471">
        <v>0</v>
      </c>
      <c r="AL471">
        <v>0</v>
      </c>
      <c r="AM471">
        <v>0</v>
      </c>
      <c r="AN471" t="s">
        <v>135</v>
      </c>
      <c r="AO471" t="s">
        <v>135</v>
      </c>
      <c r="AP471" t="s">
        <v>136</v>
      </c>
      <c r="AQ471" t="s">
        <v>137</v>
      </c>
      <c r="AR471" t="s">
        <v>138</v>
      </c>
      <c r="AS471" t="s">
        <v>139</v>
      </c>
      <c r="AT471" t="s">
        <v>140</v>
      </c>
      <c r="AU471">
        <v>105</v>
      </c>
      <c r="AV471">
        <v>10</v>
      </c>
      <c r="AW471">
        <v>1</v>
      </c>
      <c r="AX471" s="2">
        <v>45849</v>
      </c>
      <c r="AY471" t="s">
        <v>151</v>
      </c>
      <c r="AZ471" s="2">
        <v>46024</v>
      </c>
      <c r="BA471">
        <v>0</v>
      </c>
      <c r="BB471">
        <v>0</v>
      </c>
      <c r="BC471">
        <v>0</v>
      </c>
      <c r="BD471">
        <v>700</v>
      </c>
      <c r="BE471">
        <v>70</v>
      </c>
      <c r="BF471">
        <v>9</v>
      </c>
      <c r="BG471" s="2">
        <v>45536</v>
      </c>
      <c r="BH471" t="s">
        <v>142</v>
      </c>
      <c r="BI471" s="2">
        <v>46026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50.03</v>
      </c>
      <c r="BQ471">
        <v>50.03</v>
      </c>
      <c r="BR471">
        <v>0</v>
      </c>
      <c r="BS471">
        <v>0</v>
      </c>
      <c r="BT471">
        <v>0</v>
      </c>
      <c r="BU471">
        <v>0</v>
      </c>
      <c r="BV471">
        <v>656.05</v>
      </c>
      <c r="BW471">
        <v>656.05</v>
      </c>
      <c r="BX471">
        <v>0</v>
      </c>
      <c r="BY471">
        <v>0</v>
      </c>
      <c r="BZ471">
        <v>0</v>
      </c>
      <c r="CA471">
        <v>0</v>
      </c>
      <c r="CB471">
        <v>275.79000000000002</v>
      </c>
      <c r="CC471" t="s">
        <v>143</v>
      </c>
    </row>
    <row r="472" spans="1:81" x14ac:dyDescent="0.25">
      <c r="A472">
        <v>345</v>
      </c>
      <c r="B472">
        <v>2</v>
      </c>
      <c r="C472">
        <v>739</v>
      </c>
      <c r="D472" t="s">
        <v>2720</v>
      </c>
      <c r="E472" t="s">
        <v>121</v>
      </c>
      <c r="F472" t="s">
        <v>2721</v>
      </c>
      <c r="G472" t="s">
        <v>2722</v>
      </c>
      <c r="H472" t="s">
        <v>2723</v>
      </c>
      <c r="I472" t="s">
        <v>2724</v>
      </c>
      <c r="J472" t="s">
        <v>2725</v>
      </c>
      <c r="K472" t="s">
        <v>473</v>
      </c>
      <c r="L472" t="s">
        <v>128</v>
      </c>
      <c r="M472" t="s">
        <v>474</v>
      </c>
      <c r="N472" t="s">
        <v>2726</v>
      </c>
      <c r="O472" t="s">
        <v>167</v>
      </c>
      <c r="P472">
        <v>0</v>
      </c>
      <c r="Q472" t="s">
        <v>125</v>
      </c>
      <c r="R472">
        <v>6</v>
      </c>
      <c r="S472">
        <v>40</v>
      </c>
      <c r="T472" t="s">
        <v>132</v>
      </c>
      <c r="U472" t="s">
        <v>133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234</v>
      </c>
      <c r="AE472" t="s">
        <v>134</v>
      </c>
      <c r="AF472" s="2">
        <v>45518</v>
      </c>
      <c r="AG472" s="2">
        <v>46017</v>
      </c>
      <c r="AH472">
        <v>749.57</v>
      </c>
      <c r="AI472" s="1">
        <v>1274.96</v>
      </c>
      <c r="AJ472" s="1">
        <v>9744.43</v>
      </c>
      <c r="AK472">
        <v>0</v>
      </c>
      <c r="AL472">
        <v>866.74</v>
      </c>
      <c r="AM472">
        <v>0</v>
      </c>
      <c r="AN472" t="s">
        <v>135</v>
      </c>
      <c r="AO472" t="s">
        <v>135</v>
      </c>
      <c r="AP472" t="s">
        <v>136</v>
      </c>
      <c r="AQ472" t="s">
        <v>137</v>
      </c>
      <c r="AR472" t="s">
        <v>138</v>
      </c>
      <c r="AS472" t="s">
        <v>150</v>
      </c>
      <c r="AT472" t="s">
        <v>140</v>
      </c>
      <c r="AU472">
        <v>102</v>
      </c>
      <c r="AV472">
        <v>10</v>
      </c>
      <c r="AW472">
        <v>1</v>
      </c>
      <c r="AX472" s="2">
        <v>45811</v>
      </c>
      <c r="AY472" t="s">
        <v>377</v>
      </c>
      <c r="AZ472" s="2">
        <v>46028</v>
      </c>
      <c r="BA472">
        <v>0</v>
      </c>
      <c r="BB472">
        <v>0</v>
      </c>
      <c r="BC472">
        <v>0</v>
      </c>
      <c r="BD472">
        <v>700</v>
      </c>
      <c r="BE472">
        <v>70</v>
      </c>
      <c r="BF472">
        <v>9</v>
      </c>
      <c r="BG472" s="2">
        <v>45536</v>
      </c>
      <c r="BH472" t="s">
        <v>142</v>
      </c>
      <c r="BI472" s="2">
        <v>46026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s="1">
        <v>2809.46</v>
      </c>
      <c r="BQ472" s="1">
        <v>2809.46</v>
      </c>
      <c r="BR472">
        <v>0</v>
      </c>
      <c r="BS472">
        <v>0</v>
      </c>
      <c r="BT472">
        <v>0</v>
      </c>
      <c r="BU472">
        <v>0</v>
      </c>
      <c r="BV472" s="1">
        <v>4190.8900000000003</v>
      </c>
      <c r="BW472" s="1">
        <v>4190.8900000000003</v>
      </c>
      <c r="BX472">
        <v>0</v>
      </c>
      <c r="BY472">
        <v>0</v>
      </c>
      <c r="BZ472">
        <v>0</v>
      </c>
      <c r="CA472">
        <v>0</v>
      </c>
      <c r="CB472" s="1">
        <v>2514.84</v>
      </c>
      <c r="CC472" t="s">
        <v>161</v>
      </c>
    </row>
    <row r="473" spans="1:81" x14ac:dyDescent="0.25">
      <c r="A473">
        <v>345</v>
      </c>
      <c r="B473">
        <v>2</v>
      </c>
      <c r="C473">
        <v>741</v>
      </c>
      <c r="D473" t="s">
        <v>2727</v>
      </c>
      <c r="E473" t="s">
        <v>121</v>
      </c>
      <c r="F473" t="s">
        <v>1437</v>
      </c>
      <c r="G473" t="s">
        <v>2728</v>
      </c>
      <c r="H473" t="s">
        <v>2729</v>
      </c>
      <c r="I473" t="s">
        <v>2730</v>
      </c>
      <c r="J473" t="s">
        <v>2731</v>
      </c>
      <c r="K473" t="s">
        <v>336</v>
      </c>
      <c r="L473" t="s">
        <v>128</v>
      </c>
      <c r="M473" t="s">
        <v>337</v>
      </c>
      <c r="N473" t="s">
        <v>2504</v>
      </c>
      <c r="O473" t="s">
        <v>131</v>
      </c>
      <c r="P473">
        <v>0</v>
      </c>
      <c r="Q473" t="s">
        <v>125</v>
      </c>
      <c r="R473">
        <v>6</v>
      </c>
      <c r="S473">
        <v>42</v>
      </c>
      <c r="T473" t="s">
        <v>132</v>
      </c>
      <c r="U473" t="s">
        <v>133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134</v>
      </c>
      <c r="AE473" t="s">
        <v>134</v>
      </c>
      <c r="AF473" s="2">
        <v>45518</v>
      </c>
      <c r="AG473" s="2">
        <v>46009</v>
      </c>
      <c r="AH473" s="1">
        <v>1254.0899999999999</v>
      </c>
      <c r="AI473" s="1">
        <v>1843.96</v>
      </c>
      <c r="AJ473" s="1">
        <v>6270.46</v>
      </c>
      <c r="AK473">
        <v>0</v>
      </c>
      <c r="AL473">
        <v>0</v>
      </c>
      <c r="AM473">
        <v>0</v>
      </c>
      <c r="AN473" t="s">
        <v>135</v>
      </c>
      <c r="AO473" t="s">
        <v>135</v>
      </c>
      <c r="AP473" t="s">
        <v>136</v>
      </c>
      <c r="AQ473" t="s">
        <v>137</v>
      </c>
      <c r="AR473" t="s">
        <v>138</v>
      </c>
      <c r="AS473" t="s">
        <v>150</v>
      </c>
      <c r="AT473" t="s">
        <v>140</v>
      </c>
      <c r="AU473">
        <v>101</v>
      </c>
      <c r="AV473">
        <v>10</v>
      </c>
      <c r="AW473">
        <v>1</v>
      </c>
      <c r="AX473" s="2">
        <v>45812</v>
      </c>
      <c r="AY473" t="s">
        <v>168</v>
      </c>
      <c r="AZ473" s="2">
        <v>46022</v>
      </c>
      <c r="BA473">
        <v>0</v>
      </c>
      <c r="BB473">
        <v>0</v>
      </c>
      <c r="BC473">
        <v>0</v>
      </c>
      <c r="BD473">
        <v>700</v>
      </c>
      <c r="BE473">
        <v>70</v>
      </c>
      <c r="BF473">
        <v>9</v>
      </c>
      <c r="BG473" s="2">
        <v>45536</v>
      </c>
      <c r="BH473" t="s">
        <v>142</v>
      </c>
      <c r="BI473" s="2">
        <v>46026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s="1">
        <v>1938.46</v>
      </c>
      <c r="BQ473" s="1">
        <v>1938.46</v>
      </c>
      <c r="BR473">
        <v>0</v>
      </c>
      <c r="BS473">
        <v>0</v>
      </c>
      <c r="BT473">
        <v>0</v>
      </c>
      <c r="BU473">
        <v>0</v>
      </c>
      <c r="BV473" s="1">
        <v>2488.04</v>
      </c>
      <c r="BW473" s="1">
        <v>2488.04</v>
      </c>
      <c r="BX473">
        <v>0</v>
      </c>
      <c r="BY473">
        <v>0</v>
      </c>
      <c r="BZ473">
        <v>0</v>
      </c>
      <c r="CA473">
        <v>0</v>
      </c>
      <c r="CB473" s="1">
        <v>1450.25</v>
      </c>
      <c r="CC473" t="s">
        <v>143</v>
      </c>
    </row>
    <row r="474" spans="1:81" x14ac:dyDescent="0.25">
      <c r="A474">
        <v>345</v>
      </c>
      <c r="B474">
        <v>2</v>
      </c>
      <c r="C474">
        <v>742</v>
      </c>
      <c r="D474" t="s">
        <v>2732</v>
      </c>
      <c r="E474" t="s">
        <v>121</v>
      </c>
      <c r="F474" t="s">
        <v>2733</v>
      </c>
      <c r="G474" t="s">
        <v>2734</v>
      </c>
      <c r="H474" t="s">
        <v>2735</v>
      </c>
      <c r="I474" t="s">
        <v>125</v>
      </c>
      <c r="J474" t="s">
        <v>915</v>
      </c>
      <c r="K474" t="s">
        <v>473</v>
      </c>
      <c r="L474" t="s">
        <v>128</v>
      </c>
      <c r="M474" t="s">
        <v>474</v>
      </c>
      <c r="N474" t="s">
        <v>2736</v>
      </c>
      <c r="O474" t="s">
        <v>131</v>
      </c>
      <c r="P474">
        <v>0</v>
      </c>
      <c r="Q474" t="s">
        <v>125</v>
      </c>
      <c r="R474">
        <v>3</v>
      </c>
      <c r="S474">
        <v>84</v>
      </c>
      <c r="T474" t="s">
        <v>132</v>
      </c>
      <c r="U474" t="s">
        <v>133</v>
      </c>
      <c r="V474" s="1">
        <v>50000</v>
      </c>
      <c r="W474">
        <v>0</v>
      </c>
      <c r="X474" s="1">
        <v>50000</v>
      </c>
      <c r="Y474">
        <v>7</v>
      </c>
      <c r="Z474">
        <v>0</v>
      </c>
      <c r="AA474">
        <v>4</v>
      </c>
      <c r="AB474">
        <v>0</v>
      </c>
      <c r="AC474">
        <v>0</v>
      </c>
      <c r="AD474" t="s">
        <v>234</v>
      </c>
      <c r="AE474" t="s">
        <v>134</v>
      </c>
      <c r="AF474" s="2">
        <v>45518</v>
      </c>
      <c r="AG474" s="2">
        <v>46017</v>
      </c>
      <c r="AH474" s="1">
        <v>8823.7900000000009</v>
      </c>
      <c r="AI474" s="1">
        <v>13456.69</v>
      </c>
      <c r="AJ474" s="1">
        <v>52942.74</v>
      </c>
      <c r="AK474">
        <v>0</v>
      </c>
      <c r="AL474">
        <v>0</v>
      </c>
      <c r="AM474">
        <v>0</v>
      </c>
      <c r="AN474" t="s">
        <v>135</v>
      </c>
      <c r="AO474" t="s">
        <v>135</v>
      </c>
      <c r="AP474" t="s">
        <v>136</v>
      </c>
      <c r="AQ474" t="s">
        <v>137</v>
      </c>
      <c r="AR474" t="s">
        <v>138</v>
      </c>
      <c r="AS474" t="s">
        <v>150</v>
      </c>
      <c r="AT474" t="s">
        <v>140</v>
      </c>
      <c r="AU474">
        <v>501</v>
      </c>
      <c r="AV474">
        <v>10</v>
      </c>
      <c r="AW474">
        <v>1</v>
      </c>
      <c r="AX474" s="2">
        <v>45857</v>
      </c>
      <c r="AY474" t="s">
        <v>160</v>
      </c>
      <c r="AZ474" s="2">
        <v>46025</v>
      </c>
      <c r="BA474">
        <v>0</v>
      </c>
      <c r="BB474">
        <v>0</v>
      </c>
      <c r="BC474">
        <v>0</v>
      </c>
      <c r="BD474">
        <v>700</v>
      </c>
      <c r="BE474">
        <v>70</v>
      </c>
      <c r="BF474">
        <v>9</v>
      </c>
      <c r="BG474" s="2">
        <v>45536</v>
      </c>
      <c r="BH474" t="s">
        <v>142</v>
      </c>
      <c r="BI474" s="2">
        <v>46026</v>
      </c>
      <c r="BJ474">
        <v>0</v>
      </c>
      <c r="BK474">
        <v>0</v>
      </c>
      <c r="BL474">
        <v>0</v>
      </c>
      <c r="BM474">
        <v>3.25</v>
      </c>
      <c r="BN474">
        <v>3.25</v>
      </c>
      <c r="BO474" s="1">
        <v>18009.14</v>
      </c>
      <c r="BP474">
        <v>0</v>
      </c>
      <c r="BQ474" s="1">
        <v>18009.14</v>
      </c>
      <c r="BR474" s="1">
        <v>4552.45</v>
      </c>
      <c r="BS474">
        <v>2.37</v>
      </c>
      <c r="BT474">
        <v>2.37</v>
      </c>
      <c r="BU474" s="1">
        <v>30624.720000000001</v>
      </c>
      <c r="BV474">
        <v>0</v>
      </c>
      <c r="BW474" s="1">
        <v>30624.720000000001</v>
      </c>
      <c r="BX474">
        <v>0</v>
      </c>
      <c r="BY474">
        <v>0</v>
      </c>
      <c r="BZ474">
        <v>0</v>
      </c>
      <c r="CA474">
        <v>0</v>
      </c>
      <c r="CB474" s="1">
        <v>14082.32</v>
      </c>
      <c r="CC474" t="s">
        <v>143</v>
      </c>
    </row>
    <row r="475" spans="1:81" x14ac:dyDescent="0.25">
      <c r="A475">
        <v>345</v>
      </c>
      <c r="B475">
        <v>2</v>
      </c>
      <c r="C475">
        <v>743</v>
      </c>
      <c r="D475" t="s">
        <v>2737</v>
      </c>
      <c r="E475" t="s">
        <v>121</v>
      </c>
      <c r="F475" t="s">
        <v>2738</v>
      </c>
      <c r="G475" t="s">
        <v>2739</v>
      </c>
      <c r="H475" t="s">
        <v>2740</v>
      </c>
      <c r="I475" t="s">
        <v>125</v>
      </c>
      <c r="J475" t="s">
        <v>667</v>
      </c>
      <c r="K475" t="s">
        <v>336</v>
      </c>
      <c r="L475" t="s">
        <v>128</v>
      </c>
      <c r="M475" t="s">
        <v>337</v>
      </c>
      <c r="N475" t="s">
        <v>2741</v>
      </c>
      <c r="O475" t="s">
        <v>167</v>
      </c>
      <c r="P475">
        <v>0</v>
      </c>
      <c r="Q475" t="s">
        <v>125</v>
      </c>
      <c r="R475">
        <v>6</v>
      </c>
      <c r="S475">
        <v>37</v>
      </c>
      <c r="T475" t="s">
        <v>132</v>
      </c>
      <c r="U475" t="s">
        <v>133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134</v>
      </c>
      <c r="AE475" t="s">
        <v>134</v>
      </c>
      <c r="AF475" s="2">
        <v>45518</v>
      </c>
      <c r="AG475" s="2">
        <v>46011</v>
      </c>
      <c r="AH475">
        <v>61.07</v>
      </c>
      <c r="AI475">
        <v>114.6</v>
      </c>
      <c r="AJ475">
        <v>183.22</v>
      </c>
      <c r="AK475">
        <v>0</v>
      </c>
      <c r="AL475">
        <v>0</v>
      </c>
      <c r="AM475">
        <v>0</v>
      </c>
      <c r="AN475" t="s">
        <v>135</v>
      </c>
      <c r="AO475" t="s">
        <v>135</v>
      </c>
      <c r="AP475" t="s">
        <v>136</v>
      </c>
      <c r="AQ475" t="s">
        <v>137</v>
      </c>
      <c r="AR475" t="s">
        <v>138</v>
      </c>
      <c r="AS475" t="s">
        <v>139</v>
      </c>
      <c r="AT475" t="s">
        <v>140</v>
      </c>
      <c r="AU475">
        <v>101</v>
      </c>
      <c r="AV475">
        <v>10</v>
      </c>
      <c r="AW475">
        <v>1</v>
      </c>
      <c r="AX475" s="2">
        <v>45856</v>
      </c>
      <c r="AY475" t="s">
        <v>151</v>
      </c>
      <c r="AZ475" s="2">
        <v>46024</v>
      </c>
      <c r="BA475">
        <v>0</v>
      </c>
      <c r="BB475">
        <v>0</v>
      </c>
      <c r="BC475">
        <v>0</v>
      </c>
      <c r="BD475">
        <v>700</v>
      </c>
      <c r="BE475">
        <v>70</v>
      </c>
      <c r="BF475">
        <v>9</v>
      </c>
      <c r="BG475" s="2">
        <v>45536</v>
      </c>
      <c r="BH475" t="s">
        <v>142</v>
      </c>
      <c r="BI475" s="2">
        <v>46026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114.6</v>
      </c>
      <c r="BQ475">
        <v>114.6</v>
      </c>
      <c r="BR475">
        <v>0</v>
      </c>
      <c r="BS475">
        <v>0</v>
      </c>
      <c r="BT475">
        <v>0</v>
      </c>
      <c r="BU475">
        <v>0</v>
      </c>
      <c r="BV475">
        <v>55.47</v>
      </c>
      <c r="BW475">
        <v>55.47</v>
      </c>
      <c r="BX475">
        <v>0</v>
      </c>
      <c r="BY475">
        <v>0</v>
      </c>
      <c r="BZ475">
        <v>0</v>
      </c>
      <c r="CA475">
        <v>0</v>
      </c>
      <c r="CB475">
        <v>42.58</v>
      </c>
      <c r="CC475" t="s">
        <v>161</v>
      </c>
    </row>
    <row r="476" spans="1:81" x14ac:dyDescent="0.25">
      <c r="A476">
        <v>345</v>
      </c>
      <c r="B476">
        <v>2</v>
      </c>
      <c r="C476">
        <v>745</v>
      </c>
      <c r="D476" t="s">
        <v>2742</v>
      </c>
      <c r="E476" t="s">
        <v>121</v>
      </c>
      <c r="F476" t="s">
        <v>2743</v>
      </c>
      <c r="G476" t="s">
        <v>2744</v>
      </c>
      <c r="H476" t="s">
        <v>2745</v>
      </c>
      <c r="I476" t="s">
        <v>2746</v>
      </c>
      <c r="J476" t="s">
        <v>992</v>
      </c>
      <c r="K476" t="s">
        <v>466</v>
      </c>
      <c r="L476" t="s">
        <v>128</v>
      </c>
      <c r="M476" t="s">
        <v>467</v>
      </c>
      <c r="N476" t="s">
        <v>2504</v>
      </c>
      <c r="O476" t="s">
        <v>131</v>
      </c>
      <c r="P476">
        <v>0</v>
      </c>
      <c r="Q476" t="s">
        <v>125</v>
      </c>
      <c r="R476">
        <v>6</v>
      </c>
      <c r="S476">
        <v>42</v>
      </c>
      <c r="T476" t="s">
        <v>132</v>
      </c>
      <c r="U476" t="s">
        <v>133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134</v>
      </c>
      <c r="AE476" t="s">
        <v>134</v>
      </c>
      <c r="AF476" s="2">
        <v>45518</v>
      </c>
      <c r="AG476" s="2">
        <v>45996</v>
      </c>
      <c r="AH476">
        <v>369.1</v>
      </c>
      <c r="AI476">
        <v>643.58000000000004</v>
      </c>
      <c r="AJ476" s="1">
        <v>2583.6999999999998</v>
      </c>
      <c r="AK476">
        <v>0</v>
      </c>
      <c r="AL476">
        <v>0</v>
      </c>
      <c r="AM476">
        <v>0</v>
      </c>
      <c r="AN476" t="s">
        <v>135</v>
      </c>
      <c r="AO476" t="s">
        <v>135</v>
      </c>
      <c r="AP476" t="s">
        <v>136</v>
      </c>
      <c r="AQ476" t="s">
        <v>137</v>
      </c>
      <c r="AR476" t="s">
        <v>138</v>
      </c>
      <c r="AS476" t="s">
        <v>150</v>
      </c>
      <c r="AT476" t="s">
        <v>140</v>
      </c>
      <c r="AU476">
        <v>100</v>
      </c>
      <c r="AV476">
        <v>10</v>
      </c>
      <c r="AW476">
        <v>1</v>
      </c>
      <c r="AX476" s="2">
        <v>45967</v>
      </c>
      <c r="AY476" t="s">
        <v>308</v>
      </c>
      <c r="AZ476" s="2">
        <v>46023</v>
      </c>
      <c r="BA476">
        <v>0</v>
      </c>
      <c r="BB476">
        <v>0</v>
      </c>
      <c r="BC476">
        <v>0</v>
      </c>
      <c r="BD476">
        <v>700</v>
      </c>
      <c r="BE476">
        <v>70</v>
      </c>
      <c r="BF476">
        <v>9</v>
      </c>
      <c r="BG476" s="2">
        <v>45536</v>
      </c>
      <c r="BH476" t="s">
        <v>142</v>
      </c>
      <c r="BI476" s="2">
        <v>46026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 s="1">
        <v>1230.4000000000001</v>
      </c>
      <c r="BQ476" s="1">
        <v>1230.4000000000001</v>
      </c>
      <c r="BR476">
        <v>0</v>
      </c>
      <c r="BS476">
        <v>0</v>
      </c>
      <c r="BT476">
        <v>0</v>
      </c>
      <c r="BU476">
        <v>0</v>
      </c>
      <c r="BV476">
        <v>643.58000000000004</v>
      </c>
      <c r="BW476">
        <v>643.58000000000004</v>
      </c>
      <c r="BX476">
        <v>0</v>
      </c>
      <c r="BY476">
        <v>0</v>
      </c>
      <c r="BZ476">
        <v>0</v>
      </c>
      <c r="CA476">
        <v>0</v>
      </c>
      <c r="CB476">
        <v>797.95</v>
      </c>
      <c r="CC476" t="s">
        <v>143</v>
      </c>
    </row>
    <row r="477" spans="1:81" x14ac:dyDescent="0.25">
      <c r="A477">
        <v>345</v>
      </c>
      <c r="B477">
        <v>2</v>
      </c>
      <c r="C477">
        <v>746</v>
      </c>
      <c r="D477" t="s">
        <v>2747</v>
      </c>
      <c r="E477" t="s">
        <v>121</v>
      </c>
      <c r="F477" t="s">
        <v>2748</v>
      </c>
      <c r="G477" t="s">
        <v>2749</v>
      </c>
      <c r="H477" t="s">
        <v>2750</v>
      </c>
      <c r="I477" t="s">
        <v>125</v>
      </c>
      <c r="J477" t="s">
        <v>217</v>
      </c>
      <c r="K477" t="s">
        <v>336</v>
      </c>
      <c r="L477" t="s">
        <v>128</v>
      </c>
      <c r="M477" t="s">
        <v>337</v>
      </c>
      <c r="N477" t="s">
        <v>2751</v>
      </c>
      <c r="O477" t="s">
        <v>167</v>
      </c>
      <c r="P477">
        <v>0</v>
      </c>
      <c r="Q477" t="s">
        <v>125</v>
      </c>
      <c r="R477">
        <v>6</v>
      </c>
      <c r="S477">
        <v>33</v>
      </c>
      <c r="T477" t="s">
        <v>132</v>
      </c>
      <c r="U477" t="s">
        <v>133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134</v>
      </c>
      <c r="AE477" t="s">
        <v>134</v>
      </c>
      <c r="AF477" s="2">
        <v>45518</v>
      </c>
      <c r="AG477" s="2">
        <v>46011</v>
      </c>
      <c r="AH477">
        <v>362.71</v>
      </c>
      <c r="AI477">
        <v>522.34</v>
      </c>
      <c r="AJ477" s="1">
        <v>1813.55</v>
      </c>
      <c r="AK477">
        <v>0</v>
      </c>
      <c r="AL477">
        <v>0</v>
      </c>
      <c r="AM477">
        <v>0</v>
      </c>
      <c r="AN477" t="s">
        <v>135</v>
      </c>
      <c r="AO477" t="s">
        <v>135</v>
      </c>
      <c r="AP477" t="s">
        <v>136</v>
      </c>
      <c r="AQ477" t="s">
        <v>137</v>
      </c>
      <c r="AR477" t="s">
        <v>138</v>
      </c>
      <c r="AS477" t="s">
        <v>139</v>
      </c>
      <c r="AT477" t="s">
        <v>140</v>
      </c>
      <c r="AU477">
        <v>102</v>
      </c>
      <c r="AV477">
        <v>10</v>
      </c>
      <c r="AW477">
        <v>1</v>
      </c>
      <c r="AX477" s="2">
        <v>45814</v>
      </c>
      <c r="AY477" t="s">
        <v>151</v>
      </c>
      <c r="AZ477" s="2">
        <v>46024</v>
      </c>
      <c r="BA477">
        <v>0</v>
      </c>
      <c r="BB477">
        <v>0</v>
      </c>
      <c r="BC477">
        <v>0</v>
      </c>
      <c r="BD477">
        <v>700</v>
      </c>
      <c r="BE477">
        <v>70</v>
      </c>
      <c r="BF477">
        <v>9</v>
      </c>
      <c r="BG477" s="2">
        <v>45536</v>
      </c>
      <c r="BH477" t="s">
        <v>142</v>
      </c>
      <c r="BI477" s="2">
        <v>46026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s="1">
        <v>1250.8499999999999</v>
      </c>
      <c r="BQ477" s="1">
        <v>1250.8499999999999</v>
      </c>
      <c r="BR477">
        <v>0</v>
      </c>
      <c r="BS477">
        <v>0</v>
      </c>
      <c r="BT477">
        <v>0</v>
      </c>
      <c r="BU477">
        <v>0</v>
      </c>
      <c r="BV477">
        <v>364.8</v>
      </c>
      <c r="BW477">
        <v>364.8</v>
      </c>
      <c r="BX477">
        <v>0</v>
      </c>
      <c r="BY477">
        <v>0</v>
      </c>
      <c r="BZ477">
        <v>0</v>
      </c>
      <c r="CA477">
        <v>0</v>
      </c>
      <c r="CB477">
        <v>535.88</v>
      </c>
      <c r="CC477" t="s">
        <v>161</v>
      </c>
    </row>
    <row r="478" spans="1:81" x14ac:dyDescent="0.25">
      <c r="A478">
        <v>345</v>
      </c>
      <c r="B478">
        <v>2</v>
      </c>
      <c r="C478">
        <v>749</v>
      </c>
      <c r="D478" t="s">
        <v>2752</v>
      </c>
      <c r="E478" t="s">
        <v>121</v>
      </c>
      <c r="F478" t="s">
        <v>2753</v>
      </c>
      <c r="G478" t="s">
        <v>2754</v>
      </c>
      <c r="H478" t="s">
        <v>1786</v>
      </c>
      <c r="I478" t="s">
        <v>2755</v>
      </c>
      <c r="J478" t="s">
        <v>335</v>
      </c>
      <c r="K478" t="s">
        <v>336</v>
      </c>
      <c r="L478" t="s">
        <v>128</v>
      </c>
      <c r="M478" t="s">
        <v>337</v>
      </c>
      <c r="N478" t="s">
        <v>2756</v>
      </c>
      <c r="O478" t="s">
        <v>167</v>
      </c>
      <c r="P478">
        <v>0</v>
      </c>
      <c r="Q478" t="s">
        <v>125</v>
      </c>
      <c r="R478">
        <v>6</v>
      </c>
      <c r="S478">
        <v>35</v>
      </c>
      <c r="T478" t="s">
        <v>132</v>
      </c>
      <c r="U478" t="s">
        <v>133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134</v>
      </c>
      <c r="AE478" t="s">
        <v>134</v>
      </c>
      <c r="AF478" s="2">
        <v>45518</v>
      </c>
      <c r="AG478" s="2">
        <v>45990</v>
      </c>
      <c r="AH478">
        <v>274.33999999999997</v>
      </c>
      <c r="AI478">
        <v>298.2</v>
      </c>
      <c r="AJ478" s="1">
        <v>1097.3699999999999</v>
      </c>
      <c r="AK478">
        <v>0</v>
      </c>
      <c r="AL478">
        <v>0</v>
      </c>
      <c r="AM478">
        <v>0</v>
      </c>
      <c r="AN478" t="s">
        <v>135</v>
      </c>
      <c r="AO478" t="s">
        <v>135</v>
      </c>
      <c r="AP478" t="s">
        <v>136</v>
      </c>
      <c r="AQ478" t="s">
        <v>137</v>
      </c>
      <c r="AR478" t="s">
        <v>138</v>
      </c>
      <c r="AS478" t="s">
        <v>139</v>
      </c>
      <c r="AT478" t="s">
        <v>140</v>
      </c>
      <c r="AU478">
        <v>101</v>
      </c>
      <c r="AV478">
        <v>10</v>
      </c>
      <c r="AW478">
        <v>1</v>
      </c>
      <c r="AX478" s="2">
        <v>45730</v>
      </c>
      <c r="AY478" t="s">
        <v>151</v>
      </c>
      <c r="AZ478" s="2">
        <v>46024</v>
      </c>
      <c r="BA478">
        <v>0</v>
      </c>
      <c r="BB478">
        <v>0</v>
      </c>
      <c r="BC478">
        <v>0</v>
      </c>
      <c r="BD478">
        <v>700</v>
      </c>
      <c r="BE478">
        <v>70</v>
      </c>
      <c r="BF478">
        <v>9</v>
      </c>
      <c r="BG478" s="2">
        <v>45536</v>
      </c>
      <c r="BH478" t="s">
        <v>142</v>
      </c>
      <c r="BI478" s="2">
        <v>46026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596.4</v>
      </c>
      <c r="BQ478">
        <v>596.4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453.43</v>
      </c>
      <c r="CC478" t="s">
        <v>161</v>
      </c>
    </row>
    <row r="479" spans="1:81" x14ac:dyDescent="0.25">
      <c r="A479">
        <v>345</v>
      </c>
      <c r="B479">
        <v>2</v>
      </c>
      <c r="C479">
        <v>751</v>
      </c>
      <c r="D479" t="s">
        <v>2757</v>
      </c>
      <c r="E479" t="s">
        <v>121</v>
      </c>
      <c r="F479" t="s">
        <v>2758</v>
      </c>
      <c r="G479" t="s">
        <v>2759</v>
      </c>
      <c r="H479" t="s">
        <v>705</v>
      </c>
      <c r="I479" t="s">
        <v>125</v>
      </c>
      <c r="J479" t="s">
        <v>695</v>
      </c>
      <c r="K479" t="s">
        <v>336</v>
      </c>
      <c r="L479" t="s">
        <v>128</v>
      </c>
      <c r="M479" t="s">
        <v>337</v>
      </c>
      <c r="N479" t="s">
        <v>2760</v>
      </c>
      <c r="O479" t="s">
        <v>131</v>
      </c>
      <c r="P479">
        <v>0</v>
      </c>
      <c r="Q479" t="s">
        <v>125</v>
      </c>
      <c r="R479">
        <v>6</v>
      </c>
      <c r="S479">
        <v>40</v>
      </c>
      <c r="T479" t="s">
        <v>132</v>
      </c>
      <c r="U479" t="s">
        <v>133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134</v>
      </c>
      <c r="AE479" t="s">
        <v>134</v>
      </c>
      <c r="AF479" s="2">
        <v>45518</v>
      </c>
      <c r="AG479" s="2">
        <v>46004</v>
      </c>
      <c r="AH479">
        <v>130.16999999999999</v>
      </c>
      <c r="AI479">
        <v>271.10000000000002</v>
      </c>
      <c r="AJ479">
        <v>781.06</v>
      </c>
      <c r="AK479">
        <v>0</v>
      </c>
      <c r="AL479">
        <v>0</v>
      </c>
      <c r="AM479">
        <v>0</v>
      </c>
      <c r="AN479" t="s">
        <v>135</v>
      </c>
      <c r="AO479" t="s">
        <v>135</v>
      </c>
      <c r="AP479" t="s">
        <v>136</v>
      </c>
      <c r="AQ479" t="s">
        <v>137</v>
      </c>
      <c r="AR479" t="s">
        <v>138</v>
      </c>
      <c r="AS479" t="s">
        <v>139</v>
      </c>
      <c r="AT479" t="s">
        <v>140</v>
      </c>
      <c r="AU479">
        <v>101</v>
      </c>
      <c r="AV479">
        <v>10</v>
      </c>
      <c r="AW479">
        <v>1</v>
      </c>
      <c r="AX479" s="2">
        <v>45842</v>
      </c>
      <c r="AY479" t="s">
        <v>151</v>
      </c>
      <c r="AZ479" s="2">
        <v>46024</v>
      </c>
      <c r="BA479">
        <v>0</v>
      </c>
      <c r="BB479">
        <v>0</v>
      </c>
      <c r="BC479">
        <v>0</v>
      </c>
      <c r="BD479">
        <v>700</v>
      </c>
      <c r="BE479">
        <v>70</v>
      </c>
      <c r="BF479">
        <v>9</v>
      </c>
      <c r="BG479" s="2">
        <v>45536</v>
      </c>
      <c r="BH479" t="s">
        <v>142</v>
      </c>
      <c r="BI479" s="2">
        <v>46026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332.36</v>
      </c>
      <c r="BQ479">
        <v>332.36</v>
      </c>
      <c r="BR479">
        <v>0</v>
      </c>
      <c r="BS479">
        <v>0</v>
      </c>
      <c r="BT479">
        <v>0</v>
      </c>
      <c r="BU479">
        <v>0</v>
      </c>
      <c r="BV479">
        <v>282.52</v>
      </c>
      <c r="BW479">
        <v>282.52</v>
      </c>
      <c r="BX479">
        <v>0</v>
      </c>
      <c r="BY479">
        <v>0</v>
      </c>
      <c r="BZ479">
        <v>0</v>
      </c>
      <c r="CA479">
        <v>0</v>
      </c>
      <c r="CB479" s="1">
        <v>1348.93</v>
      </c>
      <c r="CC479" t="s">
        <v>143</v>
      </c>
    </row>
    <row r="480" spans="1:81" x14ac:dyDescent="0.25">
      <c r="A480">
        <v>345</v>
      </c>
      <c r="B480">
        <v>2</v>
      </c>
      <c r="C480">
        <v>759</v>
      </c>
      <c r="D480" t="s">
        <v>2761</v>
      </c>
      <c r="E480" t="s">
        <v>121</v>
      </c>
      <c r="F480" t="s">
        <v>2762</v>
      </c>
      <c r="G480" t="s">
        <v>2763</v>
      </c>
      <c r="H480" t="s">
        <v>2764</v>
      </c>
      <c r="I480" t="s">
        <v>2765</v>
      </c>
      <c r="J480" t="s">
        <v>606</v>
      </c>
      <c r="K480" t="s">
        <v>336</v>
      </c>
      <c r="L480" t="s">
        <v>128</v>
      </c>
      <c r="M480" t="s">
        <v>337</v>
      </c>
      <c r="N480" t="s">
        <v>2766</v>
      </c>
      <c r="O480" t="s">
        <v>167</v>
      </c>
      <c r="P480">
        <v>0</v>
      </c>
      <c r="Q480" t="s">
        <v>125</v>
      </c>
      <c r="R480">
        <v>6</v>
      </c>
      <c r="S480">
        <v>34</v>
      </c>
      <c r="T480" t="s">
        <v>132</v>
      </c>
      <c r="U480" t="s">
        <v>133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134</v>
      </c>
      <c r="AE480" t="s">
        <v>134</v>
      </c>
      <c r="AF480" s="2">
        <v>45518</v>
      </c>
      <c r="AG480" s="2">
        <v>46015</v>
      </c>
      <c r="AH480">
        <v>540.45000000000005</v>
      </c>
      <c r="AI480">
        <v>755.87</v>
      </c>
      <c r="AJ480" s="1">
        <v>7025.92</v>
      </c>
      <c r="AK480">
        <v>0</v>
      </c>
      <c r="AL480">
        <v>0</v>
      </c>
      <c r="AM480">
        <v>0</v>
      </c>
      <c r="AN480" t="s">
        <v>135</v>
      </c>
      <c r="AO480" t="s">
        <v>135</v>
      </c>
      <c r="AP480" t="s">
        <v>136</v>
      </c>
      <c r="AQ480" t="s">
        <v>137</v>
      </c>
      <c r="AR480" t="s">
        <v>138</v>
      </c>
      <c r="AS480" t="s">
        <v>139</v>
      </c>
      <c r="AT480" t="s">
        <v>140</v>
      </c>
      <c r="AU480">
        <v>101</v>
      </c>
      <c r="AV480">
        <v>10</v>
      </c>
      <c r="AW480">
        <v>1</v>
      </c>
      <c r="AX480" s="2">
        <v>45881</v>
      </c>
      <c r="AY480" t="s">
        <v>377</v>
      </c>
      <c r="AZ480" s="2">
        <v>46028</v>
      </c>
      <c r="BA480">
        <v>0</v>
      </c>
      <c r="BB480">
        <v>0</v>
      </c>
      <c r="BC480">
        <v>0</v>
      </c>
      <c r="BD480">
        <v>700</v>
      </c>
      <c r="BE480">
        <v>70</v>
      </c>
      <c r="BF480">
        <v>9</v>
      </c>
      <c r="BG480" s="2">
        <v>45536</v>
      </c>
      <c r="BH480" t="s">
        <v>142</v>
      </c>
      <c r="BI480" s="2">
        <v>46026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s="1">
        <v>2353.0500000000002</v>
      </c>
      <c r="BQ480" s="1">
        <v>2353.0500000000002</v>
      </c>
      <c r="BR480">
        <v>0</v>
      </c>
      <c r="BS480">
        <v>0</v>
      </c>
      <c r="BT480">
        <v>0</v>
      </c>
      <c r="BU480">
        <v>0</v>
      </c>
      <c r="BV480" s="1">
        <v>2529.4699999999998</v>
      </c>
      <c r="BW480" s="1">
        <v>2529.4699999999998</v>
      </c>
      <c r="BX480">
        <v>0</v>
      </c>
      <c r="BY480">
        <v>0</v>
      </c>
      <c r="BZ480">
        <v>0</v>
      </c>
      <c r="CA480">
        <v>0</v>
      </c>
      <c r="CB480" s="1">
        <v>1964.79</v>
      </c>
      <c r="CC480" t="s">
        <v>161</v>
      </c>
    </row>
    <row r="481" spans="1:81" x14ac:dyDescent="0.25">
      <c r="A481">
        <v>345</v>
      </c>
      <c r="B481">
        <v>2</v>
      </c>
      <c r="C481">
        <v>761</v>
      </c>
      <c r="D481" t="s">
        <v>2767</v>
      </c>
      <c r="E481" t="s">
        <v>121</v>
      </c>
      <c r="F481" t="s">
        <v>2768</v>
      </c>
      <c r="G481" t="s">
        <v>2769</v>
      </c>
      <c r="H481" t="s">
        <v>2770</v>
      </c>
      <c r="I481" t="s">
        <v>125</v>
      </c>
      <c r="J481" t="s">
        <v>723</v>
      </c>
      <c r="K481" t="s">
        <v>336</v>
      </c>
      <c r="L481" t="s">
        <v>128</v>
      </c>
      <c r="M481" t="s">
        <v>337</v>
      </c>
      <c r="N481" t="s">
        <v>2771</v>
      </c>
      <c r="O481" t="s">
        <v>149</v>
      </c>
      <c r="P481">
        <v>0</v>
      </c>
      <c r="Q481" t="s">
        <v>125</v>
      </c>
      <c r="R481">
        <v>6</v>
      </c>
      <c r="S481">
        <v>40</v>
      </c>
      <c r="T481" t="s">
        <v>132</v>
      </c>
      <c r="U481" t="s">
        <v>133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134</v>
      </c>
      <c r="AE481" t="s">
        <v>134</v>
      </c>
      <c r="AF481" s="2">
        <v>45518</v>
      </c>
      <c r="AG481" s="2">
        <v>46018</v>
      </c>
      <c r="AH481">
        <v>887.33</v>
      </c>
      <c r="AI481" s="1">
        <v>1442.6</v>
      </c>
      <c r="AJ481" s="1">
        <v>9760.64</v>
      </c>
      <c r="AK481">
        <v>0</v>
      </c>
      <c r="AL481">
        <v>0</v>
      </c>
      <c r="AM481">
        <v>0</v>
      </c>
      <c r="AN481" t="s">
        <v>135</v>
      </c>
      <c r="AO481" t="s">
        <v>135</v>
      </c>
      <c r="AP481" t="s">
        <v>136</v>
      </c>
      <c r="AQ481" t="s">
        <v>137</v>
      </c>
      <c r="AR481" t="s">
        <v>138</v>
      </c>
      <c r="AS481" t="s">
        <v>139</v>
      </c>
      <c r="AT481" t="s">
        <v>140</v>
      </c>
      <c r="AU481">
        <v>101</v>
      </c>
      <c r="AV481">
        <v>10</v>
      </c>
      <c r="AW481">
        <v>1</v>
      </c>
      <c r="AX481" s="2">
        <v>45876</v>
      </c>
      <c r="AY481" t="s">
        <v>308</v>
      </c>
      <c r="AZ481" s="2">
        <v>46023</v>
      </c>
      <c r="BA481">
        <v>0</v>
      </c>
      <c r="BB481">
        <v>0</v>
      </c>
      <c r="BC481">
        <v>0</v>
      </c>
      <c r="BD481">
        <v>700</v>
      </c>
      <c r="BE481">
        <v>70</v>
      </c>
      <c r="BF481">
        <v>9</v>
      </c>
      <c r="BG481" s="2">
        <v>45536</v>
      </c>
      <c r="BH481" t="s">
        <v>142</v>
      </c>
      <c r="BI481" s="2">
        <v>46026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s="1">
        <v>3299.29</v>
      </c>
      <c r="BQ481" s="1">
        <v>3299.29</v>
      </c>
      <c r="BR481">
        <v>0</v>
      </c>
      <c r="BS481">
        <v>0</v>
      </c>
      <c r="BT481">
        <v>0</v>
      </c>
      <c r="BU481">
        <v>0</v>
      </c>
      <c r="BV481" s="1">
        <v>3797.8</v>
      </c>
      <c r="BW481" s="1">
        <v>3797.8</v>
      </c>
      <c r="BX481">
        <v>0</v>
      </c>
      <c r="BY481">
        <v>0</v>
      </c>
      <c r="BZ481">
        <v>0</v>
      </c>
      <c r="CA481">
        <v>0</v>
      </c>
      <c r="CB481" s="1">
        <v>2983.81</v>
      </c>
      <c r="CC481" t="s">
        <v>152</v>
      </c>
    </row>
    <row r="482" spans="1:81" x14ac:dyDescent="0.25">
      <c r="A482">
        <v>345</v>
      </c>
      <c r="B482">
        <v>2</v>
      </c>
      <c r="C482">
        <v>762</v>
      </c>
      <c r="D482" t="s">
        <v>2772</v>
      </c>
      <c r="E482" t="s">
        <v>121</v>
      </c>
      <c r="F482" t="s">
        <v>2773</v>
      </c>
      <c r="G482" t="s">
        <v>2774</v>
      </c>
      <c r="H482" t="s">
        <v>2775</v>
      </c>
      <c r="I482" t="s">
        <v>125</v>
      </c>
      <c r="J482" t="s">
        <v>606</v>
      </c>
      <c r="K482" t="s">
        <v>336</v>
      </c>
      <c r="L482" t="s">
        <v>128</v>
      </c>
      <c r="M482" t="s">
        <v>337</v>
      </c>
      <c r="N482" t="s">
        <v>2776</v>
      </c>
      <c r="O482" t="s">
        <v>131</v>
      </c>
      <c r="P482">
        <v>0</v>
      </c>
      <c r="Q482" t="s">
        <v>125</v>
      </c>
      <c r="R482">
        <v>6</v>
      </c>
      <c r="S482">
        <v>39</v>
      </c>
      <c r="T482" t="s">
        <v>132</v>
      </c>
      <c r="U482" t="s">
        <v>133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134</v>
      </c>
      <c r="AE482" t="s">
        <v>134</v>
      </c>
      <c r="AF482" s="2">
        <v>45518</v>
      </c>
      <c r="AG482" s="2">
        <v>46002</v>
      </c>
      <c r="AH482">
        <v>275.44</v>
      </c>
      <c r="AI482">
        <v>339.26</v>
      </c>
      <c r="AJ482">
        <v>826.32</v>
      </c>
      <c r="AK482">
        <v>0</v>
      </c>
      <c r="AL482">
        <v>0</v>
      </c>
      <c r="AM482">
        <v>0</v>
      </c>
      <c r="AN482" t="s">
        <v>135</v>
      </c>
      <c r="AO482" t="s">
        <v>135</v>
      </c>
      <c r="AP482" t="s">
        <v>136</v>
      </c>
      <c r="AQ482" t="s">
        <v>137</v>
      </c>
      <c r="AR482" t="s">
        <v>138</v>
      </c>
      <c r="AS482" t="s">
        <v>139</v>
      </c>
      <c r="AT482" t="s">
        <v>140</v>
      </c>
      <c r="AU482">
        <v>101</v>
      </c>
      <c r="AV482">
        <v>10</v>
      </c>
      <c r="AW482">
        <v>1</v>
      </c>
      <c r="AX482" s="2">
        <v>45812</v>
      </c>
      <c r="AY482" t="s">
        <v>168</v>
      </c>
      <c r="AZ482" s="2">
        <v>46022</v>
      </c>
      <c r="BA482">
        <v>0</v>
      </c>
      <c r="BB482">
        <v>0</v>
      </c>
      <c r="BC482">
        <v>0</v>
      </c>
      <c r="BD482">
        <v>700</v>
      </c>
      <c r="BE482">
        <v>70</v>
      </c>
      <c r="BF482">
        <v>9</v>
      </c>
      <c r="BG482" s="2">
        <v>45536</v>
      </c>
      <c r="BH482" t="s">
        <v>142</v>
      </c>
      <c r="BI482" s="2">
        <v>46026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339.26</v>
      </c>
      <c r="BQ482">
        <v>339.26</v>
      </c>
      <c r="BR482">
        <v>0</v>
      </c>
      <c r="BS482">
        <v>0</v>
      </c>
      <c r="BT482">
        <v>0</v>
      </c>
      <c r="BU482">
        <v>0</v>
      </c>
      <c r="BV482">
        <v>273.14999999999998</v>
      </c>
      <c r="BW482">
        <v>273.14999999999998</v>
      </c>
      <c r="BX482">
        <v>0</v>
      </c>
      <c r="BY482">
        <v>0</v>
      </c>
      <c r="BZ482">
        <v>0</v>
      </c>
      <c r="CA482">
        <v>0</v>
      </c>
      <c r="CB482">
        <v>223.15</v>
      </c>
      <c r="CC482" t="s">
        <v>143</v>
      </c>
    </row>
    <row r="483" spans="1:81" x14ac:dyDescent="0.25">
      <c r="A483">
        <v>345</v>
      </c>
      <c r="B483">
        <v>2</v>
      </c>
      <c r="C483">
        <v>764</v>
      </c>
      <c r="D483" t="s">
        <v>2777</v>
      </c>
      <c r="E483" t="s">
        <v>121</v>
      </c>
      <c r="F483" t="s">
        <v>2778</v>
      </c>
      <c r="G483" t="s">
        <v>2779</v>
      </c>
      <c r="H483" t="s">
        <v>2780</v>
      </c>
      <c r="I483" t="s">
        <v>2781</v>
      </c>
      <c r="J483" t="s">
        <v>606</v>
      </c>
      <c r="K483" t="s">
        <v>336</v>
      </c>
      <c r="L483" t="s">
        <v>128</v>
      </c>
      <c r="M483" t="s">
        <v>337</v>
      </c>
      <c r="N483" t="s">
        <v>2782</v>
      </c>
      <c r="O483" t="s">
        <v>159</v>
      </c>
      <c r="P483">
        <v>0</v>
      </c>
      <c r="Q483" t="s">
        <v>125</v>
      </c>
      <c r="R483">
        <v>6</v>
      </c>
      <c r="S483">
        <v>39</v>
      </c>
      <c r="T483" t="s">
        <v>132</v>
      </c>
      <c r="U483" t="s">
        <v>133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134</v>
      </c>
      <c r="AE483" t="s">
        <v>134</v>
      </c>
      <c r="AF483" s="2">
        <v>45518</v>
      </c>
      <c r="AG483" s="2">
        <v>46009</v>
      </c>
      <c r="AH483">
        <v>287.85000000000002</v>
      </c>
      <c r="AI483">
        <v>385.12</v>
      </c>
      <c r="AJ483">
        <v>863.57</v>
      </c>
      <c r="AK483">
        <v>0</v>
      </c>
      <c r="AL483">
        <v>0</v>
      </c>
      <c r="AM483">
        <v>0</v>
      </c>
      <c r="AN483" t="s">
        <v>135</v>
      </c>
      <c r="AO483" t="s">
        <v>135</v>
      </c>
      <c r="AP483" t="s">
        <v>136</v>
      </c>
      <c r="AQ483" t="s">
        <v>137</v>
      </c>
      <c r="AR483" t="s">
        <v>138</v>
      </c>
      <c r="AS483" t="s">
        <v>150</v>
      </c>
      <c r="AT483" t="s">
        <v>140</v>
      </c>
      <c r="AU483">
        <v>101</v>
      </c>
      <c r="AV483">
        <v>10</v>
      </c>
      <c r="AW483">
        <v>1</v>
      </c>
      <c r="AX483" s="2">
        <v>45811</v>
      </c>
      <c r="AY483" t="s">
        <v>377</v>
      </c>
      <c r="AZ483" s="2">
        <v>46028</v>
      </c>
      <c r="BA483">
        <v>0</v>
      </c>
      <c r="BB483">
        <v>0</v>
      </c>
      <c r="BC483">
        <v>0</v>
      </c>
      <c r="BD483">
        <v>700</v>
      </c>
      <c r="BE483">
        <v>70</v>
      </c>
      <c r="BF483">
        <v>9</v>
      </c>
      <c r="BG483" s="2">
        <v>45536</v>
      </c>
      <c r="BH483" t="s">
        <v>142</v>
      </c>
      <c r="BI483" s="2">
        <v>46026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274.83999999999997</v>
      </c>
      <c r="BW483">
        <v>274.83999999999997</v>
      </c>
      <c r="BX483">
        <v>0</v>
      </c>
      <c r="BY483">
        <v>0</v>
      </c>
      <c r="BZ483">
        <v>0</v>
      </c>
      <c r="CA483">
        <v>0</v>
      </c>
      <c r="CB483">
        <v>355.12</v>
      </c>
      <c r="CC483" t="s">
        <v>161</v>
      </c>
    </row>
    <row r="484" spans="1:81" x14ac:dyDescent="0.25">
      <c r="A484">
        <v>345</v>
      </c>
      <c r="B484">
        <v>2</v>
      </c>
      <c r="C484">
        <v>766</v>
      </c>
      <c r="D484" t="s">
        <v>2783</v>
      </c>
      <c r="E484" t="s">
        <v>121</v>
      </c>
      <c r="F484" t="s">
        <v>2784</v>
      </c>
      <c r="G484" t="s">
        <v>2785</v>
      </c>
      <c r="H484" t="s">
        <v>2786</v>
      </c>
      <c r="I484" t="s">
        <v>2787</v>
      </c>
      <c r="J484" t="s">
        <v>126</v>
      </c>
      <c r="K484" t="s">
        <v>127</v>
      </c>
      <c r="L484" t="s">
        <v>128</v>
      </c>
      <c r="M484" t="s">
        <v>129</v>
      </c>
      <c r="N484" t="s">
        <v>2788</v>
      </c>
      <c r="O484" t="s">
        <v>131</v>
      </c>
      <c r="P484">
        <v>0</v>
      </c>
      <c r="Q484" t="s">
        <v>125</v>
      </c>
      <c r="R484">
        <v>6</v>
      </c>
      <c r="S484">
        <v>41</v>
      </c>
      <c r="T484" t="s">
        <v>132</v>
      </c>
      <c r="U484" t="s">
        <v>133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134</v>
      </c>
      <c r="AE484" t="s">
        <v>134</v>
      </c>
      <c r="AF484" s="2">
        <v>45518</v>
      </c>
      <c r="AG484" s="2">
        <v>46014</v>
      </c>
      <c r="AH484" s="1">
        <v>4674.71</v>
      </c>
      <c r="AI484" s="1">
        <v>9322.7999999999993</v>
      </c>
      <c r="AJ484" s="1">
        <v>51421.89</v>
      </c>
      <c r="AK484">
        <v>0</v>
      </c>
      <c r="AL484">
        <v>0</v>
      </c>
      <c r="AM484">
        <v>0</v>
      </c>
      <c r="AN484" t="s">
        <v>135</v>
      </c>
      <c r="AO484" t="s">
        <v>135</v>
      </c>
      <c r="AP484" t="s">
        <v>136</v>
      </c>
      <c r="AQ484" t="s">
        <v>137</v>
      </c>
      <c r="AR484" t="s">
        <v>138</v>
      </c>
      <c r="AS484" t="s">
        <v>139</v>
      </c>
      <c r="AT484" t="s">
        <v>140</v>
      </c>
      <c r="AU484">
        <v>102</v>
      </c>
      <c r="AV484">
        <v>10</v>
      </c>
      <c r="AW484">
        <v>1</v>
      </c>
      <c r="AX484" s="2">
        <v>45810</v>
      </c>
      <c r="AY484" t="s">
        <v>141</v>
      </c>
      <c r="AZ484" s="2">
        <v>46027</v>
      </c>
      <c r="BA484">
        <v>0</v>
      </c>
      <c r="BB484">
        <v>0</v>
      </c>
      <c r="BC484">
        <v>0</v>
      </c>
      <c r="BD484">
        <v>700</v>
      </c>
      <c r="BE484">
        <v>70</v>
      </c>
      <c r="BF484">
        <v>9</v>
      </c>
      <c r="BG484" s="2">
        <v>45536</v>
      </c>
      <c r="BH484" t="s">
        <v>142</v>
      </c>
      <c r="BI484" s="2">
        <v>46026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 s="1">
        <v>20176.400000000001</v>
      </c>
      <c r="BQ484" s="1">
        <v>20176.400000000001</v>
      </c>
      <c r="BR484">
        <v>0</v>
      </c>
      <c r="BS484">
        <v>0</v>
      </c>
      <c r="BT484">
        <v>0</v>
      </c>
      <c r="BU484">
        <v>0</v>
      </c>
      <c r="BV484" s="1">
        <v>19052</v>
      </c>
      <c r="BW484" s="1">
        <v>19052</v>
      </c>
      <c r="BX484">
        <v>0</v>
      </c>
      <c r="BY484">
        <v>0</v>
      </c>
      <c r="BZ484">
        <v>0</v>
      </c>
      <c r="CA484">
        <v>0</v>
      </c>
      <c r="CB484" s="1">
        <v>17462.240000000002</v>
      </c>
      <c r="CC484" t="s">
        <v>143</v>
      </c>
    </row>
    <row r="485" spans="1:81" x14ac:dyDescent="0.25">
      <c r="A485">
        <v>345</v>
      </c>
      <c r="B485">
        <v>2</v>
      </c>
      <c r="C485">
        <v>768</v>
      </c>
      <c r="D485" t="s">
        <v>2789</v>
      </c>
      <c r="E485" t="s">
        <v>121</v>
      </c>
      <c r="F485" t="s">
        <v>2790</v>
      </c>
      <c r="G485" t="s">
        <v>2791</v>
      </c>
      <c r="H485" t="s">
        <v>2792</v>
      </c>
      <c r="I485" t="s">
        <v>125</v>
      </c>
      <c r="J485" t="s">
        <v>1556</v>
      </c>
      <c r="K485" t="s">
        <v>473</v>
      </c>
      <c r="L485" t="s">
        <v>128</v>
      </c>
      <c r="M485" t="s">
        <v>474</v>
      </c>
      <c r="N485" t="s">
        <v>2793</v>
      </c>
      <c r="O485" t="s">
        <v>131</v>
      </c>
      <c r="P485">
        <v>0</v>
      </c>
      <c r="Q485" t="s">
        <v>125</v>
      </c>
      <c r="R485">
        <v>6</v>
      </c>
      <c r="S485">
        <v>41</v>
      </c>
      <c r="T485" t="s">
        <v>132</v>
      </c>
      <c r="U485" t="s">
        <v>133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134</v>
      </c>
      <c r="AE485" t="s">
        <v>134</v>
      </c>
      <c r="AF485" s="2">
        <v>45518</v>
      </c>
      <c r="AG485" s="2">
        <v>46018</v>
      </c>
      <c r="AH485" s="1">
        <v>1357.99</v>
      </c>
      <c r="AI485" s="1">
        <v>5108.42</v>
      </c>
      <c r="AJ485" s="1">
        <v>13579.91</v>
      </c>
      <c r="AK485">
        <v>0</v>
      </c>
      <c r="AL485">
        <v>0</v>
      </c>
      <c r="AM485">
        <v>0</v>
      </c>
      <c r="AN485" t="s">
        <v>135</v>
      </c>
      <c r="AO485" t="s">
        <v>135</v>
      </c>
      <c r="AP485" t="s">
        <v>136</v>
      </c>
      <c r="AQ485" t="s">
        <v>137</v>
      </c>
      <c r="AR485" t="s">
        <v>138</v>
      </c>
      <c r="AS485" t="s">
        <v>139</v>
      </c>
      <c r="AT485" t="s">
        <v>140</v>
      </c>
      <c r="AU485">
        <v>102</v>
      </c>
      <c r="AV485">
        <v>10</v>
      </c>
      <c r="AW485">
        <v>1</v>
      </c>
      <c r="AX485" s="2">
        <v>45855</v>
      </c>
      <c r="AY485" t="s">
        <v>308</v>
      </c>
      <c r="AZ485" s="2">
        <v>46023</v>
      </c>
      <c r="BA485">
        <v>0</v>
      </c>
      <c r="BB485">
        <v>0</v>
      </c>
      <c r="BC485">
        <v>0</v>
      </c>
      <c r="BD485">
        <v>700</v>
      </c>
      <c r="BE485">
        <v>70</v>
      </c>
      <c r="BF485">
        <v>9</v>
      </c>
      <c r="BG485" s="2">
        <v>45536</v>
      </c>
      <c r="BH485" t="s">
        <v>142</v>
      </c>
      <c r="BI485" s="2">
        <v>46026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s="1">
        <v>8000.14</v>
      </c>
      <c r="BQ485" s="1">
        <v>8000.14</v>
      </c>
      <c r="BR485">
        <v>0</v>
      </c>
      <c r="BS485">
        <v>0</v>
      </c>
      <c r="BT485">
        <v>0</v>
      </c>
      <c r="BU485">
        <v>0</v>
      </c>
      <c r="BV485" s="1">
        <v>2652.25</v>
      </c>
      <c r="BW485" s="1">
        <v>2652.25</v>
      </c>
      <c r="BX485">
        <v>0</v>
      </c>
      <c r="BY485">
        <v>0</v>
      </c>
      <c r="BZ485">
        <v>0</v>
      </c>
      <c r="CA485">
        <v>0</v>
      </c>
      <c r="CB485" s="1">
        <v>5012.57</v>
      </c>
      <c r="CC485" t="s">
        <v>143</v>
      </c>
    </row>
    <row r="486" spans="1:81" x14ac:dyDescent="0.25">
      <c r="A486">
        <v>345</v>
      </c>
      <c r="B486">
        <v>2</v>
      </c>
      <c r="C486">
        <v>770</v>
      </c>
      <c r="D486" t="s">
        <v>2794</v>
      </c>
      <c r="E486" t="s">
        <v>121</v>
      </c>
      <c r="F486" t="s">
        <v>2795</v>
      </c>
      <c r="G486" t="s">
        <v>2796</v>
      </c>
      <c r="H486" t="s">
        <v>2797</v>
      </c>
      <c r="I486" t="s">
        <v>2798</v>
      </c>
      <c r="J486" t="s">
        <v>1144</v>
      </c>
      <c r="K486" t="s">
        <v>473</v>
      </c>
      <c r="L486" t="s">
        <v>128</v>
      </c>
      <c r="M486" t="s">
        <v>474</v>
      </c>
      <c r="N486" t="s">
        <v>2799</v>
      </c>
      <c r="O486" t="s">
        <v>131</v>
      </c>
      <c r="P486">
        <v>0</v>
      </c>
      <c r="Q486" t="s">
        <v>125</v>
      </c>
      <c r="R486">
        <v>6</v>
      </c>
      <c r="S486">
        <v>40</v>
      </c>
      <c r="T486" t="s">
        <v>132</v>
      </c>
      <c r="U486" t="s">
        <v>133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134</v>
      </c>
      <c r="AE486" t="s">
        <v>134</v>
      </c>
      <c r="AF486" s="2">
        <v>45518</v>
      </c>
      <c r="AG486" s="2">
        <v>45972</v>
      </c>
      <c r="AH486">
        <v>251.26</v>
      </c>
      <c r="AI486">
        <v>406.11</v>
      </c>
      <c r="AJ486" s="1">
        <v>1256.32</v>
      </c>
      <c r="AK486">
        <v>0</v>
      </c>
      <c r="AL486">
        <v>0</v>
      </c>
      <c r="AM486">
        <v>0</v>
      </c>
      <c r="AN486" t="s">
        <v>135</v>
      </c>
      <c r="AO486" t="s">
        <v>135</v>
      </c>
      <c r="AP486" t="s">
        <v>136</v>
      </c>
      <c r="AQ486" t="s">
        <v>137</v>
      </c>
      <c r="AR486" t="s">
        <v>138</v>
      </c>
      <c r="AS486" t="s">
        <v>139</v>
      </c>
      <c r="AT486" t="s">
        <v>140</v>
      </c>
      <c r="AU486">
        <v>105</v>
      </c>
      <c r="AV486">
        <v>10</v>
      </c>
      <c r="AW486">
        <v>1</v>
      </c>
      <c r="AX486" s="2">
        <v>45838</v>
      </c>
      <c r="AY486" t="s">
        <v>141</v>
      </c>
      <c r="AZ486" s="2">
        <v>46027</v>
      </c>
      <c r="BA486">
        <v>0</v>
      </c>
      <c r="BB486">
        <v>0</v>
      </c>
      <c r="BC486">
        <v>0</v>
      </c>
      <c r="BD486">
        <v>700</v>
      </c>
      <c r="BE486">
        <v>70</v>
      </c>
      <c r="BF486">
        <v>9</v>
      </c>
      <c r="BG486" s="2">
        <v>45536</v>
      </c>
      <c r="BH486" t="s">
        <v>142</v>
      </c>
      <c r="BI486" s="2">
        <v>46026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578.01</v>
      </c>
      <c r="BQ486">
        <v>578.01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567.91999999999996</v>
      </c>
      <c r="CC486" t="s">
        <v>143</v>
      </c>
    </row>
    <row r="487" spans="1:81" x14ac:dyDescent="0.25">
      <c r="A487">
        <v>345</v>
      </c>
      <c r="B487">
        <v>2</v>
      </c>
      <c r="C487">
        <v>775</v>
      </c>
      <c r="D487" t="s">
        <v>2800</v>
      </c>
      <c r="E487" t="s">
        <v>121</v>
      </c>
      <c r="F487" t="s">
        <v>2801</v>
      </c>
      <c r="G487" t="s">
        <v>2802</v>
      </c>
      <c r="H487" t="s">
        <v>2803</v>
      </c>
      <c r="I487" t="s">
        <v>2804</v>
      </c>
      <c r="J487" t="s">
        <v>606</v>
      </c>
      <c r="K487" t="s">
        <v>336</v>
      </c>
      <c r="L487" t="s">
        <v>128</v>
      </c>
      <c r="M487" t="s">
        <v>337</v>
      </c>
      <c r="N487" t="s">
        <v>2805</v>
      </c>
      <c r="O487" t="s">
        <v>159</v>
      </c>
      <c r="P487">
        <v>0</v>
      </c>
      <c r="Q487" t="s">
        <v>125</v>
      </c>
      <c r="R487">
        <v>6</v>
      </c>
      <c r="S487">
        <v>36</v>
      </c>
      <c r="T487" t="s">
        <v>132</v>
      </c>
      <c r="U487" t="s">
        <v>133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134</v>
      </c>
      <c r="AE487" t="s">
        <v>134</v>
      </c>
      <c r="AF487" s="2">
        <v>45518</v>
      </c>
      <c r="AG487" s="2">
        <v>46015</v>
      </c>
      <c r="AH487" s="1">
        <v>2276.17</v>
      </c>
      <c r="AI487" s="1">
        <v>2929.89</v>
      </c>
      <c r="AJ487" s="1">
        <v>15933.22</v>
      </c>
      <c r="AK487">
        <v>0</v>
      </c>
      <c r="AL487">
        <v>0</v>
      </c>
      <c r="AM487">
        <v>0</v>
      </c>
      <c r="AN487" t="s">
        <v>135</v>
      </c>
      <c r="AO487" t="s">
        <v>135</v>
      </c>
      <c r="AP487" t="s">
        <v>136</v>
      </c>
      <c r="AQ487" t="s">
        <v>137</v>
      </c>
      <c r="AR487" t="s">
        <v>138</v>
      </c>
      <c r="AS487" t="s">
        <v>139</v>
      </c>
      <c r="AT487" t="s">
        <v>140</v>
      </c>
      <c r="AU487">
        <v>501</v>
      </c>
      <c r="AV487">
        <v>10</v>
      </c>
      <c r="AW487">
        <v>1</v>
      </c>
      <c r="AX487" s="2">
        <v>45860</v>
      </c>
      <c r="AY487" t="s">
        <v>377</v>
      </c>
      <c r="AZ487" s="2">
        <v>46028</v>
      </c>
      <c r="BA487">
        <v>0</v>
      </c>
      <c r="BB487">
        <v>0</v>
      </c>
      <c r="BC487">
        <v>0</v>
      </c>
      <c r="BD487">
        <v>700</v>
      </c>
      <c r="BE487">
        <v>70</v>
      </c>
      <c r="BF487">
        <v>9</v>
      </c>
      <c r="BG487" s="2">
        <v>45536</v>
      </c>
      <c r="BH487" t="s">
        <v>142</v>
      </c>
      <c r="BI487" s="2">
        <v>46026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s="1">
        <v>4748.32</v>
      </c>
      <c r="BQ487" s="1">
        <v>4748.32</v>
      </c>
      <c r="BR487">
        <v>0</v>
      </c>
      <c r="BS487">
        <v>0</v>
      </c>
      <c r="BT487">
        <v>0</v>
      </c>
      <c r="BU487">
        <v>0</v>
      </c>
      <c r="BV487" s="1">
        <v>7048.57</v>
      </c>
      <c r="BW487" s="1">
        <v>7048.57</v>
      </c>
      <c r="BX487">
        <v>0</v>
      </c>
      <c r="BY487">
        <v>0</v>
      </c>
      <c r="BZ487">
        <v>0</v>
      </c>
      <c r="CA487">
        <v>0</v>
      </c>
      <c r="CB487" s="1">
        <v>4360.41</v>
      </c>
      <c r="CC487" t="s">
        <v>161</v>
      </c>
    </row>
    <row r="488" spans="1:81" x14ac:dyDescent="0.25">
      <c r="A488">
        <v>345</v>
      </c>
      <c r="B488">
        <v>2</v>
      </c>
      <c r="C488">
        <v>776</v>
      </c>
      <c r="D488" t="s">
        <v>2806</v>
      </c>
      <c r="E488" t="s">
        <v>121</v>
      </c>
      <c r="F488" t="s">
        <v>2807</v>
      </c>
      <c r="G488" t="s">
        <v>2808</v>
      </c>
      <c r="H488" t="s">
        <v>2809</v>
      </c>
      <c r="I488" t="s">
        <v>2810</v>
      </c>
      <c r="J488" t="s">
        <v>126</v>
      </c>
      <c r="K488" t="s">
        <v>466</v>
      </c>
      <c r="L488" t="s">
        <v>128</v>
      </c>
      <c r="M488" t="s">
        <v>467</v>
      </c>
      <c r="N488" t="s">
        <v>2811</v>
      </c>
      <c r="O488" t="s">
        <v>131</v>
      </c>
      <c r="P488">
        <v>0</v>
      </c>
      <c r="Q488" t="s">
        <v>125</v>
      </c>
      <c r="R488">
        <v>6</v>
      </c>
      <c r="S488">
        <v>37</v>
      </c>
      <c r="T488" t="s">
        <v>132</v>
      </c>
      <c r="U488" t="s">
        <v>133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134</v>
      </c>
      <c r="AE488" t="s">
        <v>134</v>
      </c>
      <c r="AF488" s="2">
        <v>45518</v>
      </c>
      <c r="AG488" s="2">
        <v>45982</v>
      </c>
      <c r="AH488">
        <v>484.33</v>
      </c>
      <c r="AI488">
        <v>631.41999999999996</v>
      </c>
      <c r="AJ488" s="1">
        <v>1937.33</v>
      </c>
      <c r="AK488">
        <v>0</v>
      </c>
      <c r="AL488">
        <v>0</v>
      </c>
      <c r="AM488">
        <v>0</v>
      </c>
      <c r="AN488" t="s">
        <v>135</v>
      </c>
      <c r="AO488" t="s">
        <v>135</v>
      </c>
      <c r="AP488" t="s">
        <v>136</v>
      </c>
      <c r="AQ488" t="s">
        <v>137</v>
      </c>
      <c r="AR488" t="s">
        <v>138</v>
      </c>
      <c r="AS488" t="s">
        <v>139</v>
      </c>
      <c r="AT488" t="s">
        <v>140</v>
      </c>
      <c r="AU488">
        <v>105</v>
      </c>
      <c r="AV488">
        <v>10</v>
      </c>
      <c r="AW488">
        <v>1</v>
      </c>
      <c r="AX488" s="2">
        <v>45827</v>
      </c>
      <c r="AY488" t="s">
        <v>308</v>
      </c>
      <c r="AZ488" s="2">
        <v>46023</v>
      </c>
      <c r="BA488">
        <v>0</v>
      </c>
      <c r="BB488">
        <v>0</v>
      </c>
      <c r="BC488">
        <v>0</v>
      </c>
      <c r="BD488">
        <v>700</v>
      </c>
      <c r="BE488">
        <v>70</v>
      </c>
      <c r="BF488">
        <v>9</v>
      </c>
      <c r="BG488" s="2">
        <v>45536</v>
      </c>
      <c r="BH488" t="s">
        <v>142</v>
      </c>
      <c r="BI488" s="2">
        <v>46026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s="1">
        <v>1243.18</v>
      </c>
      <c r="BQ488" s="1">
        <v>1243.18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645.77</v>
      </c>
      <c r="CC488" t="s">
        <v>143</v>
      </c>
    </row>
    <row r="489" spans="1:81" x14ac:dyDescent="0.25">
      <c r="A489">
        <v>345</v>
      </c>
      <c r="B489">
        <v>2</v>
      </c>
      <c r="C489">
        <v>780</v>
      </c>
      <c r="D489" t="s">
        <v>2812</v>
      </c>
      <c r="E489" t="s">
        <v>121</v>
      </c>
      <c r="F489" t="s">
        <v>2813</v>
      </c>
      <c r="G489" t="s">
        <v>2814</v>
      </c>
      <c r="H489" t="s">
        <v>2815</v>
      </c>
      <c r="I489" t="s">
        <v>125</v>
      </c>
      <c r="J489" t="s">
        <v>967</v>
      </c>
      <c r="K489" t="s">
        <v>466</v>
      </c>
      <c r="L489" t="s">
        <v>128</v>
      </c>
      <c r="M489" t="s">
        <v>467</v>
      </c>
      <c r="N489" t="s">
        <v>2816</v>
      </c>
      <c r="O489" t="s">
        <v>195</v>
      </c>
      <c r="P489">
        <v>0</v>
      </c>
      <c r="Q489" t="s">
        <v>125</v>
      </c>
      <c r="R489">
        <v>6</v>
      </c>
      <c r="S489">
        <v>38</v>
      </c>
      <c r="T489" t="s">
        <v>132</v>
      </c>
      <c r="U489" t="s">
        <v>133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134</v>
      </c>
      <c r="AE489" t="s">
        <v>134</v>
      </c>
      <c r="AF489" s="2">
        <v>45518</v>
      </c>
      <c r="AG489" s="2">
        <v>46012</v>
      </c>
      <c r="AH489">
        <v>122.98</v>
      </c>
      <c r="AI489">
        <v>191.43</v>
      </c>
      <c r="AJ489">
        <v>491.92</v>
      </c>
      <c r="AK489">
        <v>0</v>
      </c>
      <c r="AL489">
        <v>0</v>
      </c>
      <c r="AM489">
        <v>0</v>
      </c>
      <c r="AN489" t="s">
        <v>135</v>
      </c>
      <c r="AO489" t="s">
        <v>135</v>
      </c>
      <c r="AP489" t="s">
        <v>136</v>
      </c>
      <c r="AQ489" t="s">
        <v>137</v>
      </c>
      <c r="AR489" t="s">
        <v>138</v>
      </c>
      <c r="AS489" t="s">
        <v>139</v>
      </c>
      <c r="AT489" t="s">
        <v>140</v>
      </c>
      <c r="AU489">
        <v>100</v>
      </c>
      <c r="AV489">
        <v>10</v>
      </c>
      <c r="AW489">
        <v>1</v>
      </c>
      <c r="AX489" s="2">
        <v>45534</v>
      </c>
      <c r="AY489" t="s">
        <v>151</v>
      </c>
      <c r="AZ489" s="2">
        <v>46024</v>
      </c>
      <c r="BA489">
        <v>0</v>
      </c>
      <c r="BB489">
        <v>0</v>
      </c>
      <c r="BC489">
        <v>0</v>
      </c>
      <c r="BD489">
        <v>700</v>
      </c>
      <c r="BE489">
        <v>70</v>
      </c>
      <c r="BF489">
        <v>9</v>
      </c>
      <c r="BG489" s="2">
        <v>45536</v>
      </c>
      <c r="BH489" t="s">
        <v>142</v>
      </c>
      <c r="BI489" s="2">
        <v>46026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142.85</v>
      </c>
      <c r="BQ489">
        <v>142.85</v>
      </c>
      <c r="BR489">
        <v>0</v>
      </c>
      <c r="BS489">
        <v>0</v>
      </c>
      <c r="BT489">
        <v>0</v>
      </c>
      <c r="BU489">
        <v>0</v>
      </c>
      <c r="BV489">
        <v>191.43</v>
      </c>
      <c r="BW489">
        <v>191.43</v>
      </c>
      <c r="BX489">
        <v>0</v>
      </c>
      <c r="BY489">
        <v>0</v>
      </c>
      <c r="BZ489">
        <v>0</v>
      </c>
      <c r="CA489">
        <v>0</v>
      </c>
      <c r="CB489">
        <v>145.56</v>
      </c>
      <c r="CC489" t="s">
        <v>161</v>
      </c>
    </row>
    <row r="490" spans="1:81" x14ac:dyDescent="0.25">
      <c r="A490">
        <v>345</v>
      </c>
      <c r="B490">
        <v>2</v>
      </c>
      <c r="C490">
        <v>781</v>
      </c>
      <c r="D490" t="s">
        <v>2817</v>
      </c>
      <c r="E490" t="s">
        <v>121</v>
      </c>
      <c r="F490" t="s">
        <v>2818</v>
      </c>
      <c r="G490" t="s">
        <v>2819</v>
      </c>
      <c r="H490" t="s">
        <v>2820</v>
      </c>
      <c r="I490" t="s">
        <v>2821</v>
      </c>
      <c r="J490" t="s">
        <v>126</v>
      </c>
      <c r="K490" t="s">
        <v>473</v>
      </c>
      <c r="L490" t="s">
        <v>128</v>
      </c>
      <c r="M490" t="s">
        <v>474</v>
      </c>
      <c r="N490" t="s">
        <v>2822</v>
      </c>
      <c r="O490" t="s">
        <v>131</v>
      </c>
      <c r="P490">
        <v>0</v>
      </c>
      <c r="Q490" t="s">
        <v>125</v>
      </c>
      <c r="R490">
        <v>6</v>
      </c>
      <c r="S490">
        <v>39</v>
      </c>
      <c r="T490" t="s">
        <v>132</v>
      </c>
      <c r="U490" t="s">
        <v>133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134</v>
      </c>
      <c r="AE490" t="s">
        <v>134</v>
      </c>
      <c r="AF490" s="2">
        <v>45518</v>
      </c>
      <c r="AG490" s="2">
        <v>46017</v>
      </c>
      <c r="AH490">
        <v>786.9</v>
      </c>
      <c r="AI490">
        <v>878.9</v>
      </c>
      <c r="AJ490" s="1">
        <v>4721.41</v>
      </c>
      <c r="AK490">
        <v>0</v>
      </c>
      <c r="AL490">
        <v>0</v>
      </c>
      <c r="AM490">
        <v>0</v>
      </c>
      <c r="AN490" t="s">
        <v>135</v>
      </c>
      <c r="AO490" t="s">
        <v>135</v>
      </c>
      <c r="AP490" t="s">
        <v>136</v>
      </c>
      <c r="AQ490" t="s">
        <v>137</v>
      </c>
      <c r="AR490" t="s">
        <v>138</v>
      </c>
      <c r="AS490" t="s">
        <v>139</v>
      </c>
      <c r="AT490" t="s">
        <v>140</v>
      </c>
      <c r="AU490">
        <v>102</v>
      </c>
      <c r="AV490">
        <v>10</v>
      </c>
      <c r="AW490">
        <v>1</v>
      </c>
      <c r="AX490" s="2">
        <v>45972</v>
      </c>
      <c r="AY490" t="s">
        <v>377</v>
      </c>
      <c r="AZ490" s="2">
        <v>46028</v>
      </c>
      <c r="BA490">
        <v>0</v>
      </c>
      <c r="BB490">
        <v>0</v>
      </c>
      <c r="BC490">
        <v>0</v>
      </c>
      <c r="BD490">
        <v>700</v>
      </c>
      <c r="BE490">
        <v>70</v>
      </c>
      <c r="BF490">
        <v>9</v>
      </c>
      <c r="BG490" s="2">
        <v>45536</v>
      </c>
      <c r="BH490" t="s">
        <v>142</v>
      </c>
      <c r="BI490" s="2">
        <v>46026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s="1">
        <v>1537.06</v>
      </c>
      <c r="BQ490" s="1">
        <v>1537.06</v>
      </c>
      <c r="BR490">
        <v>0</v>
      </c>
      <c r="BS490">
        <v>0</v>
      </c>
      <c r="BT490">
        <v>0</v>
      </c>
      <c r="BU490">
        <v>0</v>
      </c>
      <c r="BV490" s="1">
        <v>2382.4899999999998</v>
      </c>
      <c r="BW490" s="1">
        <v>2382.4899999999998</v>
      </c>
      <c r="BX490">
        <v>0</v>
      </c>
      <c r="BY490">
        <v>0</v>
      </c>
      <c r="BZ490">
        <v>0</v>
      </c>
      <c r="CA490">
        <v>0</v>
      </c>
      <c r="CB490" s="1">
        <v>1448.92</v>
      </c>
      <c r="CC490" t="s">
        <v>143</v>
      </c>
    </row>
    <row r="491" spans="1:81" x14ac:dyDescent="0.25">
      <c r="A491">
        <v>345</v>
      </c>
      <c r="B491">
        <v>2</v>
      </c>
      <c r="C491">
        <v>782</v>
      </c>
      <c r="D491" t="s">
        <v>2823</v>
      </c>
      <c r="E491" t="s">
        <v>121</v>
      </c>
      <c r="F491" t="s">
        <v>2824</v>
      </c>
      <c r="G491" t="s">
        <v>2825</v>
      </c>
      <c r="H491" t="s">
        <v>2826</v>
      </c>
      <c r="I491" t="s">
        <v>2827</v>
      </c>
      <c r="J491" t="s">
        <v>126</v>
      </c>
      <c r="K491" t="s">
        <v>473</v>
      </c>
      <c r="L491" t="s">
        <v>128</v>
      </c>
      <c r="M491" t="s">
        <v>474</v>
      </c>
      <c r="N491" t="s">
        <v>2828</v>
      </c>
      <c r="O491" t="s">
        <v>131</v>
      </c>
      <c r="P491">
        <v>0</v>
      </c>
      <c r="Q491" t="s">
        <v>125</v>
      </c>
      <c r="R491">
        <v>6</v>
      </c>
      <c r="S491">
        <v>40</v>
      </c>
      <c r="T491" t="s">
        <v>132</v>
      </c>
      <c r="U491" t="s">
        <v>133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134</v>
      </c>
      <c r="AE491" t="s">
        <v>134</v>
      </c>
      <c r="AF491" s="2">
        <v>45518</v>
      </c>
      <c r="AG491" s="2">
        <v>46017</v>
      </c>
      <c r="AH491">
        <v>542.57000000000005</v>
      </c>
      <c r="AI491" s="1">
        <v>1049.21</v>
      </c>
      <c r="AJ491" s="1">
        <v>5968.32</v>
      </c>
      <c r="AK491">
        <v>0</v>
      </c>
      <c r="AL491" s="1">
        <v>1049.21</v>
      </c>
      <c r="AM491">
        <v>0</v>
      </c>
      <c r="AN491" t="s">
        <v>135</v>
      </c>
      <c r="AO491" t="s">
        <v>135</v>
      </c>
      <c r="AP491" t="s">
        <v>136</v>
      </c>
      <c r="AQ491" t="s">
        <v>137</v>
      </c>
      <c r="AR491" t="s">
        <v>138</v>
      </c>
      <c r="AS491" t="s">
        <v>139</v>
      </c>
      <c r="AT491" t="s">
        <v>140</v>
      </c>
      <c r="AU491">
        <v>105</v>
      </c>
      <c r="AV491">
        <v>10</v>
      </c>
      <c r="AW491">
        <v>1</v>
      </c>
      <c r="AX491" s="2">
        <v>45811</v>
      </c>
      <c r="AY491" t="s">
        <v>377</v>
      </c>
      <c r="AZ491" s="2">
        <v>46028</v>
      </c>
      <c r="BA491">
        <v>0</v>
      </c>
      <c r="BB491">
        <v>0</v>
      </c>
      <c r="BC491">
        <v>0</v>
      </c>
      <c r="BD491">
        <v>700</v>
      </c>
      <c r="BE491">
        <v>70</v>
      </c>
      <c r="BF491">
        <v>9</v>
      </c>
      <c r="BG491" s="2">
        <v>45536</v>
      </c>
      <c r="BH491" t="s">
        <v>142</v>
      </c>
      <c r="BI491" s="2">
        <v>46026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s="1">
        <v>1307.71</v>
      </c>
      <c r="BQ491" s="1">
        <v>1307.71</v>
      </c>
      <c r="BR491">
        <v>0</v>
      </c>
      <c r="BS491">
        <v>0</v>
      </c>
      <c r="BT491">
        <v>0</v>
      </c>
      <c r="BU491">
        <v>0</v>
      </c>
      <c r="BV491" s="1">
        <v>3101.75</v>
      </c>
      <c r="BW491" s="1">
        <v>3101.75</v>
      </c>
      <c r="BX491">
        <v>0</v>
      </c>
      <c r="BY491">
        <v>0</v>
      </c>
      <c r="BZ491">
        <v>0</v>
      </c>
      <c r="CA491">
        <v>0</v>
      </c>
      <c r="CB491" s="1">
        <v>1458.03</v>
      </c>
      <c r="CC491" t="s">
        <v>143</v>
      </c>
    </row>
    <row r="492" spans="1:81" x14ac:dyDescent="0.25">
      <c r="A492">
        <v>345</v>
      </c>
      <c r="B492">
        <v>2</v>
      </c>
      <c r="C492">
        <v>785</v>
      </c>
      <c r="D492" t="s">
        <v>2829</v>
      </c>
      <c r="E492" t="s">
        <v>121</v>
      </c>
      <c r="F492" t="s">
        <v>2830</v>
      </c>
      <c r="G492" t="s">
        <v>2831</v>
      </c>
      <c r="H492" t="s">
        <v>2832</v>
      </c>
      <c r="I492" t="s">
        <v>2833</v>
      </c>
      <c r="J492" t="s">
        <v>606</v>
      </c>
      <c r="K492" t="s">
        <v>336</v>
      </c>
      <c r="L492" t="s">
        <v>128</v>
      </c>
      <c r="M492" t="s">
        <v>337</v>
      </c>
      <c r="N492" t="s">
        <v>2834</v>
      </c>
      <c r="O492" t="s">
        <v>167</v>
      </c>
      <c r="P492">
        <v>0</v>
      </c>
      <c r="Q492" t="s">
        <v>125</v>
      </c>
      <c r="R492">
        <v>6</v>
      </c>
      <c r="S492">
        <v>36</v>
      </c>
      <c r="T492" t="s">
        <v>132</v>
      </c>
      <c r="U492" t="s">
        <v>133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134</v>
      </c>
      <c r="AE492" t="s">
        <v>134</v>
      </c>
      <c r="AF492" s="2">
        <v>45518</v>
      </c>
      <c r="AG492" s="2">
        <v>46009</v>
      </c>
      <c r="AH492">
        <v>479.49</v>
      </c>
      <c r="AI492" s="1">
        <v>1125.49</v>
      </c>
      <c r="AJ492" s="1">
        <v>3835.94</v>
      </c>
      <c r="AK492">
        <v>0</v>
      </c>
      <c r="AL492">
        <v>0</v>
      </c>
      <c r="AM492">
        <v>0</v>
      </c>
      <c r="AN492" t="s">
        <v>135</v>
      </c>
      <c r="AO492" t="s">
        <v>135</v>
      </c>
      <c r="AP492" t="s">
        <v>136</v>
      </c>
      <c r="AQ492" t="s">
        <v>137</v>
      </c>
      <c r="AR492" t="s">
        <v>138</v>
      </c>
      <c r="AS492" t="s">
        <v>139</v>
      </c>
      <c r="AT492" t="s">
        <v>140</v>
      </c>
      <c r="AU492">
        <v>101</v>
      </c>
      <c r="AV492">
        <v>10</v>
      </c>
      <c r="AW492">
        <v>1</v>
      </c>
      <c r="AX492" s="2">
        <v>45840</v>
      </c>
      <c r="AY492" t="s">
        <v>168</v>
      </c>
      <c r="AZ492" s="2">
        <v>46022</v>
      </c>
      <c r="BA492">
        <v>0</v>
      </c>
      <c r="BB492">
        <v>0</v>
      </c>
      <c r="BC492">
        <v>0</v>
      </c>
      <c r="BD492">
        <v>700</v>
      </c>
      <c r="BE492">
        <v>70</v>
      </c>
      <c r="BF492">
        <v>9</v>
      </c>
      <c r="BG492" s="2">
        <v>45536</v>
      </c>
      <c r="BH492" t="s">
        <v>142</v>
      </c>
      <c r="BI492" s="2">
        <v>46026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789.96</v>
      </c>
      <c r="BQ492">
        <v>789.96</v>
      </c>
      <c r="BR492">
        <v>0</v>
      </c>
      <c r="BS492">
        <v>0</v>
      </c>
      <c r="BT492">
        <v>0</v>
      </c>
      <c r="BU492">
        <v>0</v>
      </c>
      <c r="BV492" s="1">
        <v>2012.54</v>
      </c>
      <c r="BW492" s="1">
        <v>2012.54</v>
      </c>
      <c r="BX492">
        <v>0</v>
      </c>
      <c r="BY492">
        <v>0</v>
      </c>
      <c r="BZ492">
        <v>0</v>
      </c>
      <c r="CA492">
        <v>0</v>
      </c>
      <c r="CB492">
        <v>920.95</v>
      </c>
      <c r="CC492" t="s">
        <v>161</v>
      </c>
    </row>
    <row r="493" spans="1:81" x14ac:dyDescent="0.25">
      <c r="A493">
        <v>345</v>
      </c>
      <c r="B493">
        <v>2</v>
      </c>
      <c r="C493">
        <v>786</v>
      </c>
      <c r="D493" t="s">
        <v>2835</v>
      </c>
      <c r="E493" t="s">
        <v>121</v>
      </c>
      <c r="F493" t="s">
        <v>2836</v>
      </c>
      <c r="G493" t="s">
        <v>2837</v>
      </c>
      <c r="H493" t="s">
        <v>2838</v>
      </c>
      <c r="I493" t="s">
        <v>125</v>
      </c>
      <c r="J493" t="s">
        <v>126</v>
      </c>
      <c r="K493" t="s">
        <v>336</v>
      </c>
      <c r="L493" t="s">
        <v>128</v>
      </c>
      <c r="M493" t="s">
        <v>337</v>
      </c>
      <c r="N493" t="s">
        <v>2839</v>
      </c>
      <c r="O493" t="s">
        <v>159</v>
      </c>
      <c r="P493">
        <v>0</v>
      </c>
      <c r="Q493" t="s">
        <v>125</v>
      </c>
      <c r="R493">
        <v>6</v>
      </c>
      <c r="S493">
        <v>36</v>
      </c>
      <c r="T493" t="s">
        <v>132</v>
      </c>
      <c r="U493" t="s">
        <v>133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134</v>
      </c>
      <c r="AE493" t="s">
        <v>134</v>
      </c>
      <c r="AF493" s="2">
        <v>45518</v>
      </c>
      <c r="AG493" s="2">
        <v>46018</v>
      </c>
      <c r="AH493">
        <v>411.41</v>
      </c>
      <c r="AI493">
        <v>593.66</v>
      </c>
      <c r="AJ493" s="1">
        <v>2879.87</v>
      </c>
      <c r="AK493">
        <v>0</v>
      </c>
      <c r="AL493">
        <v>0</v>
      </c>
      <c r="AM493">
        <v>0</v>
      </c>
      <c r="AN493" t="s">
        <v>135</v>
      </c>
      <c r="AO493" t="s">
        <v>135</v>
      </c>
      <c r="AP493" t="s">
        <v>136</v>
      </c>
      <c r="AQ493" t="s">
        <v>137</v>
      </c>
      <c r="AR493" t="s">
        <v>138</v>
      </c>
      <c r="AS493" t="s">
        <v>139</v>
      </c>
      <c r="AT493" t="s">
        <v>140</v>
      </c>
      <c r="AU493">
        <v>101</v>
      </c>
      <c r="AV493">
        <v>10</v>
      </c>
      <c r="AW493">
        <v>1</v>
      </c>
      <c r="AX493" s="2">
        <v>45813</v>
      </c>
      <c r="AY493" t="s">
        <v>308</v>
      </c>
      <c r="AZ493" s="2">
        <v>46023</v>
      </c>
      <c r="BA493">
        <v>0</v>
      </c>
      <c r="BB493">
        <v>0</v>
      </c>
      <c r="BC493">
        <v>0</v>
      </c>
      <c r="BD493">
        <v>700</v>
      </c>
      <c r="BE493">
        <v>70</v>
      </c>
      <c r="BF493">
        <v>9</v>
      </c>
      <c r="BG493" s="2">
        <v>45536</v>
      </c>
      <c r="BH493" t="s">
        <v>142</v>
      </c>
      <c r="BI493" s="2">
        <v>46026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889.98</v>
      </c>
      <c r="BQ493">
        <v>889.98</v>
      </c>
      <c r="BR493">
        <v>0</v>
      </c>
      <c r="BS493">
        <v>0</v>
      </c>
      <c r="BT493">
        <v>0</v>
      </c>
      <c r="BU493">
        <v>0</v>
      </c>
      <c r="BV493" s="1">
        <v>1009.66</v>
      </c>
      <c r="BW493" s="1">
        <v>1009.66</v>
      </c>
      <c r="BX493">
        <v>0</v>
      </c>
      <c r="BY493">
        <v>0</v>
      </c>
      <c r="BZ493">
        <v>0</v>
      </c>
      <c r="CA493">
        <v>0</v>
      </c>
      <c r="CB493">
        <v>804.76</v>
      </c>
      <c r="CC493" t="s">
        <v>161</v>
      </c>
    </row>
    <row r="494" spans="1:81" x14ac:dyDescent="0.25">
      <c r="A494">
        <v>345</v>
      </c>
      <c r="B494">
        <v>2</v>
      </c>
      <c r="C494">
        <v>787</v>
      </c>
      <c r="D494" t="s">
        <v>2840</v>
      </c>
      <c r="E494" t="s">
        <v>121</v>
      </c>
      <c r="F494" t="s">
        <v>2841</v>
      </c>
      <c r="G494" t="s">
        <v>2842</v>
      </c>
      <c r="H494" t="s">
        <v>2843</v>
      </c>
      <c r="I494" t="s">
        <v>125</v>
      </c>
      <c r="J494" t="s">
        <v>1996</v>
      </c>
      <c r="K494" t="s">
        <v>466</v>
      </c>
      <c r="L494" t="s">
        <v>128</v>
      </c>
      <c r="M494" t="s">
        <v>467</v>
      </c>
      <c r="N494" t="s">
        <v>2844</v>
      </c>
      <c r="O494" t="s">
        <v>131</v>
      </c>
      <c r="P494">
        <v>0</v>
      </c>
      <c r="Q494" t="s">
        <v>125</v>
      </c>
      <c r="R494">
        <v>6</v>
      </c>
      <c r="S494">
        <v>41</v>
      </c>
      <c r="T494" t="s">
        <v>132</v>
      </c>
      <c r="U494" t="s">
        <v>133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134</v>
      </c>
      <c r="AE494" t="s">
        <v>134</v>
      </c>
      <c r="AF494" s="2">
        <v>45518</v>
      </c>
      <c r="AG494" s="2">
        <v>46017</v>
      </c>
      <c r="AH494">
        <v>211.76</v>
      </c>
      <c r="AI494">
        <v>223.96</v>
      </c>
      <c r="AJ494">
        <v>635.29999999999995</v>
      </c>
      <c r="AK494">
        <v>0</v>
      </c>
      <c r="AL494">
        <v>0</v>
      </c>
      <c r="AM494">
        <v>0</v>
      </c>
      <c r="AN494" t="s">
        <v>135</v>
      </c>
      <c r="AO494" t="s">
        <v>135</v>
      </c>
      <c r="AP494" t="s">
        <v>136</v>
      </c>
      <c r="AQ494" t="s">
        <v>137</v>
      </c>
      <c r="AR494" t="s">
        <v>138</v>
      </c>
      <c r="AS494" t="s">
        <v>139</v>
      </c>
      <c r="AT494" t="s">
        <v>140</v>
      </c>
      <c r="AU494">
        <v>103</v>
      </c>
      <c r="AV494">
        <v>10</v>
      </c>
      <c r="AW494">
        <v>1</v>
      </c>
      <c r="AX494" s="2">
        <v>45965</v>
      </c>
      <c r="AY494" t="s">
        <v>377</v>
      </c>
      <c r="AZ494" s="2">
        <v>46028</v>
      </c>
      <c r="BA494">
        <v>0</v>
      </c>
      <c r="BB494">
        <v>0</v>
      </c>
      <c r="BC494">
        <v>0</v>
      </c>
      <c r="BD494">
        <v>700</v>
      </c>
      <c r="BE494">
        <v>70</v>
      </c>
      <c r="BF494">
        <v>9</v>
      </c>
      <c r="BG494" s="2">
        <v>45536</v>
      </c>
      <c r="BH494" t="s">
        <v>142</v>
      </c>
      <c r="BI494" s="2">
        <v>46026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440.9</v>
      </c>
      <c r="BW494">
        <v>440.9</v>
      </c>
      <c r="BX494">
        <v>0</v>
      </c>
      <c r="BY494">
        <v>0</v>
      </c>
      <c r="BZ494">
        <v>0</v>
      </c>
      <c r="CA494">
        <v>0</v>
      </c>
      <c r="CB494">
        <v>97.2</v>
      </c>
      <c r="CC494" t="s">
        <v>143</v>
      </c>
    </row>
    <row r="495" spans="1:81" x14ac:dyDescent="0.25">
      <c r="A495">
        <v>345</v>
      </c>
      <c r="B495">
        <v>2</v>
      </c>
      <c r="C495">
        <v>788</v>
      </c>
      <c r="D495" t="s">
        <v>2845</v>
      </c>
      <c r="E495" t="s">
        <v>121</v>
      </c>
      <c r="F495" t="s">
        <v>2846</v>
      </c>
      <c r="G495" t="s">
        <v>2847</v>
      </c>
      <c r="H495" t="s">
        <v>2848</v>
      </c>
      <c r="I495" t="s">
        <v>2849</v>
      </c>
      <c r="J495" t="s">
        <v>126</v>
      </c>
      <c r="K495" t="s">
        <v>466</v>
      </c>
      <c r="L495" t="s">
        <v>128</v>
      </c>
      <c r="M495" t="s">
        <v>467</v>
      </c>
      <c r="N495" t="s">
        <v>2850</v>
      </c>
      <c r="O495" t="s">
        <v>131</v>
      </c>
      <c r="P495">
        <v>0</v>
      </c>
      <c r="Q495" t="s">
        <v>125</v>
      </c>
      <c r="R495">
        <v>6</v>
      </c>
      <c r="S495">
        <v>41</v>
      </c>
      <c r="T495" t="s">
        <v>132</v>
      </c>
      <c r="U495" t="s">
        <v>133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134</v>
      </c>
      <c r="AE495" t="s">
        <v>134</v>
      </c>
      <c r="AF495" s="2">
        <v>45518</v>
      </c>
      <c r="AG495" s="2">
        <v>46011</v>
      </c>
      <c r="AH495">
        <v>46.88</v>
      </c>
      <c r="AI495">
        <v>104.5</v>
      </c>
      <c r="AJ495">
        <v>140.65</v>
      </c>
      <c r="AK495">
        <v>0</v>
      </c>
      <c r="AL495">
        <v>0</v>
      </c>
      <c r="AM495">
        <v>0</v>
      </c>
      <c r="AN495" t="s">
        <v>135</v>
      </c>
      <c r="AO495" t="s">
        <v>135</v>
      </c>
      <c r="AP495" t="s">
        <v>136</v>
      </c>
      <c r="AQ495" t="s">
        <v>137</v>
      </c>
      <c r="AR495" t="s">
        <v>138</v>
      </c>
      <c r="AS495" t="s">
        <v>139</v>
      </c>
      <c r="AT495" t="s">
        <v>140</v>
      </c>
      <c r="AU495">
        <v>105</v>
      </c>
      <c r="AV495">
        <v>10</v>
      </c>
      <c r="AW495">
        <v>1</v>
      </c>
      <c r="AX495" s="2">
        <v>45533</v>
      </c>
      <c r="AY495" t="s">
        <v>308</v>
      </c>
      <c r="AZ495" s="2">
        <v>46023</v>
      </c>
      <c r="BA495">
        <v>0</v>
      </c>
      <c r="BB495">
        <v>0</v>
      </c>
      <c r="BC495">
        <v>0</v>
      </c>
      <c r="BD495">
        <v>700</v>
      </c>
      <c r="BE495">
        <v>70</v>
      </c>
      <c r="BF495">
        <v>9</v>
      </c>
      <c r="BG495" s="2">
        <v>45536</v>
      </c>
      <c r="BH495" t="s">
        <v>142</v>
      </c>
      <c r="BI495" s="2">
        <v>46026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17.88</v>
      </c>
      <c r="BQ495">
        <v>17.88</v>
      </c>
      <c r="BR495">
        <v>0</v>
      </c>
      <c r="BS495">
        <v>0</v>
      </c>
      <c r="BT495">
        <v>0</v>
      </c>
      <c r="BU495">
        <v>0</v>
      </c>
      <c r="BV495">
        <v>18.27</v>
      </c>
      <c r="BW495">
        <v>18.27</v>
      </c>
      <c r="BX495">
        <v>0</v>
      </c>
      <c r="BY495">
        <v>0</v>
      </c>
      <c r="BZ495">
        <v>0</v>
      </c>
      <c r="CA495">
        <v>0</v>
      </c>
      <c r="CB495">
        <v>95.24</v>
      </c>
      <c r="CC495" t="s">
        <v>143</v>
      </c>
    </row>
    <row r="496" spans="1:81" x14ac:dyDescent="0.25">
      <c r="A496">
        <v>345</v>
      </c>
      <c r="B496">
        <v>2</v>
      </c>
      <c r="C496">
        <v>790</v>
      </c>
      <c r="D496" t="s">
        <v>2851</v>
      </c>
      <c r="E496" t="s">
        <v>121</v>
      </c>
      <c r="F496" t="s">
        <v>2852</v>
      </c>
      <c r="G496" t="s">
        <v>2853</v>
      </c>
      <c r="H496" t="s">
        <v>2854</v>
      </c>
      <c r="I496" t="s">
        <v>2855</v>
      </c>
      <c r="J496" t="s">
        <v>723</v>
      </c>
      <c r="K496" t="s">
        <v>336</v>
      </c>
      <c r="L496" t="s">
        <v>128</v>
      </c>
      <c r="M496" t="s">
        <v>337</v>
      </c>
      <c r="N496" t="s">
        <v>2856</v>
      </c>
      <c r="O496" t="s">
        <v>131</v>
      </c>
      <c r="P496">
        <v>0</v>
      </c>
      <c r="Q496" t="s">
        <v>125</v>
      </c>
      <c r="R496">
        <v>6</v>
      </c>
      <c r="S496">
        <v>40</v>
      </c>
      <c r="T496" t="s">
        <v>132</v>
      </c>
      <c r="U496" t="s">
        <v>133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134</v>
      </c>
      <c r="AE496" t="s">
        <v>134</v>
      </c>
      <c r="AF496" s="2">
        <v>45518</v>
      </c>
      <c r="AG496" s="2">
        <v>46018</v>
      </c>
      <c r="AH496">
        <v>990.65</v>
      </c>
      <c r="AI496" s="1">
        <v>2783.03</v>
      </c>
      <c r="AJ496" s="1">
        <v>12878.5</v>
      </c>
      <c r="AK496">
        <v>0</v>
      </c>
      <c r="AL496">
        <v>0</v>
      </c>
      <c r="AM496">
        <v>0</v>
      </c>
      <c r="AN496" t="s">
        <v>135</v>
      </c>
      <c r="AO496" t="s">
        <v>135</v>
      </c>
      <c r="AP496" t="s">
        <v>136</v>
      </c>
      <c r="AQ496" t="s">
        <v>137</v>
      </c>
      <c r="AR496" t="s">
        <v>138</v>
      </c>
      <c r="AS496" t="s">
        <v>139</v>
      </c>
      <c r="AT496" t="s">
        <v>140</v>
      </c>
      <c r="AU496">
        <v>101</v>
      </c>
      <c r="AV496">
        <v>10</v>
      </c>
      <c r="AW496">
        <v>1</v>
      </c>
      <c r="AX496" s="2">
        <v>45876</v>
      </c>
      <c r="AY496" t="s">
        <v>308</v>
      </c>
      <c r="AZ496" s="2">
        <v>46023</v>
      </c>
      <c r="BA496">
        <v>0</v>
      </c>
      <c r="BB496">
        <v>0</v>
      </c>
      <c r="BC496">
        <v>0</v>
      </c>
      <c r="BD496">
        <v>700</v>
      </c>
      <c r="BE496">
        <v>70</v>
      </c>
      <c r="BF496">
        <v>9</v>
      </c>
      <c r="BG496" s="2">
        <v>45536</v>
      </c>
      <c r="BH496" t="s">
        <v>142</v>
      </c>
      <c r="BI496" s="2">
        <v>46026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s="1">
        <v>3535.06</v>
      </c>
      <c r="BQ496" s="1">
        <v>3535.06</v>
      </c>
      <c r="BR496">
        <v>0</v>
      </c>
      <c r="BS496">
        <v>0</v>
      </c>
      <c r="BT496">
        <v>0</v>
      </c>
      <c r="BU496">
        <v>0</v>
      </c>
      <c r="BV496" s="1">
        <v>6170.17</v>
      </c>
      <c r="BW496" s="1">
        <v>6170.17</v>
      </c>
      <c r="BX496">
        <v>0</v>
      </c>
      <c r="BY496">
        <v>0</v>
      </c>
      <c r="BZ496">
        <v>0</v>
      </c>
      <c r="CA496">
        <v>0</v>
      </c>
      <c r="CB496" s="1">
        <v>3199.9</v>
      </c>
      <c r="CC496" t="s">
        <v>143</v>
      </c>
    </row>
    <row r="497" spans="1:81" x14ac:dyDescent="0.25">
      <c r="A497">
        <v>345</v>
      </c>
      <c r="B497">
        <v>2</v>
      </c>
      <c r="C497">
        <v>791</v>
      </c>
      <c r="D497" t="s">
        <v>2857</v>
      </c>
      <c r="E497" t="s">
        <v>121</v>
      </c>
      <c r="F497" t="s">
        <v>2858</v>
      </c>
      <c r="G497" t="s">
        <v>2859</v>
      </c>
      <c r="H497" t="s">
        <v>2860</v>
      </c>
      <c r="I497" t="s">
        <v>2861</v>
      </c>
      <c r="J497" t="s">
        <v>781</v>
      </c>
      <c r="K497" t="s">
        <v>336</v>
      </c>
      <c r="L497" t="s">
        <v>128</v>
      </c>
      <c r="M497" t="s">
        <v>337</v>
      </c>
      <c r="N497" t="s">
        <v>2862</v>
      </c>
      <c r="O497" t="s">
        <v>167</v>
      </c>
      <c r="P497">
        <v>0</v>
      </c>
      <c r="Q497" t="s">
        <v>125</v>
      </c>
      <c r="R497">
        <v>6</v>
      </c>
      <c r="S497">
        <v>36</v>
      </c>
      <c r="T497" t="s">
        <v>132</v>
      </c>
      <c r="U497" t="s">
        <v>133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134</v>
      </c>
      <c r="AE497" t="s">
        <v>134</v>
      </c>
      <c r="AF497" s="2">
        <v>45518</v>
      </c>
      <c r="AG497" s="2">
        <v>46004</v>
      </c>
      <c r="AH497">
        <v>644.12</v>
      </c>
      <c r="AI497" s="1">
        <v>1121.4000000000001</v>
      </c>
      <c r="AJ497" s="1">
        <v>5797.12</v>
      </c>
      <c r="AK497">
        <v>0</v>
      </c>
      <c r="AL497">
        <v>0</v>
      </c>
      <c r="AM497">
        <v>0</v>
      </c>
      <c r="AN497" t="s">
        <v>135</v>
      </c>
      <c r="AO497" t="s">
        <v>135</v>
      </c>
      <c r="AP497" t="s">
        <v>136</v>
      </c>
      <c r="AQ497" t="s">
        <v>137</v>
      </c>
      <c r="AR497" t="s">
        <v>138</v>
      </c>
      <c r="AS497" t="s">
        <v>139</v>
      </c>
      <c r="AT497" t="s">
        <v>140</v>
      </c>
      <c r="AU497">
        <v>102</v>
      </c>
      <c r="AV497">
        <v>10</v>
      </c>
      <c r="AW497">
        <v>1</v>
      </c>
      <c r="AX497" s="2">
        <v>45842</v>
      </c>
      <c r="AY497" t="s">
        <v>151</v>
      </c>
      <c r="AZ497" s="2">
        <v>46024</v>
      </c>
      <c r="BA497">
        <v>0</v>
      </c>
      <c r="BB497">
        <v>0</v>
      </c>
      <c r="BC497">
        <v>0</v>
      </c>
      <c r="BD497">
        <v>700</v>
      </c>
      <c r="BE497">
        <v>70</v>
      </c>
      <c r="BF497">
        <v>9</v>
      </c>
      <c r="BG497" s="2">
        <v>45536</v>
      </c>
      <c r="BH497" t="s">
        <v>142</v>
      </c>
      <c r="BI497" s="2">
        <v>46026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s="1">
        <v>3729.47</v>
      </c>
      <c r="BQ497" s="1">
        <v>3729.47</v>
      </c>
      <c r="BR497">
        <v>0</v>
      </c>
      <c r="BS497">
        <v>0</v>
      </c>
      <c r="BT497">
        <v>0</v>
      </c>
      <c r="BU497">
        <v>0</v>
      </c>
      <c r="BV497">
        <v>637.1</v>
      </c>
      <c r="BW497">
        <v>637.1</v>
      </c>
      <c r="BX497">
        <v>0</v>
      </c>
      <c r="BY497">
        <v>0</v>
      </c>
      <c r="BZ497">
        <v>0</v>
      </c>
      <c r="CA497">
        <v>0</v>
      </c>
      <c r="CB497" s="1">
        <v>2322.9</v>
      </c>
      <c r="CC497" t="s">
        <v>161</v>
      </c>
    </row>
    <row r="498" spans="1:81" x14ac:dyDescent="0.25">
      <c r="A498">
        <v>345</v>
      </c>
      <c r="B498">
        <v>2</v>
      </c>
      <c r="C498">
        <v>798</v>
      </c>
      <c r="D498" t="s">
        <v>2863</v>
      </c>
      <c r="E498" t="s">
        <v>121</v>
      </c>
      <c r="F498" t="s">
        <v>2864</v>
      </c>
      <c r="G498" t="s">
        <v>2865</v>
      </c>
      <c r="H498" t="s">
        <v>2866</v>
      </c>
      <c r="I498" t="s">
        <v>2867</v>
      </c>
      <c r="J498" t="s">
        <v>825</v>
      </c>
      <c r="K498" t="s">
        <v>336</v>
      </c>
      <c r="L498" t="s">
        <v>128</v>
      </c>
      <c r="M498" t="s">
        <v>337</v>
      </c>
      <c r="N498" t="s">
        <v>2868</v>
      </c>
      <c r="O498" t="s">
        <v>131</v>
      </c>
      <c r="P498">
        <v>0</v>
      </c>
      <c r="Q498" t="s">
        <v>125</v>
      </c>
      <c r="R498">
        <v>6</v>
      </c>
      <c r="S498">
        <v>43</v>
      </c>
      <c r="T498" t="s">
        <v>132</v>
      </c>
      <c r="U498" t="s">
        <v>133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134</v>
      </c>
      <c r="AE498" t="s">
        <v>134</v>
      </c>
      <c r="AF498" s="2">
        <v>45518</v>
      </c>
      <c r="AG498" s="2">
        <v>46014</v>
      </c>
      <c r="AH498">
        <v>471.06</v>
      </c>
      <c r="AI498">
        <v>623.04</v>
      </c>
      <c r="AJ498" s="1">
        <v>1413.19</v>
      </c>
      <c r="AK498">
        <v>0</v>
      </c>
      <c r="AL498">
        <v>0</v>
      </c>
      <c r="AM498">
        <v>0</v>
      </c>
      <c r="AN498" t="s">
        <v>135</v>
      </c>
      <c r="AO498" t="s">
        <v>135</v>
      </c>
      <c r="AP498" t="s">
        <v>136</v>
      </c>
      <c r="AQ498" t="s">
        <v>137</v>
      </c>
      <c r="AR498" t="s">
        <v>138</v>
      </c>
      <c r="AS498" t="s">
        <v>150</v>
      </c>
      <c r="AT498" t="s">
        <v>140</v>
      </c>
      <c r="AU498">
        <v>101</v>
      </c>
      <c r="AV498">
        <v>10</v>
      </c>
      <c r="AW498">
        <v>1</v>
      </c>
      <c r="AX498" s="2">
        <v>45859</v>
      </c>
      <c r="AY498" t="s">
        <v>141</v>
      </c>
      <c r="AZ498" s="2">
        <v>46027</v>
      </c>
      <c r="BA498">
        <v>0</v>
      </c>
      <c r="BB498">
        <v>0</v>
      </c>
      <c r="BC498">
        <v>0</v>
      </c>
      <c r="BD498">
        <v>700</v>
      </c>
      <c r="BE498">
        <v>70</v>
      </c>
      <c r="BF498">
        <v>9</v>
      </c>
      <c r="BG498" s="2">
        <v>45536</v>
      </c>
      <c r="BH498" t="s">
        <v>142</v>
      </c>
      <c r="BI498" s="2">
        <v>46026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623.04</v>
      </c>
      <c r="BQ498">
        <v>623.04</v>
      </c>
      <c r="BR498">
        <v>0</v>
      </c>
      <c r="BS498">
        <v>0</v>
      </c>
      <c r="BT498">
        <v>0</v>
      </c>
      <c r="BU498">
        <v>0</v>
      </c>
      <c r="BV498">
        <v>254.2</v>
      </c>
      <c r="BW498">
        <v>254.2</v>
      </c>
      <c r="BX498">
        <v>0</v>
      </c>
      <c r="BY498">
        <v>0</v>
      </c>
      <c r="BZ498">
        <v>0</v>
      </c>
      <c r="CA498">
        <v>0</v>
      </c>
      <c r="CB498">
        <v>683.23</v>
      </c>
      <c r="CC498" t="s">
        <v>143</v>
      </c>
    </row>
    <row r="499" spans="1:81" x14ac:dyDescent="0.25">
      <c r="A499">
        <v>345</v>
      </c>
      <c r="B499">
        <v>2</v>
      </c>
      <c r="C499">
        <v>799</v>
      </c>
      <c r="D499" t="s">
        <v>2869</v>
      </c>
      <c r="E499" t="s">
        <v>121</v>
      </c>
      <c r="F499" t="s">
        <v>2870</v>
      </c>
      <c r="G499" t="s">
        <v>2871</v>
      </c>
      <c r="H499" t="s">
        <v>2872</v>
      </c>
      <c r="I499" t="s">
        <v>2873</v>
      </c>
      <c r="J499" t="s">
        <v>335</v>
      </c>
      <c r="K499" t="s">
        <v>336</v>
      </c>
      <c r="L499" t="s">
        <v>128</v>
      </c>
      <c r="M499" t="s">
        <v>337</v>
      </c>
      <c r="N499" t="s">
        <v>2874</v>
      </c>
      <c r="O499" t="s">
        <v>131</v>
      </c>
      <c r="P499">
        <v>0</v>
      </c>
      <c r="Q499" t="s">
        <v>125</v>
      </c>
      <c r="R499">
        <v>6</v>
      </c>
      <c r="S499">
        <v>40</v>
      </c>
      <c r="T499" t="s">
        <v>132</v>
      </c>
      <c r="U499" t="s">
        <v>133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134</v>
      </c>
      <c r="AE499" t="s">
        <v>134</v>
      </c>
      <c r="AF499" s="2">
        <v>45518</v>
      </c>
      <c r="AG499" s="2">
        <v>46020</v>
      </c>
      <c r="AH499">
        <v>302.01</v>
      </c>
      <c r="AI499">
        <v>707.52</v>
      </c>
      <c r="AJ499" s="1">
        <v>3020.19</v>
      </c>
      <c r="AK499">
        <v>0</v>
      </c>
      <c r="AL499">
        <v>0</v>
      </c>
      <c r="AM499">
        <v>0</v>
      </c>
      <c r="AN499" t="s">
        <v>135</v>
      </c>
      <c r="AO499" t="s">
        <v>135</v>
      </c>
      <c r="AP499" t="s">
        <v>136</v>
      </c>
      <c r="AQ499" t="s">
        <v>137</v>
      </c>
      <c r="AR499" t="s">
        <v>138</v>
      </c>
      <c r="AS499" t="s">
        <v>139</v>
      </c>
      <c r="AT499" t="s">
        <v>140</v>
      </c>
      <c r="AU499">
        <v>101</v>
      </c>
      <c r="AV499">
        <v>10</v>
      </c>
      <c r="AW499">
        <v>1</v>
      </c>
      <c r="AX499" s="2">
        <v>45534</v>
      </c>
      <c r="AY499" t="s">
        <v>151</v>
      </c>
      <c r="AZ499" s="2">
        <v>46024</v>
      </c>
      <c r="BA499">
        <v>0</v>
      </c>
      <c r="BB499">
        <v>0</v>
      </c>
      <c r="BC499">
        <v>0</v>
      </c>
      <c r="BD499">
        <v>700</v>
      </c>
      <c r="BE499">
        <v>70</v>
      </c>
      <c r="BF499">
        <v>9</v>
      </c>
      <c r="BG499" s="2">
        <v>45536</v>
      </c>
      <c r="BH499" t="s">
        <v>142</v>
      </c>
      <c r="BI499" s="2">
        <v>46026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999.29</v>
      </c>
      <c r="BQ499">
        <v>999.29</v>
      </c>
      <c r="BR499">
        <v>0</v>
      </c>
      <c r="BS499">
        <v>0</v>
      </c>
      <c r="BT499">
        <v>0</v>
      </c>
      <c r="BU499">
        <v>0</v>
      </c>
      <c r="BV499" s="1">
        <v>1210.31</v>
      </c>
      <c r="BW499" s="1">
        <v>1210.31</v>
      </c>
      <c r="BX499">
        <v>0</v>
      </c>
      <c r="BY499">
        <v>0</v>
      </c>
      <c r="BZ499">
        <v>0</v>
      </c>
      <c r="CA499">
        <v>0</v>
      </c>
      <c r="CB499">
        <v>647.98</v>
      </c>
      <c r="CC499" t="s">
        <v>143</v>
      </c>
    </row>
    <row r="500" spans="1:81" x14ac:dyDescent="0.25">
      <c r="A500">
        <v>345</v>
      </c>
      <c r="B500">
        <v>2</v>
      </c>
      <c r="C500">
        <v>802</v>
      </c>
      <c r="D500" t="s">
        <v>2875</v>
      </c>
      <c r="E500" t="s">
        <v>121</v>
      </c>
      <c r="F500" t="s">
        <v>2876</v>
      </c>
      <c r="G500" t="s">
        <v>2877</v>
      </c>
      <c r="H500" t="s">
        <v>2878</v>
      </c>
      <c r="I500" t="s">
        <v>2879</v>
      </c>
      <c r="J500" t="s">
        <v>1369</v>
      </c>
      <c r="K500" t="s">
        <v>336</v>
      </c>
      <c r="L500" t="s">
        <v>128</v>
      </c>
      <c r="M500" t="s">
        <v>337</v>
      </c>
      <c r="N500" t="s">
        <v>2880</v>
      </c>
      <c r="O500" t="s">
        <v>167</v>
      </c>
      <c r="P500">
        <v>0</v>
      </c>
      <c r="Q500" t="s">
        <v>125</v>
      </c>
      <c r="R500">
        <v>6</v>
      </c>
      <c r="S500">
        <v>37</v>
      </c>
      <c r="T500" t="s">
        <v>132</v>
      </c>
      <c r="U500" t="s">
        <v>133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134</v>
      </c>
      <c r="AE500" t="s">
        <v>134</v>
      </c>
      <c r="AF500" s="2">
        <v>45518</v>
      </c>
      <c r="AG500" s="2">
        <v>46020</v>
      </c>
      <c r="AH500">
        <v>702.65</v>
      </c>
      <c r="AI500" s="1">
        <v>1009.87</v>
      </c>
      <c r="AJ500" s="1">
        <v>9134.48</v>
      </c>
      <c r="AK500">
        <v>0</v>
      </c>
      <c r="AL500">
        <v>0</v>
      </c>
      <c r="AM500">
        <v>0</v>
      </c>
      <c r="AN500" t="s">
        <v>135</v>
      </c>
      <c r="AO500" t="s">
        <v>135</v>
      </c>
      <c r="AP500" t="s">
        <v>136</v>
      </c>
      <c r="AQ500" t="s">
        <v>137</v>
      </c>
      <c r="AR500" t="s">
        <v>138</v>
      </c>
      <c r="AS500" t="s">
        <v>139</v>
      </c>
      <c r="AT500" t="s">
        <v>140</v>
      </c>
      <c r="AU500">
        <v>102</v>
      </c>
      <c r="AV500">
        <v>10</v>
      </c>
      <c r="AW500">
        <v>1</v>
      </c>
      <c r="AX500" s="2">
        <v>45814</v>
      </c>
      <c r="AY500" t="s">
        <v>151</v>
      </c>
      <c r="AZ500" s="2">
        <v>46024</v>
      </c>
      <c r="BA500">
        <v>0</v>
      </c>
      <c r="BB500">
        <v>0</v>
      </c>
      <c r="BC500">
        <v>0</v>
      </c>
      <c r="BD500">
        <v>700</v>
      </c>
      <c r="BE500">
        <v>70</v>
      </c>
      <c r="BF500">
        <v>9</v>
      </c>
      <c r="BG500" s="2">
        <v>45536</v>
      </c>
      <c r="BH500" t="s">
        <v>142</v>
      </c>
      <c r="BI500" s="2">
        <v>46026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s="1">
        <v>3168.79</v>
      </c>
      <c r="BQ500" s="1">
        <v>3168.79</v>
      </c>
      <c r="BR500">
        <v>0</v>
      </c>
      <c r="BS500">
        <v>0</v>
      </c>
      <c r="BT500">
        <v>0</v>
      </c>
      <c r="BU500">
        <v>0</v>
      </c>
      <c r="BV500" s="1">
        <v>3101.55</v>
      </c>
      <c r="BW500" s="1">
        <v>3101.55</v>
      </c>
      <c r="BX500">
        <v>0</v>
      </c>
      <c r="BY500">
        <v>0</v>
      </c>
      <c r="BZ500">
        <v>0</v>
      </c>
      <c r="CA500">
        <v>0</v>
      </c>
      <c r="CB500" s="1">
        <v>2674.5</v>
      </c>
      <c r="CC500" t="s">
        <v>161</v>
      </c>
    </row>
    <row r="501" spans="1:81" x14ac:dyDescent="0.25">
      <c r="A501">
        <v>345</v>
      </c>
      <c r="B501">
        <v>2</v>
      </c>
      <c r="C501">
        <v>804</v>
      </c>
      <c r="D501" t="s">
        <v>2881</v>
      </c>
      <c r="E501" t="s">
        <v>121</v>
      </c>
      <c r="F501" t="s">
        <v>2882</v>
      </c>
      <c r="G501" t="s">
        <v>2883</v>
      </c>
      <c r="H501" t="s">
        <v>2884</v>
      </c>
      <c r="I501" t="s">
        <v>2885</v>
      </c>
      <c r="J501" t="s">
        <v>126</v>
      </c>
      <c r="K501" t="s">
        <v>473</v>
      </c>
      <c r="L501" t="s">
        <v>128</v>
      </c>
      <c r="M501" t="s">
        <v>474</v>
      </c>
      <c r="N501" t="s">
        <v>2886</v>
      </c>
      <c r="O501" t="s">
        <v>167</v>
      </c>
      <c r="P501">
        <v>0</v>
      </c>
      <c r="Q501" t="s">
        <v>125</v>
      </c>
      <c r="R501">
        <v>3</v>
      </c>
      <c r="S501">
        <v>83</v>
      </c>
      <c r="T501" t="s">
        <v>132</v>
      </c>
      <c r="U501" t="s">
        <v>133</v>
      </c>
      <c r="V501" s="1">
        <v>1000</v>
      </c>
      <c r="W501">
        <v>0</v>
      </c>
      <c r="X501" s="1">
        <v>1000</v>
      </c>
      <c r="Y501">
        <v>7</v>
      </c>
      <c r="Z501">
        <v>0</v>
      </c>
      <c r="AA501">
        <v>0</v>
      </c>
      <c r="AB501">
        <v>0</v>
      </c>
      <c r="AC501">
        <v>0</v>
      </c>
      <c r="AD501" t="s">
        <v>134</v>
      </c>
      <c r="AE501" t="s">
        <v>134</v>
      </c>
      <c r="AF501" s="2">
        <v>45518</v>
      </c>
      <c r="AG501" s="2">
        <v>46008</v>
      </c>
      <c r="AH501">
        <v>454.15</v>
      </c>
      <c r="AI501">
        <v>454.15</v>
      </c>
      <c r="AJ501">
        <v>454.15</v>
      </c>
      <c r="AK501">
        <v>0</v>
      </c>
      <c r="AL501">
        <v>0</v>
      </c>
      <c r="AM501">
        <v>0</v>
      </c>
      <c r="AN501" t="s">
        <v>135</v>
      </c>
      <c r="AO501" t="s">
        <v>135</v>
      </c>
      <c r="AP501" t="s">
        <v>136</v>
      </c>
      <c r="AQ501" t="s">
        <v>137</v>
      </c>
      <c r="AR501" t="s">
        <v>138</v>
      </c>
      <c r="AS501" t="s">
        <v>139</v>
      </c>
      <c r="AT501" t="s">
        <v>140</v>
      </c>
      <c r="AU501">
        <v>102</v>
      </c>
      <c r="AV501">
        <v>10</v>
      </c>
      <c r="AW501">
        <v>1</v>
      </c>
      <c r="AX501" s="2">
        <v>45993</v>
      </c>
      <c r="AY501" t="s">
        <v>377</v>
      </c>
      <c r="AZ501" s="2">
        <v>46028</v>
      </c>
      <c r="BA501">
        <v>0</v>
      </c>
      <c r="BB501">
        <v>0</v>
      </c>
      <c r="BC501">
        <v>0</v>
      </c>
      <c r="BD501">
        <v>999</v>
      </c>
      <c r="BE501">
        <v>99</v>
      </c>
      <c r="BF501">
        <v>9</v>
      </c>
      <c r="BG501" t="s">
        <v>135</v>
      </c>
      <c r="BH501" t="s">
        <v>250</v>
      </c>
      <c r="BI501" t="s">
        <v>135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454.15</v>
      </c>
      <c r="BW501">
        <v>454.15</v>
      </c>
      <c r="BX501">
        <v>0</v>
      </c>
      <c r="BY501">
        <v>0</v>
      </c>
      <c r="BZ501">
        <v>0</v>
      </c>
      <c r="CA501">
        <v>0</v>
      </c>
      <c r="CB501">
        <v>37.68</v>
      </c>
      <c r="CC501" t="s">
        <v>161</v>
      </c>
    </row>
    <row r="502" spans="1:81" x14ac:dyDescent="0.25">
      <c r="A502">
        <v>345</v>
      </c>
      <c r="B502">
        <v>2</v>
      </c>
      <c r="C502">
        <v>809</v>
      </c>
      <c r="D502" t="s">
        <v>2887</v>
      </c>
      <c r="E502" t="s">
        <v>121</v>
      </c>
      <c r="F502" t="s">
        <v>2888</v>
      </c>
      <c r="G502" t="s">
        <v>2889</v>
      </c>
      <c r="H502" t="s">
        <v>2890</v>
      </c>
      <c r="I502" t="s">
        <v>125</v>
      </c>
      <c r="J502" t="s">
        <v>375</v>
      </c>
      <c r="K502" t="s">
        <v>336</v>
      </c>
      <c r="L502" t="s">
        <v>128</v>
      </c>
      <c r="M502" t="s">
        <v>337</v>
      </c>
      <c r="N502" t="s">
        <v>2891</v>
      </c>
      <c r="O502" t="s">
        <v>159</v>
      </c>
      <c r="P502">
        <v>0</v>
      </c>
      <c r="Q502" t="s">
        <v>125</v>
      </c>
      <c r="R502">
        <v>6</v>
      </c>
      <c r="S502">
        <v>29</v>
      </c>
      <c r="T502" t="s">
        <v>132</v>
      </c>
      <c r="U502" t="s">
        <v>133</v>
      </c>
      <c r="V502" s="1">
        <v>4000</v>
      </c>
      <c r="W502">
        <v>0</v>
      </c>
      <c r="X502" s="1">
        <v>4000</v>
      </c>
      <c r="Y502">
        <v>7</v>
      </c>
      <c r="Z502">
        <v>0</v>
      </c>
      <c r="AA502">
        <v>7</v>
      </c>
      <c r="AB502">
        <v>0</v>
      </c>
      <c r="AC502">
        <v>18</v>
      </c>
      <c r="AD502" t="s">
        <v>134</v>
      </c>
      <c r="AE502" t="s">
        <v>234</v>
      </c>
      <c r="AF502" s="2">
        <v>45518</v>
      </c>
      <c r="AG502" s="2">
        <v>46008</v>
      </c>
      <c r="AH502" s="1">
        <v>1932.06</v>
      </c>
      <c r="AI502" s="1">
        <v>3109.16</v>
      </c>
      <c r="AJ502" s="1">
        <v>15456.55</v>
      </c>
      <c r="AK502">
        <v>0</v>
      </c>
      <c r="AL502">
        <v>0</v>
      </c>
      <c r="AM502">
        <v>0</v>
      </c>
      <c r="AN502" t="s">
        <v>135</v>
      </c>
      <c r="AO502" t="s">
        <v>135</v>
      </c>
      <c r="AP502" t="s">
        <v>136</v>
      </c>
      <c r="AQ502" t="s">
        <v>137</v>
      </c>
      <c r="AR502" t="s">
        <v>138</v>
      </c>
      <c r="AS502" t="s">
        <v>139</v>
      </c>
      <c r="AT502" t="s">
        <v>140</v>
      </c>
      <c r="AU502">
        <v>501</v>
      </c>
      <c r="AV502">
        <v>10</v>
      </c>
      <c r="AW502">
        <v>1</v>
      </c>
      <c r="AX502" s="2">
        <v>45860</v>
      </c>
      <c r="AY502" t="s">
        <v>377</v>
      </c>
      <c r="AZ502" s="2">
        <v>46028</v>
      </c>
      <c r="BA502">
        <v>0</v>
      </c>
      <c r="BB502">
        <v>0</v>
      </c>
      <c r="BC502">
        <v>0</v>
      </c>
      <c r="BD502">
        <v>700</v>
      </c>
      <c r="BE502">
        <v>70</v>
      </c>
      <c r="BF502">
        <v>9</v>
      </c>
      <c r="BG502" s="2">
        <v>45536</v>
      </c>
      <c r="BH502" t="s">
        <v>142</v>
      </c>
      <c r="BI502" s="2">
        <v>46026</v>
      </c>
      <c r="BJ502">
        <v>0</v>
      </c>
      <c r="BK502">
        <v>0</v>
      </c>
      <c r="BL502">
        <v>0</v>
      </c>
      <c r="BM502">
        <v>7</v>
      </c>
      <c r="BN502">
        <v>7</v>
      </c>
      <c r="BO502" s="1">
        <v>4767.67</v>
      </c>
      <c r="BP502">
        <v>0</v>
      </c>
      <c r="BQ502" s="1">
        <v>4767.67</v>
      </c>
      <c r="BR502">
        <v>0</v>
      </c>
      <c r="BS502">
        <v>7</v>
      </c>
      <c r="BT502">
        <v>7</v>
      </c>
      <c r="BU502" s="1">
        <v>4890.68</v>
      </c>
      <c r="BV502">
        <v>0</v>
      </c>
      <c r="BW502" s="1">
        <v>4890.68</v>
      </c>
      <c r="BX502">
        <v>0</v>
      </c>
      <c r="BY502">
        <v>0</v>
      </c>
      <c r="BZ502">
        <v>0</v>
      </c>
      <c r="CA502">
        <v>0</v>
      </c>
      <c r="CB502" s="1">
        <v>4648.12</v>
      </c>
      <c r="CC502" t="s">
        <v>161</v>
      </c>
    </row>
    <row r="503" spans="1:81" x14ac:dyDescent="0.25">
      <c r="A503">
        <v>345</v>
      </c>
      <c r="B503">
        <v>2</v>
      </c>
      <c r="C503">
        <v>812</v>
      </c>
      <c r="D503" t="s">
        <v>2892</v>
      </c>
      <c r="E503" t="s">
        <v>121</v>
      </c>
      <c r="F503" t="s">
        <v>2893</v>
      </c>
      <c r="G503" t="s">
        <v>2894</v>
      </c>
      <c r="H503" t="s">
        <v>2895</v>
      </c>
      <c r="I503" t="s">
        <v>2896</v>
      </c>
      <c r="J503" t="s">
        <v>915</v>
      </c>
      <c r="K503" t="s">
        <v>473</v>
      </c>
      <c r="L503" t="s">
        <v>128</v>
      </c>
      <c r="M503" t="s">
        <v>474</v>
      </c>
      <c r="N503" t="s">
        <v>2897</v>
      </c>
      <c r="O503" t="s">
        <v>131</v>
      </c>
      <c r="P503">
        <v>0</v>
      </c>
      <c r="Q503" t="s">
        <v>125</v>
      </c>
      <c r="R503">
        <v>6</v>
      </c>
      <c r="S503">
        <v>44</v>
      </c>
      <c r="T503" t="s">
        <v>132</v>
      </c>
      <c r="U503" t="s">
        <v>133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134</v>
      </c>
      <c r="AE503" t="s">
        <v>134</v>
      </c>
      <c r="AF503" s="2">
        <v>45518</v>
      </c>
      <c r="AG503" s="2">
        <v>46017</v>
      </c>
      <c r="AH503">
        <v>563.76</v>
      </c>
      <c r="AI503">
        <v>815.1</v>
      </c>
      <c r="AJ503" s="1">
        <v>6765.19</v>
      </c>
      <c r="AK503">
        <v>0</v>
      </c>
      <c r="AL503">
        <v>733.44</v>
      </c>
      <c r="AM503">
        <v>0</v>
      </c>
      <c r="AN503" t="s">
        <v>135</v>
      </c>
      <c r="AO503" t="s">
        <v>135</v>
      </c>
      <c r="AP503" t="s">
        <v>136</v>
      </c>
      <c r="AQ503" t="s">
        <v>137</v>
      </c>
      <c r="AR503" t="s">
        <v>138</v>
      </c>
      <c r="AS503" t="s">
        <v>150</v>
      </c>
      <c r="AT503" t="s">
        <v>140</v>
      </c>
      <c r="AU503">
        <v>102</v>
      </c>
      <c r="AV503">
        <v>10</v>
      </c>
      <c r="AW503">
        <v>1</v>
      </c>
      <c r="AX503" s="2">
        <v>45846</v>
      </c>
      <c r="AY503" t="s">
        <v>377</v>
      </c>
      <c r="AZ503" s="2">
        <v>46028</v>
      </c>
      <c r="BA503">
        <v>0</v>
      </c>
      <c r="BB503">
        <v>0</v>
      </c>
      <c r="BC503">
        <v>0</v>
      </c>
      <c r="BD503">
        <v>700</v>
      </c>
      <c r="BE503">
        <v>70</v>
      </c>
      <c r="BF503">
        <v>9</v>
      </c>
      <c r="BG503" s="2">
        <v>45536</v>
      </c>
      <c r="BH503" t="s">
        <v>142</v>
      </c>
      <c r="BI503" s="2">
        <v>46026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s="1">
        <v>1873.75</v>
      </c>
      <c r="BQ503" s="1">
        <v>1873.75</v>
      </c>
      <c r="BR503">
        <v>0</v>
      </c>
      <c r="BS503">
        <v>0</v>
      </c>
      <c r="BT503">
        <v>0</v>
      </c>
      <c r="BU503">
        <v>0</v>
      </c>
      <c r="BV503" s="1">
        <v>2978.6</v>
      </c>
      <c r="BW503" s="1">
        <v>2978.6</v>
      </c>
      <c r="BX503">
        <v>0</v>
      </c>
      <c r="BY503">
        <v>0</v>
      </c>
      <c r="BZ503">
        <v>0</v>
      </c>
      <c r="CA503">
        <v>0</v>
      </c>
      <c r="CB503" s="1">
        <v>1625.75</v>
      </c>
      <c r="CC503" t="s">
        <v>143</v>
      </c>
    </row>
    <row r="504" spans="1:81" x14ac:dyDescent="0.25">
      <c r="A504">
        <v>345</v>
      </c>
      <c r="B504">
        <v>2</v>
      </c>
      <c r="C504">
        <v>814</v>
      </c>
      <c r="D504" t="s">
        <v>2898</v>
      </c>
      <c r="E504" t="s">
        <v>121</v>
      </c>
      <c r="F504" t="s">
        <v>2899</v>
      </c>
      <c r="G504" t="s">
        <v>2900</v>
      </c>
      <c r="H504" t="s">
        <v>2901</v>
      </c>
      <c r="I504" t="s">
        <v>2902</v>
      </c>
      <c r="J504" t="s">
        <v>2903</v>
      </c>
      <c r="K504" t="s">
        <v>466</v>
      </c>
      <c r="L504" t="s">
        <v>128</v>
      </c>
      <c r="M504" t="s">
        <v>467</v>
      </c>
      <c r="N504" t="s">
        <v>2904</v>
      </c>
      <c r="O504" t="s">
        <v>149</v>
      </c>
      <c r="P504">
        <v>0</v>
      </c>
      <c r="Q504" t="s">
        <v>125</v>
      </c>
      <c r="R504">
        <v>6</v>
      </c>
      <c r="S504">
        <v>42</v>
      </c>
      <c r="T504" t="s">
        <v>132</v>
      </c>
      <c r="U504" t="s">
        <v>133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134</v>
      </c>
      <c r="AE504" t="s">
        <v>134</v>
      </c>
      <c r="AF504" s="2">
        <v>45518</v>
      </c>
      <c r="AG504" s="2">
        <v>46020</v>
      </c>
      <c r="AH504" s="1">
        <v>1556.72</v>
      </c>
      <c r="AI504" s="1">
        <v>4055.86</v>
      </c>
      <c r="AJ504" s="1">
        <v>20237.41</v>
      </c>
      <c r="AK504">
        <v>0</v>
      </c>
      <c r="AL504">
        <v>0</v>
      </c>
      <c r="AM504">
        <v>0</v>
      </c>
      <c r="AN504" t="s">
        <v>135</v>
      </c>
      <c r="AO504" t="s">
        <v>135</v>
      </c>
      <c r="AP504" t="s">
        <v>136</v>
      </c>
      <c r="AQ504" t="s">
        <v>137</v>
      </c>
      <c r="AR504" t="s">
        <v>138</v>
      </c>
      <c r="AS504" t="s">
        <v>139</v>
      </c>
      <c r="AT504" t="s">
        <v>140</v>
      </c>
      <c r="AU504">
        <v>501</v>
      </c>
      <c r="AV504">
        <v>10</v>
      </c>
      <c r="AW504">
        <v>1</v>
      </c>
      <c r="AX504" s="2">
        <v>45854</v>
      </c>
      <c r="AY504" t="s">
        <v>168</v>
      </c>
      <c r="AZ504" s="2">
        <v>46022</v>
      </c>
      <c r="BA504">
        <v>0</v>
      </c>
      <c r="BB504">
        <v>0</v>
      </c>
      <c r="BC504">
        <v>0</v>
      </c>
      <c r="BD504">
        <v>700</v>
      </c>
      <c r="BE504">
        <v>70</v>
      </c>
      <c r="BF504">
        <v>9</v>
      </c>
      <c r="BG504" s="2">
        <v>45536</v>
      </c>
      <c r="BH504" t="s">
        <v>142</v>
      </c>
      <c r="BI504" s="2">
        <v>46026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s="1">
        <v>4958.03</v>
      </c>
      <c r="BQ504" s="1">
        <v>4958.03</v>
      </c>
      <c r="BR504">
        <v>0</v>
      </c>
      <c r="BS504">
        <v>0</v>
      </c>
      <c r="BT504">
        <v>0</v>
      </c>
      <c r="BU504">
        <v>0</v>
      </c>
      <c r="BV504" s="1">
        <v>2795.68</v>
      </c>
      <c r="BW504" s="1">
        <v>2795.68</v>
      </c>
      <c r="BX504">
        <v>0</v>
      </c>
      <c r="BY504">
        <v>0</v>
      </c>
      <c r="BZ504">
        <v>0</v>
      </c>
      <c r="CA504">
        <v>0</v>
      </c>
      <c r="CB504" s="1">
        <v>9232.81</v>
      </c>
      <c r="CC504" t="s">
        <v>152</v>
      </c>
    </row>
    <row r="505" spans="1:81" x14ac:dyDescent="0.25">
      <c r="A505">
        <v>345</v>
      </c>
      <c r="B505">
        <v>2</v>
      </c>
      <c r="C505">
        <v>815</v>
      </c>
      <c r="D505" t="s">
        <v>2905</v>
      </c>
      <c r="E505" t="s">
        <v>121</v>
      </c>
      <c r="F505" t="s">
        <v>2906</v>
      </c>
      <c r="G505" t="s">
        <v>2907</v>
      </c>
      <c r="H505" t="s">
        <v>2198</v>
      </c>
      <c r="I505" t="s">
        <v>125</v>
      </c>
      <c r="J505" t="s">
        <v>630</v>
      </c>
      <c r="K505" t="s">
        <v>336</v>
      </c>
      <c r="L505" t="s">
        <v>128</v>
      </c>
      <c r="M505" t="s">
        <v>337</v>
      </c>
      <c r="N505" t="s">
        <v>2908</v>
      </c>
      <c r="O505" t="s">
        <v>131</v>
      </c>
      <c r="P505">
        <v>0</v>
      </c>
      <c r="Q505" t="s">
        <v>125</v>
      </c>
      <c r="R505">
        <v>6</v>
      </c>
      <c r="S505">
        <v>40</v>
      </c>
      <c r="T505" t="s">
        <v>132</v>
      </c>
      <c r="U505" t="s">
        <v>133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134</v>
      </c>
      <c r="AE505" t="s">
        <v>134</v>
      </c>
      <c r="AF505" s="2">
        <v>45518</v>
      </c>
      <c r="AG505" s="2">
        <v>46007</v>
      </c>
      <c r="AH505">
        <v>366.33</v>
      </c>
      <c r="AI505">
        <v>594.17999999999995</v>
      </c>
      <c r="AJ505" s="1">
        <v>2564.35</v>
      </c>
      <c r="AK505">
        <v>0</v>
      </c>
      <c r="AL505">
        <v>297.36</v>
      </c>
      <c r="AM505">
        <v>0</v>
      </c>
      <c r="AN505" t="s">
        <v>135</v>
      </c>
      <c r="AO505" t="s">
        <v>135</v>
      </c>
      <c r="AP505" t="s">
        <v>136</v>
      </c>
      <c r="AQ505" t="s">
        <v>137</v>
      </c>
      <c r="AR505" t="s">
        <v>138</v>
      </c>
      <c r="AS505" t="s">
        <v>139</v>
      </c>
      <c r="AT505" t="s">
        <v>140</v>
      </c>
      <c r="AU505">
        <v>104</v>
      </c>
      <c r="AV505">
        <v>10</v>
      </c>
      <c r="AW505">
        <v>1</v>
      </c>
      <c r="AX505" s="2">
        <v>45859</v>
      </c>
      <c r="AY505" t="s">
        <v>141</v>
      </c>
      <c r="AZ505" s="2">
        <v>46027</v>
      </c>
      <c r="BA505">
        <v>0</v>
      </c>
      <c r="BB505">
        <v>0</v>
      </c>
      <c r="BC505">
        <v>0</v>
      </c>
      <c r="BD505">
        <v>700</v>
      </c>
      <c r="BE505">
        <v>70</v>
      </c>
      <c r="BF505">
        <v>9</v>
      </c>
      <c r="BG505" s="2">
        <v>45536</v>
      </c>
      <c r="BH505" t="s">
        <v>142</v>
      </c>
      <c r="BI505" s="2">
        <v>46026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989.54</v>
      </c>
      <c r="BQ505">
        <v>989.54</v>
      </c>
      <c r="BR505">
        <v>0</v>
      </c>
      <c r="BS505">
        <v>0</v>
      </c>
      <c r="BT505">
        <v>0</v>
      </c>
      <c r="BU505">
        <v>0</v>
      </c>
      <c r="BV505" s="1">
        <v>1273.76</v>
      </c>
      <c r="BW505" s="1">
        <v>1273.76</v>
      </c>
      <c r="BX505">
        <v>0</v>
      </c>
      <c r="BY505">
        <v>0</v>
      </c>
      <c r="BZ505">
        <v>0</v>
      </c>
      <c r="CA505">
        <v>0</v>
      </c>
      <c r="CB505">
        <v>841.79</v>
      </c>
      <c r="CC505" t="s">
        <v>143</v>
      </c>
    </row>
    <row r="506" spans="1:81" x14ac:dyDescent="0.25">
      <c r="A506">
        <v>345</v>
      </c>
      <c r="B506">
        <v>2</v>
      </c>
      <c r="C506">
        <v>816</v>
      </c>
      <c r="D506" t="s">
        <v>2909</v>
      </c>
      <c r="E506" t="s">
        <v>121</v>
      </c>
      <c r="F506" t="s">
        <v>2910</v>
      </c>
      <c r="G506" t="s">
        <v>2911</v>
      </c>
      <c r="H506" t="s">
        <v>2912</v>
      </c>
      <c r="I506" t="s">
        <v>2902</v>
      </c>
      <c r="J506" t="s">
        <v>712</v>
      </c>
      <c r="K506" t="s">
        <v>466</v>
      </c>
      <c r="L506" t="s">
        <v>128</v>
      </c>
      <c r="M506" t="s">
        <v>467</v>
      </c>
      <c r="N506" t="s">
        <v>2913</v>
      </c>
      <c r="O506" t="s">
        <v>131</v>
      </c>
      <c r="P506">
        <v>0</v>
      </c>
      <c r="Q506" t="s">
        <v>125</v>
      </c>
      <c r="R506">
        <v>6</v>
      </c>
      <c r="S506">
        <v>41</v>
      </c>
      <c r="T506" t="s">
        <v>132</v>
      </c>
      <c r="U506" t="s">
        <v>133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134</v>
      </c>
      <c r="AE506" t="s">
        <v>134</v>
      </c>
      <c r="AF506" s="2">
        <v>45518</v>
      </c>
      <c r="AG506" s="2">
        <v>46020</v>
      </c>
      <c r="AH506">
        <v>777.22</v>
      </c>
      <c r="AI506" s="1">
        <v>1186.3699999999999</v>
      </c>
      <c r="AJ506" s="1">
        <v>10103.9</v>
      </c>
      <c r="AK506">
        <v>0</v>
      </c>
      <c r="AL506">
        <v>0</v>
      </c>
      <c r="AM506">
        <v>0</v>
      </c>
      <c r="AN506" t="s">
        <v>135</v>
      </c>
      <c r="AO506" t="s">
        <v>135</v>
      </c>
      <c r="AP506" t="s">
        <v>136</v>
      </c>
      <c r="AQ506" t="s">
        <v>137</v>
      </c>
      <c r="AR506" t="s">
        <v>138</v>
      </c>
      <c r="AS506" t="s">
        <v>139</v>
      </c>
      <c r="AT506" t="s">
        <v>140</v>
      </c>
      <c r="AU506">
        <v>100</v>
      </c>
      <c r="AV506">
        <v>10</v>
      </c>
      <c r="AW506">
        <v>1</v>
      </c>
      <c r="AX506" s="2">
        <v>45828</v>
      </c>
      <c r="AY506" t="s">
        <v>151</v>
      </c>
      <c r="AZ506" s="2">
        <v>46024</v>
      </c>
      <c r="BA506">
        <v>0</v>
      </c>
      <c r="BB506">
        <v>0</v>
      </c>
      <c r="BC506">
        <v>0</v>
      </c>
      <c r="BD506">
        <v>700</v>
      </c>
      <c r="BE506">
        <v>70</v>
      </c>
      <c r="BF506">
        <v>9</v>
      </c>
      <c r="BG506" s="2">
        <v>45536</v>
      </c>
      <c r="BH506" t="s">
        <v>142</v>
      </c>
      <c r="BI506" s="2">
        <v>46026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s="1">
        <v>3246.53</v>
      </c>
      <c r="BQ506" s="1">
        <v>3246.53</v>
      </c>
      <c r="BR506">
        <v>0</v>
      </c>
      <c r="BS506">
        <v>0</v>
      </c>
      <c r="BT506">
        <v>0</v>
      </c>
      <c r="BU506">
        <v>0</v>
      </c>
      <c r="BV506" s="1">
        <v>3793.51</v>
      </c>
      <c r="BW506" s="1">
        <v>3793.51</v>
      </c>
      <c r="BX506">
        <v>0</v>
      </c>
      <c r="BY506">
        <v>0</v>
      </c>
      <c r="BZ506">
        <v>0</v>
      </c>
      <c r="CA506">
        <v>0</v>
      </c>
      <c r="CB506" s="1">
        <v>2955.52</v>
      </c>
      <c r="CC506" t="s">
        <v>143</v>
      </c>
    </row>
    <row r="507" spans="1:81" x14ac:dyDescent="0.25">
      <c r="A507">
        <v>345</v>
      </c>
      <c r="B507">
        <v>2</v>
      </c>
      <c r="C507">
        <v>818</v>
      </c>
      <c r="D507" t="s">
        <v>2914</v>
      </c>
      <c r="E507" t="s">
        <v>121</v>
      </c>
      <c r="F507" t="s">
        <v>2915</v>
      </c>
      <c r="G507" t="s">
        <v>2916</v>
      </c>
      <c r="H507" t="s">
        <v>2917</v>
      </c>
      <c r="I507" t="s">
        <v>2918</v>
      </c>
      <c r="J507" t="s">
        <v>688</v>
      </c>
      <c r="K507" t="s">
        <v>336</v>
      </c>
      <c r="L507" t="s">
        <v>128</v>
      </c>
      <c r="M507" t="s">
        <v>337</v>
      </c>
      <c r="N507" t="s">
        <v>2919</v>
      </c>
      <c r="O507" t="s">
        <v>167</v>
      </c>
      <c r="P507">
        <v>0</v>
      </c>
      <c r="Q507" t="s">
        <v>125</v>
      </c>
      <c r="R507">
        <v>6</v>
      </c>
      <c r="S507">
        <v>36</v>
      </c>
      <c r="T507" t="s">
        <v>132</v>
      </c>
      <c r="U507" t="s">
        <v>133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134</v>
      </c>
      <c r="AE507" t="s">
        <v>134</v>
      </c>
      <c r="AF507" s="2">
        <v>45518</v>
      </c>
      <c r="AG507" s="2">
        <v>46019</v>
      </c>
      <c r="AH507">
        <v>575.05999999999995</v>
      </c>
      <c r="AI507">
        <v>922.94</v>
      </c>
      <c r="AJ507" s="1">
        <v>6325.7</v>
      </c>
      <c r="AK507">
        <v>0</v>
      </c>
      <c r="AL507">
        <v>0</v>
      </c>
      <c r="AM507">
        <v>0</v>
      </c>
      <c r="AN507" t="s">
        <v>135</v>
      </c>
      <c r="AO507" t="s">
        <v>135</v>
      </c>
      <c r="AP507" t="s">
        <v>136</v>
      </c>
      <c r="AQ507" t="s">
        <v>137</v>
      </c>
      <c r="AR507" t="s">
        <v>138</v>
      </c>
      <c r="AS507" t="s">
        <v>139</v>
      </c>
      <c r="AT507" t="s">
        <v>140</v>
      </c>
      <c r="AU507">
        <v>102</v>
      </c>
      <c r="AV507">
        <v>10</v>
      </c>
      <c r="AW507">
        <v>1</v>
      </c>
      <c r="AX507" s="2">
        <v>45856</v>
      </c>
      <c r="AY507" t="s">
        <v>151</v>
      </c>
      <c r="AZ507" s="2">
        <v>46024</v>
      </c>
      <c r="BA507">
        <v>0</v>
      </c>
      <c r="BB507">
        <v>0</v>
      </c>
      <c r="BC507">
        <v>0</v>
      </c>
      <c r="BD507">
        <v>700</v>
      </c>
      <c r="BE507">
        <v>70</v>
      </c>
      <c r="BF507">
        <v>9</v>
      </c>
      <c r="BG507" s="2">
        <v>45536</v>
      </c>
      <c r="BH507" t="s">
        <v>142</v>
      </c>
      <c r="BI507" s="2">
        <v>46026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s="1">
        <v>2201.13</v>
      </c>
      <c r="BQ507" s="1">
        <v>2201.13</v>
      </c>
      <c r="BR507">
        <v>0</v>
      </c>
      <c r="BS507">
        <v>0</v>
      </c>
      <c r="BT507">
        <v>0</v>
      </c>
      <c r="BU507">
        <v>0</v>
      </c>
      <c r="BV507" s="1">
        <v>1995.06</v>
      </c>
      <c r="BW507" s="1">
        <v>1995.06</v>
      </c>
      <c r="BX507">
        <v>0</v>
      </c>
      <c r="BY507">
        <v>0</v>
      </c>
      <c r="BZ507">
        <v>0</v>
      </c>
      <c r="CA507">
        <v>0</v>
      </c>
      <c r="CB507" s="1">
        <v>1967.74</v>
      </c>
      <c r="CC507" t="s">
        <v>161</v>
      </c>
    </row>
    <row r="508" spans="1:81" x14ac:dyDescent="0.25">
      <c r="A508">
        <v>345</v>
      </c>
      <c r="B508">
        <v>2</v>
      </c>
      <c r="C508">
        <v>819</v>
      </c>
      <c r="D508" t="s">
        <v>2920</v>
      </c>
      <c r="E508" t="s">
        <v>121</v>
      </c>
      <c r="F508" t="s">
        <v>2921</v>
      </c>
      <c r="G508" t="s">
        <v>2922</v>
      </c>
      <c r="H508" t="s">
        <v>2923</v>
      </c>
      <c r="I508" t="s">
        <v>125</v>
      </c>
      <c r="J508" t="s">
        <v>2924</v>
      </c>
      <c r="K508" t="s">
        <v>473</v>
      </c>
      <c r="L508" t="s">
        <v>128</v>
      </c>
      <c r="M508" t="s">
        <v>474</v>
      </c>
      <c r="N508" t="s">
        <v>2925</v>
      </c>
      <c r="O508" t="s">
        <v>131</v>
      </c>
      <c r="P508">
        <v>0</v>
      </c>
      <c r="Q508" t="s">
        <v>125</v>
      </c>
      <c r="R508">
        <v>6</v>
      </c>
      <c r="S508">
        <v>41</v>
      </c>
      <c r="T508" t="s">
        <v>132</v>
      </c>
      <c r="U508" t="s">
        <v>133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134</v>
      </c>
      <c r="AE508" t="s">
        <v>134</v>
      </c>
      <c r="AF508" s="2">
        <v>45518</v>
      </c>
      <c r="AG508" s="2">
        <v>46008</v>
      </c>
      <c r="AH508" s="1">
        <v>2657.06</v>
      </c>
      <c r="AI508" s="1">
        <v>3330</v>
      </c>
      <c r="AJ508" s="1">
        <v>15942.4</v>
      </c>
      <c r="AK508">
        <v>0</v>
      </c>
      <c r="AL508" s="1">
        <v>1008.1</v>
      </c>
      <c r="AM508">
        <v>0</v>
      </c>
      <c r="AN508" t="s">
        <v>135</v>
      </c>
      <c r="AO508" t="s">
        <v>135</v>
      </c>
      <c r="AP508" t="s">
        <v>136</v>
      </c>
      <c r="AQ508" t="s">
        <v>137</v>
      </c>
      <c r="AR508" t="s">
        <v>138</v>
      </c>
      <c r="AS508" t="s">
        <v>139</v>
      </c>
      <c r="AT508" t="s">
        <v>140</v>
      </c>
      <c r="AU508">
        <v>102</v>
      </c>
      <c r="AV508">
        <v>10</v>
      </c>
      <c r="AW508">
        <v>1</v>
      </c>
      <c r="AX508" s="2">
        <v>45839</v>
      </c>
      <c r="AY508" t="s">
        <v>377</v>
      </c>
      <c r="AZ508" s="2">
        <v>46028</v>
      </c>
      <c r="BA508">
        <v>0</v>
      </c>
      <c r="BB508">
        <v>0</v>
      </c>
      <c r="BC508">
        <v>0</v>
      </c>
      <c r="BD508">
        <v>700</v>
      </c>
      <c r="BE508">
        <v>70</v>
      </c>
      <c r="BF508">
        <v>9</v>
      </c>
      <c r="BG508" s="2">
        <v>45536</v>
      </c>
      <c r="BH508" t="s">
        <v>142</v>
      </c>
      <c r="BI508" s="2">
        <v>46026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 s="1">
        <v>5622</v>
      </c>
      <c r="BQ508" s="1">
        <v>5622</v>
      </c>
      <c r="BR508">
        <v>0</v>
      </c>
      <c r="BS508">
        <v>0</v>
      </c>
      <c r="BT508">
        <v>0</v>
      </c>
      <c r="BU508">
        <v>0</v>
      </c>
      <c r="BV508" s="1">
        <v>7017.7</v>
      </c>
      <c r="BW508" s="1">
        <v>7017.7</v>
      </c>
      <c r="BX508">
        <v>0</v>
      </c>
      <c r="BY508">
        <v>0</v>
      </c>
      <c r="BZ508">
        <v>0</v>
      </c>
      <c r="CA508">
        <v>0</v>
      </c>
      <c r="CB508" s="1">
        <v>5935.52</v>
      </c>
      <c r="CC508" t="s">
        <v>152</v>
      </c>
    </row>
    <row r="509" spans="1:81" x14ac:dyDescent="0.25">
      <c r="A509">
        <v>345</v>
      </c>
      <c r="B509">
        <v>2</v>
      </c>
      <c r="C509">
        <v>820</v>
      </c>
      <c r="D509" t="s">
        <v>2926</v>
      </c>
      <c r="E509" t="s">
        <v>121</v>
      </c>
      <c r="F509" t="s">
        <v>2927</v>
      </c>
      <c r="G509" t="s">
        <v>2928</v>
      </c>
      <c r="H509" t="s">
        <v>2929</v>
      </c>
      <c r="I509" t="s">
        <v>2930</v>
      </c>
      <c r="J509" t="s">
        <v>992</v>
      </c>
      <c r="K509" t="s">
        <v>466</v>
      </c>
      <c r="L509" t="s">
        <v>128</v>
      </c>
      <c r="M509" t="s">
        <v>467</v>
      </c>
      <c r="N509" t="s">
        <v>2931</v>
      </c>
      <c r="O509" t="s">
        <v>167</v>
      </c>
      <c r="P509">
        <v>0</v>
      </c>
      <c r="Q509" t="s">
        <v>125</v>
      </c>
      <c r="R509">
        <v>6</v>
      </c>
      <c r="S509">
        <v>40</v>
      </c>
      <c r="T509" t="s">
        <v>132</v>
      </c>
      <c r="U509" t="s">
        <v>133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134</v>
      </c>
      <c r="AE509" t="s">
        <v>134</v>
      </c>
      <c r="AF509" s="2">
        <v>45518</v>
      </c>
      <c r="AG509" s="2">
        <v>46018</v>
      </c>
      <c r="AH509">
        <v>498.43</v>
      </c>
      <c r="AI509" s="1">
        <v>1146</v>
      </c>
      <c r="AJ509" s="1">
        <v>6978.02</v>
      </c>
      <c r="AK509">
        <v>0</v>
      </c>
      <c r="AL509">
        <v>0</v>
      </c>
      <c r="AM509">
        <v>0</v>
      </c>
      <c r="AN509" t="s">
        <v>135</v>
      </c>
      <c r="AO509" t="s">
        <v>135</v>
      </c>
      <c r="AP509" t="s">
        <v>136</v>
      </c>
      <c r="AQ509" t="s">
        <v>137</v>
      </c>
      <c r="AR509" t="s">
        <v>138</v>
      </c>
      <c r="AS509" t="s">
        <v>150</v>
      </c>
      <c r="AT509" t="s">
        <v>140</v>
      </c>
      <c r="AU509">
        <v>100</v>
      </c>
      <c r="AV509">
        <v>10</v>
      </c>
      <c r="AW509">
        <v>1</v>
      </c>
      <c r="AX509" s="2">
        <v>45848</v>
      </c>
      <c r="AY509" t="s">
        <v>308</v>
      </c>
      <c r="AZ509" s="2">
        <v>46023</v>
      </c>
      <c r="BA509">
        <v>0</v>
      </c>
      <c r="BB509">
        <v>0</v>
      </c>
      <c r="BC509">
        <v>0</v>
      </c>
      <c r="BD509">
        <v>700</v>
      </c>
      <c r="BE509">
        <v>70</v>
      </c>
      <c r="BF509">
        <v>9</v>
      </c>
      <c r="BG509" s="2">
        <v>45536</v>
      </c>
      <c r="BH509" t="s">
        <v>142</v>
      </c>
      <c r="BI509" s="2">
        <v>46026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s="1">
        <v>2420.35</v>
      </c>
      <c r="BQ509" s="1">
        <v>2420.35</v>
      </c>
      <c r="BR509">
        <v>0</v>
      </c>
      <c r="BS509">
        <v>0</v>
      </c>
      <c r="BT509">
        <v>0</v>
      </c>
      <c r="BU509">
        <v>0</v>
      </c>
      <c r="BV509" s="1">
        <v>1993.21</v>
      </c>
      <c r="BW509" s="1">
        <v>1993.21</v>
      </c>
      <c r="BX509">
        <v>0</v>
      </c>
      <c r="BY509">
        <v>0</v>
      </c>
      <c r="BZ509">
        <v>0</v>
      </c>
      <c r="CA509">
        <v>0</v>
      </c>
      <c r="CB509" s="1">
        <v>2248.4499999999998</v>
      </c>
      <c r="CC509" t="s">
        <v>161</v>
      </c>
    </row>
    <row r="510" spans="1:81" x14ac:dyDescent="0.25">
      <c r="A510">
        <v>345</v>
      </c>
      <c r="B510">
        <v>2</v>
      </c>
      <c r="C510">
        <v>822</v>
      </c>
      <c r="D510" t="s">
        <v>2932</v>
      </c>
      <c r="E510" t="s">
        <v>121</v>
      </c>
      <c r="F510" t="s">
        <v>2933</v>
      </c>
      <c r="G510" t="s">
        <v>2934</v>
      </c>
      <c r="H510" t="s">
        <v>2935</v>
      </c>
      <c r="I510" t="s">
        <v>2936</v>
      </c>
      <c r="J510" t="s">
        <v>126</v>
      </c>
      <c r="K510" t="s">
        <v>466</v>
      </c>
      <c r="L510" t="s">
        <v>128</v>
      </c>
      <c r="M510" t="s">
        <v>467</v>
      </c>
      <c r="N510" t="s">
        <v>2937</v>
      </c>
      <c r="O510" t="s">
        <v>131</v>
      </c>
      <c r="P510">
        <v>0</v>
      </c>
      <c r="Q510" t="s">
        <v>125</v>
      </c>
      <c r="R510">
        <v>6</v>
      </c>
      <c r="S510">
        <v>37</v>
      </c>
      <c r="T510" t="s">
        <v>132</v>
      </c>
      <c r="U510" t="s">
        <v>133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134</v>
      </c>
      <c r="AE510" t="s">
        <v>134</v>
      </c>
      <c r="AF510" s="2">
        <v>45518</v>
      </c>
      <c r="AG510" s="2">
        <v>46002</v>
      </c>
      <c r="AH510">
        <v>375.44</v>
      </c>
      <c r="AI510">
        <v>492.15</v>
      </c>
      <c r="AJ510" s="1">
        <v>1501.76</v>
      </c>
      <c r="AK510">
        <v>0</v>
      </c>
      <c r="AL510">
        <v>0</v>
      </c>
      <c r="AM510">
        <v>0</v>
      </c>
      <c r="AN510" t="s">
        <v>135</v>
      </c>
      <c r="AO510" t="s">
        <v>135</v>
      </c>
      <c r="AP510" t="s">
        <v>136</v>
      </c>
      <c r="AQ510" t="s">
        <v>137</v>
      </c>
      <c r="AR510" t="s">
        <v>138</v>
      </c>
      <c r="AS510" t="s">
        <v>139</v>
      </c>
      <c r="AT510" t="s">
        <v>140</v>
      </c>
      <c r="AU510">
        <v>105</v>
      </c>
      <c r="AV510">
        <v>10</v>
      </c>
      <c r="AW510">
        <v>1</v>
      </c>
      <c r="AX510" s="2">
        <v>45846</v>
      </c>
      <c r="AY510" t="s">
        <v>377</v>
      </c>
      <c r="AZ510" s="2">
        <v>46028</v>
      </c>
      <c r="BA510">
        <v>0</v>
      </c>
      <c r="BB510">
        <v>0</v>
      </c>
      <c r="BC510">
        <v>0</v>
      </c>
      <c r="BD510">
        <v>700</v>
      </c>
      <c r="BE510">
        <v>70</v>
      </c>
      <c r="BF510">
        <v>9</v>
      </c>
      <c r="BG510" s="2">
        <v>45536</v>
      </c>
      <c r="BH510" t="s">
        <v>142</v>
      </c>
      <c r="BI510" s="2">
        <v>46026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817.15</v>
      </c>
      <c r="BQ510">
        <v>817.15</v>
      </c>
      <c r="BR510">
        <v>0</v>
      </c>
      <c r="BS510">
        <v>0</v>
      </c>
      <c r="BT510">
        <v>0</v>
      </c>
      <c r="BU510">
        <v>0</v>
      </c>
      <c r="BV510">
        <v>325</v>
      </c>
      <c r="BW510">
        <v>325</v>
      </c>
      <c r="BX510">
        <v>0</v>
      </c>
      <c r="BY510">
        <v>0</v>
      </c>
      <c r="BZ510">
        <v>0</v>
      </c>
      <c r="CA510">
        <v>0</v>
      </c>
      <c r="CB510">
        <v>807.96</v>
      </c>
      <c r="CC510" t="s">
        <v>143</v>
      </c>
    </row>
    <row r="511" spans="1:81" x14ac:dyDescent="0.25">
      <c r="A511">
        <v>345</v>
      </c>
      <c r="B511">
        <v>2</v>
      </c>
      <c r="C511">
        <v>823</v>
      </c>
      <c r="D511" t="s">
        <v>2938</v>
      </c>
      <c r="E511" t="s">
        <v>121</v>
      </c>
      <c r="F511" t="s">
        <v>2939</v>
      </c>
      <c r="G511" t="s">
        <v>2940</v>
      </c>
      <c r="H511" t="s">
        <v>2941</v>
      </c>
      <c r="I511" t="s">
        <v>2942</v>
      </c>
      <c r="J511" t="s">
        <v>1622</v>
      </c>
      <c r="K511" t="s">
        <v>336</v>
      </c>
      <c r="L511" t="s">
        <v>128</v>
      </c>
      <c r="M511" t="s">
        <v>337</v>
      </c>
      <c r="N511" t="s">
        <v>2943</v>
      </c>
      <c r="O511" t="s">
        <v>131</v>
      </c>
      <c r="P511">
        <v>0</v>
      </c>
      <c r="Q511" t="s">
        <v>125</v>
      </c>
      <c r="R511">
        <v>6</v>
      </c>
      <c r="S511">
        <v>40</v>
      </c>
      <c r="T511" t="s">
        <v>132</v>
      </c>
      <c r="U511" t="s">
        <v>133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134</v>
      </c>
      <c r="AE511" t="s">
        <v>134</v>
      </c>
      <c r="AF511" s="2">
        <v>45518</v>
      </c>
      <c r="AG511" s="2">
        <v>46020</v>
      </c>
      <c r="AH511">
        <v>369.2</v>
      </c>
      <c r="AI511" s="1">
        <v>1269.3900000000001</v>
      </c>
      <c r="AJ511" s="1">
        <v>2584.42</v>
      </c>
      <c r="AK511">
        <v>0</v>
      </c>
      <c r="AL511">
        <v>0</v>
      </c>
      <c r="AM511">
        <v>0</v>
      </c>
      <c r="AN511" t="s">
        <v>135</v>
      </c>
      <c r="AO511" t="s">
        <v>135</v>
      </c>
      <c r="AP511" t="s">
        <v>136</v>
      </c>
      <c r="AQ511" t="s">
        <v>137</v>
      </c>
      <c r="AR511" t="s">
        <v>138</v>
      </c>
      <c r="AS511" t="s">
        <v>139</v>
      </c>
      <c r="AT511" t="s">
        <v>140</v>
      </c>
      <c r="AU511">
        <v>101</v>
      </c>
      <c r="AV511">
        <v>10</v>
      </c>
      <c r="AW511">
        <v>1</v>
      </c>
      <c r="AX511" s="2">
        <v>45535</v>
      </c>
      <c r="AY511" t="s">
        <v>160</v>
      </c>
      <c r="AZ511" s="2">
        <v>46025</v>
      </c>
      <c r="BA511">
        <v>0</v>
      </c>
      <c r="BB511">
        <v>0</v>
      </c>
      <c r="BC511">
        <v>0</v>
      </c>
      <c r="BD511">
        <v>700</v>
      </c>
      <c r="BE511">
        <v>70</v>
      </c>
      <c r="BF511">
        <v>9</v>
      </c>
      <c r="BG511" s="2">
        <v>45536</v>
      </c>
      <c r="BH511" t="s">
        <v>142</v>
      </c>
      <c r="BI511" s="2">
        <v>46026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231.61</v>
      </c>
      <c r="BQ511">
        <v>231.61</v>
      </c>
      <c r="BR511">
        <v>0</v>
      </c>
      <c r="BS511">
        <v>0</v>
      </c>
      <c r="BT511">
        <v>0</v>
      </c>
      <c r="BU511">
        <v>0</v>
      </c>
      <c r="BV511" s="1">
        <v>1728.28</v>
      </c>
      <c r="BW511" s="1">
        <v>1728.28</v>
      </c>
      <c r="BX511">
        <v>0</v>
      </c>
      <c r="BY511">
        <v>0</v>
      </c>
      <c r="BZ511">
        <v>0</v>
      </c>
      <c r="CA511">
        <v>0</v>
      </c>
      <c r="CB511">
        <v>470.05</v>
      </c>
      <c r="CC511" t="s">
        <v>143</v>
      </c>
    </row>
    <row r="512" spans="1:81" x14ac:dyDescent="0.25">
      <c r="A512">
        <v>345</v>
      </c>
      <c r="B512">
        <v>2</v>
      </c>
      <c r="C512">
        <v>827</v>
      </c>
      <c r="D512" t="s">
        <v>2944</v>
      </c>
      <c r="E512" t="s">
        <v>121</v>
      </c>
      <c r="F512" t="s">
        <v>2945</v>
      </c>
      <c r="G512" t="s">
        <v>2946</v>
      </c>
      <c r="H512" t="s">
        <v>2947</v>
      </c>
      <c r="I512" t="s">
        <v>2948</v>
      </c>
      <c r="J512" t="s">
        <v>126</v>
      </c>
      <c r="K512" t="s">
        <v>336</v>
      </c>
      <c r="L512" t="s">
        <v>128</v>
      </c>
      <c r="M512" t="s">
        <v>337</v>
      </c>
      <c r="N512" t="s">
        <v>2949</v>
      </c>
      <c r="O512" t="s">
        <v>167</v>
      </c>
      <c r="P512">
        <v>0</v>
      </c>
      <c r="Q512" t="s">
        <v>125</v>
      </c>
      <c r="R512">
        <v>6</v>
      </c>
      <c r="S512">
        <v>35</v>
      </c>
      <c r="T512" t="s">
        <v>132</v>
      </c>
      <c r="U512" t="s">
        <v>133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134</v>
      </c>
      <c r="AE512" t="s">
        <v>134</v>
      </c>
      <c r="AF512" s="2">
        <v>45518</v>
      </c>
      <c r="AG512" s="2">
        <v>46017</v>
      </c>
      <c r="AH512">
        <v>334.97</v>
      </c>
      <c r="AI512">
        <v>459.32</v>
      </c>
      <c r="AJ512" s="1">
        <v>2344.8000000000002</v>
      </c>
      <c r="AK512">
        <v>0</v>
      </c>
      <c r="AL512">
        <v>0</v>
      </c>
      <c r="AM512">
        <v>0</v>
      </c>
      <c r="AN512" t="s">
        <v>135</v>
      </c>
      <c r="AO512" t="s">
        <v>135</v>
      </c>
      <c r="AP512" t="s">
        <v>136</v>
      </c>
      <c r="AQ512" t="s">
        <v>137</v>
      </c>
      <c r="AR512" t="s">
        <v>138</v>
      </c>
      <c r="AS512" t="s">
        <v>139</v>
      </c>
      <c r="AT512" t="s">
        <v>140</v>
      </c>
      <c r="AU512">
        <v>101</v>
      </c>
      <c r="AV512">
        <v>10</v>
      </c>
      <c r="AW512">
        <v>1</v>
      </c>
      <c r="AX512" s="2">
        <v>45841</v>
      </c>
      <c r="AY512" t="s">
        <v>308</v>
      </c>
      <c r="AZ512" s="2">
        <v>46023</v>
      </c>
      <c r="BA512">
        <v>0</v>
      </c>
      <c r="BB512">
        <v>0</v>
      </c>
      <c r="BC512">
        <v>0</v>
      </c>
      <c r="BD512">
        <v>700</v>
      </c>
      <c r="BE512">
        <v>70</v>
      </c>
      <c r="BF512">
        <v>9</v>
      </c>
      <c r="BG512" s="2">
        <v>45536</v>
      </c>
      <c r="BH512" t="s">
        <v>142</v>
      </c>
      <c r="BI512" s="2">
        <v>46026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695.16</v>
      </c>
      <c r="BQ512">
        <v>695.16</v>
      </c>
      <c r="BR512">
        <v>0</v>
      </c>
      <c r="BS512">
        <v>0</v>
      </c>
      <c r="BT512">
        <v>0</v>
      </c>
      <c r="BU512">
        <v>0</v>
      </c>
      <c r="BV512">
        <v>644.24</v>
      </c>
      <c r="BW512">
        <v>644.24</v>
      </c>
      <c r="BX512">
        <v>0</v>
      </c>
      <c r="BY512">
        <v>0</v>
      </c>
      <c r="BZ512">
        <v>0</v>
      </c>
      <c r="CA512">
        <v>0</v>
      </c>
      <c r="CB512">
        <v>730.94</v>
      </c>
      <c r="CC512" t="s">
        <v>161</v>
      </c>
    </row>
    <row r="513" spans="1:81" x14ac:dyDescent="0.25">
      <c r="A513">
        <v>345</v>
      </c>
      <c r="B513">
        <v>2</v>
      </c>
      <c r="C513">
        <v>828</v>
      </c>
      <c r="D513" t="s">
        <v>2950</v>
      </c>
      <c r="E513" t="s">
        <v>121</v>
      </c>
      <c r="F513" t="s">
        <v>2951</v>
      </c>
      <c r="G513" t="s">
        <v>2952</v>
      </c>
      <c r="H513" t="s">
        <v>2953</v>
      </c>
      <c r="I513" t="s">
        <v>2936</v>
      </c>
      <c r="J513" t="s">
        <v>781</v>
      </c>
      <c r="K513" t="s">
        <v>466</v>
      </c>
      <c r="L513" t="s">
        <v>128</v>
      </c>
      <c r="M513" t="s">
        <v>467</v>
      </c>
      <c r="N513" t="s">
        <v>2954</v>
      </c>
      <c r="O513" t="s">
        <v>167</v>
      </c>
      <c r="P513">
        <v>0</v>
      </c>
      <c r="Q513" t="s">
        <v>125</v>
      </c>
      <c r="R513">
        <v>6</v>
      </c>
      <c r="S513">
        <v>33</v>
      </c>
      <c r="T513" t="s">
        <v>132</v>
      </c>
      <c r="U513" t="s">
        <v>133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134</v>
      </c>
      <c r="AE513" t="s">
        <v>134</v>
      </c>
      <c r="AF513" s="2">
        <v>45518</v>
      </c>
      <c r="AG513" s="2">
        <v>46008</v>
      </c>
      <c r="AH513" s="1">
        <v>1051.7</v>
      </c>
      <c r="AI513" s="1">
        <v>2311.36</v>
      </c>
      <c r="AJ513" s="1">
        <v>6310.22</v>
      </c>
      <c r="AK513">
        <v>0</v>
      </c>
      <c r="AL513" s="1">
        <v>1660.72</v>
      </c>
      <c r="AM513">
        <v>0</v>
      </c>
      <c r="AN513" t="s">
        <v>135</v>
      </c>
      <c r="AO513" t="s">
        <v>135</v>
      </c>
      <c r="AP513" t="s">
        <v>136</v>
      </c>
      <c r="AQ513" t="s">
        <v>137</v>
      </c>
      <c r="AR513" t="s">
        <v>138</v>
      </c>
      <c r="AS513" t="s">
        <v>139</v>
      </c>
      <c r="AT513" t="s">
        <v>140</v>
      </c>
      <c r="AU513">
        <v>103</v>
      </c>
      <c r="AV513">
        <v>10</v>
      </c>
      <c r="AW513">
        <v>1</v>
      </c>
      <c r="AX513" s="2">
        <v>45839</v>
      </c>
      <c r="AY513" t="s">
        <v>377</v>
      </c>
      <c r="AZ513" s="2">
        <v>46028</v>
      </c>
      <c r="BA513">
        <v>0</v>
      </c>
      <c r="BB513">
        <v>0</v>
      </c>
      <c r="BC513">
        <v>0</v>
      </c>
      <c r="BD513">
        <v>700</v>
      </c>
      <c r="BE513">
        <v>70</v>
      </c>
      <c r="BF513">
        <v>9</v>
      </c>
      <c r="BG513" s="2">
        <v>45536</v>
      </c>
      <c r="BH513" t="s">
        <v>142</v>
      </c>
      <c r="BI513" s="2">
        <v>46026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984.07</v>
      </c>
      <c r="BQ513">
        <v>984.07</v>
      </c>
      <c r="BR513">
        <v>0</v>
      </c>
      <c r="BS513">
        <v>0</v>
      </c>
      <c r="BT513">
        <v>0</v>
      </c>
      <c r="BU513">
        <v>0</v>
      </c>
      <c r="BV513" s="1">
        <v>3972.08</v>
      </c>
      <c r="BW513" s="1">
        <v>3972.08</v>
      </c>
      <c r="BX513">
        <v>0</v>
      </c>
      <c r="BY513">
        <v>0</v>
      </c>
      <c r="BZ513">
        <v>0</v>
      </c>
      <c r="CA513">
        <v>0</v>
      </c>
      <c r="CB513" s="1">
        <v>1079.42</v>
      </c>
      <c r="CC513" t="s">
        <v>161</v>
      </c>
    </row>
    <row r="514" spans="1:81" x14ac:dyDescent="0.25">
      <c r="A514">
        <v>345</v>
      </c>
      <c r="B514">
        <v>2</v>
      </c>
      <c r="C514">
        <v>829</v>
      </c>
      <c r="D514" t="s">
        <v>2955</v>
      </c>
      <c r="E514" t="s">
        <v>121</v>
      </c>
      <c r="F514" t="s">
        <v>2956</v>
      </c>
      <c r="G514" t="s">
        <v>2957</v>
      </c>
      <c r="H514" t="s">
        <v>328</v>
      </c>
      <c r="I514" t="s">
        <v>2958</v>
      </c>
      <c r="J514" t="s">
        <v>126</v>
      </c>
      <c r="K514" t="s">
        <v>127</v>
      </c>
      <c r="L514" t="s">
        <v>128</v>
      </c>
      <c r="M514" t="s">
        <v>129</v>
      </c>
      <c r="N514" t="s">
        <v>2959</v>
      </c>
      <c r="O514" t="s">
        <v>131</v>
      </c>
      <c r="P514">
        <v>0</v>
      </c>
      <c r="Q514" t="s">
        <v>125</v>
      </c>
      <c r="R514">
        <v>3</v>
      </c>
      <c r="S514">
        <v>85</v>
      </c>
      <c r="T514" t="s">
        <v>132</v>
      </c>
      <c r="U514" t="s">
        <v>133</v>
      </c>
      <c r="V514">
        <v>0</v>
      </c>
      <c r="W514">
        <v>0</v>
      </c>
      <c r="X514">
        <v>0</v>
      </c>
      <c r="Y514">
        <v>7</v>
      </c>
      <c r="Z514">
        <v>0</v>
      </c>
      <c r="AA514">
        <v>0</v>
      </c>
      <c r="AB514">
        <v>0</v>
      </c>
      <c r="AC514">
        <v>0</v>
      </c>
      <c r="AD514" t="s">
        <v>134</v>
      </c>
      <c r="AE514" t="s">
        <v>134</v>
      </c>
      <c r="AF514" s="2">
        <v>45518</v>
      </c>
      <c r="AG514" s="2">
        <v>46021</v>
      </c>
      <c r="AH514">
        <v>535.07000000000005</v>
      </c>
      <c r="AI514">
        <v>553.9</v>
      </c>
      <c r="AJ514" s="1">
        <v>1070.1400000000001</v>
      </c>
      <c r="AK514">
        <v>0</v>
      </c>
      <c r="AL514">
        <v>0</v>
      </c>
      <c r="AM514">
        <v>0</v>
      </c>
      <c r="AN514" t="s">
        <v>135</v>
      </c>
      <c r="AO514" t="s">
        <v>135</v>
      </c>
      <c r="AP514" t="s">
        <v>136</v>
      </c>
      <c r="AQ514" t="s">
        <v>137</v>
      </c>
      <c r="AR514" t="s">
        <v>138</v>
      </c>
      <c r="AS514" t="s">
        <v>139</v>
      </c>
      <c r="AT514" t="s">
        <v>140</v>
      </c>
      <c r="AU514">
        <v>102</v>
      </c>
      <c r="AV514">
        <v>10</v>
      </c>
      <c r="AW514">
        <v>1</v>
      </c>
      <c r="AX514" s="2">
        <v>46013</v>
      </c>
      <c r="AY514" t="s">
        <v>141</v>
      </c>
      <c r="AZ514" s="2">
        <v>46027</v>
      </c>
      <c r="BA514">
        <v>0</v>
      </c>
      <c r="BB514">
        <v>0</v>
      </c>
      <c r="BC514">
        <v>0</v>
      </c>
      <c r="BD514">
        <v>700</v>
      </c>
      <c r="BE514">
        <v>70</v>
      </c>
      <c r="BF514">
        <v>9</v>
      </c>
      <c r="BG514" t="s">
        <v>135</v>
      </c>
      <c r="BH514" t="s">
        <v>250</v>
      </c>
      <c r="BI514" t="s">
        <v>135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553.9</v>
      </c>
      <c r="BQ514">
        <v>553.9</v>
      </c>
      <c r="BR514">
        <v>0</v>
      </c>
      <c r="BS514">
        <v>0</v>
      </c>
      <c r="BT514">
        <v>0</v>
      </c>
      <c r="BU514">
        <v>0</v>
      </c>
      <c r="BV514">
        <v>516.24</v>
      </c>
      <c r="BW514">
        <v>516.24</v>
      </c>
      <c r="BX514">
        <v>0</v>
      </c>
      <c r="BY514">
        <v>0</v>
      </c>
      <c r="BZ514">
        <v>0</v>
      </c>
      <c r="CA514">
        <v>0</v>
      </c>
      <c r="CB514">
        <v>564.08000000000004</v>
      </c>
      <c r="CC514" t="s">
        <v>143</v>
      </c>
    </row>
    <row r="515" spans="1:81" x14ac:dyDescent="0.25">
      <c r="A515">
        <v>345</v>
      </c>
      <c r="B515">
        <v>2</v>
      </c>
      <c r="C515">
        <v>832</v>
      </c>
      <c r="D515" t="s">
        <v>2960</v>
      </c>
      <c r="E515" t="s">
        <v>121</v>
      </c>
      <c r="F515" t="s">
        <v>2961</v>
      </c>
      <c r="G515" t="s">
        <v>2962</v>
      </c>
      <c r="H515" t="s">
        <v>2963</v>
      </c>
      <c r="I515" t="s">
        <v>125</v>
      </c>
      <c r="J515" t="s">
        <v>1263</v>
      </c>
      <c r="K515" t="s">
        <v>466</v>
      </c>
      <c r="L515" t="s">
        <v>128</v>
      </c>
      <c r="M515" t="s">
        <v>467</v>
      </c>
      <c r="N515" t="s">
        <v>2964</v>
      </c>
      <c r="O515" t="s">
        <v>167</v>
      </c>
      <c r="P515">
        <v>0</v>
      </c>
      <c r="Q515" t="s">
        <v>125</v>
      </c>
      <c r="R515">
        <v>3</v>
      </c>
      <c r="S515">
        <v>83</v>
      </c>
      <c r="T515" t="s">
        <v>132</v>
      </c>
      <c r="U515" t="s">
        <v>133</v>
      </c>
      <c r="V515" s="1">
        <v>6500</v>
      </c>
      <c r="W515">
        <v>0</v>
      </c>
      <c r="X515" s="1">
        <v>6500</v>
      </c>
      <c r="Y515">
        <v>7</v>
      </c>
      <c r="Z515">
        <v>0</v>
      </c>
      <c r="AA515">
        <v>0</v>
      </c>
      <c r="AB515">
        <v>0</v>
      </c>
      <c r="AC515">
        <v>0</v>
      </c>
      <c r="AD515" t="s">
        <v>134</v>
      </c>
      <c r="AE515" t="s">
        <v>134</v>
      </c>
      <c r="AF515" s="2">
        <v>45518</v>
      </c>
      <c r="AG515" s="2">
        <v>46021</v>
      </c>
      <c r="AH515" s="1">
        <v>1762.43</v>
      </c>
      <c r="AI515" s="1">
        <v>6042.1</v>
      </c>
      <c r="AJ515" s="1">
        <v>17624.310000000001</v>
      </c>
      <c r="AK515" s="1">
        <v>1302</v>
      </c>
      <c r="AL515">
        <v>0</v>
      </c>
      <c r="AM515">
        <v>0</v>
      </c>
      <c r="AN515" t="s">
        <v>135</v>
      </c>
      <c r="AO515" t="s">
        <v>135</v>
      </c>
      <c r="AP515" t="s">
        <v>136</v>
      </c>
      <c r="AQ515" t="s">
        <v>137</v>
      </c>
      <c r="AR515" t="s">
        <v>138</v>
      </c>
      <c r="AS515" t="s">
        <v>139</v>
      </c>
      <c r="AT515" t="s">
        <v>140</v>
      </c>
      <c r="AU515">
        <v>106</v>
      </c>
      <c r="AV515">
        <v>10</v>
      </c>
      <c r="AW515">
        <v>1</v>
      </c>
      <c r="AX515" s="2">
        <v>45815</v>
      </c>
      <c r="AY515" t="s">
        <v>160</v>
      </c>
      <c r="AZ515" s="2">
        <v>46025</v>
      </c>
      <c r="BA515">
        <v>0</v>
      </c>
      <c r="BB515">
        <v>0</v>
      </c>
      <c r="BC515">
        <v>0</v>
      </c>
      <c r="BD515">
        <v>700</v>
      </c>
      <c r="BE515">
        <v>70</v>
      </c>
      <c r="BF515">
        <v>9</v>
      </c>
      <c r="BG515" s="2">
        <v>45809</v>
      </c>
      <c r="BH515" t="s">
        <v>142</v>
      </c>
      <c r="BI515" s="2">
        <v>46026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s="1">
        <v>2604.44</v>
      </c>
      <c r="BQ515" s="1">
        <v>2604.44</v>
      </c>
      <c r="BR515">
        <v>0</v>
      </c>
      <c r="BS515">
        <v>0</v>
      </c>
      <c r="BT515">
        <v>0</v>
      </c>
      <c r="BU515">
        <v>0</v>
      </c>
      <c r="BV515" s="1">
        <v>6715.13</v>
      </c>
      <c r="BW515" s="1">
        <v>6715.13</v>
      </c>
      <c r="BX515">
        <v>0</v>
      </c>
      <c r="BY515">
        <v>0</v>
      </c>
      <c r="BZ515">
        <v>0</v>
      </c>
      <c r="CA515">
        <v>0</v>
      </c>
      <c r="CB515" s="1">
        <v>6921.79</v>
      </c>
      <c r="CC515" t="s">
        <v>161</v>
      </c>
    </row>
    <row r="516" spans="1:81" x14ac:dyDescent="0.25">
      <c r="A516">
        <v>345</v>
      </c>
      <c r="B516">
        <v>2</v>
      </c>
      <c r="C516">
        <v>835</v>
      </c>
      <c r="D516" t="s">
        <v>2965</v>
      </c>
      <c r="E516" t="s">
        <v>121</v>
      </c>
      <c r="F516" t="s">
        <v>2966</v>
      </c>
      <c r="G516" t="s">
        <v>2967</v>
      </c>
      <c r="H516" t="s">
        <v>2968</v>
      </c>
      <c r="I516" t="s">
        <v>125</v>
      </c>
      <c r="J516" t="s">
        <v>735</v>
      </c>
      <c r="K516" t="s">
        <v>336</v>
      </c>
      <c r="L516" t="s">
        <v>128</v>
      </c>
      <c r="M516" t="s">
        <v>337</v>
      </c>
      <c r="N516" t="s">
        <v>2969</v>
      </c>
      <c r="O516" t="s">
        <v>131</v>
      </c>
      <c r="P516">
        <v>0</v>
      </c>
      <c r="Q516" t="s">
        <v>125</v>
      </c>
      <c r="R516">
        <v>6</v>
      </c>
      <c r="S516">
        <v>44</v>
      </c>
      <c r="T516" t="s">
        <v>132</v>
      </c>
      <c r="U516" t="s">
        <v>133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134</v>
      </c>
      <c r="AE516" t="s">
        <v>134</v>
      </c>
      <c r="AF516" s="2">
        <v>45518</v>
      </c>
      <c r="AG516" s="2">
        <v>46013</v>
      </c>
      <c r="AH516">
        <v>166.42</v>
      </c>
      <c r="AI516">
        <v>199.14</v>
      </c>
      <c r="AJ516" s="1">
        <v>1164.95</v>
      </c>
      <c r="AK516">
        <v>0</v>
      </c>
      <c r="AL516">
        <v>0</v>
      </c>
      <c r="AM516">
        <v>0</v>
      </c>
      <c r="AN516" t="s">
        <v>135</v>
      </c>
      <c r="AO516" t="s">
        <v>135</v>
      </c>
      <c r="AP516" t="s">
        <v>136</v>
      </c>
      <c r="AQ516" t="s">
        <v>137</v>
      </c>
      <c r="AR516" t="s">
        <v>138</v>
      </c>
      <c r="AS516" t="s">
        <v>150</v>
      </c>
      <c r="AT516" t="s">
        <v>140</v>
      </c>
      <c r="AU516">
        <v>104</v>
      </c>
      <c r="AV516">
        <v>10</v>
      </c>
      <c r="AW516">
        <v>1</v>
      </c>
      <c r="AX516" s="2">
        <v>45857</v>
      </c>
      <c r="AY516" t="s">
        <v>160</v>
      </c>
      <c r="AZ516" s="2">
        <v>46025</v>
      </c>
      <c r="BA516">
        <v>0</v>
      </c>
      <c r="BB516">
        <v>0</v>
      </c>
      <c r="BC516">
        <v>0</v>
      </c>
      <c r="BD516">
        <v>700</v>
      </c>
      <c r="BE516">
        <v>70</v>
      </c>
      <c r="BF516">
        <v>9</v>
      </c>
      <c r="BG516" s="2">
        <v>45536</v>
      </c>
      <c r="BH516" t="s">
        <v>142</v>
      </c>
      <c r="BI516" s="2">
        <v>46026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344.09</v>
      </c>
      <c r="BQ516">
        <v>344.09</v>
      </c>
      <c r="BR516">
        <v>0</v>
      </c>
      <c r="BS516">
        <v>0</v>
      </c>
      <c r="BT516">
        <v>0</v>
      </c>
      <c r="BU516">
        <v>0</v>
      </c>
      <c r="BV516">
        <v>334.48</v>
      </c>
      <c r="BW516">
        <v>334.48</v>
      </c>
      <c r="BX516">
        <v>0</v>
      </c>
      <c r="BY516">
        <v>0</v>
      </c>
      <c r="BZ516">
        <v>0</v>
      </c>
      <c r="CA516">
        <v>0</v>
      </c>
      <c r="CB516">
        <v>372.23</v>
      </c>
      <c r="CC516" t="s">
        <v>143</v>
      </c>
    </row>
    <row r="517" spans="1:81" x14ac:dyDescent="0.25">
      <c r="A517">
        <v>345</v>
      </c>
      <c r="B517">
        <v>2</v>
      </c>
      <c r="C517">
        <v>836</v>
      </c>
      <c r="D517" t="s">
        <v>2970</v>
      </c>
      <c r="E517" t="s">
        <v>121</v>
      </c>
      <c r="F517" t="s">
        <v>2971</v>
      </c>
      <c r="G517" t="s">
        <v>2972</v>
      </c>
      <c r="H517" t="s">
        <v>2973</v>
      </c>
      <c r="I517" t="s">
        <v>2974</v>
      </c>
      <c r="J517" t="s">
        <v>825</v>
      </c>
      <c r="K517" t="s">
        <v>336</v>
      </c>
      <c r="L517" t="s">
        <v>128</v>
      </c>
      <c r="M517" t="s">
        <v>337</v>
      </c>
      <c r="N517" t="s">
        <v>2975</v>
      </c>
      <c r="O517" t="s">
        <v>167</v>
      </c>
      <c r="P517">
        <v>0</v>
      </c>
      <c r="Q517" t="s">
        <v>125</v>
      </c>
      <c r="R517">
        <v>6</v>
      </c>
      <c r="S517">
        <v>41</v>
      </c>
      <c r="T517" t="s">
        <v>132</v>
      </c>
      <c r="U517" t="s">
        <v>133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134</v>
      </c>
      <c r="AE517" t="s">
        <v>134</v>
      </c>
      <c r="AF517" s="2">
        <v>45518</v>
      </c>
      <c r="AG517" s="2">
        <v>46007</v>
      </c>
      <c r="AH517">
        <v>725.79</v>
      </c>
      <c r="AI517" s="1">
        <v>1382.56</v>
      </c>
      <c r="AJ517" s="1">
        <v>3628.96</v>
      </c>
      <c r="AK517">
        <v>0</v>
      </c>
      <c r="AL517">
        <v>0</v>
      </c>
      <c r="AM517">
        <v>0</v>
      </c>
      <c r="AN517" t="s">
        <v>135</v>
      </c>
      <c r="AO517" t="s">
        <v>135</v>
      </c>
      <c r="AP517" t="s">
        <v>136</v>
      </c>
      <c r="AQ517" t="s">
        <v>137</v>
      </c>
      <c r="AR517" t="s">
        <v>138</v>
      </c>
      <c r="AS517" t="s">
        <v>150</v>
      </c>
      <c r="AT517" t="s">
        <v>140</v>
      </c>
      <c r="AU517">
        <v>101</v>
      </c>
      <c r="AV517">
        <v>10</v>
      </c>
      <c r="AW517">
        <v>1</v>
      </c>
      <c r="AX517" s="2">
        <v>45838</v>
      </c>
      <c r="AY517" t="s">
        <v>141</v>
      </c>
      <c r="AZ517" s="2">
        <v>46027</v>
      </c>
      <c r="BA517">
        <v>0</v>
      </c>
      <c r="BB517">
        <v>0</v>
      </c>
      <c r="BC517">
        <v>0</v>
      </c>
      <c r="BD517">
        <v>700</v>
      </c>
      <c r="BE517">
        <v>70</v>
      </c>
      <c r="BF517">
        <v>9</v>
      </c>
      <c r="BG517" s="2">
        <v>45536</v>
      </c>
      <c r="BH517" t="s">
        <v>142</v>
      </c>
      <c r="BI517" s="2">
        <v>46026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s="1">
        <v>1783.29</v>
      </c>
      <c r="BQ517" s="1">
        <v>1783.29</v>
      </c>
      <c r="BR517">
        <v>0</v>
      </c>
      <c r="BS517">
        <v>0</v>
      </c>
      <c r="BT517">
        <v>0</v>
      </c>
      <c r="BU517">
        <v>0</v>
      </c>
      <c r="BV517" s="1">
        <v>1289.78</v>
      </c>
      <c r="BW517" s="1">
        <v>1289.78</v>
      </c>
      <c r="BX517">
        <v>0</v>
      </c>
      <c r="BY517">
        <v>0</v>
      </c>
      <c r="BZ517">
        <v>0</v>
      </c>
      <c r="CA517">
        <v>0</v>
      </c>
      <c r="CB517" s="1">
        <v>3928.32</v>
      </c>
      <c r="CC517" t="s">
        <v>161</v>
      </c>
    </row>
    <row r="518" spans="1:81" x14ac:dyDescent="0.25">
      <c r="A518">
        <v>345</v>
      </c>
      <c r="B518">
        <v>2</v>
      </c>
      <c r="C518">
        <v>837</v>
      </c>
      <c r="D518" t="s">
        <v>2976</v>
      </c>
      <c r="E518" t="s">
        <v>121</v>
      </c>
      <c r="F518" t="s">
        <v>2977</v>
      </c>
      <c r="G518" t="s">
        <v>2978</v>
      </c>
      <c r="H518" t="s">
        <v>2979</v>
      </c>
      <c r="I518" t="s">
        <v>2974</v>
      </c>
      <c r="J518" t="s">
        <v>903</v>
      </c>
      <c r="K518" t="s">
        <v>336</v>
      </c>
      <c r="L518" t="s">
        <v>128</v>
      </c>
      <c r="M518" t="s">
        <v>337</v>
      </c>
      <c r="N518" t="s">
        <v>2980</v>
      </c>
      <c r="O518" t="s">
        <v>131</v>
      </c>
      <c r="P518">
        <v>0</v>
      </c>
      <c r="Q518" t="s">
        <v>125</v>
      </c>
      <c r="R518">
        <v>6</v>
      </c>
      <c r="S518">
        <v>40</v>
      </c>
      <c r="T518" t="s">
        <v>132</v>
      </c>
      <c r="U518" t="s">
        <v>133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134</v>
      </c>
      <c r="AE518" t="s">
        <v>134</v>
      </c>
      <c r="AF518" s="2">
        <v>45518</v>
      </c>
      <c r="AG518" s="2">
        <v>46000</v>
      </c>
      <c r="AH518">
        <v>893.29</v>
      </c>
      <c r="AI518" s="1">
        <v>1173.92</v>
      </c>
      <c r="AJ518" s="1">
        <v>4466.46</v>
      </c>
      <c r="AK518">
        <v>0</v>
      </c>
      <c r="AL518">
        <v>0</v>
      </c>
      <c r="AM518">
        <v>0</v>
      </c>
      <c r="AN518" t="s">
        <v>135</v>
      </c>
      <c r="AO518" t="s">
        <v>135</v>
      </c>
      <c r="AP518" t="s">
        <v>136</v>
      </c>
      <c r="AQ518" t="s">
        <v>137</v>
      </c>
      <c r="AR518" t="s">
        <v>138</v>
      </c>
      <c r="AS518" t="s">
        <v>139</v>
      </c>
      <c r="AT518" t="s">
        <v>140</v>
      </c>
      <c r="AU518">
        <v>101</v>
      </c>
      <c r="AV518">
        <v>10</v>
      </c>
      <c r="AW518">
        <v>1</v>
      </c>
      <c r="AX518" s="2">
        <v>45838</v>
      </c>
      <c r="AY518" t="s">
        <v>141</v>
      </c>
      <c r="AZ518" s="2">
        <v>46027</v>
      </c>
      <c r="BA518">
        <v>0</v>
      </c>
      <c r="BB518">
        <v>0</v>
      </c>
      <c r="BC518">
        <v>0</v>
      </c>
      <c r="BD518">
        <v>700</v>
      </c>
      <c r="BE518">
        <v>70</v>
      </c>
      <c r="BF518">
        <v>9</v>
      </c>
      <c r="BG518" s="2">
        <v>45536</v>
      </c>
      <c r="BH518" t="s">
        <v>142</v>
      </c>
      <c r="BI518" s="2">
        <v>46026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595.91</v>
      </c>
      <c r="BQ518">
        <v>595.91</v>
      </c>
      <c r="BR518">
        <v>0</v>
      </c>
      <c r="BS518">
        <v>0</v>
      </c>
      <c r="BT518">
        <v>0</v>
      </c>
      <c r="BU518">
        <v>0</v>
      </c>
      <c r="BV518" s="1">
        <v>2191.79</v>
      </c>
      <c r="BW518" s="1">
        <v>2191.79</v>
      </c>
      <c r="BX518">
        <v>0</v>
      </c>
      <c r="BY518">
        <v>0</v>
      </c>
      <c r="BZ518">
        <v>0</v>
      </c>
      <c r="CA518">
        <v>0</v>
      </c>
      <c r="CB518" s="1">
        <v>1514.15</v>
      </c>
      <c r="CC518" t="s">
        <v>143</v>
      </c>
    </row>
    <row r="519" spans="1:81" x14ac:dyDescent="0.25">
      <c r="A519">
        <v>345</v>
      </c>
      <c r="B519">
        <v>2</v>
      </c>
      <c r="C519">
        <v>839</v>
      </c>
      <c r="D519" t="s">
        <v>2981</v>
      </c>
      <c r="E519" t="s">
        <v>121</v>
      </c>
      <c r="F519" t="s">
        <v>2982</v>
      </c>
      <c r="G519" t="s">
        <v>2983</v>
      </c>
      <c r="H519" t="s">
        <v>2984</v>
      </c>
      <c r="I519" t="s">
        <v>2902</v>
      </c>
      <c r="J519" t="s">
        <v>735</v>
      </c>
      <c r="K519" t="s">
        <v>336</v>
      </c>
      <c r="L519" t="s">
        <v>128</v>
      </c>
      <c r="M519" t="s">
        <v>337</v>
      </c>
      <c r="N519" t="s">
        <v>2985</v>
      </c>
      <c r="O519" t="s">
        <v>167</v>
      </c>
      <c r="P519">
        <v>0</v>
      </c>
      <c r="Q519" t="s">
        <v>125</v>
      </c>
      <c r="R519">
        <v>6</v>
      </c>
      <c r="S519">
        <v>35</v>
      </c>
      <c r="T519" t="s">
        <v>132</v>
      </c>
      <c r="U519" t="s">
        <v>133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134</v>
      </c>
      <c r="AE519" t="s">
        <v>134</v>
      </c>
      <c r="AF519" s="2">
        <v>45518</v>
      </c>
      <c r="AG519" s="2">
        <v>46020</v>
      </c>
      <c r="AH519">
        <v>397.22</v>
      </c>
      <c r="AI519">
        <v>619.63</v>
      </c>
      <c r="AJ519" s="1">
        <v>2383.36</v>
      </c>
      <c r="AK519">
        <v>0</v>
      </c>
      <c r="AL519">
        <v>0</v>
      </c>
      <c r="AM519">
        <v>0</v>
      </c>
      <c r="AN519" t="s">
        <v>135</v>
      </c>
      <c r="AO519" t="s">
        <v>135</v>
      </c>
      <c r="AP519" t="s">
        <v>136</v>
      </c>
      <c r="AQ519" t="s">
        <v>137</v>
      </c>
      <c r="AR519" t="s">
        <v>138</v>
      </c>
      <c r="AS519" t="s">
        <v>139</v>
      </c>
      <c r="AT519" t="s">
        <v>140</v>
      </c>
      <c r="AU519">
        <v>104</v>
      </c>
      <c r="AV519">
        <v>10</v>
      </c>
      <c r="AW519">
        <v>1</v>
      </c>
      <c r="AX519" s="2">
        <v>45857</v>
      </c>
      <c r="AY519" t="s">
        <v>160</v>
      </c>
      <c r="AZ519" s="2">
        <v>46025</v>
      </c>
      <c r="BA519">
        <v>0</v>
      </c>
      <c r="BB519">
        <v>0</v>
      </c>
      <c r="BC519">
        <v>0</v>
      </c>
      <c r="BD519">
        <v>700</v>
      </c>
      <c r="BE519">
        <v>70</v>
      </c>
      <c r="BF519">
        <v>9</v>
      </c>
      <c r="BG519" s="2">
        <v>45536</v>
      </c>
      <c r="BH519" t="s">
        <v>142</v>
      </c>
      <c r="BI519" s="2">
        <v>46026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484.58</v>
      </c>
      <c r="BQ519">
        <v>484.58</v>
      </c>
      <c r="BR519">
        <v>0</v>
      </c>
      <c r="BS519">
        <v>0</v>
      </c>
      <c r="BT519">
        <v>0</v>
      </c>
      <c r="BU519">
        <v>0</v>
      </c>
      <c r="BV519" s="1">
        <v>1898.78</v>
      </c>
      <c r="BW519" s="1">
        <v>1898.78</v>
      </c>
      <c r="BX519">
        <v>0</v>
      </c>
      <c r="BY519">
        <v>0</v>
      </c>
      <c r="BZ519">
        <v>0</v>
      </c>
      <c r="CA519">
        <v>0</v>
      </c>
      <c r="CB519">
        <v>161.52000000000001</v>
      </c>
      <c r="CC519" t="s">
        <v>161</v>
      </c>
    </row>
    <row r="520" spans="1:81" x14ac:dyDescent="0.25">
      <c r="A520">
        <v>345</v>
      </c>
      <c r="B520">
        <v>2</v>
      </c>
      <c r="C520">
        <v>841</v>
      </c>
      <c r="D520" t="s">
        <v>2986</v>
      </c>
      <c r="E520" t="s">
        <v>121</v>
      </c>
      <c r="F520" t="s">
        <v>2987</v>
      </c>
      <c r="G520" t="s">
        <v>2988</v>
      </c>
      <c r="H520" t="s">
        <v>2989</v>
      </c>
      <c r="I520" t="s">
        <v>125</v>
      </c>
      <c r="J520" t="s">
        <v>606</v>
      </c>
      <c r="K520" t="s">
        <v>336</v>
      </c>
      <c r="L520" t="s">
        <v>128</v>
      </c>
      <c r="M520" t="s">
        <v>337</v>
      </c>
      <c r="N520" t="s">
        <v>2990</v>
      </c>
      <c r="O520" t="s">
        <v>131</v>
      </c>
      <c r="P520">
        <v>0</v>
      </c>
      <c r="Q520" t="s">
        <v>125</v>
      </c>
      <c r="R520">
        <v>3</v>
      </c>
      <c r="S520">
        <v>82</v>
      </c>
      <c r="T520" t="s">
        <v>132</v>
      </c>
      <c r="U520" t="s">
        <v>133</v>
      </c>
      <c r="V520">
        <v>570</v>
      </c>
      <c r="W520">
        <v>294.33</v>
      </c>
      <c r="X520">
        <v>275.67</v>
      </c>
      <c r="Y520">
        <v>0</v>
      </c>
      <c r="Z520">
        <v>0</v>
      </c>
      <c r="AA520">
        <v>7</v>
      </c>
      <c r="AB520">
        <v>7</v>
      </c>
      <c r="AC520">
        <v>18</v>
      </c>
      <c r="AD520" t="s">
        <v>134</v>
      </c>
      <c r="AE520" t="s">
        <v>134</v>
      </c>
      <c r="AF520" s="2">
        <v>45518</v>
      </c>
      <c r="AG520" s="2">
        <v>45988</v>
      </c>
      <c r="AH520">
        <v>302.75</v>
      </c>
      <c r="AI520">
        <v>473.35</v>
      </c>
      <c r="AJ520" s="1">
        <v>2119.2600000000002</v>
      </c>
      <c r="AK520">
        <v>294.33</v>
      </c>
      <c r="AL520">
        <v>0</v>
      </c>
      <c r="AM520">
        <v>0</v>
      </c>
      <c r="AN520" t="s">
        <v>135</v>
      </c>
      <c r="AO520" t="s">
        <v>135</v>
      </c>
      <c r="AP520" t="s">
        <v>136</v>
      </c>
      <c r="AQ520" t="s">
        <v>137</v>
      </c>
      <c r="AR520" t="s">
        <v>138</v>
      </c>
      <c r="AS520" t="s">
        <v>139</v>
      </c>
      <c r="AT520" t="s">
        <v>140</v>
      </c>
      <c r="AU520">
        <v>101</v>
      </c>
      <c r="AV520">
        <v>10</v>
      </c>
      <c r="AW520">
        <v>1</v>
      </c>
      <c r="AX520" s="2">
        <v>45882</v>
      </c>
      <c r="AY520" t="s">
        <v>168</v>
      </c>
      <c r="AZ520" s="2">
        <v>46022</v>
      </c>
      <c r="BA520">
        <v>0</v>
      </c>
      <c r="BB520">
        <v>0</v>
      </c>
      <c r="BC520">
        <v>0</v>
      </c>
      <c r="BD520">
        <v>999</v>
      </c>
      <c r="BE520">
        <v>99</v>
      </c>
      <c r="BF520">
        <v>9</v>
      </c>
      <c r="BG520" t="s">
        <v>135</v>
      </c>
      <c r="BH520" t="s">
        <v>250</v>
      </c>
      <c r="BI520" t="s">
        <v>135</v>
      </c>
      <c r="BJ520">
        <v>0</v>
      </c>
      <c r="BK520">
        <v>0</v>
      </c>
      <c r="BL520">
        <v>0</v>
      </c>
      <c r="BM520">
        <v>7</v>
      </c>
      <c r="BN520">
        <v>5.21</v>
      </c>
      <c r="BO520">
        <v>921.56</v>
      </c>
      <c r="BP520">
        <v>316.16000000000003</v>
      </c>
      <c r="BQ520" s="1">
        <v>1237.72</v>
      </c>
      <c r="BR520">
        <v>294.33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768.7</v>
      </c>
      <c r="CC520" t="s">
        <v>143</v>
      </c>
    </row>
    <row r="521" spans="1:81" x14ac:dyDescent="0.25">
      <c r="A521">
        <v>345</v>
      </c>
      <c r="B521">
        <v>2</v>
      </c>
      <c r="C521">
        <v>842</v>
      </c>
      <c r="D521" t="s">
        <v>2991</v>
      </c>
      <c r="E521" t="s">
        <v>121</v>
      </c>
      <c r="F521" t="s">
        <v>2992</v>
      </c>
      <c r="G521" t="s">
        <v>2993</v>
      </c>
      <c r="H521" t="s">
        <v>2979</v>
      </c>
      <c r="I521" t="s">
        <v>2994</v>
      </c>
      <c r="J521" t="s">
        <v>967</v>
      </c>
      <c r="K521" t="s">
        <v>466</v>
      </c>
      <c r="L521" t="s">
        <v>128</v>
      </c>
      <c r="M521" t="s">
        <v>467</v>
      </c>
      <c r="N521" t="s">
        <v>2995</v>
      </c>
      <c r="O521" t="s">
        <v>2996</v>
      </c>
      <c r="P521">
        <v>0</v>
      </c>
      <c r="Q521" t="s">
        <v>125</v>
      </c>
      <c r="R521">
        <v>6</v>
      </c>
      <c r="S521">
        <v>43</v>
      </c>
      <c r="T521" t="s">
        <v>132</v>
      </c>
      <c r="U521" t="s">
        <v>133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134</v>
      </c>
      <c r="AE521" t="s">
        <v>134</v>
      </c>
      <c r="AF521" s="2">
        <v>45518</v>
      </c>
      <c r="AG521" s="2">
        <v>45990</v>
      </c>
      <c r="AH521">
        <v>40.78</v>
      </c>
      <c r="AI521">
        <v>40.78</v>
      </c>
      <c r="AJ521">
        <v>40.78</v>
      </c>
      <c r="AK521">
        <v>0</v>
      </c>
      <c r="AL521">
        <v>0</v>
      </c>
      <c r="AM521">
        <v>0</v>
      </c>
      <c r="AN521" t="s">
        <v>135</v>
      </c>
      <c r="AO521" t="s">
        <v>135</v>
      </c>
      <c r="AP521" t="s">
        <v>136</v>
      </c>
      <c r="AQ521" t="s">
        <v>137</v>
      </c>
      <c r="AR521" t="s">
        <v>138</v>
      </c>
      <c r="AS521" t="s">
        <v>150</v>
      </c>
      <c r="AT521" t="s">
        <v>140</v>
      </c>
      <c r="AU521">
        <v>100</v>
      </c>
      <c r="AV521">
        <v>10</v>
      </c>
      <c r="AW521">
        <v>1</v>
      </c>
      <c r="AX521" s="2">
        <v>45856</v>
      </c>
      <c r="AY521" t="s">
        <v>151</v>
      </c>
      <c r="AZ521" s="2">
        <v>46024</v>
      </c>
      <c r="BA521">
        <v>0</v>
      </c>
      <c r="BB521">
        <v>0</v>
      </c>
      <c r="BC521">
        <v>0</v>
      </c>
      <c r="BD521">
        <v>700</v>
      </c>
      <c r="BE521">
        <v>70</v>
      </c>
      <c r="BF521">
        <v>9</v>
      </c>
      <c r="BG521" s="2">
        <v>45536</v>
      </c>
      <c r="BH521" t="s">
        <v>142</v>
      </c>
      <c r="BI521" s="2">
        <v>46026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40.78</v>
      </c>
      <c r="BQ521">
        <v>40.78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13.59</v>
      </c>
      <c r="CC521" t="s">
        <v>161</v>
      </c>
    </row>
    <row r="522" spans="1:81" x14ac:dyDescent="0.25">
      <c r="A522">
        <v>345</v>
      </c>
      <c r="B522">
        <v>2</v>
      </c>
      <c r="C522">
        <v>843</v>
      </c>
      <c r="D522" t="s">
        <v>2997</v>
      </c>
      <c r="E522" t="s">
        <v>121</v>
      </c>
      <c r="F522" t="s">
        <v>2998</v>
      </c>
      <c r="G522" t="s">
        <v>2999</v>
      </c>
      <c r="H522" t="s">
        <v>1439</v>
      </c>
      <c r="I522" t="s">
        <v>125</v>
      </c>
      <c r="J522" t="s">
        <v>126</v>
      </c>
      <c r="K522" t="s">
        <v>336</v>
      </c>
      <c r="L522" t="s">
        <v>128</v>
      </c>
      <c r="M522" t="s">
        <v>337</v>
      </c>
      <c r="N522" t="s">
        <v>2220</v>
      </c>
      <c r="O522" t="s">
        <v>159</v>
      </c>
      <c r="P522">
        <v>0</v>
      </c>
      <c r="Q522" t="s">
        <v>125</v>
      </c>
      <c r="R522">
        <v>6</v>
      </c>
      <c r="S522">
        <v>41</v>
      </c>
      <c r="T522" t="s">
        <v>132</v>
      </c>
      <c r="U522" t="s">
        <v>133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234</v>
      </c>
      <c r="AE522" t="s">
        <v>134</v>
      </c>
      <c r="AF522" s="2">
        <v>45518</v>
      </c>
      <c r="AG522" s="2">
        <v>46009</v>
      </c>
      <c r="AH522" s="1">
        <v>1402.02</v>
      </c>
      <c r="AI522" s="1">
        <v>1835.9</v>
      </c>
      <c r="AJ522" s="1">
        <v>15422.25</v>
      </c>
      <c r="AK522">
        <v>0</v>
      </c>
      <c r="AL522">
        <v>0</v>
      </c>
      <c r="AM522">
        <v>0</v>
      </c>
      <c r="AN522" t="s">
        <v>135</v>
      </c>
      <c r="AO522" t="s">
        <v>135</v>
      </c>
      <c r="AP522" t="s">
        <v>136</v>
      </c>
      <c r="AQ522" t="s">
        <v>137</v>
      </c>
      <c r="AR522" t="s">
        <v>138</v>
      </c>
      <c r="AS522" t="s">
        <v>150</v>
      </c>
      <c r="AT522" t="s">
        <v>140</v>
      </c>
      <c r="AU522">
        <v>501</v>
      </c>
      <c r="AV522">
        <v>10</v>
      </c>
      <c r="AW522">
        <v>1</v>
      </c>
      <c r="AX522" s="2">
        <v>45860</v>
      </c>
      <c r="AY522" t="s">
        <v>377</v>
      </c>
      <c r="AZ522" s="2">
        <v>46028</v>
      </c>
      <c r="BA522">
        <v>0</v>
      </c>
      <c r="BB522">
        <v>0</v>
      </c>
      <c r="BC522">
        <v>0</v>
      </c>
      <c r="BD522">
        <v>700</v>
      </c>
      <c r="BE522">
        <v>70</v>
      </c>
      <c r="BF522">
        <v>9</v>
      </c>
      <c r="BG522" s="2">
        <v>45536</v>
      </c>
      <c r="BH522" t="s">
        <v>142</v>
      </c>
      <c r="BI522" s="2">
        <v>46026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 s="1">
        <v>5461.04</v>
      </c>
      <c r="BQ522" s="1">
        <v>5461.04</v>
      </c>
      <c r="BR522">
        <v>0</v>
      </c>
      <c r="BS522">
        <v>0</v>
      </c>
      <c r="BT522">
        <v>0</v>
      </c>
      <c r="BU522">
        <v>0</v>
      </c>
      <c r="BV522" s="1">
        <v>4396.8599999999997</v>
      </c>
      <c r="BW522" s="1">
        <v>4396.8599999999997</v>
      </c>
      <c r="BX522">
        <v>0</v>
      </c>
      <c r="BY522">
        <v>0</v>
      </c>
      <c r="BZ522">
        <v>0</v>
      </c>
      <c r="CA522">
        <v>0</v>
      </c>
      <c r="CB522" s="1">
        <v>4946.59</v>
      </c>
      <c r="CC522" t="s">
        <v>161</v>
      </c>
    </row>
    <row r="523" spans="1:81" x14ac:dyDescent="0.25">
      <c r="A523">
        <v>345</v>
      </c>
      <c r="B523">
        <v>2</v>
      </c>
      <c r="C523">
        <v>844</v>
      </c>
      <c r="D523" t="s">
        <v>3000</v>
      </c>
      <c r="E523" t="s">
        <v>121</v>
      </c>
      <c r="F523" t="s">
        <v>3001</v>
      </c>
      <c r="G523" t="s">
        <v>3002</v>
      </c>
      <c r="H523" t="s">
        <v>3003</v>
      </c>
      <c r="I523" t="s">
        <v>125</v>
      </c>
      <c r="J523" t="s">
        <v>1009</v>
      </c>
      <c r="K523" t="s">
        <v>336</v>
      </c>
      <c r="L523" t="s">
        <v>128</v>
      </c>
      <c r="M523" t="s">
        <v>337</v>
      </c>
      <c r="N523" t="s">
        <v>3004</v>
      </c>
      <c r="O523" t="s">
        <v>159</v>
      </c>
      <c r="P523">
        <v>0</v>
      </c>
      <c r="Q523" t="s">
        <v>125</v>
      </c>
      <c r="R523">
        <v>6</v>
      </c>
      <c r="S523">
        <v>41</v>
      </c>
      <c r="T523" t="s">
        <v>132</v>
      </c>
      <c r="U523" t="s">
        <v>133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134</v>
      </c>
      <c r="AE523" t="s">
        <v>134</v>
      </c>
      <c r="AF523" s="2">
        <v>45518</v>
      </c>
      <c r="AG523" s="2">
        <v>46018</v>
      </c>
      <c r="AH523">
        <v>230.95</v>
      </c>
      <c r="AI523">
        <v>457.21</v>
      </c>
      <c r="AJ523" s="1">
        <v>1154.77</v>
      </c>
      <c r="AK523">
        <v>0</v>
      </c>
      <c r="AL523">
        <v>0</v>
      </c>
      <c r="AM523">
        <v>0</v>
      </c>
      <c r="AN523" t="s">
        <v>135</v>
      </c>
      <c r="AO523" t="s">
        <v>135</v>
      </c>
      <c r="AP523" t="s">
        <v>136</v>
      </c>
      <c r="AQ523" t="s">
        <v>137</v>
      </c>
      <c r="AR523" t="s">
        <v>138</v>
      </c>
      <c r="AS523" t="s">
        <v>150</v>
      </c>
      <c r="AT523" t="s">
        <v>140</v>
      </c>
      <c r="AU523">
        <v>101</v>
      </c>
      <c r="AV523">
        <v>10</v>
      </c>
      <c r="AW523">
        <v>1</v>
      </c>
      <c r="AX523" s="2">
        <v>45967</v>
      </c>
      <c r="AY523" t="s">
        <v>308</v>
      </c>
      <c r="AZ523" s="2">
        <v>46023</v>
      </c>
      <c r="BA523">
        <v>0</v>
      </c>
      <c r="BB523">
        <v>0</v>
      </c>
      <c r="BC523">
        <v>0</v>
      </c>
      <c r="BD523">
        <v>700</v>
      </c>
      <c r="BE523">
        <v>70</v>
      </c>
      <c r="BF523">
        <v>9</v>
      </c>
      <c r="BG523" s="2">
        <v>45536</v>
      </c>
      <c r="BH523" t="s">
        <v>142</v>
      </c>
      <c r="BI523" s="2">
        <v>46026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247.68</v>
      </c>
      <c r="BQ523">
        <v>247.68</v>
      </c>
      <c r="BR523">
        <v>0</v>
      </c>
      <c r="BS523">
        <v>0</v>
      </c>
      <c r="BT523">
        <v>0</v>
      </c>
      <c r="BU523">
        <v>0</v>
      </c>
      <c r="BV523">
        <v>796.75</v>
      </c>
      <c r="BW523">
        <v>796.75</v>
      </c>
      <c r="BX523">
        <v>0</v>
      </c>
      <c r="BY523">
        <v>0</v>
      </c>
      <c r="BZ523">
        <v>0</v>
      </c>
      <c r="CA523">
        <v>0</v>
      </c>
      <c r="CB523">
        <v>187.08</v>
      </c>
      <c r="CC523" t="s">
        <v>161</v>
      </c>
    </row>
    <row r="524" spans="1:81" x14ac:dyDescent="0.25">
      <c r="A524">
        <v>345</v>
      </c>
      <c r="B524">
        <v>2</v>
      </c>
      <c r="C524">
        <v>846</v>
      </c>
      <c r="D524" t="s">
        <v>3005</v>
      </c>
      <c r="E524" t="s">
        <v>121</v>
      </c>
      <c r="F524" t="s">
        <v>3006</v>
      </c>
      <c r="G524" t="s">
        <v>3007</v>
      </c>
      <c r="H524" t="s">
        <v>3008</v>
      </c>
      <c r="I524" t="s">
        <v>3009</v>
      </c>
      <c r="J524" t="s">
        <v>606</v>
      </c>
      <c r="K524" t="s">
        <v>336</v>
      </c>
      <c r="L524" t="s">
        <v>128</v>
      </c>
      <c r="M524" t="s">
        <v>337</v>
      </c>
      <c r="N524" t="s">
        <v>3010</v>
      </c>
      <c r="O524" t="s">
        <v>167</v>
      </c>
      <c r="P524">
        <v>0</v>
      </c>
      <c r="Q524" t="s">
        <v>125</v>
      </c>
      <c r="R524">
        <v>6</v>
      </c>
      <c r="S524">
        <v>39</v>
      </c>
      <c r="T524" t="s">
        <v>132</v>
      </c>
      <c r="U524" t="s">
        <v>133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134</v>
      </c>
      <c r="AE524" t="s">
        <v>134</v>
      </c>
      <c r="AF524" s="2">
        <v>45518</v>
      </c>
      <c r="AG524" s="2">
        <v>46014</v>
      </c>
      <c r="AH524">
        <v>280.52</v>
      </c>
      <c r="AI524">
        <v>339.81</v>
      </c>
      <c r="AJ524">
        <v>561.04999999999995</v>
      </c>
      <c r="AK524">
        <v>0</v>
      </c>
      <c r="AL524">
        <v>0</v>
      </c>
      <c r="AM524">
        <v>0</v>
      </c>
      <c r="AN524" t="s">
        <v>135</v>
      </c>
      <c r="AO524" t="s">
        <v>135</v>
      </c>
      <c r="AP524" t="s">
        <v>136</v>
      </c>
      <c r="AQ524" t="s">
        <v>137</v>
      </c>
      <c r="AR524" t="s">
        <v>138</v>
      </c>
      <c r="AS524" t="s">
        <v>150</v>
      </c>
      <c r="AT524" t="s">
        <v>140</v>
      </c>
      <c r="AU524">
        <v>501</v>
      </c>
      <c r="AV524">
        <v>10</v>
      </c>
      <c r="AW524">
        <v>1</v>
      </c>
      <c r="AX524" s="2">
        <v>45859</v>
      </c>
      <c r="AY524" t="s">
        <v>141</v>
      </c>
      <c r="AZ524" s="2">
        <v>46027</v>
      </c>
      <c r="BA524">
        <v>0</v>
      </c>
      <c r="BB524">
        <v>0</v>
      </c>
      <c r="BC524">
        <v>0</v>
      </c>
      <c r="BD524">
        <v>700</v>
      </c>
      <c r="BE524">
        <v>70</v>
      </c>
      <c r="BF524">
        <v>9</v>
      </c>
      <c r="BG524" s="2">
        <v>45536</v>
      </c>
      <c r="BH524" t="s">
        <v>142</v>
      </c>
      <c r="BI524" s="2">
        <v>46026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221.24</v>
      </c>
      <c r="BQ524">
        <v>221.24</v>
      </c>
      <c r="BR524">
        <v>0</v>
      </c>
      <c r="BS524">
        <v>0</v>
      </c>
      <c r="BT524">
        <v>0</v>
      </c>
      <c r="BU524">
        <v>0</v>
      </c>
      <c r="BV524">
        <v>339.81</v>
      </c>
      <c r="BW524">
        <v>339.81</v>
      </c>
      <c r="BX524">
        <v>0</v>
      </c>
      <c r="BY524">
        <v>0</v>
      </c>
      <c r="BZ524">
        <v>0</v>
      </c>
      <c r="CA524">
        <v>0</v>
      </c>
      <c r="CB524">
        <v>157.18</v>
      </c>
      <c r="CC524" t="s">
        <v>161</v>
      </c>
    </row>
    <row r="525" spans="1:81" x14ac:dyDescent="0.25">
      <c r="A525">
        <v>345</v>
      </c>
      <c r="B525">
        <v>2</v>
      </c>
      <c r="C525">
        <v>848</v>
      </c>
      <c r="D525" t="s">
        <v>3011</v>
      </c>
      <c r="E525" t="s">
        <v>121</v>
      </c>
      <c r="F525" t="s">
        <v>3012</v>
      </c>
      <c r="G525" t="s">
        <v>3013</v>
      </c>
      <c r="H525" t="s">
        <v>3014</v>
      </c>
      <c r="I525" t="s">
        <v>3015</v>
      </c>
      <c r="J525" t="s">
        <v>126</v>
      </c>
      <c r="K525" t="s">
        <v>127</v>
      </c>
      <c r="L525" t="s">
        <v>128</v>
      </c>
      <c r="M525" t="s">
        <v>129</v>
      </c>
      <c r="N525" t="s">
        <v>3016</v>
      </c>
      <c r="O525" t="s">
        <v>149</v>
      </c>
      <c r="P525">
        <v>0</v>
      </c>
      <c r="Q525" t="s">
        <v>125</v>
      </c>
      <c r="R525">
        <v>6</v>
      </c>
      <c r="S525">
        <v>42</v>
      </c>
      <c r="T525" t="s">
        <v>132</v>
      </c>
      <c r="U525" t="s">
        <v>133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134</v>
      </c>
      <c r="AE525" t="s">
        <v>134</v>
      </c>
      <c r="AF525" s="2">
        <v>45518</v>
      </c>
      <c r="AG525" s="2">
        <v>46020</v>
      </c>
      <c r="AH525" s="1">
        <v>2664.53</v>
      </c>
      <c r="AI525" s="1">
        <v>5380.84</v>
      </c>
      <c r="AJ525" s="1">
        <v>39967.97</v>
      </c>
      <c r="AK525">
        <v>0</v>
      </c>
      <c r="AL525">
        <v>0</v>
      </c>
      <c r="AM525">
        <v>0</v>
      </c>
      <c r="AN525" t="s">
        <v>135</v>
      </c>
      <c r="AO525" t="s">
        <v>135</v>
      </c>
      <c r="AP525" t="s">
        <v>136</v>
      </c>
      <c r="AQ525" t="s">
        <v>137</v>
      </c>
      <c r="AR525" t="s">
        <v>138</v>
      </c>
      <c r="AS525" t="s">
        <v>139</v>
      </c>
      <c r="AT525" t="s">
        <v>140</v>
      </c>
      <c r="AU525">
        <v>102</v>
      </c>
      <c r="AV525">
        <v>10</v>
      </c>
      <c r="AW525">
        <v>1</v>
      </c>
      <c r="AX525" s="2">
        <v>45810</v>
      </c>
      <c r="AY525" t="s">
        <v>141</v>
      </c>
      <c r="AZ525" s="2">
        <v>46027</v>
      </c>
      <c r="BA525">
        <v>0</v>
      </c>
      <c r="BB525">
        <v>0</v>
      </c>
      <c r="BC525">
        <v>0</v>
      </c>
      <c r="BD525">
        <v>700</v>
      </c>
      <c r="BE525">
        <v>70</v>
      </c>
      <c r="BF525">
        <v>9</v>
      </c>
      <c r="BG525" s="2">
        <v>45536</v>
      </c>
      <c r="BH525" t="s">
        <v>142</v>
      </c>
      <c r="BI525" s="2">
        <v>46026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s="1">
        <v>12208.55</v>
      </c>
      <c r="BQ525" s="1">
        <v>12208.55</v>
      </c>
      <c r="BR525">
        <v>0</v>
      </c>
      <c r="BS525">
        <v>0</v>
      </c>
      <c r="BT525">
        <v>0</v>
      </c>
      <c r="BU525">
        <v>0</v>
      </c>
      <c r="BV525" s="1">
        <v>20556.73</v>
      </c>
      <c r="BW525" s="1">
        <v>20556.73</v>
      </c>
      <c r="BX525">
        <v>0</v>
      </c>
      <c r="BY525">
        <v>0</v>
      </c>
      <c r="BZ525">
        <v>0</v>
      </c>
      <c r="CA525">
        <v>0</v>
      </c>
      <c r="CB525" s="1">
        <v>8482.7900000000009</v>
      </c>
      <c r="CC525" t="s">
        <v>152</v>
      </c>
    </row>
    <row r="526" spans="1:81" x14ac:dyDescent="0.25">
      <c r="A526">
        <v>345</v>
      </c>
      <c r="B526">
        <v>2</v>
      </c>
      <c r="C526">
        <v>849</v>
      </c>
      <c r="D526" t="s">
        <v>3017</v>
      </c>
      <c r="E526" t="s">
        <v>121</v>
      </c>
      <c r="F526" t="s">
        <v>3018</v>
      </c>
      <c r="G526" t="s">
        <v>3019</v>
      </c>
      <c r="H526" t="s">
        <v>3020</v>
      </c>
      <c r="I526" t="s">
        <v>3021</v>
      </c>
      <c r="J526" t="s">
        <v>126</v>
      </c>
      <c r="K526" t="s">
        <v>466</v>
      </c>
      <c r="L526" t="s">
        <v>128</v>
      </c>
      <c r="M526" t="s">
        <v>467</v>
      </c>
      <c r="N526" t="s">
        <v>1480</v>
      </c>
      <c r="O526" t="s">
        <v>167</v>
      </c>
      <c r="P526">
        <v>0</v>
      </c>
      <c r="Q526" t="s">
        <v>125</v>
      </c>
      <c r="R526">
        <v>6</v>
      </c>
      <c r="S526">
        <v>35</v>
      </c>
      <c r="T526" t="s">
        <v>132</v>
      </c>
      <c r="U526" t="s">
        <v>133</v>
      </c>
      <c r="V526" s="1">
        <v>5000</v>
      </c>
      <c r="W526">
        <v>0</v>
      </c>
      <c r="X526" s="1">
        <v>5000</v>
      </c>
      <c r="Y526">
        <v>2</v>
      </c>
      <c r="Z526">
        <v>0</v>
      </c>
      <c r="AA526">
        <v>5</v>
      </c>
      <c r="AB526">
        <v>0</v>
      </c>
      <c r="AC526">
        <v>7</v>
      </c>
      <c r="AD526" t="s">
        <v>234</v>
      </c>
      <c r="AE526" t="s">
        <v>134</v>
      </c>
      <c r="AF526" s="2">
        <v>45518</v>
      </c>
      <c r="AG526" s="2">
        <v>46014</v>
      </c>
      <c r="AH526" s="1">
        <v>1347.01</v>
      </c>
      <c r="AI526" s="1">
        <v>3478</v>
      </c>
      <c r="AJ526" s="1">
        <v>12123.14</v>
      </c>
      <c r="AK526">
        <v>0</v>
      </c>
      <c r="AL526">
        <v>0</v>
      </c>
      <c r="AM526">
        <v>0</v>
      </c>
      <c r="AN526" t="s">
        <v>135</v>
      </c>
      <c r="AO526" t="s">
        <v>135</v>
      </c>
      <c r="AP526" t="s">
        <v>136</v>
      </c>
      <c r="AQ526" t="s">
        <v>137</v>
      </c>
      <c r="AR526" t="s">
        <v>138</v>
      </c>
      <c r="AS526" t="s">
        <v>150</v>
      </c>
      <c r="AT526" t="s">
        <v>140</v>
      </c>
      <c r="AU526">
        <v>501</v>
      </c>
      <c r="AV526">
        <v>10</v>
      </c>
      <c r="AW526">
        <v>1</v>
      </c>
      <c r="AX526" s="2">
        <v>45854</v>
      </c>
      <c r="AY526" t="s">
        <v>168</v>
      </c>
      <c r="AZ526" s="2">
        <v>46022</v>
      </c>
      <c r="BA526">
        <v>0</v>
      </c>
      <c r="BB526">
        <v>0</v>
      </c>
      <c r="BC526">
        <v>0</v>
      </c>
      <c r="BD526">
        <v>700</v>
      </c>
      <c r="BE526">
        <v>70</v>
      </c>
      <c r="BF526">
        <v>9</v>
      </c>
      <c r="BG526" s="2">
        <v>45536</v>
      </c>
      <c r="BH526" t="s">
        <v>142</v>
      </c>
      <c r="BI526" s="2">
        <v>46026</v>
      </c>
      <c r="BJ526">
        <v>0</v>
      </c>
      <c r="BK526">
        <v>0</v>
      </c>
      <c r="BL526">
        <v>0</v>
      </c>
      <c r="BM526">
        <v>4</v>
      </c>
      <c r="BN526">
        <v>2.06</v>
      </c>
      <c r="BO526" s="1">
        <v>1997.89</v>
      </c>
      <c r="BP526" s="1">
        <v>1879.68</v>
      </c>
      <c r="BQ526" s="1">
        <v>3877.57</v>
      </c>
      <c r="BR526">
        <v>0</v>
      </c>
      <c r="BS526">
        <v>3.63</v>
      </c>
      <c r="BT526">
        <v>3.63</v>
      </c>
      <c r="BU526" s="1">
        <v>3077.88</v>
      </c>
      <c r="BV526">
        <v>0</v>
      </c>
      <c r="BW526" s="1">
        <v>3077.88</v>
      </c>
      <c r="BX526">
        <v>0</v>
      </c>
      <c r="BY526">
        <v>0</v>
      </c>
      <c r="BZ526">
        <v>0</v>
      </c>
      <c r="CA526">
        <v>0</v>
      </c>
      <c r="CB526" s="1">
        <v>3370.56</v>
      </c>
      <c r="CC526" t="s">
        <v>161</v>
      </c>
    </row>
    <row r="527" spans="1:81" x14ac:dyDescent="0.25">
      <c r="A527">
        <v>345</v>
      </c>
      <c r="B527">
        <v>2</v>
      </c>
      <c r="C527">
        <v>851</v>
      </c>
      <c r="D527" t="s">
        <v>3022</v>
      </c>
      <c r="E527" t="s">
        <v>121</v>
      </c>
      <c r="F527" t="s">
        <v>3023</v>
      </c>
      <c r="G527" t="s">
        <v>3024</v>
      </c>
      <c r="H527" t="s">
        <v>3025</v>
      </c>
      <c r="I527" t="s">
        <v>2974</v>
      </c>
      <c r="J527" t="s">
        <v>459</v>
      </c>
      <c r="K527" t="s">
        <v>336</v>
      </c>
      <c r="L527" t="s">
        <v>128</v>
      </c>
      <c r="M527" t="s">
        <v>337</v>
      </c>
      <c r="N527" t="s">
        <v>3026</v>
      </c>
      <c r="O527" t="s">
        <v>149</v>
      </c>
      <c r="P527">
        <v>0</v>
      </c>
      <c r="Q527" t="s">
        <v>125</v>
      </c>
      <c r="R527">
        <v>6</v>
      </c>
      <c r="S527">
        <v>42</v>
      </c>
      <c r="T527" t="s">
        <v>132</v>
      </c>
      <c r="U527" t="s">
        <v>133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134</v>
      </c>
      <c r="AE527" t="s">
        <v>134</v>
      </c>
      <c r="AF527" s="2">
        <v>45518</v>
      </c>
      <c r="AG527" s="2">
        <v>46015</v>
      </c>
      <c r="AH527" s="1">
        <v>3979.14</v>
      </c>
      <c r="AI527" s="1">
        <v>5161.3</v>
      </c>
      <c r="AJ527" s="1">
        <v>51728.84</v>
      </c>
      <c r="AK527">
        <v>0</v>
      </c>
      <c r="AL527" s="1">
        <v>5161.3</v>
      </c>
      <c r="AM527">
        <v>0</v>
      </c>
      <c r="AN527" t="s">
        <v>135</v>
      </c>
      <c r="AO527" t="s">
        <v>135</v>
      </c>
      <c r="AP527" t="s">
        <v>136</v>
      </c>
      <c r="AQ527" t="s">
        <v>137</v>
      </c>
      <c r="AR527" t="s">
        <v>138</v>
      </c>
      <c r="AS527" t="s">
        <v>139</v>
      </c>
      <c r="AT527" t="s">
        <v>140</v>
      </c>
      <c r="AU527">
        <v>100</v>
      </c>
      <c r="AV527">
        <v>10</v>
      </c>
      <c r="AW527">
        <v>1</v>
      </c>
      <c r="AX527" s="2">
        <v>45817</v>
      </c>
      <c r="AY527" t="s">
        <v>141</v>
      </c>
      <c r="AZ527" s="2">
        <v>46027</v>
      </c>
      <c r="BA527">
        <v>0</v>
      </c>
      <c r="BB527">
        <v>0</v>
      </c>
      <c r="BC527">
        <v>0</v>
      </c>
      <c r="BD527">
        <v>700</v>
      </c>
      <c r="BE527">
        <v>70</v>
      </c>
      <c r="BF527">
        <v>9</v>
      </c>
      <c r="BG527" s="2">
        <v>45536</v>
      </c>
      <c r="BH527" t="s">
        <v>142</v>
      </c>
      <c r="BI527" s="2">
        <v>46026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s="1">
        <v>14374.3</v>
      </c>
      <c r="BQ527" s="1">
        <v>14374.3</v>
      </c>
      <c r="BR527">
        <v>0</v>
      </c>
      <c r="BS527">
        <v>0</v>
      </c>
      <c r="BT527">
        <v>0</v>
      </c>
      <c r="BU527">
        <v>0</v>
      </c>
      <c r="BV527" s="1">
        <v>20641.86</v>
      </c>
      <c r="BW527" s="1">
        <v>20641.86</v>
      </c>
      <c r="BX527">
        <v>0</v>
      </c>
      <c r="BY527">
        <v>0</v>
      </c>
      <c r="BZ527">
        <v>0</v>
      </c>
      <c r="CA527">
        <v>0</v>
      </c>
      <c r="CB527" s="1">
        <v>17375.98</v>
      </c>
      <c r="CC527" t="s">
        <v>152</v>
      </c>
    </row>
    <row r="528" spans="1:81" x14ac:dyDescent="0.25">
      <c r="A528">
        <v>345</v>
      </c>
      <c r="B528">
        <v>2</v>
      </c>
      <c r="C528">
        <v>853</v>
      </c>
      <c r="D528" t="s">
        <v>3027</v>
      </c>
      <c r="E528" t="s">
        <v>121</v>
      </c>
      <c r="F528" t="s">
        <v>3028</v>
      </c>
      <c r="G528" t="s">
        <v>3029</v>
      </c>
      <c r="H528" t="s">
        <v>3030</v>
      </c>
      <c r="I528" t="s">
        <v>125</v>
      </c>
      <c r="J528" t="s">
        <v>554</v>
      </c>
      <c r="K528" t="s">
        <v>336</v>
      </c>
      <c r="L528" t="s">
        <v>128</v>
      </c>
      <c r="M528" t="s">
        <v>337</v>
      </c>
      <c r="N528" t="s">
        <v>3031</v>
      </c>
      <c r="O528" t="s">
        <v>167</v>
      </c>
      <c r="P528">
        <v>0</v>
      </c>
      <c r="Q528" t="s">
        <v>125</v>
      </c>
      <c r="R528">
        <v>6</v>
      </c>
      <c r="S528">
        <v>35</v>
      </c>
      <c r="T528" t="s">
        <v>132</v>
      </c>
      <c r="U528" t="s">
        <v>133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134</v>
      </c>
      <c r="AE528" t="s">
        <v>134</v>
      </c>
      <c r="AF528" s="2">
        <v>45518</v>
      </c>
      <c r="AG528" s="2">
        <v>46018</v>
      </c>
      <c r="AH528">
        <v>237.34</v>
      </c>
      <c r="AI528">
        <v>275.26</v>
      </c>
      <c r="AJ528">
        <v>712.04</v>
      </c>
      <c r="AK528">
        <v>0</v>
      </c>
      <c r="AL528">
        <v>0</v>
      </c>
      <c r="AM528">
        <v>0</v>
      </c>
      <c r="AN528" t="s">
        <v>135</v>
      </c>
      <c r="AO528" t="s">
        <v>135</v>
      </c>
      <c r="AP528" t="s">
        <v>136</v>
      </c>
      <c r="AQ528" t="s">
        <v>137</v>
      </c>
      <c r="AR528" t="s">
        <v>138</v>
      </c>
      <c r="AS528" t="s">
        <v>139</v>
      </c>
      <c r="AT528" t="s">
        <v>140</v>
      </c>
      <c r="AU528">
        <v>101</v>
      </c>
      <c r="AV528">
        <v>10</v>
      </c>
      <c r="AW528">
        <v>1</v>
      </c>
      <c r="AX528" s="2">
        <v>45855</v>
      </c>
      <c r="AY528" t="s">
        <v>308</v>
      </c>
      <c r="AZ528" s="2">
        <v>46023</v>
      </c>
      <c r="BA528">
        <v>0</v>
      </c>
      <c r="BB528">
        <v>0</v>
      </c>
      <c r="BC528">
        <v>0</v>
      </c>
      <c r="BD528">
        <v>700</v>
      </c>
      <c r="BE528">
        <v>70</v>
      </c>
      <c r="BF528">
        <v>9</v>
      </c>
      <c r="BG528" s="2">
        <v>45536</v>
      </c>
      <c r="BH528" t="s">
        <v>142</v>
      </c>
      <c r="BI528" s="2">
        <v>46026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223.38</v>
      </c>
      <c r="BW528">
        <v>223.38</v>
      </c>
      <c r="BX528">
        <v>0</v>
      </c>
      <c r="BY528">
        <v>0</v>
      </c>
      <c r="BZ528">
        <v>0</v>
      </c>
      <c r="CA528">
        <v>0</v>
      </c>
      <c r="CB528">
        <v>262.38</v>
      </c>
      <c r="CC528" t="s">
        <v>161</v>
      </c>
    </row>
    <row r="529" spans="1:81" x14ac:dyDescent="0.25">
      <c r="A529">
        <v>345</v>
      </c>
      <c r="B529">
        <v>2</v>
      </c>
      <c r="C529">
        <v>855</v>
      </c>
      <c r="D529" t="s">
        <v>3032</v>
      </c>
      <c r="E529" t="s">
        <v>121</v>
      </c>
      <c r="F529" t="s">
        <v>3033</v>
      </c>
      <c r="G529" t="s">
        <v>3034</v>
      </c>
      <c r="H529" t="s">
        <v>3035</v>
      </c>
      <c r="I529" t="s">
        <v>3036</v>
      </c>
      <c r="J529" t="s">
        <v>3037</v>
      </c>
      <c r="K529" t="s">
        <v>466</v>
      </c>
      <c r="L529" t="s">
        <v>128</v>
      </c>
      <c r="M529" t="s">
        <v>467</v>
      </c>
      <c r="N529" t="s">
        <v>3038</v>
      </c>
      <c r="O529" t="s">
        <v>167</v>
      </c>
      <c r="P529">
        <v>0</v>
      </c>
      <c r="Q529" t="s">
        <v>125</v>
      </c>
      <c r="R529">
        <v>5</v>
      </c>
      <c r="S529">
        <v>67</v>
      </c>
      <c r="T529" t="s">
        <v>132</v>
      </c>
      <c r="U529" t="s">
        <v>133</v>
      </c>
      <c r="V529" s="1">
        <v>1000</v>
      </c>
      <c r="W529">
        <v>139.04</v>
      </c>
      <c r="X529">
        <v>860.96</v>
      </c>
      <c r="Y529">
        <v>0</v>
      </c>
      <c r="Z529">
        <v>0</v>
      </c>
      <c r="AA529">
        <v>9</v>
      </c>
      <c r="AB529">
        <v>12</v>
      </c>
      <c r="AC529">
        <v>40</v>
      </c>
      <c r="AD529" t="s">
        <v>134</v>
      </c>
      <c r="AE529" t="s">
        <v>134</v>
      </c>
      <c r="AF529" s="2">
        <v>45518</v>
      </c>
      <c r="AG529" s="2">
        <v>46011</v>
      </c>
      <c r="AH529">
        <v>87.42</v>
      </c>
      <c r="AI529">
        <v>148.46</v>
      </c>
      <c r="AJ529">
        <v>349.68</v>
      </c>
      <c r="AK529">
        <v>139.04</v>
      </c>
      <c r="AL529">
        <v>0</v>
      </c>
      <c r="AM529">
        <v>0</v>
      </c>
      <c r="AN529" t="s">
        <v>135</v>
      </c>
      <c r="AO529" t="s">
        <v>135</v>
      </c>
      <c r="AP529" t="s">
        <v>136</v>
      </c>
      <c r="AQ529" t="s">
        <v>137</v>
      </c>
      <c r="AR529" t="s">
        <v>138</v>
      </c>
      <c r="AS529" t="s">
        <v>139</v>
      </c>
      <c r="AT529" t="s">
        <v>140</v>
      </c>
      <c r="AU529">
        <v>100</v>
      </c>
      <c r="AV529">
        <v>10</v>
      </c>
      <c r="AW529">
        <v>1</v>
      </c>
      <c r="AX529" s="2">
        <v>45814</v>
      </c>
      <c r="AY529" t="s">
        <v>151</v>
      </c>
      <c r="AZ529" s="2">
        <v>46024</v>
      </c>
      <c r="BA529">
        <v>0</v>
      </c>
      <c r="BB529">
        <v>0</v>
      </c>
      <c r="BC529">
        <v>0</v>
      </c>
      <c r="BD529">
        <v>700</v>
      </c>
      <c r="BE529">
        <v>70</v>
      </c>
      <c r="BF529">
        <v>9</v>
      </c>
      <c r="BG529" s="2">
        <v>45809</v>
      </c>
      <c r="BH529" t="s">
        <v>142</v>
      </c>
      <c r="BI529" s="2">
        <v>46026</v>
      </c>
      <c r="BJ529">
        <v>0</v>
      </c>
      <c r="BK529">
        <v>0</v>
      </c>
      <c r="BL529">
        <v>0</v>
      </c>
      <c r="BM529">
        <v>7</v>
      </c>
      <c r="BN529">
        <v>5.77</v>
      </c>
      <c r="BO529">
        <v>148.46</v>
      </c>
      <c r="BP529">
        <v>31.68</v>
      </c>
      <c r="BQ529">
        <v>180.14</v>
      </c>
      <c r="BR529">
        <v>148.46</v>
      </c>
      <c r="BS529">
        <v>9</v>
      </c>
      <c r="BT529">
        <v>9</v>
      </c>
      <c r="BU529">
        <v>139.04</v>
      </c>
      <c r="BV529">
        <v>0</v>
      </c>
      <c r="BW529">
        <v>139.04</v>
      </c>
      <c r="BX529">
        <v>0</v>
      </c>
      <c r="BY529">
        <v>0</v>
      </c>
      <c r="BZ529">
        <v>0</v>
      </c>
      <c r="CA529">
        <v>0</v>
      </c>
      <c r="CB529">
        <v>70.209999999999994</v>
      </c>
      <c r="CC529" t="s">
        <v>161</v>
      </c>
    </row>
    <row r="530" spans="1:81" x14ac:dyDescent="0.25">
      <c r="A530">
        <v>345</v>
      </c>
      <c r="B530">
        <v>2</v>
      </c>
      <c r="C530">
        <v>856</v>
      </c>
      <c r="D530" t="s">
        <v>3039</v>
      </c>
      <c r="E530" t="s">
        <v>121</v>
      </c>
      <c r="F530" t="s">
        <v>3040</v>
      </c>
      <c r="G530" t="s">
        <v>3041</v>
      </c>
      <c r="H530" t="s">
        <v>3042</v>
      </c>
      <c r="I530" t="s">
        <v>2873</v>
      </c>
      <c r="J530" t="s">
        <v>335</v>
      </c>
      <c r="K530" t="s">
        <v>336</v>
      </c>
      <c r="L530" t="s">
        <v>128</v>
      </c>
      <c r="M530" t="s">
        <v>337</v>
      </c>
      <c r="N530" t="s">
        <v>3043</v>
      </c>
      <c r="O530" t="s">
        <v>131</v>
      </c>
      <c r="P530">
        <v>0</v>
      </c>
      <c r="Q530" t="s">
        <v>125</v>
      </c>
      <c r="R530">
        <v>6</v>
      </c>
      <c r="S530">
        <v>40</v>
      </c>
      <c r="T530" t="s">
        <v>132</v>
      </c>
      <c r="U530" t="s">
        <v>133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134</v>
      </c>
      <c r="AE530" t="s">
        <v>134</v>
      </c>
      <c r="AF530" s="2">
        <v>45518</v>
      </c>
      <c r="AG530" s="2">
        <v>46020</v>
      </c>
      <c r="AH530">
        <v>646.96</v>
      </c>
      <c r="AI530" s="1">
        <v>1569.11</v>
      </c>
      <c r="AJ530" s="1">
        <v>7763.56</v>
      </c>
      <c r="AK530">
        <v>0</v>
      </c>
      <c r="AL530">
        <v>0</v>
      </c>
      <c r="AM530">
        <v>0</v>
      </c>
      <c r="AN530" t="s">
        <v>135</v>
      </c>
      <c r="AO530" t="s">
        <v>135</v>
      </c>
      <c r="AP530" t="s">
        <v>136</v>
      </c>
      <c r="AQ530" t="s">
        <v>137</v>
      </c>
      <c r="AR530" t="s">
        <v>138</v>
      </c>
      <c r="AS530" t="s">
        <v>139</v>
      </c>
      <c r="AT530" t="s">
        <v>140</v>
      </c>
      <c r="AU530">
        <v>101</v>
      </c>
      <c r="AV530">
        <v>10</v>
      </c>
      <c r="AW530">
        <v>1</v>
      </c>
      <c r="AX530" s="2">
        <v>45534</v>
      </c>
      <c r="AY530" t="s">
        <v>151</v>
      </c>
      <c r="AZ530" s="2">
        <v>46024</v>
      </c>
      <c r="BA530">
        <v>0</v>
      </c>
      <c r="BB530">
        <v>0</v>
      </c>
      <c r="BC530">
        <v>0</v>
      </c>
      <c r="BD530">
        <v>700</v>
      </c>
      <c r="BE530">
        <v>70</v>
      </c>
      <c r="BF530">
        <v>9</v>
      </c>
      <c r="BG530" s="2">
        <v>45536</v>
      </c>
      <c r="BH530" t="s">
        <v>142</v>
      </c>
      <c r="BI530" s="2">
        <v>46026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s="1">
        <v>2445.83</v>
      </c>
      <c r="BQ530" s="1">
        <v>2445.83</v>
      </c>
      <c r="BR530">
        <v>0</v>
      </c>
      <c r="BS530">
        <v>0</v>
      </c>
      <c r="BT530">
        <v>0</v>
      </c>
      <c r="BU530">
        <v>0</v>
      </c>
      <c r="BV530" s="1">
        <v>3990.09</v>
      </c>
      <c r="BW530" s="1">
        <v>3990.09</v>
      </c>
      <c r="BX530">
        <v>0</v>
      </c>
      <c r="BY530">
        <v>0</v>
      </c>
      <c r="BZ530">
        <v>0</v>
      </c>
      <c r="CA530">
        <v>0</v>
      </c>
      <c r="CB530" s="1">
        <v>1891.12</v>
      </c>
      <c r="CC530" t="s">
        <v>143</v>
      </c>
    </row>
    <row r="531" spans="1:81" x14ac:dyDescent="0.25">
      <c r="A531">
        <v>345</v>
      </c>
      <c r="B531">
        <v>2</v>
      </c>
      <c r="C531">
        <v>857</v>
      </c>
      <c r="D531" t="s">
        <v>3044</v>
      </c>
      <c r="E531" t="s">
        <v>121</v>
      </c>
      <c r="F531" t="s">
        <v>3045</v>
      </c>
      <c r="G531" t="s">
        <v>3046</v>
      </c>
      <c r="H531" t="s">
        <v>3047</v>
      </c>
      <c r="I531" t="s">
        <v>125</v>
      </c>
      <c r="J531" t="s">
        <v>335</v>
      </c>
      <c r="K531" t="s">
        <v>336</v>
      </c>
      <c r="L531" t="s">
        <v>128</v>
      </c>
      <c r="M531" t="s">
        <v>337</v>
      </c>
      <c r="N531" t="s">
        <v>3031</v>
      </c>
      <c r="O531" t="s">
        <v>159</v>
      </c>
      <c r="P531">
        <v>0</v>
      </c>
      <c r="Q531" t="s">
        <v>125</v>
      </c>
      <c r="R531">
        <v>6</v>
      </c>
      <c r="S531">
        <v>36</v>
      </c>
      <c r="T531" t="s">
        <v>132</v>
      </c>
      <c r="U531" t="s">
        <v>133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134</v>
      </c>
      <c r="AE531" t="s">
        <v>134</v>
      </c>
      <c r="AF531" s="2">
        <v>45518</v>
      </c>
      <c r="AG531" s="2">
        <v>46020</v>
      </c>
      <c r="AH531">
        <v>239.33</v>
      </c>
      <c r="AI531">
        <v>297.06</v>
      </c>
      <c r="AJ531" s="1">
        <v>1675.33</v>
      </c>
      <c r="AK531">
        <v>0</v>
      </c>
      <c r="AL531">
        <v>0</v>
      </c>
      <c r="AM531">
        <v>0</v>
      </c>
      <c r="AN531" t="s">
        <v>135</v>
      </c>
      <c r="AO531" t="s">
        <v>135</v>
      </c>
      <c r="AP531" t="s">
        <v>136</v>
      </c>
      <c r="AQ531" t="s">
        <v>137</v>
      </c>
      <c r="AR531" t="s">
        <v>138</v>
      </c>
      <c r="AS531" t="s">
        <v>139</v>
      </c>
      <c r="AT531" t="s">
        <v>140</v>
      </c>
      <c r="AU531">
        <v>101</v>
      </c>
      <c r="AV531">
        <v>10</v>
      </c>
      <c r="AW531">
        <v>1</v>
      </c>
      <c r="AX531" s="2">
        <v>45856</v>
      </c>
      <c r="AY531" t="s">
        <v>151</v>
      </c>
      <c r="AZ531" s="2">
        <v>46024</v>
      </c>
      <c r="BA531">
        <v>0</v>
      </c>
      <c r="BB531">
        <v>0</v>
      </c>
      <c r="BC531">
        <v>0</v>
      </c>
      <c r="BD531">
        <v>700</v>
      </c>
      <c r="BE531">
        <v>70</v>
      </c>
      <c r="BF531">
        <v>9</v>
      </c>
      <c r="BG531" s="2">
        <v>45536</v>
      </c>
      <c r="BH531" t="s">
        <v>142</v>
      </c>
      <c r="BI531" s="2">
        <v>46026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776.07</v>
      </c>
      <c r="BQ531">
        <v>776.07</v>
      </c>
      <c r="BR531">
        <v>0</v>
      </c>
      <c r="BS531">
        <v>0</v>
      </c>
      <c r="BT531">
        <v>0</v>
      </c>
      <c r="BU531">
        <v>0</v>
      </c>
      <c r="BV531">
        <v>520.74</v>
      </c>
      <c r="BW531">
        <v>520.74</v>
      </c>
      <c r="BX531">
        <v>0</v>
      </c>
      <c r="BY531">
        <v>0</v>
      </c>
      <c r="BZ531">
        <v>0</v>
      </c>
      <c r="CA531">
        <v>0</v>
      </c>
      <c r="CB531">
        <v>538.87</v>
      </c>
      <c r="CC531" t="s">
        <v>161</v>
      </c>
    </row>
    <row r="532" spans="1:81" x14ac:dyDescent="0.25">
      <c r="A532">
        <v>345</v>
      </c>
      <c r="B532">
        <v>2</v>
      </c>
      <c r="C532">
        <v>861</v>
      </c>
      <c r="D532" t="s">
        <v>3048</v>
      </c>
      <c r="E532" t="s">
        <v>121</v>
      </c>
      <c r="F532" t="s">
        <v>3049</v>
      </c>
      <c r="G532" t="s">
        <v>3050</v>
      </c>
      <c r="H532" t="s">
        <v>2979</v>
      </c>
      <c r="I532" t="s">
        <v>3051</v>
      </c>
      <c r="J532" t="s">
        <v>825</v>
      </c>
      <c r="K532" t="s">
        <v>336</v>
      </c>
      <c r="L532" t="s">
        <v>128</v>
      </c>
      <c r="M532" t="s">
        <v>337</v>
      </c>
      <c r="N532" t="s">
        <v>3052</v>
      </c>
      <c r="O532" t="s">
        <v>149</v>
      </c>
      <c r="P532">
        <v>0</v>
      </c>
      <c r="Q532" t="s">
        <v>125</v>
      </c>
      <c r="R532">
        <v>2</v>
      </c>
      <c r="S532">
        <v>90</v>
      </c>
      <c r="T532" t="s">
        <v>132</v>
      </c>
      <c r="U532" t="s">
        <v>133</v>
      </c>
      <c r="V532" s="1">
        <v>2200</v>
      </c>
      <c r="W532" s="1">
        <v>2154.15</v>
      </c>
      <c r="X532">
        <v>45.85</v>
      </c>
      <c r="Y532">
        <v>7</v>
      </c>
      <c r="Z532">
        <v>0</v>
      </c>
      <c r="AA532">
        <v>7</v>
      </c>
      <c r="AB532">
        <v>0</v>
      </c>
      <c r="AC532">
        <v>3</v>
      </c>
      <c r="AD532" t="s">
        <v>134</v>
      </c>
      <c r="AE532" t="s">
        <v>134</v>
      </c>
      <c r="AF532" s="2">
        <v>45518</v>
      </c>
      <c r="AG532" s="2">
        <v>46014</v>
      </c>
      <c r="AH532" s="1">
        <v>1701.13</v>
      </c>
      <c r="AI532" s="1">
        <v>3098.04</v>
      </c>
      <c r="AJ532" s="1">
        <v>22114.78</v>
      </c>
      <c r="AK532">
        <v>0</v>
      </c>
      <c r="AL532" s="1">
        <v>3064.35</v>
      </c>
      <c r="AM532">
        <v>0</v>
      </c>
      <c r="AN532" t="s">
        <v>135</v>
      </c>
      <c r="AO532" t="s">
        <v>135</v>
      </c>
      <c r="AP532" t="s">
        <v>136</v>
      </c>
      <c r="AQ532" t="s">
        <v>137</v>
      </c>
      <c r="AR532" t="s">
        <v>138</v>
      </c>
      <c r="AS532" t="s">
        <v>139</v>
      </c>
      <c r="AT532" t="s">
        <v>140</v>
      </c>
      <c r="AU532">
        <v>101</v>
      </c>
      <c r="AV532">
        <v>10</v>
      </c>
      <c r="AW532">
        <v>1</v>
      </c>
      <c r="AX532" s="2">
        <v>45838</v>
      </c>
      <c r="AY532" t="s">
        <v>141</v>
      </c>
      <c r="AZ532" s="2">
        <v>46027</v>
      </c>
      <c r="BA532">
        <v>0</v>
      </c>
      <c r="BB532">
        <v>0</v>
      </c>
      <c r="BC532">
        <v>0</v>
      </c>
      <c r="BD532">
        <v>700</v>
      </c>
      <c r="BE532">
        <v>70</v>
      </c>
      <c r="BF532">
        <v>9</v>
      </c>
      <c r="BG532" s="2">
        <v>45536</v>
      </c>
      <c r="BH532" t="s">
        <v>142</v>
      </c>
      <c r="BI532" s="2">
        <v>46026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s="1">
        <v>7431.08</v>
      </c>
      <c r="BQ532" s="1">
        <v>7431.08</v>
      </c>
      <c r="BR532">
        <v>0</v>
      </c>
      <c r="BS532">
        <v>7</v>
      </c>
      <c r="BT532">
        <v>2.71</v>
      </c>
      <c r="BU532" s="1">
        <v>4371.3100000000004</v>
      </c>
      <c r="BV532" s="1">
        <v>6914.04</v>
      </c>
      <c r="BW532" s="1">
        <v>11285.35</v>
      </c>
      <c r="BX532" s="1">
        <v>2154.15</v>
      </c>
      <c r="BY532">
        <v>49.28</v>
      </c>
      <c r="BZ532">
        <v>0</v>
      </c>
      <c r="CA532">
        <v>0</v>
      </c>
      <c r="CB532" s="1">
        <v>4649.45</v>
      </c>
      <c r="CC532" t="s">
        <v>152</v>
      </c>
    </row>
    <row r="533" spans="1:81" x14ac:dyDescent="0.25">
      <c r="A533">
        <v>345</v>
      </c>
      <c r="B533">
        <v>2</v>
      </c>
      <c r="C533">
        <v>862</v>
      </c>
      <c r="D533" t="s">
        <v>3053</v>
      </c>
      <c r="E533" t="s">
        <v>121</v>
      </c>
      <c r="F533" t="s">
        <v>3054</v>
      </c>
      <c r="G533" t="s">
        <v>3055</v>
      </c>
      <c r="H533" t="s">
        <v>3056</v>
      </c>
      <c r="I533" t="s">
        <v>125</v>
      </c>
      <c r="J533" t="s">
        <v>1671</v>
      </c>
      <c r="K533" t="s">
        <v>466</v>
      </c>
      <c r="L533" t="s">
        <v>128</v>
      </c>
      <c r="M533" t="s">
        <v>467</v>
      </c>
      <c r="N533" t="s">
        <v>3057</v>
      </c>
      <c r="O533" t="s">
        <v>167</v>
      </c>
      <c r="P533">
        <v>0</v>
      </c>
      <c r="Q533" t="s">
        <v>125</v>
      </c>
      <c r="R533">
        <v>6</v>
      </c>
      <c r="S533">
        <v>36</v>
      </c>
      <c r="T533" t="s">
        <v>132</v>
      </c>
      <c r="U533" t="s">
        <v>133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134</v>
      </c>
      <c r="AE533" t="s">
        <v>134</v>
      </c>
      <c r="AF533" s="2">
        <v>45518</v>
      </c>
      <c r="AG533" s="2">
        <v>46011</v>
      </c>
      <c r="AH533">
        <v>820.4</v>
      </c>
      <c r="AI533" s="1">
        <v>1888.61</v>
      </c>
      <c r="AJ533" s="1">
        <v>6563.22</v>
      </c>
      <c r="AK533">
        <v>0</v>
      </c>
      <c r="AL533">
        <v>0</v>
      </c>
      <c r="AM533">
        <v>0</v>
      </c>
      <c r="AN533" t="s">
        <v>135</v>
      </c>
      <c r="AO533" t="s">
        <v>135</v>
      </c>
      <c r="AP533" t="s">
        <v>136</v>
      </c>
      <c r="AQ533" t="s">
        <v>137</v>
      </c>
      <c r="AR533" t="s">
        <v>138</v>
      </c>
      <c r="AS533" t="s">
        <v>139</v>
      </c>
      <c r="AT533" t="s">
        <v>140</v>
      </c>
      <c r="AU533">
        <v>105</v>
      </c>
      <c r="AV533">
        <v>10</v>
      </c>
      <c r="AW533">
        <v>1</v>
      </c>
      <c r="AX533" s="2">
        <v>45841</v>
      </c>
      <c r="AY533" t="s">
        <v>308</v>
      </c>
      <c r="AZ533" s="2">
        <v>46023</v>
      </c>
      <c r="BA533">
        <v>0</v>
      </c>
      <c r="BB533">
        <v>0</v>
      </c>
      <c r="BC533">
        <v>0</v>
      </c>
      <c r="BD533">
        <v>700</v>
      </c>
      <c r="BE533">
        <v>70</v>
      </c>
      <c r="BF533">
        <v>9</v>
      </c>
      <c r="BG533" s="2">
        <v>45536</v>
      </c>
      <c r="BH533" t="s">
        <v>142</v>
      </c>
      <c r="BI533" s="2">
        <v>46026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s="1">
        <v>3738.28</v>
      </c>
      <c r="BQ533" s="1">
        <v>3738.28</v>
      </c>
      <c r="BR533">
        <v>0</v>
      </c>
      <c r="BS533">
        <v>0</v>
      </c>
      <c r="BT533">
        <v>0</v>
      </c>
      <c r="BU533">
        <v>0</v>
      </c>
      <c r="BV533" s="1">
        <v>1008.15</v>
      </c>
      <c r="BW533" s="1">
        <v>1008.15</v>
      </c>
      <c r="BX533">
        <v>0</v>
      </c>
      <c r="BY533">
        <v>0</v>
      </c>
      <c r="BZ533">
        <v>0</v>
      </c>
      <c r="CA533">
        <v>0</v>
      </c>
      <c r="CB533" s="1">
        <v>2526.61</v>
      </c>
      <c r="CC533" t="s">
        <v>161</v>
      </c>
    </row>
    <row r="534" spans="1:81" x14ac:dyDescent="0.25">
      <c r="A534">
        <v>345</v>
      </c>
      <c r="B534">
        <v>2</v>
      </c>
      <c r="C534">
        <v>864</v>
      </c>
      <c r="D534" t="s">
        <v>3058</v>
      </c>
      <c r="E534" t="s">
        <v>121</v>
      </c>
      <c r="F534" t="s">
        <v>3059</v>
      </c>
      <c r="G534" t="s">
        <v>3060</v>
      </c>
      <c r="H534" t="s">
        <v>3061</v>
      </c>
      <c r="I534" t="s">
        <v>125</v>
      </c>
      <c r="J534" t="s">
        <v>1263</v>
      </c>
      <c r="K534" t="s">
        <v>466</v>
      </c>
      <c r="L534" t="s">
        <v>128</v>
      </c>
      <c r="M534" t="s">
        <v>467</v>
      </c>
      <c r="N534" t="s">
        <v>3062</v>
      </c>
      <c r="O534" t="s">
        <v>159</v>
      </c>
      <c r="P534">
        <v>0</v>
      </c>
      <c r="Q534" t="s">
        <v>125</v>
      </c>
      <c r="R534">
        <v>6</v>
      </c>
      <c r="S534">
        <v>39</v>
      </c>
      <c r="T534" t="s">
        <v>132</v>
      </c>
      <c r="U534" t="s">
        <v>133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134</v>
      </c>
      <c r="AE534" t="s">
        <v>134</v>
      </c>
      <c r="AF534" s="2">
        <v>45518</v>
      </c>
      <c r="AG534" s="2">
        <v>46000</v>
      </c>
      <c r="AH534">
        <v>795.07</v>
      </c>
      <c r="AI534" s="1">
        <v>1034.26</v>
      </c>
      <c r="AJ534" s="1">
        <v>3180.28</v>
      </c>
      <c r="AK534">
        <v>0</v>
      </c>
      <c r="AL534">
        <v>0</v>
      </c>
      <c r="AM534">
        <v>0</v>
      </c>
      <c r="AN534" t="s">
        <v>135</v>
      </c>
      <c r="AO534" t="s">
        <v>135</v>
      </c>
      <c r="AP534" t="s">
        <v>136</v>
      </c>
      <c r="AQ534" t="s">
        <v>137</v>
      </c>
      <c r="AR534" t="s">
        <v>138</v>
      </c>
      <c r="AS534" t="s">
        <v>150</v>
      </c>
      <c r="AT534" t="s">
        <v>140</v>
      </c>
      <c r="AU534">
        <v>106</v>
      </c>
      <c r="AV534">
        <v>10</v>
      </c>
      <c r="AW534">
        <v>1</v>
      </c>
      <c r="AX534" s="2">
        <v>45920</v>
      </c>
      <c r="AY534" t="s">
        <v>160</v>
      </c>
      <c r="AZ534" s="2">
        <v>46025</v>
      </c>
      <c r="BA534">
        <v>0</v>
      </c>
      <c r="BB534">
        <v>0</v>
      </c>
      <c r="BC534">
        <v>0</v>
      </c>
      <c r="BD534">
        <v>700</v>
      </c>
      <c r="BE534">
        <v>70</v>
      </c>
      <c r="BF534">
        <v>9</v>
      </c>
      <c r="BG534" s="2">
        <v>45536</v>
      </c>
      <c r="BH534" t="s">
        <v>142</v>
      </c>
      <c r="BI534" s="2">
        <v>46026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843.02</v>
      </c>
      <c r="BQ534">
        <v>843.02</v>
      </c>
      <c r="BR534">
        <v>0</v>
      </c>
      <c r="BS534">
        <v>0</v>
      </c>
      <c r="BT534">
        <v>0</v>
      </c>
      <c r="BU534">
        <v>0</v>
      </c>
      <c r="BV534" s="1">
        <v>1034.26</v>
      </c>
      <c r="BW534" s="1">
        <v>1034.26</v>
      </c>
      <c r="BX534">
        <v>0</v>
      </c>
      <c r="BY534">
        <v>0</v>
      </c>
      <c r="BZ534">
        <v>0</v>
      </c>
      <c r="CA534">
        <v>0</v>
      </c>
      <c r="CB534">
        <v>715.34</v>
      </c>
      <c r="CC534" t="s">
        <v>161</v>
      </c>
    </row>
    <row r="535" spans="1:81" x14ac:dyDescent="0.25">
      <c r="A535">
        <v>345</v>
      </c>
      <c r="B535">
        <v>2</v>
      </c>
      <c r="C535">
        <v>865</v>
      </c>
      <c r="D535" t="s">
        <v>3063</v>
      </c>
      <c r="E535" t="s">
        <v>121</v>
      </c>
      <c r="F535" t="s">
        <v>3064</v>
      </c>
      <c r="G535" t="s">
        <v>3065</v>
      </c>
      <c r="H535" t="s">
        <v>3066</v>
      </c>
      <c r="I535" t="s">
        <v>3067</v>
      </c>
      <c r="J535" t="s">
        <v>1263</v>
      </c>
      <c r="K535" t="s">
        <v>466</v>
      </c>
      <c r="L535" t="s">
        <v>128</v>
      </c>
      <c r="M535" t="s">
        <v>467</v>
      </c>
      <c r="N535" t="s">
        <v>3068</v>
      </c>
      <c r="O535" t="s">
        <v>159</v>
      </c>
      <c r="P535">
        <v>0</v>
      </c>
      <c r="Q535" t="s">
        <v>125</v>
      </c>
      <c r="R535">
        <v>4</v>
      </c>
      <c r="S535">
        <v>79</v>
      </c>
      <c r="T535" t="s">
        <v>132</v>
      </c>
      <c r="U535" t="s">
        <v>133</v>
      </c>
      <c r="V535" s="1">
        <v>5000</v>
      </c>
      <c r="W535">
        <v>0</v>
      </c>
      <c r="X535" s="1">
        <v>5000</v>
      </c>
      <c r="Y535">
        <v>7</v>
      </c>
      <c r="Z535">
        <v>0</v>
      </c>
      <c r="AA535">
        <v>5</v>
      </c>
      <c r="AB535">
        <v>0</v>
      </c>
      <c r="AC535">
        <v>0</v>
      </c>
      <c r="AD535" t="s">
        <v>134</v>
      </c>
      <c r="AE535" t="s">
        <v>134</v>
      </c>
      <c r="AF535" s="2">
        <v>45518</v>
      </c>
      <c r="AG535" s="2">
        <v>45936</v>
      </c>
      <c r="AH535">
        <v>100.13</v>
      </c>
      <c r="AI535">
        <v>100.13</v>
      </c>
      <c r="AJ535">
        <v>100.13</v>
      </c>
      <c r="AK535">
        <v>0</v>
      </c>
      <c r="AL535">
        <v>0</v>
      </c>
      <c r="AM535">
        <v>0</v>
      </c>
      <c r="AN535" t="s">
        <v>135</v>
      </c>
      <c r="AO535" t="s">
        <v>135</v>
      </c>
      <c r="AP535" t="s">
        <v>136</v>
      </c>
      <c r="AQ535" t="s">
        <v>137</v>
      </c>
      <c r="AR535" t="s">
        <v>138</v>
      </c>
      <c r="AS535" t="s">
        <v>150</v>
      </c>
      <c r="AT535" t="s">
        <v>140</v>
      </c>
      <c r="AU535">
        <v>106</v>
      </c>
      <c r="AV535">
        <v>10</v>
      </c>
      <c r="AW535">
        <v>1</v>
      </c>
      <c r="AX535" s="2">
        <v>45856</v>
      </c>
      <c r="AY535" t="s">
        <v>151</v>
      </c>
      <c r="AZ535" s="2">
        <v>46024</v>
      </c>
      <c r="BA535">
        <v>0</v>
      </c>
      <c r="BB535">
        <v>0</v>
      </c>
      <c r="BC535">
        <v>0</v>
      </c>
      <c r="BD535">
        <v>999</v>
      </c>
      <c r="BE535">
        <v>99</v>
      </c>
      <c r="BF535">
        <v>9</v>
      </c>
      <c r="BG535" t="s">
        <v>135</v>
      </c>
      <c r="BH535" t="s">
        <v>250</v>
      </c>
      <c r="BI535" t="s">
        <v>135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154.72999999999999</v>
      </c>
      <c r="CC535" t="s">
        <v>161</v>
      </c>
    </row>
    <row r="536" spans="1:81" x14ac:dyDescent="0.25">
      <c r="A536">
        <v>345</v>
      </c>
      <c r="B536">
        <v>2</v>
      </c>
      <c r="C536">
        <v>866</v>
      </c>
      <c r="D536" t="s">
        <v>3069</v>
      </c>
      <c r="E536" t="s">
        <v>121</v>
      </c>
      <c r="F536" t="s">
        <v>3070</v>
      </c>
      <c r="G536" t="s">
        <v>3071</v>
      </c>
      <c r="H536" t="s">
        <v>3072</v>
      </c>
      <c r="I536" t="s">
        <v>3073</v>
      </c>
      <c r="J536" t="s">
        <v>3074</v>
      </c>
      <c r="K536" t="s">
        <v>1853</v>
      </c>
      <c r="L536" t="s">
        <v>128</v>
      </c>
      <c r="M536" t="s">
        <v>1854</v>
      </c>
      <c r="N536" t="s">
        <v>3075</v>
      </c>
      <c r="O536" t="s">
        <v>159</v>
      </c>
      <c r="P536">
        <v>0</v>
      </c>
      <c r="Q536" t="s">
        <v>125</v>
      </c>
      <c r="R536">
        <v>6</v>
      </c>
      <c r="S536">
        <v>31</v>
      </c>
      <c r="T536" t="s">
        <v>132</v>
      </c>
      <c r="U536" t="s">
        <v>133</v>
      </c>
      <c r="V536" s="1">
        <v>2000</v>
      </c>
      <c r="W536">
        <v>939.85</v>
      </c>
      <c r="X536" s="1">
        <v>1060.1500000000001</v>
      </c>
      <c r="Y536">
        <v>7</v>
      </c>
      <c r="Z536">
        <v>0</v>
      </c>
      <c r="AA536">
        <v>7</v>
      </c>
      <c r="AB536">
        <v>0</v>
      </c>
      <c r="AC536">
        <v>0</v>
      </c>
      <c r="AD536" t="s">
        <v>134</v>
      </c>
      <c r="AE536" t="s">
        <v>134</v>
      </c>
      <c r="AF536" s="2">
        <v>45518</v>
      </c>
      <c r="AG536" s="2">
        <v>45994</v>
      </c>
      <c r="AH536">
        <v>685.13</v>
      </c>
      <c r="AI536">
        <v>939.85</v>
      </c>
      <c r="AJ536" s="1">
        <v>2055.4</v>
      </c>
      <c r="AK536">
        <v>0</v>
      </c>
      <c r="AL536">
        <v>939.85</v>
      </c>
      <c r="AM536">
        <v>0</v>
      </c>
      <c r="AN536" t="s">
        <v>135</v>
      </c>
      <c r="AO536" t="s">
        <v>135</v>
      </c>
      <c r="AP536" t="s">
        <v>136</v>
      </c>
      <c r="AQ536" t="s">
        <v>137</v>
      </c>
      <c r="AR536" t="s">
        <v>138</v>
      </c>
      <c r="AS536" t="s">
        <v>150</v>
      </c>
      <c r="AT536" t="s">
        <v>140</v>
      </c>
      <c r="AU536">
        <v>106</v>
      </c>
      <c r="AV536">
        <v>10</v>
      </c>
      <c r="AW536">
        <v>1</v>
      </c>
      <c r="AX536" s="2">
        <v>45810</v>
      </c>
      <c r="AY536" t="s">
        <v>141</v>
      </c>
      <c r="AZ536" s="2">
        <v>46027</v>
      </c>
      <c r="BA536">
        <v>0</v>
      </c>
      <c r="BB536">
        <v>0</v>
      </c>
      <c r="BC536">
        <v>0</v>
      </c>
      <c r="BD536">
        <v>700</v>
      </c>
      <c r="BE536">
        <v>70</v>
      </c>
      <c r="BF536">
        <v>9</v>
      </c>
      <c r="BG536" s="2">
        <v>45536</v>
      </c>
      <c r="BH536" t="s">
        <v>142</v>
      </c>
      <c r="BI536" s="2">
        <v>46026</v>
      </c>
      <c r="BJ536">
        <v>0</v>
      </c>
      <c r="BK536">
        <v>0</v>
      </c>
      <c r="BL536">
        <v>0</v>
      </c>
      <c r="BM536">
        <v>7</v>
      </c>
      <c r="BN536">
        <v>7</v>
      </c>
      <c r="BO536">
        <v>627</v>
      </c>
      <c r="BP536">
        <v>0</v>
      </c>
      <c r="BQ536">
        <v>627</v>
      </c>
      <c r="BR536">
        <v>0</v>
      </c>
      <c r="BS536">
        <v>7</v>
      </c>
      <c r="BT536">
        <v>7</v>
      </c>
      <c r="BU536" s="1">
        <v>1428.4</v>
      </c>
      <c r="BV536">
        <v>0</v>
      </c>
      <c r="BW536" s="1">
        <v>1428.4</v>
      </c>
      <c r="BX536">
        <v>939.85</v>
      </c>
      <c r="BY536">
        <v>65.8</v>
      </c>
      <c r="BZ536">
        <v>0</v>
      </c>
      <c r="CA536">
        <v>0</v>
      </c>
      <c r="CB536">
        <v>209</v>
      </c>
      <c r="CC536" t="s">
        <v>161</v>
      </c>
    </row>
    <row r="537" spans="1:81" x14ac:dyDescent="0.25">
      <c r="A537">
        <v>345</v>
      </c>
      <c r="B537">
        <v>2</v>
      </c>
      <c r="C537">
        <v>867</v>
      </c>
      <c r="D537" t="s">
        <v>3076</v>
      </c>
      <c r="E537" t="s">
        <v>121</v>
      </c>
      <c r="F537" t="s">
        <v>3077</v>
      </c>
      <c r="G537" t="s">
        <v>3078</v>
      </c>
      <c r="H537" t="s">
        <v>3079</v>
      </c>
      <c r="I537" t="s">
        <v>125</v>
      </c>
      <c r="J537" t="s">
        <v>3080</v>
      </c>
      <c r="K537" t="s">
        <v>336</v>
      </c>
      <c r="L537" t="s">
        <v>128</v>
      </c>
      <c r="M537" t="s">
        <v>337</v>
      </c>
      <c r="N537" t="s">
        <v>3081</v>
      </c>
      <c r="O537" t="s">
        <v>131</v>
      </c>
      <c r="P537">
        <v>0</v>
      </c>
      <c r="Q537" t="s">
        <v>125</v>
      </c>
      <c r="R537">
        <v>6</v>
      </c>
      <c r="S537">
        <v>39</v>
      </c>
      <c r="T537" t="s">
        <v>132</v>
      </c>
      <c r="U537" t="s">
        <v>133</v>
      </c>
      <c r="V537" s="1">
        <v>5300</v>
      </c>
      <c r="W537">
        <v>0</v>
      </c>
      <c r="X537" s="1">
        <v>5300</v>
      </c>
      <c r="Y537">
        <v>7</v>
      </c>
      <c r="Z537">
        <v>0</v>
      </c>
      <c r="AA537">
        <v>0</v>
      </c>
      <c r="AB537">
        <v>0</v>
      </c>
      <c r="AC537">
        <v>0</v>
      </c>
      <c r="AD537" t="s">
        <v>134</v>
      </c>
      <c r="AE537" t="s">
        <v>134</v>
      </c>
      <c r="AF537" s="2">
        <v>45518</v>
      </c>
      <c r="AG537" s="2">
        <v>46017</v>
      </c>
      <c r="AH537" s="1">
        <v>1637.54</v>
      </c>
      <c r="AI537" s="1">
        <v>2567.6799999999998</v>
      </c>
      <c r="AJ537" s="1">
        <v>14737.94</v>
      </c>
      <c r="AK537">
        <v>0</v>
      </c>
      <c r="AL537">
        <v>0</v>
      </c>
      <c r="AM537">
        <v>0</v>
      </c>
      <c r="AN537" t="s">
        <v>135</v>
      </c>
      <c r="AO537" t="s">
        <v>135</v>
      </c>
      <c r="AP537" t="s">
        <v>136</v>
      </c>
      <c r="AQ537" t="s">
        <v>137</v>
      </c>
      <c r="AR537" t="s">
        <v>138</v>
      </c>
      <c r="AS537" t="s">
        <v>139</v>
      </c>
      <c r="AT537" t="s">
        <v>140</v>
      </c>
      <c r="AU537">
        <v>100</v>
      </c>
      <c r="AV537">
        <v>10</v>
      </c>
      <c r="AW537">
        <v>1</v>
      </c>
      <c r="AX537" s="2">
        <v>45818</v>
      </c>
      <c r="AY537" t="s">
        <v>377</v>
      </c>
      <c r="AZ537" s="2">
        <v>46028</v>
      </c>
      <c r="BA537">
        <v>0</v>
      </c>
      <c r="BB537">
        <v>0</v>
      </c>
      <c r="BC537">
        <v>0</v>
      </c>
      <c r="BD537">
        <v>700</v>
      </c>
      <c r="BE537">
        <v>70</v>
      </c>
      <c r="BF537">
        <v>9</v>
      </c>
      <c r="BG537" s="2">
        <v>45536</v>
      </c>
      <c r="BH537" t="s">
        <v>142</v>
      </c>
      <c r="BI537" s="2">
        <v>46026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s="1">
        <v>5127.2299999999996</v>
      </c>
      <c r="BQ537" s="1">
        <v>5127.2299999999996</v>
      </c>
      <c r="BR537">
        <v>0</v>
      </c>
      <c r="BS537">
        <v>0</v>
      </c>
      <c r="BT537">
        <v>0</v>
      </c>
      <c r="BU537">
        <v>0</v>
      </c>
      <c r="BV537" s="1">
        <v>2624.68</v>
      </c>
      <c r="BW537" s="1">
        <v>2624.68</v>
      </c>
      <c r="BX537">
        <v>0</v>
      </c>
      <c r="BY537">
        <v>0</v>
      </c>
      <c r="BZ537">
        <v>0</v>
      </c>
      <c r="CA537">
        <v>0</v>
      </c>
      <c r="CB537" s="1">
        <v>7308.63</v>
      </c>
      <c r="CC537" t="s">
        <v>143</v>
      </c>
    </row>
    <row r="538" spans="1:81" x14ac:dyDescent="0.25">
      <c r="A538">
        <v>345</v>
      </c>
      <c r="B538">
        <v>2</v>
      </c>
      <c r="C538">
        <v>868</v>
      </c>
      <c r="D538" t="s">
        <v>3082</v>
      </c>
      <c r="E538" t="s">
        <v>121</v>
      </c>
      <c r="F538" t="s">
        <v>3083</v>
      </c>
      <c r="G538" t="s">
        <v>3084</v>
      </c>
      <c r="H538" t="s">
        <v>3085</v>
      </c>
      <c r="I538" t="s">
        <v>125</v>
      </c>
      <c r="J538" t="s">
        <v>3074</v>
      </c>
      <c r="K538" t="s">
        <v>1853</v>
      </c>
      <c r="L538" t="s">
        <v>128</v>
      </c>
      <c r="M538" t="s">
        <v>1854</v>
      </c>
      <c r="N538" t="s">
        <v>3086</v>
      </c>
      <c r="O538" t="s">
        <v>167</v>
      </c>
      <c r="P538">
        <v>0</v>
      </c>
      <c r="Q538" t="s">
        <v>125</v>
      </c>
      <c r="R538">
        <v>6</v>
      </c>
      <c r="S538">
        <v>36</v>
      </c>
      <c r="T538" t="s">
        <v>132</v>
      </c>
      <c r="U538" t="s">
        <v>133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134</v>
      </c>
      <c r="AE538" t="s">
        <v>134</v>
      </c>
      <c r="AF538" s="2">
        <v>45518</v>
      </c>
      <c r="AG538" s="2">
        <v>46015</v>
      </c>
      <c r="AH538">
        <v>165.71</v>
      </c>
      <c r="AI538">
        <v>271.07</v>
      </c>
      <c r="AJ538" s="1">
        <v>1822.86</v>
      </c>
      <c r="AK538">
        <v>0</v>
      </c>
      <c r="AL538">
        <v>0</v>
      </c>
      <c r="AM538">
        <v>0</v>
      </c>
      <c r="AN538" t="s">
        <v>135</v>
      </c>
      <c r="AO538" t="s">
        <v>135</v>
      </c>
      <c r="AP538" t="s">
        <v>136</v>
      </c>
      <c r="AQ538" t="s">
        <v>137</v>
      </c>
      <c r="AR538" t="s">
        <v>138</v>
      </c>
      <c r="AS538" t="s">
        <v>139</v>
      </c>
      <c r="AT538" t="s">
        <v>140</v>
      </c>
      <c r="AU538">
        <v>106</v>
      </c>
      <c r="AV538">
        <v>10</v>
      </c>
      <c r="AW538">
        <v>1</v>
      </c>
      <c r="AX538" s="2">
        <v>45811</v>
      </c>
      <c r="AY538" t="s">
        <v>377</v>
      </c>
      <c r="AZ538" s="2">
        <v>46028</v>
      </c>
      <c r="BA538">
        <v>0</v>
      </c>
      <c r="BB538">
        <v>0</v>
      </c>
      <c r="BC538">
        <v>0</v>
      </c>
      <c r="BD538">
        <v>700</v>
      </c>
      <c r="BE538">
        <v>70</v>
      </c>
      <c r="BF538">
        <v>9</v>
      </c>
      <c r="BG538" s="2">
        <v>45536</v>
      </c>
      <c r="BH538" t="s">
        <v>142</v>
      </c>
      <c r="BI538" s="2">
        <v>46026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677.63</v>
      </c>
      <c r="BQ538">
        <v>677.63</v>
      </c>
      <c r="BR538">
        <v>0</v>
      </c>
      <c r="BS538">
        <v>0</v>
      </c>
      <c r="BT538">
        <v>0</v>
      </c>
      <c r="BU538">
        <v>0</v>
      </c>
      <c r="BV538">
        <v>650.33000000000004</v>
      </c>
      <c r="BW538">
        <v>650.33000000000004</v>
      </c>
      <c r="BX538">
        <v>0</v>
      </c>
      <c r="BY538">
        <v>0</v>
      </c>
      <c r="BZ538">
        <v>0</v>
      </c>
      <c r="CA538">
        <v>0</v>
      </c>
      <c r="CB538">
        <v>588.28</v>
      </c>
      <c r="CC538" t="s">
        <v>161</v>
      </c>
    </row>
    <row r="539" spans="1:81" x14ac:dyDescent="0.25">
      <c r="A539">
        <v>345</v>
      </c>
      <c r="B539">
        <v>2</v>
      </c>
      <c r="C539">
        <v>869</v>
      </c>
      <c r="D539" t="s">
        <v>3087</v>
      </c>
      <c r="E539" t="s">
        <v>121</v>
      </c>
      <c r="F539" t="s">
        <v>3088</v>
      </c>
      <c r="G539" t="s">
        <v>3089</v>
      </c>
      <c r="H539" t="s">
        <v>3090</v>
      </c>
      <c r="I539" t="s">
        <v>125</v>
      </c>
      <c r="J539" t="s">
        <v>1465</v>
      </c>
      <c r="K539" t="s">
        <v>466</v>
      </c>
      <c r="L539" t="s">
        <v>128</v>
      </c>
      <c r="M539" t="s">
        <v>467</v>
      </c>
      <c r="N539" t="s">
        <v>3091</v>
      </c>
      <c r="O539" t="s">
        <v>159</v>
      </c>
      <c r="P539">
        <v>0</v>
      </c>
      <c r="Q539" t="s">
        <v>125</v>
      </c>
      <c r="R539">
        <v>6</v>
      </c>
      <c r="S539">
        <v>30</v>
      </c>
      <c r="T539" t="s">
        <v>132</v>
      </c>
      <c r="U539" t="s">
        <v>133</v>
      </c>
      <c r="V539" s="1">
        <v>5000</v>
      </c>
      <c r="W539">
        <v>0</v>
      </c>
      <c r="X539" s="1">
        <v>5000</v>
      </c>
      <c r="Y539">
        <v>7</v>
      </c>
      <c r="Z539">
        <v>0</v>
      </c>
      <c r="AA539">
        <v>8</v>
      </c>
      <c r="AB539">
        <v>0</v>
      </c>
      <c r="AC539">
        <v>6</v>
      </c>
      <c r="AD539" t="s">
        <v>134</v>
      </c>
      <c r="AE539" t="s">
        <v>134</v>
      </c>
      <c r="AF539" s="2">
        <v>45518</v>
      </c>
      <c r="AG539" s="2">
        <v>46009</v>
      </c>
      <c r="AH539">
        <v>176.31</v>
      </c>
      <c r="AI539">
        <v>221.88</v>
      </c>
      <c r="AJ539" s="1">
        <v>1586.79</v>
      </c>
      <c r="AK539">
        <v>0</v>
      </c>
      <c r="AL539">
        <v>0</v>
      </c>
      <c r="AM539">
        <v>0</v>
      </c>
      <c r="AN539" t="s">
        <v>135</v>
      </c>
      <c r="AO539" t="s">
        <v>135</v>
      </c>
      <c r="AP539" t="s">
        <v>136</v>
      </c>
      <c r="AQ539" t="s">
        <v>137</v>
      </c>
      <c r="AR539" t="s">
        <v>138</v>
      </c>
      <c r="AS539" t="s">
        <v>139</v>
      </c>
      <c r="AT539" t="s">
        <v>140</v>
      </c>
      <c r="AU539">
        <v>100</v>
      </c>
      <c r="AV539">
        <v>10</v>
      </c>
      <c r="AW539">
        <v>1</v>
      </c>
      <c r="AX539" s="2">
        <v>45812</v>
      </c>
      <c r="AY539" t="s">
        <v>168</v>
      </c>
      <c r="AZ539" s="2">
        <v>46022</v>
      </c>
      <c r="BA539">
        <v>0</v>
      </c>
      <c r="BB539">
        <v>0</v>
      </c>
      <c r="BC539">
        <v>0</v>
      </c>
      <c r="BD539">
        <v>700</v>
      </c>
      <c r="BE539">
        <v>70</v>
      </c>
      <c r="BF539">
        <v>9</v>
      </c>
      <c r="BG539" s="2">
        <v>45536</v>
      </c>
      <c r="BH539" t="s">
        <v>142</v>
      </c>
      <c r="BI539" s="2">
        <v>46026</v>
      </c>
      <c r="BJ539">
        <v>0</v>
      </c>
      <c r="BK539">
        <v>0</v>
      </c>
      <c r="BL539">
        <v>0</v>
      </c>
      <c r="BM539">
        <v>7</v>
      </c>
      <c r="BN539">
        <v>6.8</v>
      </c>
      <c r="BO539">
        <v>661.68</v>
      </c>
      <c r="BP539">
        <v>19.2</v>
      </c>
      <c r="BQ539">
        <v>680.88</v>
      </c>
      <c r="BR539">
        <v>162.68</v>
      </c>
      <c r="BS539">
        <v>7.45</v>
      </c>
      <c r="BT539">
        <v>7.45</v>
      </c>
      <c r="BU539">
        <v>406.96</v>
      </c>
      <c r="BV539">
        <v>0</v>
      </c>
      <c r="BW539">
        <v>406.96</v>
      </c>
      <c r="BX539">
        <v>0</v>
      </c>
      <c r="BY539">
        <v>0</v>
      </c>
      <c r="BZ539">
        <v>0</v>
      </c>
      <c r="CA539">
        <v>0</v>
      </c>
      <c r="CB539">
        <v>482.29</v>
      </c>
      <c r="CC539" t="s">
        <v>161</v>
      </c>
    </row>
    <row r="540" spans="1:81" x14ac:dyDescent="0.25">
      <c r="A540">
        <v>345</v>
      </c>
      <c r="B540">
        <v>2</v>
      </c>
      <c r="C540">
        <v>871</v>
      </c>
      <c r="D540" t="s">
        <v>3092</v>
      </c>
      <c r="E540" t="s">
        <v>121</v>
      </c>
      <c r="F540" t="s">
        <v>3093</v>
      </c>
      <c r="G540" t="s">
        <v>3094</v>
      </c>
      <c r="H540" t="s">
        <v>3095</v>
      </c>
      <c r="I540" t="s">
        <v>125</v>
      </c>
      <c r="J540" t="s">
        <v>3074</v>
      </c>
      <c r="K540" t="s">
        <v>1853</v>
      </c>
      <c r="L540" t="s">
        <v>128</v>
      </c>
      <c r="M540" t="s">
        <v>1854</v>
      </c>
      <c r="N540" t="s">
        <v>3096</v>
      </c>
      <c r="O540" t="s">
        <v>167</v>
      </c>
      <c r="P540">
        <v>0</v>
      </c>
      <c r="Q540" t="s">
        <v>125</v>
      </c>
      <c r="R540">
        <v>6</v>
      </c>
      <c r="S540">
        <v>34</v>
      </c>
      <c r="T540" t="s">
        <v>132</v>
      </c>
      <c r="U540" t="s">
        <v>133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134</v>
      </c>
      <c r="AE540" t="s">
        <v>134</v>
      </c>
      <c r="AF540" s="2">
        <v>45518</v>
      </c>
      <c r="AG540" s="2">
        <v>46017</v>
      </c>
      <c r="AH540" s="1">
        <v>1178.93</v>
      </c>
      <c r="AI540" s="1">
        <v>2889.04</v>
      </c>
      <c r="AJ540" s="1">
        <v>11789.38</v>
      </c>
      <c r="AK540">
        <v>0</v>
      </c>
      <c r="AL540">
        <v>0</v>
      </c>
      <c r="AM540">
        <v>0</v>
      </c>
      <c r="AN540" t="s">
        <v>135</v>
      </c>
      <c r="AO540" t="s">
        <v>135</v>
      </c>
      <c r="AP540" t="s">
        <v>136</v>
      </c>
      <c r="AQ540" t="s">
        <v>137</v>
      </c>
      <c r="AR540" t="s">
        <v>138</v>
      </c>
      <c r="AS540" t="s">
        <v>139</v>
      </c>
      <c r="AT540" t="s">
        <v>140</v>
      </c>
      <c r="AU540">
        <v>106</v>
      </c>
      <c r="AV540">
        <v>10</v>
      </c>
      <c r="AW540">
        <v>1</v>
      </c>
      <c r="AX540" s="2">
        <v>45609</v>
      </c>
      <c r="AY540" t="s">
        <v>168</v>
      </c>
      <c r="AZ540" s="2">
        <v>46022</v>
      </c>
      <c r="BA540">
        <v>0</v>
      </c>
      <c r="BB540">
        <v>0</v>
      </c>
      <c r="BC540">
        <v>0</v>
      </c>
      <c r="BD540">
        <v>700</v>
      </c>
      <c r="BE540">
        <v>70</v>
      </c>
      <c r="BF540">
        <v>9</v>
      </c>
      <c r="BG540" s="2">
        <v>45536</v>
      </c>
      <c r="BH540" t="s">
        <v>142</v>
      </c>
      <c r="BI540" s="2">
        <v>46026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s="1">
        <v>2924.84</v>
      </c>
      <c r="BQ540" s="1">
        <v>2924.84</v>
      </c>
      <c r="BR540">
        <v>0</v>
      </c>
      <c r="BS540">
        <v>0</v>
      </c>
      <c r="BT540">
        <v>0</v>
      </c>
      <c r="BU540">
        <v>0</v>
      </c>
      <c r="BV540" s="1">
        <v>4716.96</v>
      </c>
      <c r="BW540" s="1">
        <v>4716.96</v>
      </c>
      <c r="BX540">
        <v>0</v>
      </c>
      <c r="BY540">
        <v>0</v>
      </c>
      <c r="BZ540">
        <v>0</v>
      </c>
      <c r="CA540">
        <v>0</v>
      </c>
      <c r="CB540" s="1">
        <v>3699.77</v>
      </c>
      <c r="CC540" t="s">
        <v>161</v>
      </c>
    </row>
    <row r="541" spans="1:81" x14ac:dyDescent="0.25">
      <c r="A541">
        <v>345</v>
      </c>
      <c r="B541">
        <v>2</v>
      </c>
      <c r="C541">
        <v>873</v>
      </c>
      <c r="D541" t="s">
        <v>3097</v>
      </c>
      <c r="E541" t="s">
        <v>121</v>
      </c>
      <c r="F541" t="s">
        <v>3098</v>
      </c>
      <c r="G541" t="s">
        <v>3099</v>
      </c>
      <c r="H541" t="s">
        <v>3100</v>
      </c>
      <c r="I541" t="s">
        <v>125</v>
      </c>
      <c r="J541" t="s">
        <v>3074</v>
      </c>
      <c r="K541" t="s">
        <v>1853</v>
      </c>
      <c r="L541" t="s">
        <v>128</v>
      </c>
      <c r="M541" t="s">
        <v>1854</v>
      </c>
      <c r="N541" t="s">
        <v>3101</v>
      </c>
      <c r="O541" t="s">
        <v>159</v>
      </c>
      <c r="P541">
        <v>0</v>
      </c>
      <c r="Q541" t="s">
        <v>125</v>
      </c>
      <c r="R541">
        <v>4</v>
      </c>
      <c r="S541">
        <v>81</v>
      </c>
      <c r="T541" t="s">
        <v>132</v>
      </c>
      <c r="U541" t="s">
        <v>133</v>
      </c>
      <c r="V541" s="1">
        <v>4200</v>
      </c>
      <c r="W541" s="1">
        <v>4159.3500000000004</v>
      </c>
      <c r="X541">
        <v>40.65</v>
      </c>
      <c r="Y541">
        <v>7</v>
      </c>
      <c r="Z541">
        <v>0</v>
      </c>
      <c r="AA541">
        <v>7</v>
      </c>
      <c r="AB541">
        <v>0</v>
      </c>
      <c r="AC541">
        <v>0</v>
      </c>
      <c r="AD541" t="s">
        <v>134</v>
      </c>
      <c r="AE541" t="s">
        <v>134</v>
      </c>
      <c r="AF541" s="2">
        <v>45518</v>
      </c>
      <c r="AG541" s="2">
        <v>46000</v>
      </c>
      <c r="AH541" s="1">
        <v>2512.42</v>
      </c>
      <c r="AI541" s="1">
        <v>4159.3500000000004</v>
      </c>
      <c r="AJ541" s="1">
        <v>22611.86</v>
      </c>
      <c r="AK541">
        <v>0</v>
      </c>
      <c r="AL541" s="1">
        <v>4159.3500000000004</v>
      </c>
      <c r="AM541">
        <v>0</v>
      </c>
      <c r="AN541" t="s">
        <v>135</v>
      </c>
      <c r="AO541" t="s">
        <v>135</v>
      </c>
      <c r="AP541" t="s">
        <v>136</v>
      </c>
      <c r="AQ541" t="s">
        <v>137</v>
      </c>
      <c r="AR541" t="s">
        <v>138</v>
      </c>
      <c r="AS541" t="s">
        <v>150</v>
      </c>
      <c r="AT541" t="s">
        <v>140</v>
      </c>
      <c r="AU541">
        <v>500</v>
      </c>
      <c r="AV541">
        <v>10</v>
      </c>
      <c r="AW541">
        <v>1</v>
      </c>
      <c r="AX541" s="2">
        <v>45838</v>
      </c>
      <c r="AY541" t="s">
        <v>141</v>
      </c>
      <c r="AZ541" s="2">
        <v>46027</v>
      </c>
      <c r="BA541">
        <v>0</v>
      </c>
      <c r="BB541">
        <v>0</v>
      </c>
      <c r="BC541">
        <v>0</v>
      </c>
      <c r="BD541">
        <v>700</v>
      </c>
      <c r="BE541">
        <v>70</v>
      </c>
      <c r="BF541">
        <v>9</v>
      </c>
      <c r="BG541" s="2">
        <v>45536</v>
      </c>
      <c r="BH541" t="s">
        <v>142</v>
      </c>
      <c r="BI541" s="2">
        <v>46026</v>
      </c>
      <c r="BJ541">
        <v>0</v>
      </c>
      <c r="BK541">
        <v>0</v>
      </c>
      <c r="BL541">
        <v>0</v>
      </c>
      <c r="BM541">
        <v>6</v>
      </c>
      <c r="BN541">
        <v>0.83</v>
      </c>
      <c r="BO541">
        <v>973.53</v>
      </c>
      <c r="BP541" s="1">
        <v>6043.9</v>
      </c>
      <c r="BQ541" s="1">
        <v>7017.43</v>
      </c>
      <c r="BR541">
        <v>0</v>
      </c>
      <c r="BS541">
        <v>4.55</v>
      </c>
      <c r="BT541">
        <v>4.55</v>
      </c>
      <c r="BU541" s="1">
        <v>8159.35</v>
      </c>
      <c r="BV541">
        <v>0</v>
      </c>
      <c r="BW541" s="1">
        <v>8159.35</v>
      </c>
      <c r="BX541" s="1">
        <v>4159.3500000000004</v>
      </c>
      <c r="BY541">
        <v>50.98</v>
      </c>
      <c r="BZ541">
        <v>0</v>
      </c>
      <c r="CA541">
        <v>0</v>
      </c>
      <c r="CB541" s="1">
        <v>6177.1</v>
      </c>
      <c r="CC541" t="s">
        <v>161</v>
      </c>
    </row>
    <row r="542" spans="1:81" x14ac:dyDescent="0.25">
      <c r="A542">
        <v>345</v>
      </c>
      <c r="B542">
        <v>2</v>
      </c>
      <c r="C542">
        <v>874</v>
      </c>
      <c r="D542" t="s">
        <v>3102</v>
      </c>
      <c r="E542" t="s">
        <v>121</v>
      </c>
      <c r="F542" t="s">
        <v>3103</v>
      </c>
      <c r="G542" t="s">
        <v>3104</v>
      </c>
      <c r="H542" t="s">
        <v>3105</v>
      </c>
      <c r="I542" t="s">
        <v>3106</v>
      </c>
      <c r="J542" t="s">
        <v>3107</v>
      </c>
      <c r="K542" t="s">
        <v>336</v>
      </c>
      <c r="L542" t="s">
        <v>128</v>
      </c>
      <c r="M542" t="s">
        <v>337</v>
      </c>
      <c r="N542" t="s">
        <v>3108</v>
      </c>
      <c r="O542" t="s">
        <v>131</v>
      </c>
      <c r="P542">
        <v>0</v>
      </c>
      <c r="Q542" t="s">
        <v>125</v>
      </c>
      <c r="R542">
        <v>6</v>
      </c>
      <c r="S542">
        <v>40</v>
      </c>
      <c r="T542" t="s">
        <v>132</v>
      </c>
      <c r="U542" t="s">
        <v>133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134</v>
      </c>
      <c r="AE542" t="s">
        <v>134</v>
      </c>
      <c r="AF542" s="2">
        <v>45518</v>
      </c>
      <c r="AG542" s="2">
        <v>46021</v>
      </c>
      <c r="AH542">
        <v>345.53</v>
      </c>
      <c r="AI542">
        <v>544.53</v>
      </c>
      <c r="AJ542" s="1">
        <v>4492</v>
      </c>
      <c r="AK542">
        <v>0</v>
      </c>
      <c r="AL542">
        <v>0</v>
      </c>
      <c r="AM542">
        <v>0</v>
      </c>
      <c r="AN542" t="s">
        <v>135</v>
      </c>
      <c r="AO542" t="s">
        <v>135</v>
      </c>
      <c r="AP542" t="s">
        <v>136</v>
      </c>
      <c r="AQ542" t="s">
        <v>137</v>
      </c>
      <c r="AR542" t="s">
        <v>138</v>
      </c>
      <c r="AS542" t="s">
        <v>139</v>
      </c>
      <c r="AT542" t="s">
        <v>140</v>
      </c>
      <c r="AU542">
        <v>100</v>
      </c>
      <c r="AV542">
        <v>10</v>
      </c>
      <c r="AW542">
        <v>1</v>
      </c>
      <c r="AX542" s="2">
        <v>45859</v>
      </c>
      <c r="AY542" t="s">
        <v>141</v>
      </c>
      <c r="AZ542" s="2">
        <v>46027</v>
      </c>
      <c r="BA542">
        <v>0</v>
      </c>
      <c r="BB542">
        <v>0</v>
      </c>
      <c r="BC542">
        <v>0</v>
      </c>
      <c r="BD542">
        <v>700</v>
      </c>
      <c r="BE542">
        <v>70</v>
      </c>
      <c r="BF542">
        <v>9</v>
      </c>
      <c r="BG542" s="2">
        <v>45866</v>
      </c>
      <c r="BH542" t="s">
        <v>141</v>
      </c>
      <c r="BI542" s="2">
        <v>46034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s="1">
        <v>1214.55</v>
      </c>
      <c r="BQ542" s="1">
        <v>1214.55</v>
      </c>
      <c r="BR542">
        <v>0</v>
      </c>
      <c r="BS542">
        <v>0</v>
      </c>
      <c r="BT542">
        <v>0</v>
      </c>
      <c r="BU542">
        <v>0</v>
      </c>
      <c r="BV542" s="1">
        <v>2052</v>
      </c>
      <c r="BW542" s="1">
        <v>2052</v>
      </c>
      <c r="BX542">
        <v>0</v>
      </c>
      <c r="BY542">
        <v>0</v>
      </c>
      <c r="BZ542">
        <v>0</v>
      </c>
      <c r="CA542">
        <v>0</v>
      </c>
      <c r="CB542" s="1">
        <v>1359.43</v>
      </c>
      <c r="CC542" t="s">
        <v>143</v>
      </c>
    </row>
    <row r="543" spans="1:81" x14ac:dyDescent="0.25">
      <c r="A543">
        <v>345</v>
      </c>
      <c r="B543">
        <v>2</v>
      </c>
      <c r="C543">
        <v>876</v>
      </c>
      <c r="D543" t="s">
        <v>3109</v>
      </c>
      <c r="E543" t="s">
        <v>121</v>
      </c>
      <c r="F543" t="s">
        <v>3110</v>
      </c>
      <c r="G543" t="s">
        <v>3111</v>
      </c>
      <c r="H543" t="s">
        <v>3112</v>
      </c>
      <c r="I543" t="s">
        <v>125</v>
      </c>
      <c r="J543" t="s">
        <v>3113</v>
      </c>
      <c r="K543" t="s">
        <v>1853</v>
      </c>
      <c r="L543" t="s">
        <v>128</v>
      </c>
      <c r="M543" t="s">
        <v>1854</v>
      </c>
      <c r="N543" t="s">
        <v>3114</v>
      </c>
      <c r="O543" t="s">
        <v>3115</v>
      </c>
      <c r="P543">
        <v>0</v>
      </c>
      <c r="Q543" t="s">
        <v>125</v>
      </c>
      <c r="R543">
        <v>6</v>
      </c>
      <c r="S543">
        <v>41</v>
      </c>
      <c r="T543" t="s">
        <v>132</v>
      </c>
      <c r="U543" t="s">
        <v>133</v>
      </c>
      <c r="V543" s="1">
        <v>10200</v>
      </c>
      <c r="W543">
        <v>0</v>
      </c>
      <c r="X543" s="1">
        <v>10200</v>
      </c>
      <c r="Y543">
        <v>7</v>
      </c>
      <c r="Z543">
        <v>0</v>
      </c>
      <c r="AA543">
        <v>9</v>
      </c>
      <c r="AB543">
        <v>0</v>
      </c>
      <c r="AC543">
        <v>4</v>
      </c>
      <c r="AD543" t="s">
        <v>234</v>
      </c>
      <c r="AE543" t="s">
        <v>134</v>
      </c>
      <c r="AF543" s="2">
        <v>45518</v>
      </c>
      <c r="AG543" s="2">
        <v>46010</v>
      </c>
      <c r="AH543" s="1">
        <v>3365.34</v>
      </c>
      <c r="AI543" s="1">
        <v>5722.96</v>
      </c>
      <c r="AJ543" s="1">
        <v>37018.83</v>
      </c>
      <c r="AK543">
        <v>0</v>
      </c>
      <c r="AL543">
        <v>0</v>
      </c>
      <c r="AM543">
        <v>0</v>
      </c>
      <c r="AN543" t="s">
        <v>135</v>
      </c>
      <c r="AO543" t="s">
        <v>135</v>
      </c>
      <c r="AP543" t="s">
        <v>136</v>
      </c>
      <c r="AQ543" t="s">
        <v>137</v>
      </c>
      <c r="AR543" t="s">
        <v>138</v>
      </c>
      <c r="AS543" t="s">
        <v>150</v>
      </c>
      <c r="AT543" t="s">
        <v>140</v>
      </c>
      <c r="AU543">
        <v>500</v>
      </c>
      <c r="AV543">
        <v>10</v>
      </c>
      <c r="AW543">
        <v>1</v>
      </c>
      <c r="AX543" s="2">
        <v>45862</v>
      </c>
      <c r="AY543" t="s">
        <v>308</v>
      </c>
      <c r="AZ543" s="2">
        <v>46023</v>
      </c>
      <c r="BA543">
        <v>0</v>
      </c>
      <c r="BB543">
        <v>0</v>
      </c>
      <c r="BC543">
        <v>0</v>
      </c>
      <c r="BD543">
        <v>700</v>
      </c>
      <c r="BE543">
        <v>70</v>
      </c>
      <c r="BF543">
        <v>9</v>
      </c>
      <c r="BG543" s="2">
        <v>45536</v>
      </c>
      <c r="BH543" t="s">
        <v>142</v>
      </c>
      <c r="BI543" s="2">
        <v>46026</v>
      </c>
      <c r="BJ543">
        <v>0</v>
      </c>
      <c r="BK543">
        <v>0</v>
      </c>
      <c r="BL543">
        <v>0</v>
      </c>
      <c r="BM543">
        <v>7</v>
      </c>
      <c r="BN543">
        <v>7</v>
      </c>
      <c r="BO543" s="1">
        <v>12311.31</v>
      </c>
      <c r="BP543">
        <v>0</v>
      </c>
      <c r="BQ543" s="1">
        <v>12311.31</v>
      </c>
      <c r="BR543" s="1">
        <v>2512.41</v>
      </c>
      <c r="BS543">
        <v>7</v>
      </c>
      <c r="BT543">
        <v>7</v>
      </c>
      <c r="BU543" s="1">
        <v>13345.8</v>
      </c>
      <c r="BV543">
        <v>0</v>
      </c>
      <c r="BW543" s="1">
        <v>13345.8</v>
      </c>
      <c r="BX543">
        <v>0</v>
      </c>
      <c r="BY543">
        <v>0</v>
      </c>
      <c r="BZ543">
        <v>0</v>
      </c>
      <c r="CA543">
        <v>0</v>
      </c>
      <c r="CB543" s="1">
        <v>11201.77</v>
      </c>
      <c r="CC543" t="s">
        <v>3116</v>
      </c>
    </row>
    <row r="544" spans="1:81" x14ac:dyDescent="0.25">
      <c r="A544">
        <v>345</v>
      </c>
      <c r="B544">
        <v>2</v>
      </c>
      <c r="C544">
        <v>877</v>
      </c>
      <c r="D544" t="s">
        <v>3117</v>
      </c>
      <c r="E544" t="s">
        <v>121</v>
      </c>
      <c r="F544" t="s">
        <v>3118</v>
      </c>
      <c r="G544" t="s">
        <v>3119</v>
      </c>
      <c r="H544" t="s">
        <v>3120</v>
      </c>
      <c r="I544" t="s">
        <v>3121</v>
      </c>
      <c r="J544" t="s">
        <v>3122</v>
      </c>
      <c r="K544" t="s">
        <v>336</v>
      </c>
      <c r="L544" t="s">
        <v>128</v>
      </c>
      <c r="M544" t="s">
        <v>337</v>
      </c>
      <c r="N544" t="s">
        <v>3123</v>
      </c>
      <c r="O544" t="s">
        <v>167</v>
      </c>
      <c r="P544">
        <v>0</v>
      </c>
      <c r="Q544" t="s">
        <v>125</v>
      </c>
      <c r="R544">
        <v>6</v>
      </c>
      <c r="S544">
        <v>35</v>
      </c>
      <c r="T544" t="s">
        <v>132</v>
      </c>
      <c r="U544" t="s">
        <v>133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134</v>
      </c>
      <c r="AE544" t="s">
        <v>134</v>
      </c>
      <c r="AF544" s="2">
        <v>45518</v>
      </c>
      <c r="AG544" s="2">
        <v>46001</v>
      </c>
      <c r="AH544">
        <v>537.01</v>
      </c>
      <c r="AI544">
        <v>805.9</v>
      </c>
      <c r="AJ544" s="1">
        <v>2685.08</v>
      </c>
      <c r="AK544">
        <v>0</v>
      </c>
      <c r="AL544">
        <v>0</v>
      </c>
      <c r="AM544">
        <v>0</v>
      </c>
      <c r="AN544" t="s">
        <v>135</v>
      </c>
      <c r="AO544" t="s">
        <v>135</v>
      </c>
      <c r="AP544" t="s">
        <v>136</v>
      </c>
      <c r="AQ544" t="s">
        <v>137</v>
      </c>
      <c r="AR544" t="s">
        <v>138</v>
      </c>
      <c r="AS544" t="s">
        <v>139</v>
      </c>
      <c r="AT544" t="s">
        <v>140</v>
      </c>
      <c r="AU544">
        <v>100</v>
      </c>
      <c r="AV544">
        <v>10</v>
      </c>
      <c r="AW544">
        <v>1</v>
      </c>
      <c r="AX544" s="2">
        <v>45818</v>
      </c>
      <c r="AY544" t="s">
        <v>377</v>
      </c>
      <c r="AZ544" s="2">
        <v>46028</v>
      </c>
      <c r="BA544">
        <v>0</v>
      </c>
      <c r="BB544">
        <v>0</v>
      </c>
      <c r="BC544">
        <v>0</v>
      </c>
      <c r="BD544">
        <v>700</v>
      </c>
      <c r="BE544">
        <v>70</v>
      </c>
      <c r="BF544">
        <v>9</v>
      </c>
      <c r="BG544" s="2">
        <v>45536</v>
      </c>
      <c r="BH544" t="s">
        <v>142</v>
      </c>
      <c r="BI544" s="2">
        <v>46026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s="1">
        <v>1047.3</v>
      </c>
      <c r="BQ544" s="1">
        <v>1047.3</v>
      </c>
      <c r="BR544">
        <v>0</v>
      </c>
      <c r="BS544">
        <v>0</v>
      </c>
      <c r="BT544">
        <v>0</v>
      </c>
      <c r="BU544">
        <v>0</v>
      </c>
      <c r="BV544">
        <v>805.9</v>
      </c>
      <c r="BW544">
        <v>805.9</v>
      </c>
      <c r="BX544">
        <v>0</v>
      </c>
      <c r="BY544">
        <v>0</v>
      </c>
      <c r="BZ544">
        <v>0</v>
      </c>
      <c r="CA544">
        <v>0</v>
      </c>
      <c r="CB544" s="1">
        <v>1409.04</v>
      </c>
      <c r="CC544" t="s">
        <v>161</v>
      </c>
    </row>
    <row r="545" spans="1:81" x14ac:dyDescent="0.25">
      <c r="A545">
        <v>345</v>
      </c>
      <c r="B545">
        <v>2</v>
      </c>
      <c r="C545">
        <v>878</v>
      </c>
      <c r="D545" t="s">
        <v>3124</v>
      </c>
      <c r="E545" t="s">
        <v>121</v>
      </c>
      <c r="F545" t="s">
        <v>3125</v>
      </c>
      <c r="G545" t="s">
        <v>3126</v>
      </c>
      <c r="H545" t="s">
        <v>3127</v>
      </c>
      <c r="I545" t="s">
        <v>125</v>
      </c>
      <c r="J545" t="s">
        <v>1263</v>
      </c>
      <c r="K545" t="s">
        <v>466</v>
      </c>
      <c r="L545" t="s">
        <v>128</v>
      </c>
      <c r="M545" t="s">
        <v>467</v>
      </c>
      <c r="N545" t="s">
        <v>3128</v>
      </c>
      <c r="O545" t="s">
        <v>167</v>
      </c>
      <c r="P545">
        <v>0</v>
      </c>
      <c r="Q545" t="s">
        <v>125</v>
      </c>
      <c r="R545">
        <v>4</v>
      </c>
      <c r="S545">
        <v>81</v>
      </c>
      <c r="T545" t="s">
        <v>132</v>
      </c>
      <c r="U545" t="s">
        <v>133</v>
      </c>
      <c r="V545" s="1">
        <v>2000</v>
      </c>
      <c r="W545">
        <v>0</v>
      </c>
      <c r="X545" s="1">
        <v>2000</v>
      </c>
      <c r="Y545">
        <v>7</v>
      </c>
      <c r="Z545">
        <v>0</v>
      </c>
      <c r="AA545">
        <v>5</v>
      </c>
      <c r="AB545">
        <v>6</v>
      </c>
      <c r="AC545">
        <v>33</v>
      </c>
      <c r="AD545" t="s">
        <v>134</v>
      </c>
      <c r="AE545" t="s">
        <v>134</v>
      </c>
      <c r="AF545" s="2">
        <v>45518</v>
      </c>
      <c r="AG545" s="2">
        <v>45989</v>
      </c>
      <c r="AH545">
        <v>805</v>
      </c>
      <c r="AI545">
        <v>960.17</v>
      </c>
      <c r="AJ545" s="1">
        <v>1610</v>
      </c>
      <c r="AK545">
        <v>0</v>
      </c>
      <c r="AL545">
        <v>0</v>
      </c>
      <c r="AM545">
        <v>0</v>
      </c>
      <c r="AN545" t="s">
        <v>135</v>
      </c>
      <c r="AO545" t="s">
        <v>135</v>
      </c>
      <c r="AP545" t="s">
        <v>136</v>
      </c>
      <c r="AQ545" t="s">
        <v>137</v>
      </c>
      <c r="AR545" t="s">
        <v>138</v>
      </c>
      <c r="AS545" t="s">
        <v>150</v>
      </c>
      <c r="AT545" t="s">
        <v>140</v>
      </c>
      <c r="AU545">
        <v>500</v>
      </c>
      <c r="AV545">
        <v>10</v>
      </c>
      <c r="AW545">
        <v>1</v>
      </c>
      <c r="AX545" s="2">
        <v>45904</v>
      </c>
      <c r="AY545" t="s">
        <v>308</v>
      </c>
      <c r="AZ545" s="2">
        <v>46023</v>
      </c>
      <c r="BA545">
        <v>0</v>
      </c>
      <c r="BB545">
        <v>0</v>
      </c>
      <c r="BC545">
        <v>0</v>
      </c>
      <c r="BD545">
        <v>999</v>
      </c>
      <c r="BE545">
        <v>99</v>
      </c>
      <c r="BF545">
        <v>9</v>
      </c>
      <c r="BG545" t="s">
        <v>135</v>
      </c>
      <c r="BH545" t="s">
        <v>250</v>
      </c>
      <c r="BI545" t="s">
        <v>135</v>
      </c>
      <c r="BJ545">
        <v>0</v>
      </c>
      <c r="BK545">
        <v>0</v>
      </c>
      <c r="BL545">
        <v>0</v>
      </c>
      <c r="BM545">
        <v>3</v>
      </c>
      <c r="BN545">
        <v>3</v>
      </c>
      <c r="BO545">
        <v>960.17</v>
      </c>
      <c r="BP545">
        <v>0</v>
      </c>
      <c r="BQ545">
        <v>960.17</v>
      </c>
      <c r="BR545">
        <v>960.17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845.8</v>
      </c>
      <c r="CC545" t="s">
        <v>161</v>
      </c>
    </row>
    <row r="546" spans="1:81" x14ac:dyDescent="0.25">
      <c r="A546">
        <v>345</v>
      </c>
      <c r="B546">
        <v>2</v>
      </c>
      <c r="C546">
        <v>879</v>
      </c>
      <c r="D546" t="s">
        <v>3129</v>
      </c>
      <c r="E546" t="s">
        <v>121</v>
      </c>
      <c r="F546" t="s">
        <v>3130</v>
      </c>
      <c r="G546" t="s">
        <v>3131</v>
      </c>
      <c r="H546" t="s">
        <v>3132</v>
      </c>
      <c r="I546" t="s">
        <v>125</v>
      </c>
      <c r="J546" t="s">
        <v>3074</v>
      </c>
      <c r="K546" t="s">
        <v>1853</v>
      </c>
      <c r="L546" t="s">
        <v>128</v>
      </c>
      <c r="M546" t="s">
        <v>1854</v>
      </c>
      <c r="N546" t="s">
        <v>3133</v>
      </c>
      <c r="O546" t="s">
        <v>131</v>
      </c>
      <c r="P546">
        <v>0</v>
      </c>
      <c r="Q546" t="s">
        <v>125</v>
      </c>
      <c r="R546">
        <v>6</v>
      </c>
      <c r="S546">
        <v>46</v>
      </c>
      <c r="T546" t="s">
        <v>132</v>
      </c>
      <c r="U546" t="s">
        <v>133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134</v>
      </c>
      <c r="AE546" t="s">
        <v>134</v>
      </c>
      <c r="AF546" s="2">
        <v>45518</v>
      </c>
      <c r="AG546" s="2">
        <v>46014</v>
      </c>
      <c r="AH546" s="1">
        <v>12764.05</v>
      </c>
      <c r="AI546" s="1">
        <v>56893.8</v>
      </c>
      <c r="AJ546" s="1">
        <v>165932.76999999999</v>
      </c>
      <c r="AK546">
        <v>0</v>
      </c>
      <c r="AL546" s="1">
        <v>19180.96</v>
      </c>
      <c r="AM546">
        <v>0</v>
      </c>
      <c r="AN546" t="s">
        <v>135</v>
      </c>
      <c r="AO546" t="s">
        <v>135</v>
      </c>
      <c r="AP546" t="s">
        <v>136</v>
      </c>
      <c r="AQ546" t="s">
        <v>137</v>
      </c>
      <c r="AR546" t="s">
        <v>138</v>
      </c>
      <c r="AS546" t="s">
        <v>150</v>
      </c>
      <c r="AT546" t="s">
        <v>140</v>
      </c>
      <c r="AU546">
        <v>500</v>
      </c>
      <c r="AV546">
        <v>10</v>
      </c>
      <c r="AW546">
        <v>1</v>
      </c>
      <c r="AX546" s="2">
        <v>45859</v>
      </c>
      <c r="AY546" t="s">
        <v>141</v>
      </c>
      <c r="AZ546" s="2">
        <v>46027</v>
      </c>
      <c r="BA546">
        <v>0</v>
      </c>
      <c r="BB546">
        <v>0</v>
      </c>
      <c r="BC546">
        <v>0</v>
      </c>
      <c r="BD546">
        <v>700</v>
      </c>
      <c r="BE546">
        <v>70</v>
      </c>
      <c r="BF546">
        <v>9</v>
      </c>
      <c r="BG546" s="2">
        <v>45536</v>
      </c>
      <c r="BH546" t="s">
        <v>142</v>
      </c>
      <c r="BI546" s="2">
        <v>46026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s="1">
        <v>26954.55</v>
      </c>
      <c r="BQ546" s="1">
        <v>26954.55</v>
      </c>
      <c r="BR546">
        <v>0</v>
      </c>
      <c r="BS546">
        <v>0</v>
      </c>
      <c r="BT546">
        <v>0</v>
      </c>
      <c r="BU546">
        <v>0</v>
      </c>
      <c r="BV546" s="1">
        <v>43608.85</v>
      </c>
      <c r="BW546" s="1">
        <v>43608.85</v>
      </c>
      <c r="BX546">
        <v>0</v>
      </c>
      <c r="BY546">
        <v>0</v>
      </c>
      <c r="BZ546">
        <v>0</v>
      </c>
      <c r="CA546">
        <v>0</v>
      </c>
      <c r="CB546" s="1">
        <v>66715.06</v>
      </c>
      <c r="CC546" t="s">
        <v>152</v>
      </c>
    </row>
    <row r="547" spans="1:81" x14ac:dyDescent="0.25">
      <c r="A547">
        <v>345</v>
      </c>
      <c r="B547">
        <v>2</v>
      </c>
      <c r="C547">
        <v>881</v>
      </c>
      <c r="D547" t="s">
        <v>3134</v>
      </c>
      <c r="E547" t="s">
        <v>121</v>
      </c>
      <c r="F547" t="s">
        <v>3135</v>
      </c>
      <c r="G547" t="s">
        <v>3136</v>
      </c>
      <c r="H547" t="s">
        <v>3137</v>
      </c>
      <c r="I547" t="s">
        <v>3138</v>
      </c>
      <c r="J547" t="s">
        <v>1882</v>
      </c>
      <c r="K547" t="s">
        <v>336</v>
      </c>
      <c r="L547" t="s">
        <v>128</v>
      </c>
      <c r="M547" t="s">
        <v>337</v>
      </c>
      <c r="N547" t="s">
        <v>3139</v>
      </c>
      <c r="O547" t="s">
        <v>131</v>
      </c>
      <c r="P547">
        <v>0</v>
      </c>
      <c r="Q547" t="s">
        <v>125</v>
      </c>
      <c r="R547">
        <v>6</v>
      </c>
      <c r="S547">
        <v>39</v>
      </c>
      <c r="T547" t="s">
        <v>132</v>
      </c>
      <c r="U547" t="s">
        <v>133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134</v>
      </c>
      <c r="AE547" t="s">
        <v>134</v>
      </c>
      <c r="AF547" s="2">
        <v>45518</v>
      </c>
      <c r="AG547" s="2">
        <v>46021</v>
      </c>
      <c r="AH547">
        <v>164.82</v>
      </c>
      <c r="AI547">
        <v>296.5</v>
      </c>
      <c r="AJ547">
        <v>824.14</v>
      </c>
      <c r="AK547">
        <v>0</v>
      </c>
      <c r="AL547">
        <v>0</v>
      </c>
      <c r="AM547">
        <v>0</v>
      </c>
      <c r="AN547" t="s">
        <v>135</v>
      </c>
      <c r="AO547" t="s">
        <v>135</v>
      </c>
      <c r="AP547" t="s">
        <v>136</v>
      </c>
      <c r="AQ547" t="s">
        <v>137</v>
      </c>
      <c r="AR547" t="s">
        <v>138</v>
      </c>
      <c r="AS547" t="s">
        <v>139</v>
      </c>
      <c r="AT547" t="s">
        <v>140</v>
      </c>
      <c r="AU547">
        <v>100</v>
      </c>
      <c r="AV547">
        <v>10</v>
      </c>
      <c r="AW547">
        <v>1</v>
      </c>
      <c r="AX547" s="2">
        <v>45810</v>
      </c>
      <c r="AY547" t="s">
        <v>141</v>
      </c>
      <c r="AZ547" s="2">
        <v>46027</v>
      </c>
      <c r="BA547">
        <v>0</v>
      </c>
      <c r="BB547">
        <v>0</v>
      </c>
      <c r="BC547">
        <v>0</v>
      </c>
      <c r="BD547">
        <v>700</v>
      </c>
      <c r="BE547">
        <v>70</v>
      </c>
      <c r="BF547">
        <v>9</v>
      </c>
      <c r="BG547" s="2">
        <v>45536</v>
      </c>
      <c r="BH547" t="s">
        <v>142</v>
      </c>
      <c r="BI547" s="2">
        <v>46026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692.92</v>
      </c>
      <c r="BW547">
        <v>692.92</v>
      </c>
      <c r="BX547">
        <v>0</v>
      </c>
      <c r="BY547">
        <v>0</v>
      </c>
      <c r="BZ547">
        <v>0</v>
      </c>
      <c r="CA547">
        <v>0</v>
      </c>
      <c r="CB547">
        <v>101.04</v>
      </c>
      <c r="CC547" t="s">
        <v>143</v>
      </c>
    </row>
    <row r="548" spans="1:81" x14ac:dyDescent="0.25">
      <c r="A548">
        <v>345</v>
      </c>
      <c r="B548">
        <v>2</v>
      </c>
      <c r="C548">
        <v>882</v>
      </c>
      <c r="D548" t="s">
        <v>3140</v>
      </c>
      <c r="E548" t="s">
        <v>121</v>
      </c>
      <c r="F548" t="s">
        <v>3141</v>
      </c>
      <c r="G548" t="s">
        <v>3142</v>
      </c>
      <c r="H548" t="s">
        <v>3143</v>
      </c>
      <c r="I548" t="s">
        <v>3144</v>
      </c>
      <c r="J548" t="s">
        <v>1263</v>
      </c>
      <c r="K548" t="s">
        <v>466</v>
      </c>
      <c r="L548" t="s">
        <v>128</v>
      </c>
      <c r="M548" t="s">
        <v>1854</v>
      </c>
      <c r="N548" t="s">
        <v>3145</v>
      </c>
      <c r="O548" t="s">
        <v>159</v>
      </c>
      <c r="P548">
        <v>0</v>
      </c>
      <c r="Q548" t="s">
        <v>125</v>
      </c>
      <c r="R548">
        <v>6</v>
      </c>
      <c r="S548">
        <v>33</v>
      </c>
      <c r="T548" t="s">
        <v>132</v>
      </c>
      <c r="U548" t="s">
        <v>133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134</v>
      </c>
      <c r="AE548" t="s">
        <v>134</v>
      </c>
      <c r="AF548" s="2">
        <v>45518</v>
      </c>
      <c r="AG548" s="2">
        <v>46013</v>
      </c>
      <c r="AH548">
        <v>618.4</v>
      </c>
      <c r="AI548">
        <v>654.72</v>
      </c>
      <c r="AJ548" s="1">
        <v>2473.62</v>
      </c>
      <c r="AK548">
        <v>0</v>
      </c>
      <c r="AL548">
        <v>0</v>
      </c>
      <c r="AM548">
        <v>0</v>
      </c>
      <c r="AN548" t="s">
        <v>135</v>
      </c>
      <c r="AO548" t="s">
        <v>135</v>
      </c>
      <c r="AP548" t="s">
        <v>136</v>
      </c>
      <c r="AQ548" t="s">
        <v>137</v>
      </c>
      <c r="AR548" t="s">
        <v>138</v>
      </c>
      <c r="AS548" t="s">
        <v>139</v>
      </c>
      <c r="AT548" t="s">
        <v>140</v>
      </c>
      <c r="AU548">
        <v>106</v>
      </c>
      <c r="AV548">
        <v>10</v>
      </c>
      <c r="AW548">
        <v>1</v>
      </c>
      <c r="AX548" s="2">
        <v>45920</v>
      </c>
      <c r="AY548" t="s">
        <v>160</v>
      </c>
      <c r="AZ548" s="2">
        <v>46025</v>
      </c>
      <c r="BA548">
        <v>0</v>
      </c>
      <c r="BB548">
        <v>0</v>
      </c>
      <c r="BC548">
        <v>0</v>
      </c>
      <c r="BD548">
        <v>700</v>
      </c>
      <c r="BE548">
        <v>70</v>
      </c>
      <c r="BF548">
        <v>9</v>
      </c>
      <c r="BG548" s="2">
        <v>45536</v>
      </c>
      <c r="BH548" t="s">
        <v>142</v>
      </c>
      <c r="BI548" s="2">
        <v>46026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545.70000000000005</v>
      </c>
      <c r="BW548">
        <v>545.70000000000005</v>
      </c>
      <c r="BX548">
        <v>0</v>
      </c>
      <c r="BY548">
        <v>0</v>
      </c>
      <c r="BZ548">
        <v>0</v>
      </c>
      <c r="CA548">
        <v>0</v>
      </c>
      <c r="CB548">
        <v>845.48</v>
      </c>
      <c r="CC548" t="s">
        <v>161</v>
      </c>
    </row>
    <row r="549" spans="1:81" x14ac:dyDescent="0.25">
      <c r="A549">
        <v>345</v>
      </c>
      <c r="B549">
        <v>2</v>
      </c>
      <c r="C549">
        <v>883</v>
      </c>
      <c r="D549" t="s">
        <v>3146</v>
      </c>
      <c r="E549" t="s">
        <v>121</v>
      </c>
      <c r="F549" t="s">
        <v>3147</v>
      </c>
      <c r="G549" t="s">
        <v>3148</v>
      </c>
      <c r="H549" t="s">
        <v>3149</v>
      </c>
      <c r="I549" t="s">
        <v>125</v>
      </c>
      <c r="J549" t="s">
        <v>3074</v>
      </c>
      <c r="K549" t="s">
        <v>1853</v>
      </c>
      <c r="L549" t="s">
        <v>128</v>
      </c>
      <c r="M549" t="s">
        <v>1854</v>
      </c>
      <c r="N549" t="s">
        <v>3150</v>
      </c>
      <c r="O549" t="s">
        <v>167</v>
      </c>
      <c r="P549">
        <v>0</v>
      </c>
      <c r="Q549" t="s">
        <v>125</v>
      </c>
      <c r="R549">
        <v>4</v>
      </c>
      <c r="S549">
        <v>79</v>
      </c>
      <c r="T549" t="s">
        <v>132</v>
      </c>
      <c r="U549" t="s">
        <v>133</v>
      </c>
      <c r="V549" s="1">
        <v>3000</v>
      </c>
      <c r="W549">
        <v>0</v>
      </c>
      <c r="X549" s="1">
        <v>3000</v>
      </c>
      <c r="Y549">
        <v>7</v>
      </c>
      <c r="Z549">
        <v>0</v>
      </c>
      <c r="AA549">
        <v>7</v>
      </c>
      <c r="AB549">
        <v>0</v>
      </c>
      <c r="AC549">
        <v>0</v>
      </c>
      <c r="AD549" t="s">
        <v>134</v>
      </c>
      <c r="AE549" t="s">
        <v>134</v>
      </c>
      <c r="AF549" s="2">
        <v>45518</v>
      </c>
      <c r="AG549" s="2">
        <v>45981</v>
      </c>
      <c r="AH549">
        <v>466.08</v>
      </c>
      <c r="AI549">
        <v>554.91999999999996</v>
      </c>
      <c r="AJ549">
        <v>932.17</v>
      </c>
      <c r="AK549">
        <v>0</v>
      </c>
      <c r="AL549">
        <v>0</v>
      </c>
      <c r="AM549">
        <v>0</v>
      </c>
      <c r="AN549" t="s">
        <v>135</v>
      </c>
      <c r="AO549" t="s">
        <v>135</v>
      </c>
      <c r="AP549" t="s">
        <v>136</v>
      </c>
      <c r="AQ549" t="s">
        <v>137</v>
      </c>
      <c r="AR549" t="s">
        <v>138</v>
      </c>
      <c r="AS549" t="s">
        <v>150</v>
      </c>
      <c r="AT549" t="s">
        <v>140</v>
      </c>
      <c r="AU549">
        <v>106</v>
      </c>
      <c r="AV549">
        <v>10</v>
      </c>
      <c r="AW549">
        <v>1</v>
      </c>
      <c r="AX549" s="2">
        <v>45812</v>
      </c>
      <c r="AY549" t="s">
        <v>168</v>
      </c>
      <c r="AZ549" s="2">
        <v>46022</v>
      </c>
      <c r="BA549">
        <v>0</v>
      </c>
      <c r="BB549">
        <v>0</v>
      </c>
      <c r="BC549">
        <v>0</v>
      </c>
      <c r="BD549">
        <v>700</v>
      </c>
      <c r="BE549">
        <v>70</v>
      </c>
      <c r="BF549">
        <v>9</v>
      </c>
      <c r="BG549" s="2">
        <v>45809</v>
      </c>
      <c r="BH549" t="s">
        <v>142</v>
      </c>
      <c r="BI549" s="2">
        <v>46026</v>
      </c>
      <c r="BJ549">
        <v>0</v>
      </c>
      <c r="BK549">
        <v>0</v>
      </c>
      <c r="BL549">
        <v>0</v>
      </c>
      <c r="BM549">
        <v>7</v>
      </c>
      <c r="BN549">
        <v>7</v>
      </c>
      <c r="BO549">
        <v>932.17</v>
      </c>
      <c r="BP549">
        <v>0</v>
      </c>
      <c r="BQ549">
        <v>932.17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494.74</v>
      </c>
      <c r="CC549" t="s">
        <v>161</v>
      </c>
    </row>
    <row r="550" spans="1:81" x14ac:dyDescent="0.25">
      <c r="A550">
        <v>345</v>
      </c>
      <c r="B550">
        <v>2</v>
      </c>
      <c r="C550">
        <v>884</v>
      </c>
      <c r="D550" t="s">
        <v>3151</v>
      </c>
      <c r="E550" t="s">
        <v>121</v>
      </c>
      <c r="F550" t="s">
        <v>3152</v>
      </c>
      <c r="G550" t="s">
        <v>3153</v>
      </c>
      <c r="H550" t="s">
        <v>3154</v>
      </c>
      <c r="I550" t="s">
        <v>125</v>
      </c>
      <c r="J550" t="s">
        <v>126</v>
      </c>
      <c r="K550" t="s">
        <v>1853</v>
      </c>
      <c r="L550" t="s">
        <v>128</v>
      </c>
      <c r="M550" t="s">
        <v>1854</v>
      </c>
      <c r="N550" t="s">
        <v>3155</v>
      </c>
      <c r="O550" t="s">
        <v>159</v>
      </c>
      <c r="P550">
        <v>0</v>
      </c>
      <c r="Q550" t="s">
        <v>125</v>
      </c>
      <c r="R550">
        <v>3</v>
      </c>
      <c r="S550">
        <v>82</v>
      </c>
      <c r="T550" t="s">
        <v>132</v>
      </c>
      <c r="U550" t="s">
        <v>133</v>
      </c>
      <c r="V550" s="1">
        <v>20000</v>
      </c>
      <c r="W550">
        <v>0</v>
      </c>
      <c r="X550" s="1">
        <v>20000</v>
      </c>
      <c r="Y550">
        <v>7</v>
      </c>
      <c r="Z550">
        <v>0</v>
      </c>
      <c r="AA550">
        <v>7</v>
      </c>
      <c r="AB550">
        <v>0</v>
      </c>
      <c r="AC550">
        <v>3</v>
      </c>
      <c r="AD550" t="s">
        <v>234</v>
      </c>
      <c r="AE550" t="s">
        <v>134</v>
      </c>
      <c r="AF550" s="2">
        <v>45518</v>
      </c>
      <c r="AG550" s="2">
        <v>46021</v>
      </c>
      <c r="AH550" s="1">
        <v>9310.67</v>
      </c>
      <c r="AI550" s="1">
        <v>13036.28</v>
      </c>
      <c r="AJ550" s="1">
        <v>130349.44</v>
      </c>
      <c r="AK550">
        <v>0</v>
      </c>
      <c r="AL550">
        <v>0</v>
      </c>
      <c r="AM550">
        <v>0</v>
      </c>
      <c r="AN550" t="s">
        <v>135</v>
      </c>
      <c r="AO550" t="s">
        <v>135</v>
      </c>
      <c r="AP550" t="s">
        <v>136</v>
      </c>
      <c r="AQ550" t="s">
        <v>137</v>
      </c>
      <c r="AR550" t="s">
        <v>138</v>
      </c>
      <c r="AS550" t="s">
        <v>150</v>
      </c>
      <c r="AT550" t="s">
        <v>140</v>
      </c>
      <c r="AU550">
        <v>500</v>
      </c>
      <c r="AV550">
        <v>10</v>
      </c>
      <c r="AW550">
        <v>1</v>
      </c>
      <c r="AX550" s="2">
        <v>45838</v>
      </c>
      <c r="AY550" t="s">
        <v>141</v>
      </c>
      <c r="AZ550" s="2">
        <v>46027</v>
      </c>
      <c r="BA550">
        <v>0</v>
      </c>
      <c r="BB550">
        <v>0</v>
      </c>
      <c r="BC550">
        <v>0</v>
      </c>
      <c r="BD550">
        <v>700</v>
      </c>
      <c r="BE550">
        <v>70</v>
      </c>
      <c r="BF550">
        <v>9</v>
      </c>
      <c r="BG550" s="2">
        <v>45536</v>
      </c>
      <c r="BH550" t="s">
        <v>142</v>
      </c>
      <c r="BI550" s="2">
        <v>46026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s="1">
        <v>37506.239999999998</v>
      </c>
      <c r="BQ550" s="1">
        <v>37506.239999999998</v>
      </c>
      <c r="BR550">
        <v>0</v>
      </c>
      <c r="BS550">
        <v>0</v>
      </c>
      <c r="BT550">
        <v>0</v>
      </c>
      <c r="BU550">
        <v>0</v>
      </c>
      <c r="BV550" s="1">
        <v>52934.06</v>
      </c>
      <c r="BW550" s="1">
        <v>52934.06</v>
      </c>
      <c r="BX550">
        <v>0</v>
      </c>
      <c r="BY550">
        <v>0</v>
      </c>
      <c r="BZ550">
        <v>0</v>
      </c>
      <c r="CA550">
        <v>0</v>
      </c>
      <c r="CB550" s="1">
        <v>38424.519999999997</v>
      </c>
      <c r="CC550" t="s">
        <v>161</v>
      </c>
    </row>
    <row r="551" spans="1:81" x14ac:dyDescent="0.25">
      <c r="A551">
        <v>345</v>
      </c>
      <c r="B551">
        <v>2</v>
      </c>
      <c r="C551">
        <v>885</v>
      </c>
      <c r="D551" t="s">
        <v>3156</v>
      </c>
      <c r="E551" t="s">
        <v>121</v>
      </c>
      <c r="F551" t="s">
        <v>3157</v>
      </c>
      <c r="G551" t="s">
        <v>3158</v>
      </c>
      <c r="H551" t="s">
        <v>3159</v>
      </c>
      <c r="I551" t="s">
        <v>125</v>
      </c>
      <c r="J551" t="s">
        <v>3074</v>
      </c>
      <c r="K551" t="s">
        <v>1853</v>
      </c>
      <c r="L551" t="s">
        <v>128</v>
      </c>
      <c r="M551" t="s">
        <v>1854</v>
      </c>
      <c r="N551" t="s">
        <v>3160</v>
      </c>
      <c r="O551" t="s">
        <v>159</v>
      </c>
      <c r="P551">
        <v>0</v>
      </c>
      <c r="Q551" t="s">
        <v>125</v>
      </c>
      <c r="R551">
        <v>6</v>
      </c>
      <c r="S551">
        <v>36</v>
      </c>
      <c r="T551" t="s">
        <v>132</v>
      </c>
      <c r="U551" t="s">
        <v>133</v>
      </c>
      <c r="V551" s="1">
        <v>2000</v>
      </c>
      <c r="W551">
        <v>475.97</v>
      </c>
      <c r="X551" s="1">
        <v>1524.03</v>
      </c>
      <c r="Y551">
        <v>7</v>
      </c>
      <c r="Z551">
        <v>0</v>
      </c>
      <c r="AA551">
        <v>7</v>
      </c>
      <c r="AB551">
        <v>0</v>
      </c>
      <c r="AC551">
        <v>0</v>
      </c>
      <c r="AD551" t="s">
        <v>134</v>
      </c>
      <c r="AE551" t="s">
        <v>134</v>
      </c>
      <c r="AF551" s="2">
        <v>45518</v>
      </c>
      <c r="AG551" s="2">
        <v>46017</v>
      </c>
      <c r="AH551">
        <v>550</v>
      </c>
      <c r="AI551">
        <v>809.52</v>
      </c>
      <c r="AJ551" s="1">
        <v>4400.07</v>
      </c>
      <c r="AK551">
        <v>0</v>
      </c>
      <c r="AL551">
        <v>475.97</v>
      </c>
      <c r="AM551">
        <v>71.08</v>
      </c>
      <c r="AN551" t="s">
        <v>135</v>
      </c>
      <c r="AO551" t="s">
        <v>135</v>
      </c>
      <c r="AP551" t="s">
        <v>136</v>
      </c>
      <c r="AQ551" t="s">
        <v>137</v>
      </c>
      <c r="AR551" t="s">
        <v>138</v>
      </c>
      <c r="AS551" t="s">
        <v>150</v>
      </c>
      <c r="AT551" t="s">
        <v>140</v>
      </c>
      <c r="AU551">
        <v>106</v>
      </c>
      <c r="AV551">
        <v>10</v>
      </c>
      <c r="AW551">
        <v>1</v>
      </c>
      <c r="AX551" s="2">
        <v>45810</v>
      </c>
      <c r="AY551" t="s">
        <v>141</v>
      </c>
      <c r="AZ551" s="2">
        <v>46027</v>
      </c>
      <c r="BA551">
        <v>0</v>
      </c>
      <c r="BB551">
        <v>0</v>
      </c>
      <c r="BC551">
        <v>0</v>
      </c>
      <c r="BD551">
        <v>700</v>
      </c>
      <c r="BE551">
        <v>70</v>
      </c>
      <c r="BF551">
        <v>9</v>
      </c>
      <c r="BG551" s="2">
        <v>45536</v>
      </c>
      <c r="BH551" t="s">
        <v>142</v>
      </c>
      <c r="BI551" s="2">
        <v>46026</v>
      </c>
      <c r="BJ551">
        <v>0</v>
      </c>
      <c r="BK551">
        <v>0</v>
      </c>
      <c r="BL551">
        <v>0</v>
      </c>
      <c r="BM551">
        <v>7</v>
      </c>
      <c r="BN551">
        <v>7</v>
      </c>
      <c r="BO551" s="1">
        <v>1921.96</v>
      </c>
      <c r="BP551">
        <v>0</v>
      </c>
      <c r="BQ551" s="1">
        <v>1921.96</v>
      </c>
      <c r="BR551">
        <v>338.32</v>
      </c>
      <c r="BS551">
        <v>7</v>
      </c>
      <c r="BT551">
        <v>7</v>
      </c>
      <c r="BU551" s="1">
        <v>1285.49</v>
      </c>
      <c r="BV551">
        <v>0</v>
      </c>
      <c r="BW551" s="1">
        <v>1285.49</v>
      </c>
      <c r="BX551">
        <v>475.97</v>
      </c>
      <c r="BY551">
        <v>37.03</v>
      </c>
      <c r="BZ551">
        <v>0</v>
      </c>
      <c r="CA551">
        <v>0</v>
      </c>
      <c r="CB551" s="1">
        <v>1715.05</v>
      </c>
      <c r="CC551" t="s">
        <v>161</v>
      </c>
    </row>
    <row r="552" spans="1:81" x14ac:dyDescent="0.25">
      <c r="A552">
        <v>345</v>
      </c>
      <c r="B552">
        <v>2</v>
      </c>
      <c r="C552">
        <v>886</v>
      </c>
      <c r="D552" t="s">
        <v>3161</v>
      </c>
      <c r="E552" t="s">
        <v>121</v>
      </c>
      <c r="F552" t="s">
        <v>3162</v>
      </c>
      <c r="G552" t="s">
        <v>3163</v>
      </c>
      <c r="H552" t="s">
        <v>3164</v>
      </c>
      <c r="I552" t="s">
        <v>125</v>
      </c>
      <c r="J552" t="s">
        <v>126</v>
      </c>
      <c r="K552" t="s">
        <v>1853</v>
      </c>
      <c r="L552" t="s">
        <v>128</v>
      </c>
      <c r="M552" t="s">
        <v>1854</v>
      </c>
      <c r="N552" t="s">
        <v>3165</v>
      </c>
      <c r="O552" t="s">
        <v>159</v>
      </c>
      <c r="P552">
        <v>0</v>
      </c>
      <c r="Q552" t="s">
        <v>125</v>
      </c>
      <c r="R552">
        <v>4</v>
      </c>
      <c r="S552">
        <v>81</v>
      </c>
      <c r="T552" t="s">
        <v>132</v>
      </c>
      <c r="U552" t="s">
        <v>133</v>
      </c>
      <c r="V552" s="1">
        <v>27400</v>
      </c>
      <c r="W552">
        <v>0</v>
      </c>
      <c r="X552" s="1">
        <v>27400</v>
      </c>
      <c r="Y552">
        <v>2</v>
      </c>
      <c r="Z552">
        <v>0</v>
      </c>
      <c r="AA552">
        <v>7</v>
      </c>
      <c r="AB552">
        <v>0</v>
      </c>
      <c r="AC552">
        <v>0</v>
      </c>
      <c r="AD552" t="s">
        <v>234</v>
      </c>
      <c r="AE552" t="s">
        <v>134</v>
      </c>
      <c r="AF552" s="2">
        <v>45518</v>
      </c>
      <c r="AG552" s="2">
        <v>46007</v>
      </c>
      <c r="AH552" s="1">
        <v>8782.3700000000008</v>
      </c>
      <c r="AI552" s="1">
        <v>18414</v>
      </c>
      <c r="AJ552" s="1">
        <v>70259</v>
      </c>
      <c r="AK552">
        <v>0</v>
      </c>
      <c r="AL552">
        <v>0</v>
      </c>
      <c r="AM552">
        <v>0</v>
      </c>
      <c r="AN552" t="s">
        <v>135</v>
      </c>
      <c r="AO552" t="s">
        <v>135</v>
      </c>
      <c r="AP552" t="s">
        <v>136</v>
      </c>
      <c r="AQ552" t="s">
        <v>137</v>
      </c>
      <c r="AR552" t="s">
        <v>138</v>
      </c>
      <c r="AS552" t="s">
        <v>150</v>
      </c>
      <c r="AT552" t="s">
        <v>140</v>
      </c>
      <c r="AU552">
        <v>500</v>
      </c>
      <c r="AV552">
        <v>10</v>
      </c>
      <c r="AW552">
        <v>1</v>
      </c>
      <c r="AX552" s="2">
        <v>45838</v>
      </c>
      <c r="AY552" t="s">
        <v>141</v>
      </c>
      <c r="AZ552" s="2">
        <v>46027</v>
      </c>
      <c r="BA552">
        <v>0</v>
      </c>
      <c r="BB552">
        <v>0</v>
      </c>
      <c r="BC552">
        <v>0</v>
      </c>
      <c r="BD552">
        <v>700</v>
      </c>
      <c r="BE552">
        <v>70</v>
      </c>
      <c r="BF552">
        <v>9</v>
      </c>
      <c r="BG552" s="2">
        <v>45536</v>
      </c>
      <c r="BH552" t="s">
        <v>142</v>
      </c>
      <c r="BI552" s="2">
        <v>46026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s="1">
        <v>23165.18</v>
      </c>
      <c r="BQ552" s="1">
        <v>23165.18</v>
      </c>
      <c r="BR552">
        <v>0</v>
      </c>
      <c r="BS552">
        <v>0</v>
      </c>
      <c r="BT552">
        <v>0</v>
      </c>
      <c r="BU552">
        <v>0</v>
      </c>
      <c r="BV552" s="1">
        <v>32828.9</v>
      </c>
      <c r="BW552" s="1">
        <v>32828.9</v>
      </c>
      <c r="BX552">
        <v>0</v>
      </c>
      <c r="BY552">
        <v>0</v>
      </c>
      <c r="BZ552">
        <v>0</v>
      </c>
      <c r="CA552">
        <v>0</v>
      </c>
      <c r="CB552" s="1">
        <v>18286.05</v>
      </c>
      <c r="CC552" t="s">
        <v>161</v>
      </c>
    </row>
    <row r="553" spans="1:81" x14ac:dyDescent="0.25">
      <c r="A553">
        <v>345</v>
      </c>
      <c r="B553">
        <v>2</v>
      </c>
      <c r="C553">
        <v>887</v>
      </c>
      <c r="D553" t="s">
        <v>3166</v>
      </c>
      <c r="E553" t="s">
        <v>121</v>
      </c>
      <c r="F553" t="s">
        <v>3167</v>
      </c>
      <c r="G553" t="s">
        <v>3168</v>
      </c>
      <c r="H553" t="s">
        <v>3169</v>
      </c>
      <c r="I553" t="s">
        <v>125</v>
      </c>
      <c r="J553" t="s">
        <v>3074</v>
      </c>
      <c r="K553" t="s">
        <v>1853</v>
      </c>
      <c r="L553" t="s">
        <v>128</v>
      </c>
      <c r="M553" t="s">
        <v>1854</v>
      </c>
      <c r="N553" t="s">
        <v>3170</v>
      </c>
      <c r="O553" t="s">
        <v>159</v>
      </c>
      <c r="P553">
        <v>0</v>
      </c>
      <c r="Q553" t="s">
        <v>125</v>
      </c>
      <c r="R553">
        <v>6</v>
      </c>
      <c r="S553">
        <v>39</v>
      </c>
      <c r="T553" t="s">
        <v>132</v>
      </c>
      <c r="U553" t="s">
        <v>133</v>
      </c>
      <c r="V553" s="1">
        <v>4000</v>
      </c>
      <c r="W553">
        <v>0</v>
      </c>
      <c r="X553" s="1">
        <v>4000</v>
      </c>
      <c r="Y553">
        <v>7</v>
      </c>
      <c r="Z553">
        <v>0</v>
      </c>
      <c r="AA553">
        <v>0</v>
      </c>
      <c r="AB553">
        <v>0</v>
      </c>
      <c r="AC553">
        <v>0</v>
      </c>
      <c r="AD553" t="s">
        <v>134</v>
      </c>
      <c r="AE553" t="s">
        <v>134</v>
      </c>
      <c r="AF553" s="2">
        <v>45518</v>
      </c>
      <c r="AG553" s="2">
        <v>46001</v>
      </c>
      <c r="AH553" s="1">
        <v>1987.78</v>
      </c>
      <c r="AI553" s="1">
        <v>3195.4</v>
      </c>
      <c r="AJ553" s="1">
        <v>21865.59</v>
      </c>
      <c r="AK553">
        <v>0</v>
      </c>
      <c r="AL553" s="1">
        <v>2477.19</v>
      </c>
      <c r="AM553">
        <v>0</v>
      </c>
      <c r="AN553" t="s">
        <v>135</v>
      </c>
      <c r="AO553" t="s">
        <v>135</v>
      </c>
      <c r="AP553" t="s">
        <v>136</v>
      </c>
      <c r="AQ553" t="s">
        <v>137</v>
      </c>
      <c r="AR553" t="s">
        <v>138</v>
      </c>
      <c r="AS553" t="s">
        <v>150</v>
      </c>
      <c r="AT553" t="s">
        <v>140</v>
      </c>
      <c r="AU553">
        <v>106</v>
      </c>
      <c r="AV553">
        <v>10</v>
      </c>
      <c r="AW553">
        <v>1</v>
      </c>
      <c r="AX553" s="2">
        <v>45810</v>
      </c>
      <c r="AY553" t="s">
        <v>141</v>
      </c>
      <c r="AZ553" s="2">
        <v>46027</v>
      </c>
      <c r="BA553">
        <v>0</v>
      </c>
      <c r="BB553">
        <v>0</v>
      </c>
      <c r="BC553">
        <v>0</v>
      </c>
      <c r="BD553">
        <v>700</v>
      </c>
      <c r="BE553">
        <v>70</v>
      </c>
      <c r="BF553">
        <v>9</v>
      </c>
      <c r="BG553" s="2">
        <v>45536</v>
      </c>
      <c r="BH553" t="s">
        <v>142</v>
      </c>
      <c r="BI553" s="2">
        <v>46026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 s="1">
        <v>8207.2800000000007</v>
      </c>
      <c r="BQ553" s="1">
        <v>8207.2800000000007</v>
      </c>
      <c r="BR553">
        <v>0</v>
      </c>
      <c r="BS553">
        <v>0</v>
      </c>
      <c r="BT553">
        <v>0</v>
      </c>
      <c r="BU553">
        <v>0</v>
      </c>
      <c r="BV553" s="1">
        <v>8270.49</v>
      </c>
      <c r="BW553" s="1">
        <v>8270.49</v>
      </c>
      <c r="BX553">
        <v>0</v>
      </c>
      <c r="BY553">
        <v>0</v>
      </c>
      <c r="BZ553">
        <v>0</v>
      </c>
      <c r="CA553">
        <v>0</v>
      </c>
      <c r="CB553" s="1">
        <v>5284.52</v>
      </c>
      <c r="CC553" t="s">
        <v>161</v>
      </c>
    </row>
    <row r="554" spans="1:81" x14ac:dyDescent="0.25">
      <c r="A554">
        <v>345</v>
      </c>
      <c r="B554">
        <v>2</v>
      </c>
      <c r="C554">
        <v>889</v>
      </c>
      <c r="D554" t="s">
        <v>3171</v>
      </c>
      <c r="E554" t="s">
        <v>121</v>
      </c>
      <c r="F554" t="s">
        <v>3172</v>
      </c>
      <c r="G554" t="s">
        <v>3173</v>
      </c>
      <c r="H554" t="s">
        <v>3085</v>
      </c>
      <c r="I554" t="s">
        <v>125</v>
      </c>
      <c r="J554" t="s">
        <v>3174</v>
      </c>
      <c r="K554" t="s">
        <v>1853</v>
      </c>
      <c r="L554" t="s">
        <v>128</v>
      </c>
      <c r="M554" t="s">
        <v>1854</v>
      </c>
      <c r="N554" t="s">
        <v>3175</v>
      </c>
      <c r="O554" t="s">
        <v>159</v>
      </c>
      <c r="P554">
        <v>0</v>
      </c>
      <c r="Q554" t="s">
        <v>125</v>
      </c>
      <c r="R554">
        <v>3</v>
      </c>
      <c r="S554">
        <v>82</v>
      </c>
      <c r="T554" t="s">
        <v>132</v>
      </c>
      <c r="U554" t="s">
        <v>133</v>
      </c>
      <c r="V554" s="1">
        <v>3000</v>
      </c>
      <c r="W554">
        <v>689.7</v>
      </c>
      <c r="X554" s="1">
        <v>2310.3000000000002</v>
      </c>
      <c r="Y554">
        <v>7</v>
      </c>
      <c r="Z554">
        <v>0</v>
      </c>
      <c r="AA554">
        <v>7</v>
      </c>
      <c r="AB554">
        <v>0</v>
      </c>
      <c r="AC554">
        <v>0</v>
      </c>
      <c r="AD554" t="s">
        <v>134</v>
      </c>
      <c r="AE554" t="s">
        <v>134</v>
      </c>
      <c r="AF554" s="2">
        <v>45518</v>
      </c>
      <c r="AG554" s="2">
        <v>46021</v>
      </c>
      <c r="AH554">
        <v>494.15</v>
      </c>
      <c r="AI554">
        <v>931.08</v>
      </c>
      <c r="AJ554" s="1">
        <v>4941.54</v>
      </c>
      <c r="AK554">
        <v>178.56</v>
      </c>
      <c r="AL554">
        <v>511.14</v>
      </c>
      <c r="AM554">
        <v>182.16</v>
      </c>
      <c r="AN554" t="s">
        <v>135</v>
      </c>
      <c r="AO554" t="s">
        <v>135</v>
      </c>
      <c r="AP554" t="s">
        <v>136</v>
      </c>
      <c r="AQ554" t="s">
        <v>137</v>
      </c>
      <c r="AR554" t="s">
        <v>138</v>
      </c>
      <c r="AS554" t="s">
        <v>150</v>
      </c>
      <c r="AT554" t="s">
        <v>140</v>
      </c>
      <c r="AU554">
        <v>500</v>
      </c>
      <c r="AV554">
        <v>10</v>
      </c>
      <c r="AW554">
        <v>1</v>
      </c>
      <c r="AX554" s="2">
        <v>45537</v>
      </c>
      <c r="AY554" t="s">
        <v>141</v>
      </c>
      <c r="AZ554" s="2">
        <v>46027</v>
      </c>
      <c r="BA554">
        <v>0</v>
      </c>
      <c r="BB554">
        <v>0</v>
      </c>
      <c r="BC554">
        <v>0</v>
      </c>
      <c r="BD554">
        <v>700</v>
      </c>
      <c r="BE554">
        <v>70</v>
      </c>
      <c r="BF554">
        <v>9</v>
      </c>
      <c r="BG554" s="2">
        <v>45536</v>
      </c>
      <c r="BH554" t="s">
        <v>142</v>
      </c>
      <c r="BI554" s="2">
        <v>46026</v>
      </c>
      <c r="BJ554">
        <v>0</v>
      </c>
      <c r="BK554">
        <v>0</v>
      </c>
      <c r="BL554">
        <v>0</v>
      </c>
      <c r="BM554">
        <v>7</v>
      </c>
      <c r="BN554">
        <v>7</v>
      </c>
      <c r="BO554" s="1">
        <v>1667.79</v>
      </c>
      <c r="BP554">
        <v>0</v>
      </c>
      <c r="BQ554" s="1">
        <v>1667.79</v>
      </c>
      <c r="BR554">
        <v>931.08</v>
      </c>
      <c r="BS554">
        <v>7</v>
      </c>
      <c r="BT554">
        <v>7</v>
      </c>
      <c r="BU554" s="1">
        <v>1582.5</v>
      </c>
      <c r="BV554">
        <v>0</v>
      </c>
      <c r="BW554" s="1">
        <v>1582.5</v>
      </c>
      <c r="BX554">
        <v>511.14</v>
      </c>
      <c r="BY554">
        <v>32.299999999999997</v>
      </c>
      <c r="BZ554">
        <v>0</v>
      </c>
      <c r="CA554">
        <v>0</v>
      </c>
      <c r="CB554" s="1">
        <v>1160.44</v>
      </c>
      <c r="CC554" t="s">
        <v>161</v>
      </c>
    </row>
    <row r="555" spans="1:81" x14ac:dyDescent="0.25">
      <c r="A555">
        <v>345</v>
      </c>
      <c r="B555">
        <v>2</v>
      </c>
      <c r="C555">
        <v>891</v>
      </c>
      <c r="D555" t="s">
        <v>3176</v>
      </c>
      <c r="E555" t="s">
        <v>121</v>
      </c>
      <c r="F555" t="s">
        <v>3177</v>
      </c>
      <c r="G555" t="s">
        <v>3178</v>
      </c>
      <c r="H555" t="s">
        <v>3179</v>
      </c>
      <c r="I555" t="s">
        <v>125</v>
      </c>
      <c r="J555" t="s">
        <v>3113</v>
      </c>
      <c r="K555" t="s">
        <v>1853</v>
      </c>
      <c r="L555" t="s">
        <v>128</v>
      </c>
      <c r="M555" t="s">
        <v>1854</v>
      </c>
      <c r="N555" t="s">
        <v>2346</v>
      </c>
      <c r="O555" t="s">
        <v>167</v>
      </c>
      <c r="P555">
        <v>0</v>
      </c>
      <c r="Q555" t="s">
        <v>125</v>
      </c>
      <c r="R555">
        <v>5</v>
      </c>
      <c r="S555">
        <v>66</v>
      </c>
      <c r="T555" t="s">
        <v>132</v>
      </c>
      <c r="U555" t="s">
        <v>133</v>
      </c>
      <c r="V555" s="1">
        <v>150000</v>
      </c>
      <c r="W555" s="1">
        <v>2415.3200000000002</v>
      </c>
      <c r="X555" s="1">
        <v>147584.68</v>
      </c>
      <c r="Y555">
        <v>21</v>
      </c>
      <c r="Z555">
        <v>0</v>
      </c>
      <c r="AA555">
        <v>23</v>
      </c>
      <c r="AB555">
        <v>4</v>
      </c>
      <c r="AC555">
        <v>32</v>
      </c>
      <c r="AD555" t="s">
        <v>234</v>
      </c>
      <c r="AE555" t="s">
        <v>134</v>
      </c>
      <c r="AF555" s="2">
        <v>45518</v>
      </c>
      <c r="AG555" s="2">
        <v>46010</v>
      </c>
      <c r="AH555" s="1">
        <v>1350.52</v>
      </c>
      <c r="AI555" s="1">
        <v>1901.91</v>
      </c>
      <c r="AJ555" s="1">
        <v>12154.69</v>
      </c>
      <c r="AK555">
        <v>0</v>
      </c>
      <c r="AL555" s="1">
        <v>2415.3200000000002</v>
      </c>
      <c r="AM555">
        <v>127.95</v>
      </c>
      <c r="AN555" t="s">
        <v>135</v>
      </c>
      <c r="AO555" t="s">
        <v>135</v>
      </c>
      <c r="AP555" t="s">
        <v>136</v>
      </c>
      <c r="AQ555" t="s">
        <v>137</v>
      </c>
      <c r="AR555" t="s">
        <v>138</v>
      </c>
      <c r="AS555" t="s">
        <v>150</v>
      </c>
      <c r="AT555" t="s">
        <v>140</v>
      </c>
      <c r="AU555">
        <v>500</v>
      </c>
      <c r="AV555">
        <v>10</v>
      </c>
      <c r="AW555">
        <v>1</v>
      </c>
      <c r="AX555" s="2">
        <v>45841</v>
      </c>
      <c r="AY555" t="s">
        <v>308</v>
      </c>
      <c r="AZ555" s="2">
        <v>46023</v>
      </c>
      <c r="BA555">
        <v>0</v>
      </c>
      <c r="BB555">
        <v>0</v>
      </c>
      <c r="BC555">
        <v>0</v>
      </c>
      <c r="BD555">
        <v>700</v>
      </c>
      <c r="BE555">
        <v>70</v>
      </c>
      <c r="BF555">
        <v>9</v>
      </c>
      <c r="BG555" s="2">
        <v>45536</v>
      </c>
      <c r="BH555" t="s">
        <v>142</v>
      </c>
      <c r="BI555" s="2">
        <v>46026</v>
      </c>
      <c r="BJ555">
        <v>0</v>
      </c>
      <c r="BK555">
        <v>0</v>
      </c>
      <c r="BL555">
        <v>0</v>
      </c>
      <c r="BM555">
        <v>21</v>
      </c>
      <c r="BN555">
        <v>21</v>
      </c>
      <c r="BO555" s="1">
        <v>3090.48</v>
      </c>
      <c r="BP555">
        <v>0</v>
      </c>
      <c r="BQ555" s="1">
        <v>3090.48</v>
      </c>
      <c r="BR555" s="1">
        <v>3090.48</v>
      </c>
      <c r="BS555">
        <v>21</v>
      </c>
      <c r="BT555">
        <v>21</v>
      </c>
      <c r="BU555" s="1">
        <v>3704.05</v>
      </c>
      <c r="BV555">
        <v>0</v>
      </c>
      <c r="BW555" s="1">
        <v>3704.05</v>
      </c>
      <c r="BX555" s="1">
        <v>2415.3200000000002</v>
      </c>
      <c r="BY555">
        <v>65.209999999999994</v>
      </c>
      <c r="BZ555">
        <v>0</v>
      </c>
      <c r="CA555">
        <v>0</v>
      </c>
      <c r="CB555" s="1">
        <v>4195.62</v>
      </c>
      <c r="CC555" t="s">
        <v>161</v>
      </c>
    </row>
    <row r="556" spans="1:81" x14ac:dyDescent="0.25">
      <c r="A556">
        <v>345</v>
      </c>
      <c r="B556">
        <v>2</v>
      </c>
      <c r="C556">
        <v>893</v>
      </c>
      <c r="D556" t="s">
        <v>3180</v>
      </c>
      <c r="E556" t="s">
        <v>121</v>
      </c>
      <c r="F556" t="s">
        <v>3181</v>
      </c>
      <c r="G556" t="s">
        <v>3182</v>
      </c>
      <c r="H556" t="s">
        <v>3183</v>
      </c>
      <c r="I556" t="s">
        <v>125</v>
      </c>
      <c r="J556" t="s">
        <v>3074</v>
      </c>
      <c r="K556" t="s">
        <v>1853</v>
      </c>
      <c r="L556" t="s">
        <v>128</v>
      </c>
      <c r="M556" t="s">
        <v>3184</v>
      </c>
      <c r="N556" t="s">
        <v>3185</v>
      </c>
      <c r="O556" t="s">
        <v>159</v>
      </c>
      <c r="P556">
        <v>0</v>
      </c>
      <c r="Q556" t="s">
        <v>125</v>
      </c>
      <c r="R556">
        <v>6</v>
      </c>
      <c r="S556">
        <v>41</v>
      </c>
      <c r="T556" t="s">
        <v>132</v>
      </c>
      <c r="U556" t="s">
        <v>133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234</v>
      </c>
      <c r="AE556" t="s">
        <v>134</v>
      </c>
      <c r="AF556" s="2">
        <v>45518</v>
      </c>
      <c r="AG556" s="2">
        <v>46021</v>
      </c>
      <c r="AH556" s="1">
        <v>2013.14</v>
      </c>
      <c r="AI556" s="1">
        <v>3583.4</v>
      </c>
      <c r="AJ556" s="1">
        <v>26170.87</v>
      </c>
      <c r="AK556">
        <v>0</v>
      </c>
      <c r="AL556">
        <v>0</v>
      </c>
      <c r="AM556">
        <v>0</v>
      </c>
      <c r="AN556" t="s">
        <v>135</v>
      </c>
      <c r="AO556" t="s">
        <v>135</v>
      </c>
      <c r="AP556" t="s">
        <v>136</v>
      </c>
      <c r="AQ556" t="s">
        <v>137</v>
      </c>
      <c r="AR556" t="s">
        <v>138</v>
      </c>
      <c r="AS556" t="s">
        <v>150</v>
      </c>
      <c r="AT556" t="s">
        <v>140</v>
      </c>
      <c r="AU556">
        <v>500</v>
      </c>
      <c r="AV556">
        <v>10</v>
      </c>
      <c r="AW556">
        <v>1</v>
      </c>
      <c r="AX556" s="2">
        <v>45838</v>
      </c>
      <c r="AY556" t="s">
        <v>141</v>
      </c>
      <c r="AZ556" s="2">
        <v>46027</v>
      </c>
      <c r="BA556">
        <v>0</v>
      </c>
      <c r="BB556">
        <v>0</v>
      </c>
      <c r="BC556">
        <v>0</v>
      </c>
      <c r="BD556">
        <v>700</v>
      </c>
      <c r="BE556">
        <v>70</v>
      </c>
      <c r="BF556">
        <v>9</v>
      </c>
      <c r="BG556" s="2">
        <v>45536</v>
      </c>
      <c r="BH556" t="s">
        <v>142</v>
      </c>
      <c r="BI556" s="2">
        <v>46026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s="1">
        <v>6776.56</v>
      </c>
      <c r="BQ556" s="1">
        <v>6776.56</v>
      </c>
      <c r="BR556">
        <v>0</v>
      </c>
      <c r="BS556">
        <v>0</v>
      </c>
      <c r="BT556">
        <v>0</v>
      </c>
      <c r="BU556">
        <v>0</v>
      </c>
      <c r="BV556" s="1">
        <v>10254.709999999999</v>
      </c>
      <c r="BW556" s="1">
        <v>10254.709999999999</v>
      </c>
      <c r="BX556">
        <v>0</v>
      </c>
      <c r="BY556">
        <v>0</v>
      </c>
      <c r="BZ556">
        <v>0</v>
      </c>
      <c r="CA556">
        <v>0</v>
      </c>
      <c r="CB556" s="1">
        <v>7671.21</v>
      </c>
      <c r="CC556" t="s">
        <v>161</v>
      </c>
    </row>
    <row r="557" spans="1:81" x14ac:dyDescent="0.25">
      <c r="A557">
        <v>345</v>
      </c>
      <c r="B557">
        <v>2</v>
      </c>
      <c r="C557">
        <v>894</v>
      </c>
      <c r="D557" t="s">
        <v>3186</v>
      </c>
      <c r="E557" t="s">
        <v>121</v>
      </c>
      <c r="F557" t="s">
        <v>3187</v>
      </c>
      <c r="G557" t="s">
        <v>3188</v>
      </c>
      <c r="H557" t="s">
        <v>3189</v>
      </c>
      <c r="I557" t="s">
        <v>125</v>
      </c>
      <c r="J557" t="s">
        <v>126</v>
      </c>
      <c r="K557" t="s">
        <v>1853</v>
      </c>
      <c r="L557" t="s">
        <v>128</v>
      </c>
      <c r="M557" t="s">
        <v>1854</v>
      </c>
      <c r="N557" t="s">
        <v>3190</v>
      </c>
      <c r="O557" t="s">
        <v>159</v>
      </c>
      <c r="P557">
        <v>0</v>
      </c>
      <c r="Q557" t="s">
        <v>125</v>
      </c>
      <c r="R557">
        <v>6</v>
      </c>
      <c r="S557">
        <v>40</v>
      </c>
      <c r="T557" t="s">
        <v>132</v>
      </c>
      <c r="U557" t="s">
        <v>133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134</v>
      </c>
      <c r="AE557" t="s">
        <v>134</v>
      </c>
      <c r="AF557" s="2">
        <v>45518</v>
      </c>
      <c r="AG557" s="2">
        <v>46007</v>
      </c>
      <c r="AH557">
        <v>837.89</v>
      </c>
      <c r="AI557" s="1">
        <v>1123.4000000000001</v>
      </c>
      <c r="AJ557" s="1">
        <v>8378.93</v>
      </c>
      <c r="AK557">
        <v>0</v>
      </c>
      <c r="AL557" s="1">
        <v>1040.5</v>
      </c>
      <c r="AM557">
        <v>0</v>
      </c>
      <c r="AN557" t="s">
        <v>135</v>
      </c>
      <c r="AO557" t="s">
        <v>135</v>
      </c>
      <c r="AP557" t="s">
        <v>136</v>
      </c>
      <c r="AQ557" t="s">
        <v>137</v>
      </c>
      <c r="AR557" t="s">
        <v>138</v>
      </c>
      <c r="AS557" t="s">
        <v>150</v>
      </c>
      <c r="AT557" t="s">
        <v>140</v>
      </c>
      <c r="AU557">
        <v>106</v>
      </c>
      <c r="AV557">
        <v>10</v>
      </c>
      <c r="AW557">
        <v>1</v>
      </c>
      <c r="AX557" s="2">
        <v>45537</v>
      </c>
      <c r="AY557" t="s">
        <v>141</v>
      </c>
      <c r="AZ557" s="2">
        <v>46027</v>
      </c>
      <c r="BA557">
        <v>0</v>
      </c>
      <c r="BB557">
        <v>0</v>
      </c>
      <c r="BC557">
        <v>0</v>
      </c>
      <c r="BD557">
        <v>700</v>
      </c>
      <c r="BE557">
        <v>70</v>
      </c>
      <c r="BF557">
        <v>9</v>
      </c>
      <c r="BG557" s="2">
        <v>45536</v>
      </c>
      <c r="BH557" t="s">
        <v>142</v>
      </c>
      <c r="BI557" s="2">
        <v>46026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s="1">
        <v>2802.86</v>
      </c>
      <c r="BQ557" s="1">
        <v>2802.86</v>
      </c>
      <c r="BR557">
        <v>0</v>
      </c>
      <c r="BS557">
        <v>0</v>
      </c>
      <c r="BT557">
        <v>0</v>
      </c>
      <c r="BU557">
        <v>0</v>
      </c>
      <c r="BV557" s="1">
        <v>3377.59</v>
      </c>
      <c r="BW557" s="1">
        <v>3377.59</v>
      </c>
      <c r="BX557">
        <v>0</v>
      </c>
      <c r="BY557">
        <v>0</v>
      </c>
      <c r="BZ557">
        <v>0</v>
      </c>
      <c r="CA557">
        <v>0</v>
      </c>
      <c r="CB557" s="1">
        <v>2703.78</v>
      </c>
      <c r="CC557" t="s">
        <v>161</v>
      </c>
    </row>
    <row r="558" spans="1:81" x14ac:dyDescent="0.25">
      <c r="A558">
        <v>345</v>
      </c>
      <c r="B558">
        <v>2</v>
      </c>
      <c r="C558">
        <v>895</v>
      </c>
      <c r="D558" t="s">
        <v>3191</v>
      </c>
      <c r="E558" t="s">
        <v>121</v>
      </c>
      <c r="F558" t="s">
        <v>3192</v>
      </c>
      <c r="G558" t="s">
        <v>3193</v>
      </c>
      <c r="H558" t="s">
        <v>3194</v>
      </c>
      <c r="I558" t="s">
        <v>125</v>
      </c>
      <c r="J558" t="s">
        <v>3074</v>
      </c>
      <c r="K558" t="s">
        <v>1853</v>
      </c>
      <c r="L558" t="s">
        <v>128</v>
      </c>
      <c r="M558" t="s">
        <v>1854</v>
      </c>
      <c r="N558" t="s">
        <v>3195</v>
      </c>
      <c r="O558" t="s">
        <v>159</v>
      </c>
      <c r="P558">
        <v>0</v>
      </c>
      <c r="Q558" t="s">
        <v>125</v>
      </c>
      <c r="R558">
        <v>4</v>
      </c>
      <c r="S558">
        <v>76</v>
      </c>
      <c r="T558" t="s">
        <v>132</v>
      </c>
      <c r="U558" t="s">
        <v>133</v>
      </c>
      <c r="V558" s="1">
        <v>1000</v>
      </c>
      <c r="W558">
        <v>559.19000000000005</v>
      </c>
      <c r="X558">
        <v>440.81</v>
      </c>
      <c r="Y558">
        <v>7</v>
      </c>
      <c r="Z558">
        <v>0</v>
      </c>
      <c r="AA558">
        <v>7</v>
      </c>
      <c r="AB558">
        <v>0</v>
      </c>
      <c r="AC558">
        <v>8</v>
      </c>
      <c r="AD558" t="s">
        <v>134</v>
      </c>
      <c r="AE558" t="s">
        <v>134</v>
      </c>
      <c r="AF558" s="2">
        <v>45518</v>
      </c>
      <c r="AG558" s="2">
        <v>46017</v>
      </c>
      <c r="AH558">
        <v>543.11</v>
      </c>
      <c r="AI558" s="1">
        <v>1305.72</v>
      </c>
      <c r="AJ558" s="1">
        <v>5974.23</v>
      </c>
      <c r="AK558">
        <v>0</v>
      </c>
      <c r="AL558">
        <v>559.19000000000005</v>
      </c>
      <c r="AM558">
        <v>104.04</v>
      </c>
      <c r="AN558" t="s">
        <v>135</v>
      </c>
      <c r="AO558" t="s">
        <v>135</v>
      </c>
      <c r="AP558" t="s">
        <v>136</v>
      </c>
      <c r="AQ558" t="s">
        <v>137</v>
      </c>
      <c r="AR558" t="s">
        <v>138</v>
      </c>
      <c r="AS558" t="s">
        <v>150</v>
      </c>
      <c r="AT558" t="s">
        <v>140</v>
      </c>
      <c r="AU558">
        <v>106</v>
      </c>
      <c r="AV558">
        <v>10</v>
      </c>
      <c r="AW558">
        <v>1</v>
      </c>
      <c r="AX558" s="2">
        <v>45854</v>
      </c>
      <c r="AY558" t="s">
        <v>168</v>
      </c>
      <c r="AZ558" s="2">
        <v>46022</v>
      </c>
      <c r="BA558">
        <v>0</v>
      </c>
      <c r="BB558">
        <v>0</v>
      </c>
      <c r="BC558">
        <v>0</v>
      </c>
      <c r="BD558">
        <v>700</v>
      </c>
      <c r="BE558">
        <v>70</v>
      </c>
      <c r="BF558">
        <v>9</v>
      </c>
      <c r="BG558" s="2">
        <v>45536</v>
      </c>
      <c r="BH558" t="s">
        <v>142</v>
      </c>
      <c r="BI558" s="2">
        <v>46026</v>
      </c>
      <c r="BJ558">
        <v>0</v>
      </c>
      <c r="BK558">
        <v>0</v>
      </c>
      <c r="BL558">
        <v>0</v>
      </c>
      <c r="BM558">
        <v>7</v>
      </c>
      <c r="BN558">
        <v>3.24</v>
      </c>
      <c r="BO558" s="1">
        <v>1142.0999999999999</v>
      </c>
      <c r="BP558" s="1">
        <v>1321.69</v>
      </c>
      <c r="BQ558" s="1">
        <v>2463.79</v>
      </c>
      <c r="BR558">
        <v>581.78</v>
      </c>
      <c r="BS558">
        <v>7</v>
      </c>
      <c r="BT558">
        <v>5.77</v>
      </c>
      <c r="BU558" s="1">
        <v>1449.84</v>
      </c>
      <c r="BV558">
        <v>307.7</v>
      </c>
      <c r="BW558" s="1">
        <v>1757.54</v>
      </c>
      <c r="BX558">
        <v>559.19000000000005</v>
      </c>
      <c r="BY558">
        <v>38.57</v>
      </c>
      <c r="BZ558">
        <v>0</v>
      </c>
      <c r="CA558">
        <v>0</v>
      </c>
      <c r="CB558" s="1">
        <v>1979.87</v>
      </c>
      <c r="CC558" t="s">
        <v>161</v>
      </c>
    </row>
    <row r="559" spans="1:81" x14ac:dyDescent="0.25">
      <c r="A559">
        <v>345</v>
      </c>
      <c r="B559">
        <v>2</v>
      </c>
      <c r="C559">
        <v>896</v>
      </c>
      <c r="D559" t="s">
        <v>3196</v>
      </c>
      <c r="E559" t="s">
        <v>121</v>
      </c>
      <c r="F559" t="s">
        <v>3197</v>
      </c>
      <c r="G559" t="s">
        <v>3198</v>
      </c>
      <c r="H559" t="s">
        <v>3199</v>
      </c>
      <c r="I559" t="s">
        <v>3200</v>
      </c>
      <c r="J559" t="s">
        <v>3074</v>
      </c>
      <c r="K559" t="s">
        <v>1853</v>
      </c>
      <c r="L559" t="s">
        <v>128</v>
      </c>
      <c r="M559" t="s">
        <v>1854</v>
      </c>
      <c r="N559" t="s">
        <v>3201</v>
      </c>
      <c r="O559" t="s">
        <v>131</v>
      </c>
      <c r="P559">
        <v>0</v>
      </c>
      <c r="Q559" t="s">
        <v>125</v>
      </c>
      <c r="R559">
        <v>3</v>
      </c>
      <c r="S559">
        <v>83</v>
      </c>
      <c r="T559" t="s">
        <v>132</v>
      </c>
      <c r="U559" t="s">
        <v>133</v>
      </c>
      <c r="V559" s="1">
        <v>10000</v>
      </c>
      <c r="W559" s="1">
        <v>3996.74</v>
      </c>
      <c r="X559" s="1">
        <v>6003.26</v>
      </c>
      <c r="Y559">
        <v>7</v>
      </c>
      <c r="Z559">
        <v>0</v>
      </c>
      <c r="AA559">
        <v>5</v>
      </c>
      <c r="AB559">
        <v>0</v>
      </c>
      <c r="AC559">
        <v>8</v>
      </c>
      <c r="AD559" t="s">
        <v>134</v>
      </c>
      <c r="AE559" t="s">
        <v>134</v>
      </c>
      <c r="AF559" s="2">
        <v>45518</v>
      </c>
      <c r="AG559" s="2">
        <v>46018</v>
      </c>
      <c r="AH559" s="1">
        <v>2991.98</v>
      </c>
      <c r="AI559" s="1">
        <v>3996.74</v>
      </c>
      <c r="AJ559" s="1">
        <v>38895.82</v>
      </c>
      <c r="AK559" s="1">
        <v>3996.74</v>
      </c>
      <c r="AL559">
        <v>0</v>
      </c>
      <c r="AM559">
        <v>0</v>
      </c>
      <c r="AN559" t="s">
        <v>135</v>
      </c>
      <c r="AO559" t="s">
        <v>135</v>
      </c>
      <c r="AP559" t="s">
        <v>136</v>
      </c>
      <c r="AQ559" t="s">
        <v>137</v>
      </c>
      <c r="AR559" t="s">
        <v>138</v>
      </c>
      <c r="AS559" t="s">
        <v>139</v>
      </c>
      <c r="AT559" t="s">
        <v>140</v>
      </c>
      <c r="AU559">
        <v>106</v>
      </c>
      <c r="AV559">
        <v>10</v>
      </c>
      <c r="AW559">
        <v>1</v>
      </c>
      <c r="AX559" s="2">
        <v>45812</v>
      </c>
      <c r="AY559" t="s">
        <v>168</v>
      </c>
      <c r="AZ559" s="2">
        <v>46022</v>
      </c>
      <c r="BA559">
        <v>0</v>
      </c>
      <c r="BB559">
        <v>0</v>
      </c>
      <c r="BC559">
        <v>0</v>
      </c>
      <c r="BD559">
        <v>700</v>
      </c>
      <c r="BE559">
        <v>70</v>
      </c>
      <c r="BF559">
        <v>9</v>
      </c>
      <c r="BG559" s="2">
        <v>45536</v>
      </c>
      <c r="BH559" t="s">
        <v>142</v>
      </c>
      <c r="BI559" s="2">
        <v>46026</v>
      </c>
      <c r="BJ559">
        <v>0</v>
      </c>
      <c r="BK559">
        <v>0</v>
      </c>
      <c r="BL559">
        <v>0</v>
      </c>
      <c r="BM559">
        <v>4.53</v>
      </c>
      <c r="BN559">
        <v>4.53</v>
      </c>
      <c r="BO559" s="1">
        <v>12254.53</v>
      </c>
      <c r="BP559">
        <v>0</v>
      </c>
      <c r="BQ559" s="1">
        <v>12254.53</v>
      </c>
      <c r="BR559" s="1">
        <v>3228.28</v>
      </c>
      <c r="BS559">
        <v>3.66</v>
      </c>
      <c r="BT559">
        <v>3.66</v>
      </c>
      <c r="BU559" s="1">
        <v>11625</v>
      </c>
      <c r="BV559">
        <v>0</v>
      </c>
      <c r="BW559" s="1">
        <v>11625</v>
      </c>
      <c r="BX559">
        <v>0</v>
      </c>
      <c r="BY559">
        <v>0</v>
      </c>
      <c r="BZ559">
        <v>0</v>
      </c>
      <c r="CA559">
        <v>0</v>
      </c>
      <c r="CB559" s="1">
        <v>11972.15</v>
      </c>
      <c r="CC559" t="s">
        <v>143</v>
      </c>
    </row>
    <row r="560" spans="1:81" x14ac:dyDescent="0.25">
      <c r="A560">
        <v>345</v>
      </c>
      <c r="B560">
        <v>2</v>
      </c>
      <c r="C560">
        <v>898</v>
      </c>
      <c r="D560" t="s">
        <v>3202</v>
      </c>
      <c r="E560" t="s">
        <v>121</v>
      </c>
      <c r="F560" t="s">
        <v>3203</v>
      </c>
      <c r="G560" t="s">
        <v>3204</v>
      </c>
      <c r="H560" t="s">
        <v>3205</v>
      </c>
      <c r="I560" t="s">
        <v>125</v>
      </c>
      <c r="J560" t="s">
        <v>3074</v>
      </c>
      <c r="K560" t="s">
        <v>1853</v>
      </c>
      <c r="L560" t="s">
        <v>128</v>
      </c>
      <c r="M560" t="s">
        <v>1854</v>
      </c>
      <c r="N560" t="s">
        <v>3206</v>
      </c>
      <c r="O560" t="s">
        <v>167</v>
      </c>
      <c r="P560">
        <v>0</v>
      </c>
      <c r="Q560" t="s">
        <v>125</v>
      </c>
      <c r="R560">
        <v>6</v>
      </c>
      <c r="S560">
        <v>34</v>
      </c>
      <c r="T560" t="s">
        <v>132</v>
      </c>
      <c r="U560" t="s">
        <v>133</v>
      </c>
      <c r="V560" s="1">
        <v>2000</v>
      </c>
      <c r="W560">
        <v>715.03</v>
      </c>
      <c r="X560" s="1">
        <v>1284.97</v>
      </c>
      <c r="Y560">
        <v>7</v>
      </c>
      <c r="Z560">
        <v>0</v>
      </c>
      <c r="AA560">
        <v>7</v>
      </c>
      <c r="AB560">
        <v>0</v>
      </c>
      <c r="AC560">
        <v>6</v>
      </c>
      <c r="AD560" t="s">
        <v>134</v>
      </c>
      <c r="AE560" t="s">
        <v>134</v>
      </c>
      <c r="AF560" s="2">
        <v>45518</v>
      </c>
      <c r="AG560" s="2">
        <v>46015</v>
      </c>
      <c r="AH560">
        <v>445.74</v>
      </c>
      <c r="AI560">
        <v>715.03</v>
      </c>
      <c r="AJ560" s="1">
        <v>3565.94</v>
      </c>
      <c r="AK560">
        <v>0</v>
      </c>
      <c r="AL560">
        <v>715.03</v>
      </c>
      <c r="AM560">
        <v>61.86</v>
      </c>
      <c r="AN560" t="s">
        <v>135</v>
      </c>
      <c r="AO560" t="s">
        <v>135</v>
      </c>
      <c r="AP560" t="s">
        <v>136</v>
      </c>
      <c r="AQ560" t="s">
        <v>137</v>
      </c>
      <c r="AR560" t="s">
        <v>138</v>
      </c>
      <c r="AS560" t="s">
        <v>150</v>
      </c>
      <c r="AT560" t="s">
        <v>140</v>
      </c>
      <c r="AU560">
        <v>106</v>
      </c>
      <c r="AV560">
        <v>10</v>
      </c>
      <c r="AW560">
        <v>1</v>
      </c>
      <c r="AX560" s="2">
        <v>45811</v>
      </c>
      <c r="AY560" t="s">
        <v>377</v>
      </c>
      <c r="AZ560" s="2">
        <v>46028</v>
      </c>
      <c r="BA560">
        <v>0</v>
      </c>
      <c r="BB560">
        <v>0</v>
      </c>
      <c r="BC560">
        <v>0</v>
      </c>
      <c r="BD560">
        <v>700</v>
      </c>
      <c r="BE560">
        <v>70</v>
      </c>
      <c r="BF560">
        <v>9</v>
      </c>
      <c r="BG560" s="2">
        <v>45536</v>
      </c>
      <c r="BH560" t="s">
        <v>142</v>
      </c>
      <c r="BI560" s="2">
        <v>46026</v>
      </c>
      <c r="BJ560">
        <v>0</v>
      </c>
      <c r="BK560">
        <v>0</v>
      </c>
      <c r="BL560">
        <v>0</v>
      </c>
      <c r="BM560">
        <v>7</v>
      </c>
      <c r="BN560">
        <v>7</v>
      </c>
      <c r="BO560">
        <v>893.92</v>
      </c>
      <c r="BP560">
        <v>0</v>
      </c>
      <c r="BQ560">
        <v>893.92</v>
      </c>
      <c r="BR560">
        <v>442.33</v>
      </c>
      <c r="BS560">
        <v>7</v>
      </c>
      <c r="BT560">
        <v>7</v>
      </c>
      <c r="BU560" s="1">
        <v>1599.72</v>
      </c>
      <c r="BV560">
        <v>0</v>
      </c>
      <c r="BW560" s="1">
        <v>1599.72</v>
      </c>
      <c r="BX560">
        <v>0</v>
      </c>
      <c r="BY560">
        <v>0</v>
      </c>
      <c r="BZ560">
        <v>0</v>
      </c>
      <c r="CA560">
        <v>0</v>
      </c>
      <c r="CB560" s="1">
        <v>1186.83</v>
      </c>
      <c r="CC560" t="s">
        <v>161</v>
      </c>
    </row>
    <row r="561" spans="1:81" x14ac:dyDescent="0.25">
      <c r="A561">
        <v>345</v>
      </c>
      <c r="B561">
        <v>2</v>
      </c>
      <c r="C561">
        <v>899</v>
      </c>
      <c r="D561" t="s">
        <v>3207</v>
      </c>
      <c r="E561" t="s">
        <v>121</v>
      </c>
      <c r="F561" t="s">
        <v>3208</v>
      </c>
      <c r="G561" t="s">
        <v>3209</v>
      </c>
      <c r="H561" t="s">
        <v>3085</v>
      </c>
      <c r="I561" t="s">
        <v>3210</v>
      </c>
      <c r="J561" t="s">
        <v>3174</v>
      </c>
      <c r="K561" t="s">
        <v>1853</v>
      </c>
      <c r="L561" t="s">
        <v>128</v>
      </c>
      <c r="M561" t="s">
        <v>1854</v>
      </c>
      <c r="N561" t="s">
        <v>3211</v>
      </c>
      <c r="O561" t="s">
        <v>167</v>
      </c>
      <c r="P561">
        <v>0</v>
      </c>
      <c r="Q561" t="s">
        <v>125</v>
      </c>
      <c r="R561">
        <v>6</v>
      </c>
      <c r="S561">
        <v>39</v>
      </c>
      <c r="T561" t="s">
        <v>132</v>
      </c>
      <c r="U561" t="s">
        <v>133</v>
      </c>
      <c r="V561" s="1">
        <v>9100</v>
      </c>
      <c r="W561" s="1">
        <v>5813.22</v>
      </c>
      <c r="X561" s="1">
        <v>3286.78</v>
      </c>
      <c r="Y561">
        <v>7</v>
      </c>
      <c r="Z561">
        <v>0</v>
      </c>
      <c r="AA561">
        <v>7</v>
      </c>
      <c r="AB561">
        <v>0</v>
      </c>
      <c r="AC561">
        <v>0</v>
      </c>
      <c r="AD561" t="s">
        <v>134</v>
      </c>
      <c r="AE561" t="s">
        <v>134</v>
      </c>
      <c r="AF561" s="2">
        <v>45518</v>
      </c>
      <c r="AG561" s="2">
        <v>46015</v>
      </c>
      <c r="AH561" s="1">
        <v>3780.41</v>
      </c>
      <c r="AI561" s="1">
        <v>6198.78</v>
      </c>
      <c r="AJ561" s="1">
        <v>45365.03</v>
      </c>
      <c r="AK561">
        <v>0</v>
      </c>
      <c r="AL561" s="1">
        <v>5813.22</v>
      </c>
      <c r="AM561">
        <v>54.26</v>
      </c>
      <c r="AN561" t="s">
        <v>135</v>
      </c>
      <c r="AO561" t="s">
        <v>135</v>
      </c>
      <c r="AP561" t="s">
        <v>136</v>
      </c>
      <c r="AQ561" t="s">
        <v>137</v>
      </c>
      <c r="AR561" t="s">
        <v>138</v>
      </c>
      <c r="AS561" t="s">
        <v>150</v>
      </c>
      <c r="AT561" t="s">
        <v>140</v>
      </c>
      <c r="AU561">
        <v>106</v>
      </c>
      <c r="AV561">
        <v>10</v>
      </c>
      <c r="AW561">
        <v>1</v>
      </c>
      <c r="AX561" s="2">
        <v>45810</v>
      </c>
      <c r="AY561" t="s">
        <v>141</v>
      </c>
      <c r="AZ561" s="2">
        <v>46027</v>
      </c>
      <c r="BA561">
        <v>0</v>
      </c>
      <c r="BB561">
        <v>0</v>
      </c>
      <c r="BC561">
        <v>0</v>
      </c>
      <c r="BD561">
        <v>700</v>
      </c>
      <c r="BE561">
        <v>70</v>
      </c>
      <c r="BF561">
        <v>9</v>
      </c>
      <c r="BG561" s="2">
        <v>45536</v>
      </c>
      <c r="BH561" t="s">
        <v>142</v>
      </c>
      <c r="BI561" s="2">
        <v>46026</v>
      </c>
      <c r="BJ561">
        <v>0</v>
      </c>
      <c r="BK561">
        <v>0</v>
      </c>
      <c r="BL561">
        <v>0</v>
      </c>
      <c r="BM561">
        <v>7</v>
      </c>
      <c r="BN561">
        <v>3.59</v>
      </c>
      <c r="BO561" s="1">
        <v>6521.82</v>
      </c>
      <c r="BP561" s="1">
        <v>6198.78</v>
      </c>
      <c r="BQ561" s="1">
        <v>12720.6</v>
      </c>
      <c r="BR561" s="1">
        <v>3154.45</v>
      </c>
      <c r="BS561">
        <v>7</v>
      </c>
      <c r="BT561">
        <v>7</v>
      </c>
      <c r="BU561" s="1">
        <v>15131.21</v>
      </c>
      <c r="BV561">
        <v>0</v>
      </c>
      <c r="BW561" s="1">
        <v>15131.21</v>
      </c>
      <c r="BX561" s="1">
        <v>4487.42</v>
      </c>
      <c r="BY561">
        <v>29.66</v>
      </c>
      <c r="BZ561">
        <v>0</v>
      </c>
      <c r="CA561">
        <v>0</v>
      </c>
      <c r="CB561" s="1">
        <v>17446.34</v>
      </c>
      <c r="CC561" t="s">
        <v>161</v>
      </c>
    </row>
    <row r="562" spans="1:81" x14ac:dyDescent="0.25">
      <c r="A562">
        <v>345</v>
      </c>
      <c r="B562">
        <v>2</v>
      </c>
      <c r="C562">
        <v>900</v>
      </c>
      <c r="D562" t="s">
        <v>3212</v>
      </c>
      <c r="E562" t="s">
        <v>121</v>
      </c>
      <c r="F562" t="s">
        <v>3213</v>
      </c>
      <c r="G562" t="s">
        <v>3214</v>
      </c>
      <c r="H562" t="s">
        <v>3215</v>
      </c>
      <c r="I562" t="s">
        <v>125</v>
      </c>
      <c r="J562" t="s">
        <v>1465</v>
      </c>
      <c r="K562" t="s">
        <v>466</v>
      </c>
      <c r="L562" t="s">
        <v>128</v>
      </c>
      <c r="M562" t="s">
        <v>467</v>
      </c>
      <c r="N562" t="s">
        <v>3216</v>
      </c>
      <c r="O562" t="s">
        <v>131</v>
      </c>
      <c r="P562">
        <v>0</v>
      </c>
      <c r="Q562" t="s">
        <v>125</v>
      </c>
      <c r="R562">
        <v>6</v>
      </c>
      <c r="S562">
        <v>40</v>
      </c>
      <c r="T562" t="s">
        <v>132</v>
      </c>
      <c r="U562" t="s">
        <v>133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134</v>
      </c>
      <c r="AE562" t="s">
        <v>134</v>
      </c>
      <c r="AF562" s="2">
        <v>45518</v>
      </c>
      <c r="AG562" s="2">
        <v>46017</v>
      </c>
      <c r="AH562" s="1">
        <v>1384.65</v>
      </c>
      <c r="AI562" s="1">
        <v>2664.6</v>
      </c>
      <c r="AJ562" s="1">
        <v>16615.91</v>
      </c>
      <c r="AK562">
        <v>0</v>
      </c>
      <c r="AL562">
        <v>0</v>
      </c>
      <c r="AM562">
        <v>0</v>
      </c>
      <c r="AN562" t="s">
        <v>135</v>
      </c>
      <c r="AO562" t="s">
        <v>135</v>
      </c>
      <c r="AP562" t="s">
        <v>136</v>
      </c>
      <c r="AQ562" t="s">
        <v>137</v>
      </c>
      <c r="AR562" t="s">
        <v>138</v>
      </c>
      <c r="AS562" t="s">
        <v>139</v>
      </c>
      <c r="AT562" t="s">
        <v>140</v>
      </c>
      <c r="AU562">
        <v>100</v>
      </c>
      <c r="AV562">
        <v>10</v>
      </c>
      <c r="AW562">
        <v>1</v>
      </c>
      <c r="AX562" s="2">
        <v>45812</v>
      </c>
      <c r="AY562" t="s">
        <v>168</v>
      </c>
      <c r="AZ562" s="2">
        <v>46022</v>
      </c>
      <c r="BA562">
        <v>0</v>
      </c>
      <c r="BB562">
        <v>0</v>
      </c>
      <c r="BC562">
        <v>0</v>
      </c>
      <c r="BD562">
        <v>700</v>
      </c>
      <c r="BE562">
        <v>70</v>
      </c>
      <c r="BF562">
        <v>9</v>
      </c>
      <c r="BG562" s="2">
        <v>45536</v>
      </c>
      <c r="BH562" t="s">
        <v>142</v>
      </c>
      <c r="BI562" s="2">
        <v>46026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s="1">
        <v>4562.91</v>
      </c>
      <c r="BQ562" s="1">
        <v>4562.91</v>
      </c>
      <c r="BR562">
        <v>0</v>
      </c>
      <c r="BS562">
        <v>0</v>
      </c>
      <c r="BT562">
        <v>0</v>
      </c>
      <c r="BU562">
        <v>0</v>
      </c>
      <c r="BV562" s="1">
        <v>7547.02</v>
      </c>
      <c r="BW562" s="1">
        <v>7547.02</v>
      </c>
      <c r="BX562">
        <v>0</v>
      </c>
      <c r="BY562">
        <v>0</v>
      </c>
      <c r="BZ562">
        <v>0</v>
      </c>
      <c r="CA562">
        <v>0</v>
      </c>
      <c r="CB562" s="1">
        <v>3709.53</v>
      </c>
      <c r="CC562" t="s">
        <v>143</v>
      </c>
    </row>
    <row r="563" spans="1:81" x14ac:dyDescent="0.25">
      <c r="A563">
        <v>345</v>
      </c>
      <c r="B563">
        <v>2</v>
      </c>
      <c r="C563">
        <v>901</v>
      </c>
      <c r="D563" t="s">
        <v>3217</v>
      </c>
      <c r="E563" t="s">
        <v>121</v>
      </c>
      <c r="F563" t="s">
        <v>3218</v>
      </c>
      <c r="G563" t="s">
        <v>3219</v>
      </c>
      <c r="H563" t="s">
        <v>3220</v>
      </c>
      <c r="I563" t="s">
        <v>125</v>
      </c>
      <c r="J563" t="s">
        <v>3074</v>
      </c>
      <c r="K563" t="s">
        <v>1853</v>
      </c>
      <c r="L563" t="s">
        <v>128</v>
      </c>
      <c r="M563" t="s">
        <v>1854</v>
      </c>
      <c r="N563" t="s">
        <v>3221</v>
      </c>
      <c r="O563" t="s">
        <v>167</v>
      </c>
      <c r="P563">
        <v>0</v>
      </c>
      <c r="Q563" t="s">
        <v>125</v>
      </c>
      <c r="R563">
        <v>4</v>
      </c>
      <c r="S563">
        <v>80</v>
      </c>
      <c r="T563" t="s">
        <v>132</v>
      </c>
      <c r="U563" t="s">
        <v>133</v>
      </c>
      <c r="V563" s="1">
        <v>2700</v>
      </c>
      <c r="W563" s="1">
        <v>2699.38</v>
      </c>
      <c r="X563">
        <v>0.62</v>
      </c>
      <c r="Y563">
        <v>7</v>
      </c>
      <c r="Z563">
        <v>0</v>
      </c>
      <c r="AA563">
        <v>7</v>
      </c>
      <c r="AB563">
        <v>0</v>
      </c>
      <c r="AC563">
        <v>0</v>
      </c>
      <c r="AD563" t="s">
        <v>134</v>
      </c>
      <c r="AE563" t="s">
        <v>134</v>
      </c>
      <c r="AF563" s="2">
        <v>45518</v>
      </c>
      <c r="AG563" s="2">
        <v>46008</v>
      </c>
      <c r="AH563" s="1">
        <v>1785</v>
      </c>
      <c r="AI563" s="1">
        <v>2699.38</v>
      </c>
      <c r="AJ563" s="1">
        <v>12495</v>
      </c>
      <c r="AK563">
        <v>0</v>
      </c>
      <c r="AL563" s="1">
        <v>2699.38</v>
      </c>
      <c r="AM563">
        <v>0</v>
      </c>
      <c r="AN563" t="s">
        <v>135</v>
      </c>
      <c r="AO563" t="s">
        <v>135</v>
      </c>
      <c r="AP563" t="s">
        <v>136</v>
      </c>
      <c r="AQ563" t="s">
        <v>137</v>
      </c>
      <c r="AR563" t="s">
        <v>138</v>
      </c>
      <c r="AS563" t="s">
        <v>150</v>
      </c>
      <c r="AT563" t="s">
        <v>140</v>
      </c>
      <c r="AU563">
        <v>106</v>
      </c>
      <c r="AV563">
        <v>10</v>
      </c>
      <c r="AW563">
        <v>1</v>
      </c>
      <c r="AX563" s="2">
        <v>45859</v>
      </c>
      <c r="AY563" t="s">
        <v>141</v>
      </c>
      <c r="AZ563" s="2">
        <v>46027</v>
      </c>
      <c r="BA563">
        <v>0</v>
      </c>
      <c r="BB563">
        <v>0</v>
      </c>
      <c r="BC563">
        <v>0</v>
      </c>
      <c r="BD563">
        <v>700</v>
      </c>
      <c r="BE563">
        <v>70</v>
      </c>
      <c r="BF563">
        <v>9</v>
      </c>
      <c r="BG563" s="2">
        <v>45536</v>
      </c>
      <c r="BH563" t="s">
        <v>142</v>
      </c>
      <c r="BI563" s="2">
        <v>46026</v>
      </c>
      <c r="BJ563">
        <v>0</v>
      </c>
      <c r="BK563">
        <v>0</v>
      </c>
      <c r="BL563">
        <v>0</v>
      </c>
      <c r="BM563">
        <v>7</v>
      </c>
      <c r="BN563">
        <v>7</v>
      </c>
      <c r="BO563" s="1">
        <v>1960.9</v>
      </c>
      <c r="BP563">
        <v>0</v>
      </c>
      <c r="BQ563" s="1">
        <v>1960.9</v>
      </c>
      <c r="BR563">
        <v>0</v>
      </c>
      <c r="BS563">
        <v>7</v>
      </c>
      <c r="BT563">
        <v>7</v>
      </c>
      <c r="BU563" s="1">
        <v>7543.83</v>
      </c>
      <c r="BV563">
        <v>0</v>
      </c>
      <c r="BW563" s="1">
        <v>7543.83</v>
      </c>
      <c r="BX563" s="1">
        <v>2699.38</v>
      </c>
      <c r="BY563">
        <v>35.78</v>
      </c>
      <c r="BZ563">
        <v>0</v>
      </c>
      <c r="CA563">
        <v>0</v>
      </c>
      <c r="CB563" s="1">
        <v>2613.12</v>
      </c>
      <c r="CC563" t="s">
        <v>161</v>
      </c>
    </row>
    <row r="564" spans="1:81" x14ac:dyDescent="0.25">
      <c r="A564">
        <v>345</v>
      </c>
      <c r="B564">
        <v>2</v>
      </c>
      <c r="C564">
        <v>903</v>
      </c>
      <c r="D564" t="s">
        <v>3222</v>
      </c>
      <c r="E564" t="s">
        <v>121</v>
      </c>
      <c r="F564" t="s">
        <v>3223</v>
      </c>
      <c r="G564" t="s">
        <v>3224</v>
      </c>
      <c r="H564" t="s">
        <v>3225</v>
      </c>
      <c r="I564" t="s">
        <v>125</v>
      </c>
      <c r="J564" t="s">
        <v>126</v>
      </c>
      <c r="K564" t="s">
        <v>1853</v>
      </c>
      <c r="L564" t="s">
        <v>128</v>
      </c>
      <c r="M564" t="s">
        <v>1854</v>
      </c>
      <c r="N564" t="s">
        <v>3226</v>
      </c>
      <c r="O564" t="s">
        <v>159</v>
      </c>
      <c r="P564">
        <v>0</v>
      </c>
      <c r="Q564" t="s">
        <v>125</v>
      </c>
      <c r="R564">
        <v>4</v>
      </c>
      <c r="S564">
        <v>81</v>
      </c>
      <c r="T564" t="s">
        <v>132</v>
      </c>
      <c r="U564" t="s">
        <v>133</v>
      </c>
      <c r="V564" s="1">
        <v>5000</v>
      </c>
      <c r="W564" s="1">
        <v>2969.02</v>
      </c>
      <c r="X564" s="1">
        <v>2030.98</v>
      </c>
      <c r="Y564">
        <v>7</v>
      </c>
      <c r="Z564">
        <v>0</v>
      </c>
      <c r="AA564">
        <v>8</v>
      </c>
      <c r="AB564">
        <v>1</v>
      </c>
      <c r="AC564">
        <v>15</v>
      </c>
      <c r="AD564" t="s">
        <v>234</v>
      </c>
      <c r="AE564" t="s">
        <v>134</v>
      </c>
      <c r="AF564" s="2">
        <v>45518</v>
      </c>
      <c r="AG564" s="2">
        <v>46009</v>
      </c>
      <c r="AH564" s="1">
        <v>2080.4899999999998</v>
      </c>
      <c r="AI564" s="1">
        <v>2969.02</v>
      </c>
      <c r="AJ564" s="1">
        <v>18724.48</v>
      </c>
      <c r="AK564">
        <v>0</v>
      </c>
      <c r="AL564" s="1">
        <v>2969.02</v>
      </c>
      <c r="AM564">
        <v>0</v>
      </c>
      <c r="AN564" t="s">
        <v>135</v>
      </c>
      <c r="AO564" t="s">
        <v>135</v>
      </c>
      <c r="AP564" t="s">
        <v>136</v>
      </c>
      <c r="AQ564" t="s">
        <v>137</v>
      </c>
      <c r="AR564" t="s">
        <v>138</v>
      </c>
      <c r="AS564" t="s">
        <v>150</v>
      </c>
      <c r="AT564" t="s">
        <v>140</v>
      </c>
      <c r="AU564">
        <v>106</v>
      </c>
      <c r="AV564">
        <v>10</v>
      </c>
      <c r="AW564">
        <v>1</v>
      </c>
      <c r="AX564" s="2">
        <v>45812</v>
      </c>
      <c r="AY564" t="s">
        <v>168</v>
      </c>
      <c r="AZ564" s="2">
        <v>46022</v>
      </c>
      <c r="BA564">
        <v>0</v>
      </c>
      <c r="BB564">
        <v>0</v>
      </c>
      <c r="BC564">
        <v>0</v>
      </c>
      <c r="BD564">
        <v>700</v>
      </c>
      <c r="BE564">
        <v>70</v>
      </c>
      <c r="BF564">
        <v>9</v>
      </c>
      <c r="BG564" s="2">
        <v>45536</v>
      </c>
      <c r="BH564" t="s">
        <v>142</v>
      </c>
      <c r="BI564" s="2">
        <v>46026</v>
      </c>
      <c r="BJ564">
        <v>0</v>
      </c>
      <c r="BK564">
        <v>0</v>
      </c>
      <c r="BL564">
        <v>0</v>
      </c>
      <c r="BM564">
        <v>7</v>
      </c>
      <c r="BN564">
        <v>7</v>
      </c>
      <c r="BO564" s="1">
        <v>5075.34</v>
      </c>
      <c r="BP564">
        <v>0</v>
      </c>
      <c r="BQ564" s="1">
        <v>5075.34</v>
      </c>
      <c r="BR564">
        <v>0</v>
      </c>
      <c r="BS564">
        <v>7.28</v>
      </c>
      <c r="BT564">
        <v>7.28</v>
      </c>
      <c r="BU564" s="1">
        <v>10049.23</v>
      </c>
      <c r="BV564">
        <v>0</v>
      </c>
      <c r="BW564" s="1">
        <v>10049.23</v>
      </c>
      <c r="BX564" s="1">
        <v>2969.02</v>
      </c>
      <c r="BY564">
        <v>29.54</v>
      </c>
      <c r="BZ564">
        <v>0</v>
      </c>
      <c r="CA564">
        <v>0</v>
      </c>
      <c r="CB564" s="1">
        <v>4484.08</v>
      </c>
      <c r="CC564" t="s">
        <v>161</v>
      </c>
    </row>
    <row r="565" spans="1:81" x14ac:dyDescent="0.25">
      <c r="A565">
        <v>345</v>
      </c>
      <c r="B565">
        <v>2</v>
      </c>
      <c r="C565">
        <v>904</v>
      </c>
      <c r="D565" t="s">
        <v>3227</v>
      </c>
      <c r="E565" t="s">
        <v>121</v>
      </c>
      <c r="F565" t="s">
        <v>3228</v>
      </c>
      <c r="G565" t="s">
        <v>3229</v>
      </c>
      <c r="H565" t="s">
        <v>3230</v>
      </c>
      <c r="I565" t="s">
        <v>125</v>
      </c>
      <c r="J565" t="s">
        <v>3074</v>
      </c>
      <c r="K565" t="s">
        <v>1853</v>
      </c>
      <c r="L565" t="s">
        <v>128</v>
      </c>
      <c r="M565" t="s">
        <v>1854</v>
      </c>
      <c r="N565" t="s">
        <v>3231</v>
      </c>
      <c r="O565" t="s">
        <v>159</v>
      </c>
      <c r="P565">
        <v>0</v>
      </c>
      <c r="Q565" t="s">
        <v>125</v>
      </c>
      <c r="R565">
        <v>6</v>
      </c>
      <c r="S565">
        <v>38</v>
      </c>
      <c r="T565" t="s">
        <v>132</v>
      </c>
      <c r="U565" t="s">
        <v>133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134</v>
      </c>
      <c r="AE565" t="s">
        <v>134</v>
      </c>
      <c r="AF565" s="2">
        <v>45518</v>
      </c>
      <c r="AG565" s="2">
        <v>46007</v>
      </c>
      <c r="AH565" s="1">
        <v>1251.49</v>
      </c>
      <c r="AI565" s="1">
        <v>1928.46</v>
      </c>
      <c r="AJ565" s="1">
        <v>7508.99</v>
      </c>
      <c r="AK565">
        <v>0</v>
      </c>
      <c r="AL565">
        <v>0</v>
      </c>
      <c r="AM565">
        <v>0</v>
      </c>
      <c r="AN565" t="s">
        <v>135</v>
      </c>
      <c r="AO565" t="s">
        <v>135</v>
      </c>
      <c r="AP565" t="s">
        <v>136</v>
      </c>
      <c r="AQ565" t="s">
        <v>137</v>
      </c>
      <c r="AR565" t="s">
        <v>138</v>
      </c>
      <c r="AS565" t="s">
        <v>150</v>
      </c>
      <c r="AT565" t="s">
        <v>140</v>
      </c>
      <c r="AU565">
        <v>106</v>
      </c>
      <c r="AV565">
        <v>10</v>
      </c>
      <c r="AW565">
        <v>1</v>
      </c>
      <c r="AX565" s="2">
        <v>45838</v>
      </c>
      <c r="AY565" t="s">
        <v>141</v>
      </c>
      <c r="AZ565" s="2">
        <v>46027</v>
      </c>
      <c r="BA565">
        <v>0</v>
      </c>
      <c r="BB565">
        <v>0</v>
      </c>
      <c r="BC565">
        <v>0</v>
      </c>
      <c r="BD565">
        <v>700</v>
      </c>
      <c r="BE565">
        <v>70</v>
      </c>
      <c r="BF565">
        <v>9</v>
      </c>
      <c r="BG565" s="2">
        <v>45536</v>
      </c>
      <c r="BH565" t="s">
        <v>142</v>
      </c>
      <c r="BI565" s="2">
        <v>46026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s="1">
        <v>1059.4000000000001</v>
      </c>
      <c r="BQ565" s="1">
        <v>1059.4000000000001</v>
      </c>
      <c r="BR565">
        <v>0</v>
      </c>
      <c r="BS565">
        <v>0</v>
      </c>
      <c r="BT565">
        <v>0</v>
      </c>
      <c r="BU565">
        <v>0</v>
      </c>
      <c r="BV565" s="1">
        <v>3744.8</v>
      </c>
      <c r="BW565" s="1">
        <v>3744.8</v>
      </c>
      <c r="BX565">
        <v>0</v>
      </c>
      <c r="BY565">
        <v>0</v>
      </c>
      <c r="BZ565">
        <v>0</v>
      </c>
      <c r="CA565">
        <v>0</v>
      </c>
      <c r="CB565" s="1">
        <v>1649.51</v>
      </c>
      <c r="CC565" t="s">
        <v>161</v>
      </c>
    </row>
    <row r="566" spans="1:81" x14ac:dyDescent="0.25">
      <c r="A566">
        <v>345</v>
      </c>
      <c r="B566">
        <v>2</v>
      </c>
      <c r="C566">
        <v>906</v>
      </c>
      <c r="D566" t="s">
        <v>3232</v>
      </c>
      <c r="E566" t="s">
        <v>121</v>
      </c>
      <c r="F566" t="s">
        <v>3233</v>
      </c>
      <c r="G566" t="s">
        <v>3234</v>
      </c>
      <c r="H566" t="s">
        <v>3235</v>
      </c>
      <c r="I566" t="s">
        <v>125</v>
      </c>
      <c r="J566" t="s">
        <v>126</v>
      </c>
      <c r="K566" t="s">
        <v>1853</v>
      </c>
      <c r="L566" t="s">
        <v>128</v>
      </c>
      <c r="M566" t="s">
        <v>1854</v>
      </c>
      <c r="N566" t="s">
        <v>3236</v>
      </c>
      <c r="O566" t="s">
        <v>167</v>
      </c>
      <c r="P566">
        <v>0</v>
      </c>
      <c r="Q566" t="s">
        <v>125</v>
      </c>
      <c r="R566">
        <v>3</v>
      </c>
      <c r="S566">
        <v>83</v>
      </c>
      <c r="T566" t="s">
        <v>132</v>
      </c>
      <c r="U566" t="s">
        <v>133</v>
      </c>
      <c r="V566" s="1">
        <v>17200</v>
      </c>
      <c r="W566" s="1">
        <v>9456.1</v>
      </c>
      <c r="X566" s="1">
        <v>7743.9</v>
      </c>
      <c r="Y566">
        <v>7</v>
      </c>
      <c r="Z566">
        <v>0</v>
      </c>
      <c r="AA566">
        <v>7</v>
      </c>
      <c r="AB566">
        <v>0</v>
      </c>
      <c r="AC566">
        <v>0</v>
      </c>
      <c r="AD566" t="s">
        <v>234</v>
      </c>
      <c r="AE566" t="s">
        <v>134</v>
      </c>
      <c r="AF566" s="2">
        <v>45518</v>
      </c>
      <c r="AG566" s="2">
        <v>46021</v>
      </c>
      <c r="AH566" s="1">
        <v>5328.14</v>
      </c>
      <c r="AI566" s="1">
        <v>9060.76</v>
      </c>
      <c r="AJ566" s="1">
        <v>63937.78</v>
      </c>
      <c r="AK566" s="1">
        <v>4565.66</v>
      </c>
      <c r="AL566" s="1">
        <v>4890.4399999999996</v>
      </c>
      <c r="AM566">
        <v>185.27</v>
      </c>
      <c r="AN566" t="s">
        <v>135</v>
      </c>
      <c r="AO566" t="s">
        <v>135</v>
      </c>
      <c r="AP566" t="s">
        <v>136</v>
      </c>
      <c r="AQ566" t="s">
        <v>137</v>
      </c>
      <c r="AR566" t="s">
        <v>138</v>
      </c>
      <c r="AS566" t="s">
        <v>150</v>
      </c>
      <c r="AT566" t="s">
        <v>140</v>
      </c>
      <c r="AU566">
        <v>500</v>
      </c>
      <c r="AV566">
        <v>10</v>
      </c>
      <c r="AW566">
        <v>1</v>
      </c>
      <c r="AX566" s="2">
        <v>45838</v>
      </c>
      <c r="AY566" t="s">
        <v>141</v>
      </c>
      <c r="AZ566" s="2">
        <v>46027</v>
      </c>
      <c r="BA566">
        <v>0</v>
      </c>
      <c r="BB566">
        <v>0</v>
      </c>
      <c r="BC566">
        <v>0</v>
      </c>
      <c r="BD566">
        <v>700</v>
      </c>
      <c r="BE566">
        <v>70</v>
      </c>
      <c r="BF566">
        <v>9</v>
      </c>
      <c r="BG566" s="2">
        <v>45536</v>
      </c>
      <c r="BH566" t="s">
        <v>142</v>
      </c>
      <c r="BI566" s="2">
        <v>46026</v>
      </c>
      <c r="BJ566">
        <v>0</v>
      </c>
      <c r="BK566">
        <v>0</v>
      </c>
      <c r="BL566">
        <v>0</v>
      </c>
      <c r="BM566">
        <v>7</v>
      </c>
      <c r="BN566">
        <v>7</v>
      </c>
      <c r="BO566" s="1">
        <v>23263.23</v>
      </c>
      <c r="BP566">
        <v>0</v>
      </c>
      <c r="BQ566" s="1">
        <v>23263.23</v>
      </c>
      <c r="BR566" s="1">
        <v>9060.76</v>
      </c>
      <c r="BS566">
        <v>7</v>
      </c>
      <c r="BT566">
        <v>7</v>
      </c>
      <c r="BU566" s="1">
        <v>21091.03</v>
      </c>
      <c r="BV566">
        <v>0</v>
      </c>
      <c r="BW566" s="1">
        <v>21091.03</v>
      </c>
      <c r="BX566" s="1">
        <v>4890.4399999999996</v>
      </c>
      <c r="BY566">
        <v>23.19</v>
      </c>
      <c r="BZ566">
        <v>0</v>
      </c>
      <c r="CA566">
        <v>0</v>
      </c>
      <c r="CB566" s="1">
        <v>20996.880000000001</v>
      </c>
      <c r="CC566" t="s">
        <v>161</v>
      </c>
    </row>
    <row r="567" spans="1:81" x14ac:dyDescent="0.25">
      <c r="A567">
        <v>345</v>
      </c>
      <c r="B567">
        <v>2</v>
      </c>
      <c r="C567">
        <v>907</v>
      </c>
      <c r="D567" t="s">
        <v>3237</v>
      </c>
      <c r="E567" t="s">
        <v>121</v>
      </c>
      <c r="F567" t="s">
        <v>3238</v>
      </c>
      <c r="G567" t="s">
        <v>3239</v>
      </c>
      <c r="H567" t="s">
        <v>3240</v>
      </c>
      <c r="I567" t="s">
        <v>125</v>
      </c>
      <c r="J567" t="s">
        <v>3122</v>
      </c>
      <c r="K567" t="s">
        <v>336</v>
      </c>
      <c r="L567" t="s">
        <v>128</v>
      </c>
      <c r="M567" t="s">
        <v>337</v>
      </c>
      <c r="N567" t="s">
        <v>3241</v>
      </c>
      <c r="O567" t="s">
        <v>131</v>
      </c>
      <c r="P567">
        <v>0</v>
      </c>
      <c r="Q567" t="s">
        <v>125</v>
      </c>
      <c r="R567">
        <v>6</v>
      </c>
      <c r="S567">
        <v>38</v>
      </c>
      <c r="T567" t="s">
        <v>132</v>
      </c>
      <c r="U567" t="s">
        <v>133</v>
      </c>
      <c r="V567" s="1">
        <v>3000</v>
      </c>
      <c r="W567">
        <v>328.26</v>
      </c>
      <c r="X567" s="1">
        <v>2671.74</v>
      </c>
      <c r="Y567">
        <v>7</v>
      </c>
      <c r="Z567">
        <v>0</v>
      </c>
      <c r="AA567">
        <v>7</v>
      </c>
      <c r="AB567">
        <v>0</v>
      </c>
      <c r="AC567">
        <v>6</v>
      </c>
      <c r="AD567" t="s">
        <v>134</v>
      </c>
      <c r="AE567" t="s">
        <v>134</v>
      </c>
      <c r="AF567" s="2">
        <v>45518</v>
      </c>
      <c r="AG567" s="2">
        <v>46017</v>
      </c>
      <c r="AH567">
        <v>350.98</v>
      </c>
      <c r="AI567">
        <v>607.19000000000005</v>
      </c>
      <c r="AJ567" s="1">
        <v>3158.83</v>
      </c>
      <c r="AK567">
        <v>0</v>
      </c>
      <c r="AL567">
        <v>328.26</v>
      </c>
      <c r="AM567">
        <v>132.34</v>
      </c>
      <c r="AN567" t="s">
        <v>135</v>
      </c>
      <c r="AO567" t="s">
        <v>135</v>
      </c>
      <c r="AP567" t="s">
        <v>136</v>
      </c>
      <c r="AQ567" t="s">
        <v>137</v>
      </c>
      <c r="AR567" t="s">
        <v>138</v>
      </c>
      <c r="AS567" t="s">
        <v>150</v>
      </c>
      <c r="AT567" t="s">
        <v>140</v>
      </c>
      <c r="AU567">
        <v>100</v>
      </c>
      <c r="AV567">
        <v>10</v>
      </c>
      <c r="AW567">
        <v>1</v>
      </c>
      <c r="AX567" s="2">
        <v>45846</v>
      </c>
      <c r="AY567" t="s">
        <v>377</v>
      </c>
      <c r="AZ567" s="2">
        <v>46028</v>
      </c>
      <c r="BA567">
        <v>0</v>
      </c>
      <c r="BB567">
        <v>0</v>
      </c>
      <c r="BC567">
        <v>0</v>
      </c>
      <c r="BD567">
        <v>700</v>
      </c>
      <c r="BE567">
        <v>70</v>
      </c>
      <c r="BF567">
        <v>9</v>
      </c>
      <c r="BG567" s="2">
        <v>45536</v>
      </c>
      <c r="BH567" t="s">
        <v>142</v>
      </c>
      <c r="BI567" s="2">
        <v>46026</v>
      </c>
      <c r="BJ567">
        <v>0</v>
      </c>
      <c r="BK567">
        <v>0</v>
      </c>
      <c r="BL567">
        <v>0</v>
      </c>
      <c r="BM567">
        <v>7</v>
      </c>
      <c r="BN567">
        <v>5.73</v>
      </c>
      <c r="BO567">
        <v>777.89</v>
      </c>
      <c r="BP567">
        <v>172.76</v>
      </c>
      <c r="BQ567">
        <v>950.65</v>
      </c>
      <c r="BR567">
        <v>434.43</v>
      </c>
      <c r="BS567">
        <v>7</v>
      </c>
      <c r="BT567">
        <v>6.01</v>
      </c>
      <c r="BU567">
        <v>504.2</v>
      </c>
      <c r="BV567">
        <v>83.01</v>
      </c>
      <c r="BW567">
        <v>587.21</v>
      </c>
      <c r="BX567">
        <v>328.26</v>
      </c>
      <c r="BY567">
        <v>65.11</v>
      </c>
      <c r="BZ567">
        <v>0</v>
      </c>
      <c r="CA567">
        <v>0</v>
      </c>
      <c r="CB567" s="1">
        <v>1177.8900000000001</v>
      </c>
      <c r="CC567" t="s">
        <v>143</v>
      </c>
    </row>
    <row r="568" spans="1:81" x14ac:dyDescent="0.25">
      <c r="A568">
        <v>345</v>
      </c>
      <c r="B568">
        <v>2</v>
      </c>
      <c r="C568">
        <v>908</v>
      </c>
      <c r="D568" t="s">
        <v>3242</v>
      </c>
      <c r="E568" t="s">
        <v>121</v>
      </c>
      <c r="F568" t="s">
        <v>3243</v>
      </c>
      <c r="G568" t="s">
        <v>3244</v>
      </c>
      <c r="H568" t="s">
        <v>3245</v>
      </c>
      <c r="I568" t="s">
        <v>125</v>
      </c>
      <c r="J568" t="s">
        <v>3074</v>
      </c>
      <c r="K568" t="s">
        <v>1853</v>
      </c>
      <c r="L568" t="s">
        <v>128</v>
      </c>
      <c r="M568" t="s">
        <v>3246</v>
      </c>
      <c r="N568" t="s">
        <v>3247</v>
      </c>
      <c r="O568" t="s">
        <v>131</v>
      </c>
      <c r="P568">
        <v>0</v>
      </c>
      <c r="Q568" t="s">
        <v>125</v>
      </c>
      <c r="R568">
        <v>6</v>
      </c>
      <c r="S568">
        <v>41</v>
      </c>
      <c r="T568" t="s">
        <v>132</v>
      </c>
      <c r="U568" t="s">
        <v>133</v>
      </c>
      <c r="V568" s="1">
        <v>1000</v>
      </c>
      <c r="W568">
        <v>0</v>
      </c>
      <c r="X568" s="1">
        <v>1000</v>
      </c>
      <c r="Y568">
        <v>7</v>
      </c>
      <c r="Z568">
        <v>0</v>
      </c>
      <c r="AA568">
        <v>6</v>
      </c>
      <c r="AB568">
        <v>0</v>
      </c>
      <c r="AC568">
        <v>0</v>
      </c>
      <c r="AD568" t="s">
        <v>134</v>
      </c>
      <c r="AE568" t="s">
        <v>134</v>
      </c>
      <c r="AF568" s="2">
        <v>45518</v>
      </c>
      <c r="AG568" s="2">
        <v>45931</v>
      </c>
      <c r="AH568">
        <v>304.99</v>
      </c>
      <c r="AI568">
        <v>304.99</v>
      </c>
      <c r="AJ568">
        <v>304.99</v>
      </c>
      <c r="AK568">
        <v>0</v>
      </c>
      <c r="AL568">
        <v>0</v>
      </c>
      <c r="AM568">
        <v>0</v>
      </c>
      <c r="AN568" t="s">
        <v>135</v>
      </c>
      <c r="AO568" t="s">
        <v>135</v>
      </c>
      <c r="AP568" t="s">
        <v>136</v>
      </c>
      <c r="AQ568" t="s">
        <v>137</v>
      </c>
      <c r="AR568" t="s">
        <v>138</v>
      </c>
      <c r="AS568" t="s">
        <v>150</v>
      </c>
      <c r="AT568" t="s">
        <v>140</v>
      </c>
      <c r="AU568">
        <v>106</v>
      </c>
      <c r="AV568">
        <v>10</v>
      </c>
      <c r="AW568">
        <v>1</v>
      </c>
      <c r="AX568" s="2">
        <v>45537</v>
      </c>
      <c r="AY568" t="s">
        <v>141</v>
      </c>
      <c r="AZ568" s="2">
        <v>46027</v>
      </c>
      <c r="BA568">
        <v>0</v>
      </c>
      <c r="BB568">
        <v>0</v>
      </c>
      <c r="BC568">
        <v>0</v>
      </c>
      <c r="BD568">
        <v>700</v>
      </c>
      <c r="BE568">
        <v>70</v>
      </c>
      <c r="BF568">
        <v>9</v>
      </c>
      <c r="BG568" s="2">
        <v>45536</v>
      </c>
      <c r="BH568" t="s">
        <v>142</v>
      </c>
      <c r="BI568" s="2">
        <v>46026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567.09</v>
      </c>
      <c r="CC568" t="s">
        <v>143</v>
      </c>
    </row>
    <row r="569" spans="1:81" x14ac:dyDescent="0.25">
      <c r="A569">
        <v>345</v>
      </c>
      <c r="B569">
        <v>2</v>
      </c>
      <c r="C569">
        <v>909</v>
      </c>
      <c r="D569" t="s">
        <v>3248</v>
      </c>
      <c r="E569" t="s">
        <v>121</v>
      </c>
      <c r="F569" t="s">
        <v>3249</v>
      </c>
      <c r="G569" t="s">
        <v>3250</v>
      </c>
      <c r="H569" t="s">
        <v>3251</v>
      </c>
      <c r="I569" t="s">
        <v>125</v>
      </c>
      <c r="J569" t="s">
        <v>3074</v>
      </c>
      <c r="K569" t="s">
        <v>1853</v>
      </c>
      <c r="L569" t="s">
        <v>128</v>
      </c>
      <c r="M569" t="s">
        <v>1854</v>
      </c>
      <c r="N569" t="s">
        <v>3252</v>
      </c>
      <c r="O569" t="s">
        <v>131</v>
      </c>
      <c r="P569">
        <v>0</v>
      </c>
      <c r="Q569" t="s">
        <v>125</v>
      </c>
      <c r="R569">
        <v>3</v>
      </c>
      <c r="S569">
        <v>84</v>
      </c>
      <c r="T569" t="s">
        <v>132</v>
      </c>
      <c r="U569" t="s">
        <v>133</v>
      </c>
      <c r="V569" s="1">
        <v>4100</v>
      </c>
      <c r="W569">
        <v>0</v>
      </c>
      <c r="X569" s="1">
        <v>4100</v>
      </c>
      <c r="Y569">
        <v>7</v>
      </c>
      <c r="Z569">
        <v>0</v>
      </c>
      <c r="AA569">
        <v>7</v>
      </c>
      <c r="AB569">
        <v>0</v>
      </c>
      <c r="AC569">
        <v>0</v>
      </c>
      <c r="AD569" t="s">
        <v>234</v>
      </c>
      <c r="AE569" t="s">
        <v>134</v>
      </c>
      <c r="AF569" s="2">
        <v>45518</v>
      </c>
      <c r="AG569" s="2">
        <v>45931</v>
      </c>
      <c r="AH569">
        <v>699.33</v>
      </c>
      <c r="AI569">
        <v>699.33</v>
      </c>
      <c r="AJ569">
        <v>699.33</v>
      </c>
      <c r="AK569">
        <v>0</v>
      </c>
      <c r="AL569">
        <v>0</v>
      </c>
      <c r="AM569">
        <v>0</v>
      </c>
      <c r="AN569" t="s">
        <v>135</v>
      </c>
      <c r="AO569" t="s">
        <v>135</v>
      </c>
      <c r="AP569" t="s">
        <v>136</v>
      </c>
      <c r="AQ569" t="s">
        <v>137</v>
      </c>
      <c r="AR569" t="s">
        <v>138</v>
      </c>
      <c r="AS569" t="s">
        <v>150</v>
      </c>
      <c r="AT569" t="s">
        <v>140</v>
      </c>
      <c r="AU569">
        <v>106</v>
      </c>
      <c r="AV569">
        <v>10</v>
      </c>
      <c r="AW569">
        <v>1</v>
      </c>
      <c r="AX569" s="2">
        <v>45608</v>
      </c>
      <c r="AY569" t="s">
        <v>377</v>
      </c>
      <c r="AZ569" s="2">
        <v>46028</v>
      </c>
      <c r="BA569">
        <v>0</v>
      </c>
      <c r="BB569">
        <v>0</v>
      </c>
      <c r="BC569">
        <v>0</v>
      </c>
      <c r="BD569">
        <v>700</v>
      </c>
      <c r="BE569">
        <v>70</v>
      </c>
      <c r="BF569">
        <v>9</v>
      </c>
      <c r="BG569" s="2">
        <v>45809</v>
      </c>
      <c r="BH569" t="s">
        <v>142</v>
      </c>
      <c r="BI569" s="2">
        <v>46026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s="1">
        <v>1886.16</v>
      </c>
      <c r="CC569" t="s">
        <v>143</v>
      </c>
    </row>
    <row r="570" spans="1:81" x14ac:dyDescent="0.25">
      <c r="A570">
        <v>345</v>
      </c>
      <c r="B570">
        <v>2</v>
      </c>
      <c r="C570">
        <v>910</v>
      </c>
      <c r="D570" t="s">
        <v>3253</v>
      </c>
      <c r="E570" t="s">
        <v>121</v>
      </c>
      <c r="F570" t="s">
        <v>3254</v>
      </c>
      <c r="G570" t="s">
        <v>3255</v>
      </c>
      <c r="H570" t="s">
        <v>3256</v>
      </c>
      <c r="I570" t="s">
        <v>125</v>
      </c>
      <c r="J570" t="s">
        <v>3074</v>
      </c>
      <c r="K570" t="s">
        <v>1853</v>
      </c>
      <c r="L570" t="s">
        <v>128</v>
      </c>
      <c r="M570" t="s">
        <v>1854</v>
      </c>
      <c r="N570" t="s">
        <v>3257</v>
      </c>
      <c r="O570" t="s">
        <v>167</v>
      </c>
      <c r="P570">
        <v>0</v>
      </c>
      <c r="Q570" t="s">
        <v>125</v>
      </c>
      <c r="R570">
        <v>6</v>
      </c>
      <c r="S570">
        <v>37</v>
      </c>
      <c r="T570" t="s">
        <v>132</v>
      </c>
      <c r="U570" t="s">
        <v>133</v>
      </c>
      <c r="V570" s="1">
        <v>5000</v>
      </c>
      <c r="W570">
        <v>0</v>
      </c>
      <c r="X570" s="1">
        <v>5000</v>
      </c>
      <c r="Y570">
        <v>7</v>
      </c>
      <c r="Z570">
        <v>0</v>
      </c>
      <c r="AA570">
        <v>7</v>
      </c>
      <c r="AB570">
        <v>0</v>
      </c>
      <c r="AC570">
        <v>0</v>
      </c>
      <c r="AD570" t="s">
        <v>134</v>
      </c>
      <c r="AE570" t="s">
        <v>134</v>
      </c>
      <c r="AF570" s="2">
        <v>45518</v>
      </c>
      <c r="AG570" s="2">
        <v>46000</v>
      </c>
      <c r="AH570">
        <v>598.27</v>
      </c>
      <c r="AI570">
        <v>783.69</v>
      </c>
      <c r="AJ570" s="1">
        <v>2393.11</v>
      </c>
      <c r="AK570">
        <v>0</v>
      </c>
      <c r="AL570">
        <v>0</v>
      </c>
      <c r="AM570">
        <v>0</v>
      </c>
      <c r="AN570" t="s">
        <v>135</v>
      </c>
      <c r="AO570" t="s">
        <v>135</v>
      </c>
      <c r="AP570" t="s">
        <v>136</v>
      </c>
      <c r="AQ570" t="s">
        <v>137</v>
      </c>
      <c r="AR570" t="s">
        <v>138</v>
      </c>
      <c r="AS570" t="s">
        <v>150</v>
      </c>
      <c r="AT570" t="s">
        <v>140</v>
      </c>
      <c r="AU570">
        <v>500</v>
      </c>
      <c r="AV570">
        <v>10</v>
      </c>
      <c r="AW570">
        <v>1</v>
      </c>
      <c r="AX570" s="2">
        <v>45824</v>
      </c>
      <c r="AY570" t="s">
        <v>141</v>
      </c>
      <c r="AZ570" s="2">
        <v>46027</v>
      </c>
      <c r="BA570">
        <v>0</v>
      </c>
      <c r="BB570">
        <v>0</v>
      </c>
      <c r="BC570">
        <v>0</v>
      </c>
      <c r="BD570">
        <v>700</v>
      </c>
      <c r="BE570">
        <v>70</v>
      </c>
      <c r="BF570">
        <v>9</v>
      </c>
      <c r="BG570" s="2">
        <v>45536</v>
      </c>
      <c r="BH570" t="s">
        <v>142</v>
      </c>
      <c r="BI570" s="2">
        <v>46026</v>
      </c>
      <c r="BJ570">
        <v>0</v>
      </c>
      <c r="BK570">
        <v>0</v>
      </c>
      <c r="BL570">
        <v>0</v>
      </c>
      <c r="BM570">
        <v>7</v>
      </c>
      <c r="BN570">
        <v>7</v>
      </c>
      <c r="BO570">
        <v>631.69000000000005</v>
      </c>
      <c r="BP570">
        <v>0</v>
      </c>
      <c r="BQ570">
        <v>631.69000000000005</v>
      </c>
      <c r="BR570">
        <v>0</v>
      </c>
      <c r="BS570">
        <v>7</v>
      </c>
      <c r="BT570">
        <v>7</v>
      </c>
      <c r="BU570">
        <v>206.26</v>
      </c>
      <c r="BV570">
        <v>0</v>
      </c>
      <c r="BW570">
        <v>206.26</v>
      </c>
      <c r="BX570">
        <v>0</v>
      </c>
      <c r="BY570">
        <v>0</v>
      </c>
      <c r="BZ570">
        <v>0</v>
      </c>
      <c r="CA570">
        <v>0</v>
      </c>
      <c r="CB570">
        <v>728.95</v>
      </c>
      <c r="CC570" t="s">
        <v>161</v>
      </c>
    </row>
    <row r="571" spans="1:81" x14ac:dyDescent="0.25">
      <c r="A571">
        <v>345</v>
      </c>
      <c r="B571">
        <v>2</v>
      </c>
      <c r="C571">
        <v>911</v>
      </c>
      <c r="D571" t="s">
        <v>3258</v>
      </c>
      <c r="E571" t="s">
        <v>121</v>
      </c>
      <c r="F571" t="s">
        <v>3259</v>
      </c>
      <c r="G571" t="s">
        <v>3260</v>
      </c>
      <c r="H571" t="s">
        <v>3261</v>
      </c>
      <c r="I571" t="s">
        <v>125</v>
      </c>
      <c r="J571" t="s">
        <v>1263</v>
      </c>
      <c r="K571" t="s">
        <v>466</v>
      </c>
      <c r="L571" t="s">
        <v>128</v>
      </c>
      <c r="M571" t="s">
        <v>467</v>
      </c>
      <c r="N571" t="s">
        <v>3262</v>
      </c>
      <c r="O571" t="s">
        <v>131</v>
      </c>
      <c r="P571">
        <v>0</v>
      </c>
      <c r="Q571" t="s">
        <v>125</v>
      </c>
      <c r="R571">
        <v>4</v>
      </c>
      <c r="S571">
        <v>79</v>
      </c>
      <c r="T571" t="s">
        <v>132</v>
      </c>
      <c r="U571" t="s">
        <v>133</v>
      </c>
      <c r="V571" s="1">
        <v>3000</v>
      </c>
      <c r="W571" s="1">
        <v>2904.59</v>
      </c>
      <c r="X571">
        <v>95.41</v>
      </c>
      <c r="Y571">
        <v>7</v>
      </c>
      <c r="Z571">
        <v>0</v>
      </c>
      <c r="AA571">
        <v>9</v>
      </c>
      <c r="AB571">
        <v>0</v>
      </c>
      <c r="AC571">
        <v>26</v>
      </c>
      <c r="AD571" t="s">
        <v>234</v>
      </c>
      <c r="AE571" t="s">
        <v>134</v>
      </c>
      <c r="AF571" s="2">
        <v>45518</v>
      </c>
      <c r="AG571" s="2">
        <v>46015</v>
      </c>
      <c r="AH571" s="1">
        <v>2518.46</v>
      </c>
      <c r="AI571" s="1">
        <v>3943.62</v>
      </c>
      <c r="AJ571" s="1">
        <v>32740.03</v>
      </c>
      <c r="AK571">
        <v>0</v>
      </c>
      <c r="AL571" s="1">
        <v>6848.21</v>
      </c>
      <c r="AM571">
        <v>39.86</v>
      </c>
      <c r="AN571" t="s">
        <v>135</v>
      </c>
      <c r="AO571" t="s">
        <v>135</v>
      </c>
      <c r="AP571" t="s">
        <v>136</v>
      </c>
      <c r="AQ571" t="s">
        <v>137</v>
      </c>
      <c r="AR571" t="s">
        <v>138</v>
      </c>
      <c r="AS571" t="s">
        <v>150</v>
      </c>
      <c r="AT571" t="s">
        <v>140</v>
      </c>
      <c r="AU571">
        <v>500</v>
      </c>
      <c r="AV571">
        <v>10</v>
      </c>
      <c r="AW571">
        <v>1</v>
      </c>
      <c r="AX571" s="2">
        <v>45615</v>
      </c>
      <c r="AY571" t="s">
        <v>377</v>
      </c>
      <c r="AZ571" s="2">
        <v>46028</v>
      </c>
      <c r="BA571">
        <v>0</v>
      </c>
      <c r="BB571">
        <v>0</v>
      </c>
      <c r="BC571">
        <v>0</v>
      </c>
      <c r="BD571">
        <v>700</v>
      </c>
      <c r="BE571">
        <v>70</v>
      </c>
      <c r="BF571">
        <v>9</v>
      </c>
      <c r="BG571" s="2">
        <v>45536</v>
      </c>
      <c r="BH571" t="s">
        <v>142</v>
      </c>
      <c r="BI571" s="2">
        <v>46026</v>
      </c>
      <c r="BJ571">
        <v>0</v>
      </c>
      <c r="BK571">
        <v>0</v>
      </c>
      <c r="BL571">
        <v>0</v>
      </c>
      <c r="BM571">
        <v>6.59</v>
      </c>
      <c r="BN571">
        <v>6.59</v>
      </c>
      <c r="BO571" s="1">
        <v>4653.96</v>
      </c>
      <c r="BP571">
        <v>0</v>
      </c>
      <c r="BQ571" s="1">
        <v>4653.96</v>
      </c>
      <c r="BR571" s="1">
        <v>2729.62</v>
      </c>
      <c r="BS571">
        <v>7</v>
      </c>
      <c r="BT571">
        <v>3.52</v>
      </c>
      <c r="BU571" s="1">
        <v>5788.55</v>
      </c>
      <c r="BV571" s="1">
        <v>5712.35</v>
      </c>
      <c r="BW571" s="1">
        <v>11500.9</v>
      </c>
      <c r="BX571">
        <v>0</v>
      </c>
      <c r="BY571">
        <v>0</v>
      </c>
      <c r="BZ571">
        <v>0</v>
      </c>
      <c r="CA571">
        <v>0</v>
      </c>
      <c r="CB571" s="1">
        <v>8660.75</v>
      </c>
      <c r="CC571" t="s">
        <v>143</v>
      </c>
    </row>
    <row r="572" spans="1:81" x14ac:dyDescent="0.25">
      <c r="A572">
        <v>345</v>
      </c>
      <c r="B572">
        <v>2</v>
      </c>
      <c r="C572">
        <v>913</v>
      </c>
      <c r="D572" t="s">
        <v>3263</v>
      </c>
      <c r="E572" t="s">
        <v>121</v>
      </c>
      <c r="F572" t="s">
        <v>3264</v>
      </c>
      <c r="G572" t="s">
        <v>3265</v>
      </c>
      <c r="H572" t="s">
        <v>3266</v>
      </c>
      <c r="I572" t="s">
        <v>3267</v>
      </c>
      <c r="J572" t="s">
        <v>3074</v>
      </c>
      <c r="K572" t="s">
        <v>1853</v>
      </c>
      <c r="L572" t="s">
        <v>128</v>
      </c>
      <c r="M572" t="s">
        <v>1854</v>
      </c>
      <c r="N572" t="s">
        <v>3268</v>
      </c>
      <c r="O572" t="s">
        <v>3269</v>
      </c>
      <c r="P572">
        <v>0</v>
      </c>
      <c r="Q572" t="s">
        <v>125</v>
      </c>
      <c r="R572">
        <v>3</v>
      </c>
      <c r="S572">
        <v>84</v>
      </c>
      <c r="T572" t="s">
        <v>132</v>
      </c>
      <c r="U572" t="s">
        <v>133</v>
      </c>
      <c r="V572" s="1">
        <v>35000</v>
      </c>
      <c r="W572">
        <v>0</v>
      </c>
      <c r="X572" s="1">
        <v>35000</v>
      </c>
      <c r="Y572">
        <v>7</v>
      </c>
      <c r="Z572">
        <v>0</v>
      </c>
      <c r="AA572">
        <v>0</v>
      </c>
      <c r="AB572">
        <v>0</v>
      </c>
      <c r="AC572">
        <v>0</v>
      </c>
      <c r="AD572" t="s">
        <v>134</v>
      </c>
      <c r="AE572" t="s">
        <v>134</v>
      </c>
      <c r="AF572" s="2">
        <v>45518</v>
      </c>
      <c r="AG572" s="2">
        <v>46021</v>
      </c>
      <c r="AH572" s="1">
        <v>5308.17</v>
      </c>
      <c r="AI572" s="1">
        <v>12304.02</v>
      </c>
      <c r="AJ572" s="1">
        <v>74314.41</v>
      </c>
      <c r="AK572">
        <v>0</v>
      </c>
      <c r="AL572">
        <v>0</v>
      </c>
      <c r="AM572">
        <v>0</v>
      </c>
      <c r="AN572" t="s">
        <v>135</v>
      </c>
      <c r="AO572" t="s">
        <v>135</v>
      </c>
      <c r="AP572" t="s">
        <v>136</v>
      </c>
      <c r="AQ572" t="s">
        <v>137</v>
      </c>
      <c r="AR572" t="s">
        <v>138</v>
      </c>
      <c r="AS572" t="s">
        <v>150</v>
      </c>
      <c r="AT572" t="s">
        <v>140</v>
      </c>
      <c r="AU572">
        <v>500</v>
      </c>
      <c r="AV572">
        <v>10</v>
      </c>
      <c r="AW572">
        <v>1</v>
      </c>
      <c r="AX572" s="2">
        <v>45838</v>
      </c>
      <c r="AY572" t="s">
        <v>141</v>
      </c>
      <c r="AZ572" s="2">
        <v>46027</v>
      </c>
      <c r="BA572">
        <v>0</v>
      </c>
      <c r="BB572">
        <v>0</v>
      </c>
      <c r="BC572">
        <v>0</v>
      </c>
      <c r="BD572">
        <v>700</v>
      </c>
      <c r="BE572">
        <v>70</v>
      </c>
      <c r="BF572">
        <v>9</v>
      </c>
      <c r="BG572" s="2">
        <v>45536</v>
      </c>
      <c r="BH572" t="s">
        <v>142</v>
      </c>
      <c r="BI572" s="2">
        <v>46026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 s="1">
        <v>13438.76</v>
      </c>
      <c r="BQ572" s="1">
        <v>13438.76</v>
      </c>
      <c r="BR572">
        <v>0</v>
      </c>
      <c r="BS572">
        <v>0</v>
      </c>
      <c r="BT572">
        <v>0</v>
      </c>
      <c r="BU572">
        <v>0</v>
      </c>
      <c r="BV572" s="1">
        <v>33578.76</v>
      </c>
      <c r="BW572" s="1">
        <v>33578.76</v>
      </c>
      <c r="BX572">
        <v>0</v>
      </c>
      <c r="BY572">
        <v>0</v>
      </c>
      <c r="BZ572">
        <v>0</v>
      </c>
      <c r="CA572">
        <v>0</v>
      </c>
      <c r="CB572" s="1">
        <v>20985.19</v>
      </c>
      <c r="CC572" t="s">
        <v>143</v>
      </c>
    </row>
    <row r="573" spans="1:81" x14ac:dyDescent="0.25">
      <c r="A573">
        <v>345</v>
      </c>
      <c r="B573">
        <v>2</v>
      </c>
      <c r="C573">
        <v>914</v>
      </c>
      <c r="D573" t="s">
        <v>3270</v>
      </c>
      <c r="E573" t="s">
        <v>121</v>
      </c>
      <c r="F573" t="s">
        <v>3271</v>
      </c>
      <c r="G573" t="s">
        <v>3272</v>
      </c>
      <c r="H573" t="s">
        <v>3273</v>
      </c>
      <c r="I573" t="s">
        <v>125</v>
      </c>
      <c r="J573" t="s">
        <v>1263</v>
      </c>
      <c r="K573" t="s">
        <v>466</v>
      </c>
      <c r="L573" t="s">
        <v>128</v>
      </c>
      <c r="M573" t="s">
        <v>467</v>
      </c>
      <c r="N573" t="s">
        <v>3274</v>
      </c>
      <c r="O573" t="s">
        <v>159</v>
      </c>
      <c r="P573">
        <v>0</v>
      </c>
      <c r="Q573" t="s">
        <v>125</v>
      </c>
      <c r="R573">
        <v>4</v>
      </c>
      <c r="S573">
        <v>78</v>
      </c>
      <c r="T573" t="s">
        <v>132</v>
      </c>
      <c r="U573" t="s">
        <v>133</v>
      </c>
      <c r="V573" s="1">
        <v>4500</v>
      </c>
      <c r="W573">
        <v>0</v>
      </c>
      <c r="X573" s="1">
        <v>4500</v>
      </c>
      <c r="Y573">
        <v>7</v>
      </c>
      <c r="Z573">
        <v>0</v>
      </c>
      <c r="AA573">
        <v>7</v>
      </c>
      <c r="AB573">
        <v>0</v>
      </c>
      <c r="AC573">
        <v>9</v>
      </c>
      <c r="AD573" t="s">
        <v>234</v>
      </c>
      <c r="AE573" t="s">
        <v>134</v>
      </c>
      <c r="AF573" s="2">
        <v>45518</v>
      </c>
      <c r="AG573" s="2">
        <v>46003</v>
      </c>
      <c r="AH573" s="1">
        <v>1149.06</v>
      </c>
      <c r="AI573" s="1">
        <v>2219.79</v>
      </c>
      <c r="AJ573" s="1">
        <v>10341.59</v>
      </c>
      <c r="AK573">
        <v>0</v>
      </c>
      <c r="AL573">
        <v>0</v>
      </c>
      <c r="AM573">
        <v>0</v>
      </c>
      <c r="AN573" t="s">
        <v>135</v>
      </c>
      <c r="AO573" t="s">
        <v>135</v>
      </c>
      <c r="AP573" t="s">
        <v>136</v>
      </c>
      <c r="AQ573" t="s">
        <v>137</v>
      </c>
      <c r="AR573" t="s">
        <v>138</v>
      </c>
      <c r="AS573" t="s">
        <v>139</v>
      </c>
      <c r="AT573" t="s">
        <v>140</v>
      </c>
      <c r="AU573">
        <v>106</v>
      </c>
      <c r="AV573">
        <v>10</v>
      </c>
      <c r="AW573">
        <v>1</v>
      </c>
      <c r="AX573" s="2">
        <v>45946</v>
      </c>
      <c r="AY573" t="s">
        <v>308</v>
      </c>
      <c r="AZ573" s="2">
        <v>46023</v>
      </c>
      <c r="BA573">
        <v>0</v>
      </c>
      <c r="BB573">
        <v>0</v>
      </c>
      <c r="BC573">
        <v>0</v>
      </c>
      <c r="BD573">
        <v>700</v>
      </c>
      <c r="BE573">
        <v>70</v>
      </c>
      <c r="BF573">
        <v>9</v>
      </c>
      <c r="BG573" s="2">
        <v>45536</v>
      </c>
      <c r="BH573" t="s">
        <v>142</v>
      </c>
      <c r="BI573" s="2">
        <v>46026</v>
      </c>
      <c r="BJ573">
        <v>0</v>
      </c>
      <c r="BK573">
        <v>0</v>
      </c>
      <c r="BL573">
        <v>0</v>
      </c>
      <c r="BM573">
        <v>7</v>
      </c>
      <c r="BN573">
        <v>7</v>
      </c>
      <c r="BO573" s="1">
        <v>4196.88</v>
      </c>
      <c r="BP573">
        <v>0</v>
      </c>
      <c r="BQ573" s="1">
        <v>4196.88</v>
      </c>
      <c r="BR573">
        <v>854.5</v>
      </c>
      <c r="BS573">
        <v>7</v>
      </c>
      <c r="BT573">
        <v>7</v>
      </c>
      <c r="BU573" s="1">
        <v>2219.79</v>
      </c>
      <c r="BV573">
        <v>0</v>
      </c>
      <c r="BW573" s="1">
        <v>2219.79</v>
      </c>
      <c r="BX573">
        <v>0</v>
      </c>
      <c r="BY573">
        <v>0</v>
      </c>
      <c r="BZ573">
        <v>0</v>
      </c>
      <c r="CA573">
        <v>0</v>
      </c>
      <c r="CB573" s="1">
        <v>3986.09</v>
      </c>
      <c r="CC573" t="s">
        <v>161</v>
      </c>
    </row>
    <row r="574" spans="1:81" x14ac:dyDescent="0.25">
      <c r="A574">
        <v>345</v>
      </c>
      <c r="B574">
        <v>2</v>
      </c>
      <c r="C574">
        <v>918</v>
      </c>
      <c r="D574" t="s">
        <v>3275</v>
      </c>
      <c r="E574" t="s">
        <v>121</v>
      </c>
      <c r="F574" t="s">
        <v>3276</v>
      </c>
      <c r="G574" t="s">
        <v>3277</v>
      </c>
      <c r="H574" t="s">
        <v>3278</v>
      </c>
      <c r="I574" t="s">
        <v>125</v>
      </c>
      <c r="J574" t="s">
        <v>3074</v>
      </c>
      <c r="K574" t="s">
        <v>1853</v>
      </c>
      <c r="L574" t="s">
        <v>128</v>
      </c>
      <c r="M574" t="s">
        <v>1854</v>
      </c>
      <c r="N574" t="s">
        <v>3279</v>
      </c>
      <c r="O574" t="s">
        <v>167</v>
      </c>
      <c r="P574">
        <v>0</v>
      </c>
      <c r="Q574" t="s">
        <v>125</v>
      </c>
      <c r="R574">
        <v>6</v>
      </c>
      <c r="S574">
        <v>36</v>
      </c>
      <c r="T574" t="s">
        <v>132</v>
      </c>
      <c r="U574" t="s">
        <v>133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134</v>
      </c>
      <c r="AE574" t="s">
        <v>134</v>
      </c>
      <c r="AF574" s="2">
        <v>45518</v>
      </c>
      <c r="AG574" s="2">
        <v>46015</v>
      </c>
      <c r="AH574" s="1">
        <v>1391.33</v>
      </c>
      <c r="AI574" s="1">
        <v>2712.66</v>
      </c>
      <c r="AJ574" s="1">
        <v>9739.36</v>
      </c>
      <c r="AK574">
        <v>0</v>
      </c>
      <c r="AL574" s="1">
        <v>2712.66</v>
      </c>
      <c r="AM574">
        <v>0</v>
      </c>
      <c r="AN574" t="s">
        <v>135</v>
      </c>
      <c r="AO574" t="s">
        <v>135</v>
      </c>
      <c r="AP574" t="s">
        <v>136</v>
      </c>
      <c r="AQ574" t="s">
        <v>137</v>
      </c>
      <c r="AR574" t="s">
        <v>138</v>
      </c>
      <c r="AS574" t="s">
        <v>139</v>
      </c>
      <c r="AT574" t="s">
        <v>140</v>
      </c>
      <c r="AU574">
        <v>106</v>
      </c>
      <c r="AV574">
        <v>10</v>
      </c>
      <c r="AW574">
        <v>1</v>
      </c>
      <c r="AX574" s="2">
        <v>45537</v>
      </c>
      <c r="AY574" t="s">
        <v>141</v>
      </c>
      <c r="AZ574" s="2">
        <v>46027</v>
      </c>
      <c r="BA574">
        <v>0</v>
      </c>
      <c r="BB574">
        <v>0</v>
      </c>
      <c r="BC574">
        <v>0</v>
      </c>
      <c r="BD574">
        <v>700</v>
      </c>
      <c r="BE574">
        <v>70</v>
      </c>
      <c r="BF574">
        <v>9</v>
      </c>
      <c r="BG574" s="2">
        <v>45536</v>
      </c>
      <c r="BH574" t="s">
        <v>142</v>
      </c>
      <c r="BI574" s="2">
        <v>46026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 s="1">
        <v>4543.78</v>
      </c>
      <c r="BQ574" s="1">
        <v>4543.78</v>
      </c>
      <c r="BR574">
        <v>0</v>
      </c>
      <c r="BS574">
        <v>0</v>
      </c>
      <c r="BT574">
        <v>0</v>
      </c>
      <c r="BU574">
        <v>0</v>
      </c>
      <c r="BV574" s="1">
        <v>4615.1899999999996</v>
      </c>
      <c r="BW574" s="1">
        <v>4615.1899999999996</v>
      </c>
      <c r="BX574">
        <v>0</v>
      </c>
      <c r="BY574">
        <v>0</v>
      </c>
      <c r="BZ574">
        <v>0</v>
      </c>
      <c r="CA574">
        <v>0</v>
      </c>
      <c r="CB574" s="1">
        <v>2430.31</v>
      </c>
      <c r="CC574" t="s">
        <v>161</v>
      </c>
    </row>
    <row r="575" spans="1:81" x14ac:dyDescent="0.25">
      <c r="A575">
        <v>345</v>
      </c>
      <c r="B575">
        <v>2</v>
      </c>
      <c r="C575">
        <v>919</v>
      </c>
      <c r="D575" t="s">
        <v>3280</v>
      </c>
      <c r="E575" t="s">
        <v>121</v>
      </c>
      <c r="F575" t="s">
        <v>3281</v>
      </c>
      <c r="G575" t="s">
        <v>3282</v>
      </c>
      <c r="H575" t="s">
        <v>3189</v>
      </c>
      <c r="I575" t="s">
        <v>3283</v>
      </c>
      <c r="J575" t="s">
        <v>3074</v>
      </c>
      <c r="K575" t="s">
        <v>1853</v>
      </c>
      <c r="L575" t="s">
        <v>128</v>
      </c>
      <c r="M575" t="s">
        <v>1854</v>
      </c>
      <c r="N575" t="s">
        <v>3284</v>
      </c>
      <c r="O575" t="s">
        <v>159</v>
      </c>
      <c r="P575">
        <v>0</v>
      </c>
      <c r="Q575" t="s">
        <v>125</v>
      </c>
      <c r="R575">
        <v>6</v>
      </c>
      <c r="S575">
        <v>38</v>
      </c>
      <c r="T575" t="s">
        <v>132</v>
      </c>
      <c r="U575" t="s">
        <v>133</v>
      </c>
      <c r="V575" s="1">
        <v>1600</v>
      </c>
      <c r="W575">
        <v>0</v>
      </c>
      <c r="X575" s="1">
        <v>1600</v>
      </c>
      <c r="Y575">
        <v>7</v>
      </c>
      <c r="Z575">
        <v>0</v>
      </c>
      <c r="AA575">
        <v>0</v>
      </c>
      <c r="AB575">
        <v>0</v>
      </c>
      <c r="AC575">
        <v>0</v>
      </c>
      <c r="AD575" t="s">
        <v>134</v>
      </c>
      <c r="AE575" t="s">
        <v>134</v>
      </c>
      <c r="AF575" s="2">
        <v>45518</v>
      </c>
      <c r="AG575" s="2">
        <v>46008</v>
      </c>
      <c r="AH575">
        <v>614.44000000000005</v>
      </c>
      <c r="AI575">
        <v>965.69</v>
      </c>
      <c r="AJ575" s="1">
        <v>6144.46</v>
      </c>
      <c r="AK575">
        <v>0</v>
      </c>
      <c r="AL575">
        <v>0</v>
      </c>
      <c r="AM575">
        <v>0</v>
      </c>
      <c r="AN575" t="s">
        <v>135</v>
      </c>
      <c r="AO575" t="s">
        <v>135</v>
      </c>
      <c r="AP575" t="s">
        <v>136</v>
      </c>
      <c r="AQ575" t="s">
        <v>137</v>
      </c>
      <c r="AR575" t="s">
        <v>138</v>
      </c>
      <c r="AS575" t="s">
        <v>150</v>
      </c>
      <c r="AT575" t="s">
        <v>140</v>
      </c>
      <c r="AU575">
        <v>106</v>
      </c>
      <c r="AV575">
        <v>10</v>
      </c>
      <c r="AW575">
        <v>1</v>
      </c>
      <c r="AX575" s="2">
        <v>45839</v>
      </c>
      <c r="AY575" t="s">
        <v>377</v>
      </c>
      <c r="AZ575" s="2">
        <v>46028</v>
      </c>
      <c r="BA575">
        <v>0</v>
      </c>
      <c r="BB575">
        <v>0</v>
      </c>
      <c r="BC575">
        <v>0</v>
      </c>
      <c r="BD575">
        <v>700</v>
      </c>
      <c r="BE575">
        <v>70</v>
      </c>
      <c r="BF575">
        <v>9</v>
      </c>
      <c r="BG575" s="2">
        <v>45536</v>
      </c>
      <c r="BH575" t="s">
        <v>142</v>
      </c>
      <c r="BI575" s="2">
        <v>46026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s="1">
        <v>1780.26</v>
      </c>
      <c r="BQ575" s="1">
        <v>1780.26</v>
      </c>
      <c r="BR575">
        <v>0</v>
      </c>
      <c r="BS575">
        <v>0</v>
      </c>
      <c r="BT575">
        <v>0</v>
      </c>
      <c r="BU575">
        <v>0</v>
      </c>
      <c r="BV575" s="1">
        <v>1134.25</v>
      </c>
      <c r="BW575" s="1">
        <v>1134.25</v>
      </c>
      <c r="BX575">
        <v>0</v>
      </c>
      <c r="BY575">
        <v>0</v>
      </c>
      <c r="BZ575">
        <v>0</v>
      </c>
      <c r="CA575">
        <v>0</v>
      </c>
      <c r="CB575" s="1">
        <v>2209.1799999999998</v>
      </c>
      <c r="CC575" t="s">
        <v>161</v>
      </c>
    </row>
    <row r="576" spans="1:81" x14ac:dyDescent="0.25">
      <c r="A576">
        <v>345</v>
      </c>
      <c r="B576">
        <v>2</v>
      </c>
      <c r="C576">
        <v>920</v>
      </c>
      <c r="D576" t="s">
        <v>3285</v>
      </c>
      <c r="E576" t="s">
        <v>121</v>
      </c>
      <c r="F576" t="s">
        <v>3286</v>
      </c>
      <c r="G576" t="s">
        <v>3287</v>
      </c>
      <c r="H576" t="s">
        <v>3288</v>
      </c>
      <c r="I576" t="s">
        <v>125</v>
      </c>
      <c r="J576" t="s">
        <v>1263</v>
      </c>
      <c r="K576" t="s">
        <v>466</v>
      </c>
      <c r="L576" t="s">
        <v>128</v>
      </c>
      <c r="M576" t="s">
        <v>467</v>
      </c>
      <c r="N576" t="s">
        <v>3289</v>
      </c>
      <c r="O576" t="s">
        <v>167</v>
      </c>
      <c r="P576">
        <v>0</v>
      </c>
      <c r="Q576" t="s">
        <v>125</v>
      </c>
      <c r="R576">
        <v>6</v>
      </c>
      <c r="S576">
        <v>39</v>
      </c>
      <c r="T576" t="s">
        <v>132</v>
      </c>
      <c r="U576" t="s">
        <v>133</v>
      </c>
      <c r="V576" s="1">
        <v>7000</v>
      </c>
      <c r="W576" s="1">
        <v>4037.42</v>
      </c>
      <c r="X576" s="1">
        <v>2962.58</v>
      </c>
      <c r="Y576">
        <v>7</v>
      </c>
      <c r="Z576">
        <v>0</v>
      </c>
      <c r="AA576">
        <v>5</v>
      </c>
      <c r="AB576">
        <v>0</v>
      </c>
      <c r="AC576">
        <v>0</v>
      </c>
      <c r="AD576" t="s">
        <v>234</v>
      </c>
      <c r="AE576" t="s">
        <v>134</v>
      </c>
      <c r="AF576" s="2">
        <v>45518</v>
      </c>
      <c r="AG576" s="2">
        <v>46015</v>
      </c>
      <c r="AH576" s="1">
        <v>2553.52</v>
      </c>
      <c r="AI576" s="1">
        <v>4037.42</v>
      </c>
      <c r="AJ576" s="1">
        <v>22981.759999999998</v>
      </c>
      <c r="AK576">
        <v>0</v>
      </c>
      <c r="AL576" s="1">
        <v>4037.42</v>
      </c>
      <c r="AM576">
        <v>0</v>
      </c>
      <c r="AN576" t="s">
        <v>135</v>
      </c>
      <c r="AO576" t="s">
        <v>135</v>
      </c>
      <c r="AP576" t="s">
        <v>136</v>
      </c>
      <c r="AQ576" t="s">
        <v>137</v>
      </c>
      <c r="AR576" t="s">
        <v>138</v>
      </c>
      <c r="AS576" t="s">
        <v>150</v>
      </c>
      <c r="AT576" t="s">
        <v>140</v>
      </c>
      <c r="AU576">
        <v>500</v>
      </c>
      <c r="AV576">
        <v>10</v>
      </c>
      <c r="AW576">
        <v>1</v>
      </c>
      <c r="AX576" s="2">
        <v>45825</v>
      </c>
      <c r="AY576" t="s">
        <v>377</v>
      </c>
      <c r="AZ576" s="2">
        <v>46028</v>
      </c>
      <c r="BA576">
        <v>0</v>
      </c>
      <c r="BB576">
        <v>0</v>
      </c>
      <c r="BC576">
        <v>0</v>
      </c>
      <c r="BD576">
        <v>700</v>
      </c>
      <c r="BE576">
        <v>70</v>
      </c>
      <c r="BF576">
        <v>9</v>
      </c>
      <c r="BG576" s="2">
        <v>45536</v>
      </c>
      <c r="BH576" t="s">
        <v>142</v>
      </c>
      <c r="BI576" s="2">
        <v>46026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s="1">
        <v>6452.76</v>
      </c>
      <c r="BQ576" s="1">
        <v>6452.76</v>
      </c>
      <c r="BR576">
        <v>0</v>
      </c>
      <c r="BS576">
        <v>5</v>
      </c>
      <c r="BT576">
        <v>1.68</v>
      </c>
      <c r="BU576" s="1">
        <v>4037.42</v>
      </c>
      <c r="BV576" s="1">
        <v>7974.97</v>
      </c>
      <c r="BW576" s="1">
        <v>12012.39</v>
      </c>
      <c r="BX576" s="1">
        <v>4037.42</v>
      </c>
      <c r="BY576">
        <v>100</v>
      </c>
      <c r="BZ576">
        <v>0</v>
      </c>
      <c r="CA576">
        <v>0</v>
      </c>
      <c r="CB576" s="1">
        <v>6719.62</v>
      </c>
      <c r="CC576" t="s">
        <v>161</v>
      </c>
    </row>
    <row r="577" spans="1:81" x14ac:dyDescent="0.25">
      <c r="A577">
        <v>345</v>
      </c>
      <c r="B577">
        <v>2</v>
      </c>
      <c r="C577">
        <v>921</v>
      </c>
      <c r="D577" t="s">
        <v>3290</v>
      </c>
      <c r="E577" t="s">
        <v>121</v>
      </c>
      <c r="F577" t="s">
        <v>3291</v>
      </c>
      <c r="G577" t="s">
        <v>3292</v>
      </c>
      <c r="H577" t="s">
        <v>3293</v>
      </c>
      <c r="I577" t="s">
        <v>3294</v>
      </c>
      <c r="J577" t="s">
        <v>3295</v>
      </c>
      <c r="K577" t="s">
        <v>336</v>
      </c>
      <c r="L577" t="s">
        <v>128</v>
      </c>
      <c r="M577" t="s">
        <v>337</v>
      </c>
      <c r="N577" t="s">
        <v>3296</v>
      </c>
      <c r="O577" t="s">
        <v>131</v>
      </c>
      <c r="P577">
        <v>0</v>
      </c>
      <c r="Q577" t="s">
        <v>125</v>
      </c>
      <c r="R577">
        <v>6</v>
      </c>
      <c r="S577">
        <v>39</v>
      </c>
      <c r="T577" t="s">
        <v>132</v>
      </c>
      <c r="U577" t="s">
        <v>133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134</v>
      </c>
      <c r="AE577" t="s">
        <v>134</v>
      </c>
      <c r="AF577" s="2">
        <v>45518</v>
      </c>
      <c r="AG577" s="2">
        <v>46021</v>
      </c>
      <c r="AH577">
        <v>577.77</v>
      </c>
      <c r="AI577" s="1">
        <v>1094.48</v>
      </c>
      <c r="AJ577" s="1">
        <v>5199.97</v>
      </c>
      <c r="AK577">
        <v>0</v>
      </c>
      <c r="AL577">
        <v>0</v>
      </c>
      <c r="AM577">
        <v>0</v>
      </c>
      <c r="AN577" t="s">
        <v>135</v>
      </c>
      <c r="AO577" t="s">
        <v>135</v>
      </c>
      <c r="AP577" t="s">
        <v>136</v>
      </c>
      <c r="AQ577" t="s">
        <v>137</v>
      </c>
      <c r="AR577" t="s">
        <v>138</v>
      </c>
      <c r="AS577" t="s">
        <v>139</v>
      </c>
      <c r="AT577" t="s">
        <v>140</v>
      </c>
      <c r="AU577">
        <v>100</v>
      </c>
      <c r="AV577">
        <v>10</v>
      </c>
      <c r="AW577">
        <v>1</v>
      </c>
      <c r="AX577" s="2">
        <v>45817</v>
      </c>
      <c r="AY577" t="s">
        <v>141</v>
      </c>
      <c r="AZ577" s="2">
        <v>46027</v>
      </c>
      <c r="BA577">
        <v>0</v>
      </c>
      <c r="BB577">
        <v>0</v>
      </c>
      <c r="BC577">
        <v>0</v>
      </c>
      <c r="BD577">
        <v>700</v>
      </c>
      <c r="BE577">
        <v>70</v>
      </c>
      <c r="BF577">
        <v>9</v>
      </c>
      <c r="BG577" s="2">
        <v>45536</v>
      </c>
      <c r="BH577" t="s">
        <v>142</v>
      </c>
      <c r="BI577" s="2">
        <v>46026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721.18</v>
      </c>
      <c r="BQ577">
        <v>721.18</v>
      </c>
      <c r="BR577">
        <v>0</v>
      </c>
      <c r="BS577">
        <v>0</v>
      </c>
      <c r="BT577">
        <v>0</v>
      </c>
      <c r="BU577">
        <v>0</v>
      </c>
      <c r="BV577" s="1">
        <v>2814.86</v>
      </c>
      <c r="BW577" s="1">
        <v>3210.08</v>
      </c>
      <c r="BX577">
        <v>0</v>
      </c>
      <c r="BY577">
        <v>0</v>
      </c>
      <c r="BZ577">
        <v>0</v>
      </c>
      <c r="CA577">
        <v>0</v>
      </c>
      <c r="CB577" s="1">
        <v>1059.8</v>
      </c>
      <c r="CC577" t="s">
        <v>143</v>
      </c>
    </row>
    <row r="578" spans="1:81" x14ac:dyDescent="0.25">
      <c r="A578">
        <v>345</v>
      </c>
      <c r="B578">
        <v>2</v>
      </c>
      <c r="C578">
        <v>922</v>
      </c>
      <c r="D578" t="s">
        <v>3297</v>
      </c>
      <c r="E578" t="s">
        <v>121</v>
      </c>
      <c r="F578" t="s">
        <v>3298</v>
      </c>
      <c r="G578" t="s">
        <v>3299</v>
      </c>
      <c r="H578" t="s">
        <v>3300</v>
      </c>
      <c r="I578" t="s">
        <v>125</v>
      </c>
      <c r="J578" t="s">
        <v>3074</v>
      </c>
      <c r="K578" t="s">
        <v>1853</v>
      </c>
      <c r="L578" t="s">
        <v>128</v>
      </c>
      <c r="M578" t="s">
        <v>1854</v>
      </c>
      <c r="N578" t="s">
        <v>3301</v>
      </c>
      <c r="O578" t="s">
        <v>159</v>
      </c>
      <c r="P578">
        <v>0</v>
      </c>
      <c r="Q578" t="s">
        <v>125</v>
      </c>
      <c r="R578">
        <v>6</v>
      </c>
      <c r="S578">
        <v>34</v>
      </c>
      <c r="T578" t="s">
        <v>132</v>
      </c>
      <c r="U578" t="s">
        <v>133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134</v>
      </c>
      <c r="AE578" t="s">
        <v>134</v>
      </c>
      <c r="AF578" s="2">
        <v>45518</v>
      </c>
      <c r="AG578" s="2">
        <v>46017</v>
      </c>
      <c r="AH578">
        <v>793.29</v>
      </c>
      <c r="AI578" s="1">
        <v>1039.4000000000001</v>
      </c>
      <c r="AJ578" s="1">
        <v>7139.64</v>
      </c>
      <c r="AK578">
        <v>0</v>
      </c>
      <c r="AL578">
        <v>0</v>
      </c>
      <c r="AM578">
        <v>0</v>
      </c>
      <c r="AN578" t="s">
        <v>135</v>
      </c>
      <c r="AO578" t="s">
        <v>135</v>
      </c>
      <c r="AP578" t="s">
        <v>136</v>
      </c>
      <c r="AQ578" t="s">
        <v>137</v>
      </c>
      <c r="AR578" t="s">
        <v>138</v>
      </c>
      <c r="AS578" t="s">
        <v>139</v>
      </c>
      <c r="AT578" t="s">
        <v>140</v>
      </c>
      <c r="AU578">
        <v>106</v>
      </c>
      <c r="AV578">
        <v>10</v>
      </c>
      <c r="AW578">
        <v>1</v>
      </c>
      <c r="AX578" s="2">
        <v>45609</v>
      </c>
      <c r="AY578" t="s">
        <v>168</v>
      </c>
      <c r="AZ578" s="2">
        <v>46022</v>
      </c>
      <c r="BA578">
        <v>0</v>
      </c>
      <c r="BB578">
        <v>0</v>
      </c>
      <c r="BC578">
        <v>0</v>
      </c>
      <c r="BD578">
        <v>700</v>
      </c>
      <c r="BE578">
        <v>70</v>
      </c>
      <c r="BF578">
        <v>9</v>
      </c>
      <c r="BG578" s="2">
        <v>45536</v>
      </c>
      <c r="BH578" t="s">
        <v>142</v>
      </c>
      <c r="BI578" s="2">
        <v>46026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s="1">
        <v>2542.04</v>
      </c>
      <c r="BQ578" s="1">
        <v>2542.04</v>
      </c>
      <c r="BR578">
        <v>0</v>
      </c>
      <c r="BS578">
        <v>0</v>
      </c>
      <c r="BT578">
        <v>0</v>
      </c>
      <c r="BU578">
        <v>0</v>
      </c>
      <c r="BV578" s="1">
        <v>2228.92</v>
      </c>
      <c r="BW578" s="1">
        <v>2228.92</v>
      </c>
      <c r="BX578">
        <v>0</v>
      </c>
      <c r="BY578">
        <v>0</v>
      </c>
      <c r="BZ578">
        <v>0</v>
      </c>
      <c r="CA578">
        <v>0</v>
      </c>
      <c r="CB578" s="1">
        <v>2478.7199999999998</v>
      </c>
      <c r="CC578" t="s">
        <v>161</v>
      </c>
    </row>
    <row r="579" spans="1:81" x14ac:dyDescent="0.25">
      <c r="A579">
        <v>345</v>
      </c>
      <c r="B579">
        <v>2</v>
      </c>
      <c r="C579">
        <v>923</v>
      </c>
      <c r="D579" t="s">
        <v>3302</v>
      </c>
      <c r="E579" t="s">
        <v>121</v>
      </c>
      <c r="F579" t="s">
        <v>3303</v>
      </c>
      <c r="G579" t="s">
        <v>3304</v>
      </c>
      <c r="H579" t="s">
        <v>3305</v>
      </c>
      <c r="I579" t="s">
        <v>125</v>
      </c>
      <c r="J579" t="s">
        <v>1465</v>
      </c>
      <c r="K579" t="s">
        <v>466</v>
      </c>
      <c r="L579" t="s">
        <v>128</v>
      </c>
      <c r="M579" t="s">
        <v>467</v>
      </c>
      <c r="N579" t="s">
        <v>3306</v>
      </c>
      <c r="O579" t="s">
        <v>167</v>
      </c>
      <c r="P579">
        <v>0</v>
      </c>
      <c r="Q579" t="s">
        <v>125</v>
      </c>
      <c r="R579">
        <v>6</v>
      </c>
      <c r="S579">
        <v>38</v>
      </c>
      <c r="T579" t="s">
        <v>132</v>
      </c>
      <c r="U579" t="s">
        <v>133</v>
      </c>
      <c r="V579" s="1">
        <v>20000</v>
      </c>
      <c r="W579" s="1">
        <v>2389.37</v>
      </c>
      <c r="X579" s="1">
        <v>17610.63</v>
      </c>
      <c r="Y579">
        <v>7</v>
      </c>
      <c r="Z579">
        <v>0</v>
      </c>
      <c r="AA579">
        <v>9</v>
      </c>
      <c r="AB579">
        <v>0</v>
      </c>
      <c r="AC579">
        <v>0</v>
      </c>
      <c r="AD579" t="s">
        <v>134</v>
      </c>
      <c r="AE579" t="s">
        <v>134</v>
      </c>
      <c r="AF579" s="2">
        <v>45518</v>
      </c>
      <c r="AG579" s="2">
        <v>46020</v>
      </c>
      <c r="AH579" s="1">
        <v>1894.94</v>
      </c>
      <c r="AI579" s="1">
        <v>2668.15</v>
      </c>
      <c r="AJ579" s="1">
        <v>7579.76</v>
      </c>
      <c r="AK579">
        <v>0</v>
      </c>
      <c r="AL579" s="1">
        <v>2389.37</v>
      </c>
      <c r="AM579">
        <v>0</v>
      </c>
      <c r="AN579" t="s">
        <v>135</v>
      </c>
      <c r="AO579" t="s">
        <v>135</v>
      </c>
      <c r="AP579" t="s">
        <v>136</v>
      </c>
      <c r="AQ579" t="s">
        <v>137</v>
      </c>
      <c r="AR579" t="s">
        <v>138</v>
      </c>
      <c r="AS579" t="s">
        <v>150</v>
      </c>
      <c r="AT579" t="s">
        <v>140</v>
      </c>
      <c r="AU579">
        <v>500</v>
      </c>
      <c r="AV579">
        <v>10</v>
      </c>
      <c r="AW579">
        <v>1</v>
      </c>
      <c r="AX579" s="2">
        <v>45843</v>
      </c>
      <c r="AY579" t="s">
        <v>160</v>
      </c>
      <c r="AZ579" s="2">
        <v>46025</v>
      </c>
      <c r="BA579">
        <v>0</v>
      </c>
      <c r="BB579">
        <v>0</v>
      </c>
      <c r="BC579">
        <v>0</v>
      </c>
      <c r="BD579">
        <v>700</v>
      </c>
      <c r="BE579">
        <v>70</v>
      </c>
      <c r="BF579">
        <v>9</v>
      </c>
      <c r="BG579" s="2">
        <v>45536</v>
      </c>
      <c r="BH579" t="s">
        <v>142</v>
      </c>
      <c r="BI579" s="2">
        <v>46026</v>
      </c>
      <c r="BJ579">
        <v>0</v>
      </c>
      <c r="BK579">
        <v>0</v>
      </c>
      <c r="BL579">
        <v>0</v>
      </c>
      <c r="BM579">
        <v>7</v>
      </c>
      <c r="BN579">
        <v>7</v>
      </c>
      <c r="BO579" s="1">
        <v>2668.15</v>
      </c>
      <c r="BP579">
        <v>0</v>
      </c>
      <c r="BQ579" s="1">
        <v>2668.15</v>
      </c>
      <c r="BR579">
        <v>0</v>
      </c>
      <c r="BS579">
        <v>7</v>
      </c>
      <c r="BT579">
        <v>7</v>
      </c>
      <c r="BU579" s="1">
        <v>3619.48</v>
      </c>
      <c r="BV579">
        <v>0</v>
      </c>
      <c r="BW579" s="1">
        <v>3619.48</v>
      </c>
      <c r="BX579" s="1">
        <v>2389.37</v>
      </c>
      <c r="BY579">
        <v>66.010000000000005</v>
      </c>
      <c r="BZ579">
        <v>0</v>
      </c>
      <c r="CA579">
        <v>0</v>
      </c>
      <c r="CB579" s="1">
        <v>4658.88</v>
      </c>
      <c r="CC579" t="s">
        <v>161</v>
      </c>
    </row>
    <row r="580" spans="1:81" x14ac:dyDescent="0.25">
      <c r="A580">
        <v>345</v>
      </c>
      <c r="B580">
        <v>2</v>
      </c>
      <c r="C580">
        <v>924</v>
      </c>
      <c r="D580" t="s">
        <v>3307</v>
      </c>
      <c r="E580" t="s">
        <v>121</v>
      </c>
      <c r="F580" t="s">
        <v>3308</v>
      </c>
      <c r="G580" t="s">
        <v>3309</v>
      </c>
      <c r="H580" t="s">
        <v>3310</v>
      </c>
      <c r="I580" t="s">
        <v>125</v>
      </c>
      <c r="J580" t="s">
        <v>3311</v>
      </c>
      <c r="K580" t="s">
        <v>466</v>
      </c>
      <c r="L580" t="s">
        <v>128</v>
      </c>
      <c r="M580" t="s">
        <v>467</v>
      </c>
      <c r="N580" t="s">
        <v>3312</v>
      </c>
      <c r="O580" t="s">
        <v>167</v>
      </c>
      <c r="P580">
        <v>0</v>
      </c>
      <c r="Q580" t="s">
        <v>125</v>
      </c>
      <c r="R580">
        <v>6</v>
      </c>
      <c r="S580">
        <v>36</v>
      </c>
      <c r="T580" t="s">
        <v>132</v>
      </c>
      <c r="U580" t="s">
        <v>133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134</v>
      </c>
      <c r="AE580" t="s">
        <v>134</v>
      </c>
      <c r="AF580" s="2">
        <v>45518</v>
      </c>
      <c r="AG580" s="2">
        <v>46017</v>
      </c>
      <c r="AH580" s="1">
        <v>1357.39</v>
      </c>
      <c r="AI580" s="1">
        <v>2382.5300000000002</v>
      </c>
      <c r="AJ580" s="1">
        <v>6786.95</v>
      </c>
      <c r="AK580">
        <v>0</v>
      </c>
      <c r="AL580">
        <v>0</v>
      </c>
      <c r="AM580">
        <v>0</v>
      </c>
      <c r="AN580" t="s">
        <v>135</v>
      </c>
      <c r="AO580" t="s">
        <v>135</v>
      </c>
      <c r="AP580" t="s">
        <v>136</v>
      </c>
      <c r="AQ580" t="s">
        <v>137</v>
      </c>
      <c r="AR580" t="s">
        <v>138</v>
      </c>
      <c r="AS580" t="s">
        <v>139</v>
      </c>
      <c r="AT580" t="s">
        <v>140</v>
      </c>
      <c r="AU580">
        <v>100</v>
      </c>
      <c r="AV580">
        <v>10</v>
      </c>
      <c r="AW580">
        <v>1</v>
      </c>
      <c r="AX580" s="2">
        <v>45812</v>
      </c>
      <c r="AY580" t="s">
        <v>168</v>
      </c>
      <c r="AZ580" s="2">
        <v>46022</v>
      </c>
      <c r="BA580">
        <v>0</v>
      </c>
      <c r="BB580">
        <v>0</v>
      </c>
      <c r="BC580">
        <v>0</v>
      </c>
      <c r="BD580">
        <v>700</v>
      </c>
      <c r="BE580">
        <v>70</v>
      </c>
      <c r="BF580">
        <v>9</v>
      </c>
      <c r="BG580" s="2">
        <v>45536</v>
      </c>
      <c r="BH580" t="s">
        <v>142</v>
      </c>
      <c r="BI580" s="2">
        <v>46026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s="1">
        <v>2382.5300000000002</v>
      </c>
      <c r="BQ580" s="1">
        <v>2382.5300000000002</v>
      </c>
      <c r="BR580">
        <v>0</v>
      </c>
      <c r="BS580">
        <v>0</v>
      </c>
      <c r="BT580">
        <v>0</v>
      </c>
      <c r="BU580">
        <v>0</v>
      </c>
      <c r="BV580" s="1">
        <v>2464.4</v>
      </c>
      <c r="BW580" s="1">
        <v>2464.4</v>
      </c>
      <c r="BX580">
        <v>0</v>
      </c>
      <c r="BY580">
        <v>0</v>
      </c>
      <c r="BZ580">
        <v>0</v>
      </c>
      <c r="CA580">
        <v>0</v>
      </c>
      <c r="CB580" s="1">
        <v>1440.85</v>
      </c>
      <c r="CC580" t="s">
        <v>161</v>
      </c>
    </row>
    <row r="581" spans="1:81" x14ac:dyDescent="0.25">
      <c r="A581">
        <v>345</v>
      </c>
      <c r="B581">
        <v>2</v>
      </c>
      <c r="C581">
        <v>925</v>
      </c>
      <c r="D581" t="s">
        <v>3313</v>
      </c>
      <c r="E581" t="s">
        <v>121</v>
      </c>
      <c r="F581" t="s">
        <v>3314</v>
      </c>
      <c r="G581" t="s">
        <v>3315</v>
      </c>
      <c r="H581" t="s">
        <v>3316</v>
      </c>
      <c r="I581" t="s">
        <v>125</v>
      </c>
      <c r="J581" t="s">
        <v>3074</v>
      </c>
      <c r="K581" t="s">
        <v>1853</v>
      </c>
      <c r="L581" t="s">
        <v>128</v>
      </c>
      <c r="M581" t="s">
        <v>1854</v>
      </c>
      <c r="N581" t="s">
        <v>3317</v>
      </c>
      <c r="O581" t="s">
        <v>167</v>
      </c>
      <c r="P581">
        <v>0</v>
      </c>
      <c r="Q581" t="s">
        <v>125</v>
      </c>
      <c r="R581">
        <v>4</v>
      </c>
      <c r="S581">
        <v>77</v>
      </c>
      <c r="T581" t="s">
        <v>132</v>
      </c>
      <c r="U581" t="s">
        <v>133</v>
      </c>
      <c r="V581" s="1">
        <v>3000</v>
      </c>
      <c r="W581">
        <v>0</v>
      </c>
      <c r="X581" s="1">
        <v>3000</v>
      </c>
      <c r="Y581">
        <v>7</v>
      </c>
      <c r="Z581">
        <v>0</v>
      </c>
      <c r="AA581">
        <v>9</v>
      </c>
      <c r="AB581">
        <v>0</v>
      </c>
      <c r="AC581">
        <v>7</v>
      </c>
      <c r="AD581" t="s">
        <v>134</v>
      </c>
      <c r="AE581" t="s">
        <v>134</v>
      </c>
      <c r="AF581" s="2">
        <v>45518</v>
      </c>
      <c r="AG581" s="2">
        <v>46010</v>
      </c>
      <c r="AH581">
        <v>309.64</v>
      </c>
      <c r="AI581">
        <v>640.20000000000005</v>
      </c>
      <c r="AJ581" s="1">
        <v>1548.2</v>
      </c>
      <c r="AK581">
        <v>0</v>
      </c>
      <c r="AL581">
        <v>0</v>
      </c>
      <c r="AM581">
        <v>0</v>
      </c>
      <c r="AN581" t="s">
        <v>135</v>
      </c>
      <c r="AO581" t="s">
        <v>135</v>
      </c>
      <c r="AP581" t="s">
        <v>136</v>
      </c>
      <c r="AQ581" t="s">
        <v>137</v>
      </c>
      <c r="AR581" t="s">
        <v>138</v>
      </c>
      <c r="AS581" t="s">
        <v>150</v>
      </c>
      <c r="AT581" t="s">
        <v>140</v>
      </c>
      <c r="AU581">
        <v>106</v>
      </c>
      <c r="AV581">
        <v>10</v>
      </c>
      <c r="AW581">
        <v>1</v>
      </c>
      <c r="AX581" s="2">
        <v>45841</v>
      </c>
      <c r="AY581" t="s">
        <v>308</v>
      </c>
      <c r="AZ581" s="2">
        <v>46023</v>
      </c>
      <c r="BA581">
        <v>0</v>
      </c>
      <c r="BB581">
        <v>0</v>
      </c>
      <c r="BC581">
        <v>0</v>
      </c>
      <c r="BD581">
        <v>700</v>
      </c>
      <c r="BE581">
        <v>70</v>
      </c>
      <c r="BF581">
        <v>9</v>
      </c>
      <c r="BG581" s="2">
        <v>45536</v>
      </c>
      <c r="BH581" t="s">
        <v>142</v>
      </c>
      <c r="BI581" s="2">
        <v>46026</v>
      </c>
      <c r="BJ581">
        <v>0</v>
      </c>
      <c r="BK581">
        <v>0</v>
      </c>
      <c r="BL581">
        <v>0</v>
      </c>
      <c r="BM581">
        <v>8.51</v>
      </c>
      <c r="BN581">
        <v>8.51</v>
      </c>
      <c r="BO581">
        <v>846.91</v>
      </c>
      <c r="BP581">
        <v>0</v>
      </c>
      <c r="BQ581">
        <v>846.91</v>
      </c>
      <c r="BR581">
        <v>206.71</v>
      </c>
      <c r="BS581">
        <v>7</v>
      </c>
      <c r="BT581">
        <v>7</v>
      </c>
      <c r="BU581">
        <v>516.4</v>
      </c>
      <c r="BV581">
        <v>0</v>
      </c>
      <c r="BW581">
        <v>516.4</v>
      </c>
      <c r="BX581">
        <v>0</v>
      </c>
      <c r="BY581">
        <v>0</v>
      </c>
      <c r="BZ581">
        <v>0</v>
      </c>
      <c r="CA581">
        <v>0</v>
      </c>
      <c r="CB581">
        <v>500.18</v>
      </c>
      <c r="CC581" t="s">
        <v>161</v>
      </c>
    </row>
    <row r="582" spans="1:81" x14ac:dyDescent="0.25">
      <c r="A582">
        <v>345</v>
      </c>
      <c r="B582">
        <v>2</v>
      </c>
      <c r="C582">
        <v>927</v>
      </c>
      <c r="D582" t="s">
        <v>3318</v>
      </c>
      <c r="E582" t="s">
        <v>121</v>
      </c>
      <c r="F582" t="s">
        <v>3319</v>
      </c>
      <c r="G582" t="s">
        <v>3320</v>
      </c>
      <c r="H582" t="s">
        <v>3321</v>
      </c>
      <c r="I582" t="s">
        <v>3322</v>
      </c>
      <c r="J582" t="s">
        <v>3074</v>
      </c>
      <c r="K582" t="s">
        <v>1853</v>
      </c>
      <c r="L582" t="s">
        <v>128</v>
      </c>
      <c r="M582" t="s">
        <v>1854</v>
      </c>
      <c r="N582" t="s">
        <v>3323</v>
      </c>
      <c r="O582" t="s">
        <v>131</v>
      </c>
      <c r="P582">
        <v>0</v>
      </c>
      <c r="Q582" t="s">
        <v>125</v>
      </c>
      <c r="R582">
        <v>3</v>
      </c>
      <c r="S582">
        <v>88</v>
      </c>
      <c r="T582" t="s">
        <v>132</v>
      </c>
      <c r="U582" t="s">
        <v>133</v>
      </c>
      <c r="V582" s="1">
        <v>13700</v>
      </c>
      <c r="W582">
        <v>0</v>
      </c>
      <c r="X582" s="1">
        <v>13700</v>
      </c>
      <c r="Y582">
        <v>7</v>
      </c>
      <c r="Z582">
        <v>0</v>
      </c>
      <c r="AA582">
        <v>0</v>
      </c>
      <c r="AB582">
        <v>0</v>
      </c>
      <c r="AC582">
        <v>0</v>
      </c>
      <c r="AD582" t="s">
        <v>234</v>
      </c>
      <c r="AE582" t="s">
        <v>134</v>
      </c>
      <c r="AF582" s="2">
        <v>45518</v>
      </c>
      <c r="AG582" s="2">
        <v>46015</v>
      </c>
      <c r="AH582" s="1">
        <v>4082.23</v>
      </c>
      <c r="AI582" s="1">
        <v>7597.55</v>
      </c>
      <c r="AJ582" s="1">
        <v>48986.82</v>
      </c>
      <c r="AK582">
        <v>0</v>
      </c>
      <c r="AL582">
        <v>0</v>
      </c>
      <c r="AM582">
        <v>0</v>
      </c>
      <c r="AN582" t="s">
        <v>135</v>
      </c>
      <c r="AO582" t="s">
        <v>135</v>
      </c>
      <c r="AP582" t="s">
        <v>136</v>
      </c>
      <c r="AQ582" t="s">
        <v>137</v>
      </c>
      <c r="AR582" t="s">
        <v>138</v>
      </c>
      <c r="AS582" t="s">
        <v>150</v>
      </c>
      <c r="AT582" t="s">
        <v>140</v>
      </c>
      <c r="AU582">
        <v>106</v>
      </c>
      <c r="AV582">
        <v>10</v>
      </c>
      <c r="AW582">
        <v>1</v>
      </c>
      <c r="AX582" s="2">
        <v>45608</v>
      </c>
      <c r="AY582" t="s">
        <v>377</v>
      </c>
      <c r="AZ582" s="2">
        <v>46028</v>
      </c>
      <c r="BA582">
        <v>0</v>
      </c>
      <c r="BB582">
        <v>0</v>
      </c>
      <c r="BC582">
        <v>0</v>
      </c>
      <c r="BD582">
        <v>700</v>
      </c>
      <c r="BE582">
        <v>70</v>
      </c>
      <c r="BF582">
        <v>9</v>
      </c>
      <c r="BG582" s="2">
        <v>45536</v>
      </c>
      <c r="BH582" t="s">
        <v>142</v>
      </c>
      <c r="BI582" s="2">
        <v>46026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s="1">
        <v>21759.1</v>
      </c>
      <c r="BQ582" s="1">
        <v>21759.1</v>
      </c>
      <c r="BR582">
        <v>0</v>
      </c>
      <c r="BS582">
        <v>0</v>
      </c>
      <c r="BT582">
        <v>0</v>
      </c>
      <c r="BU582">
        <v>0</v>
      </c>
      <c r="BV582" s="1">
        <v>5637.84</v>
      </c>
      <c r="BW582" s="1">
        <v>5637.84</v>
      </c>
      <c r="BX582">
        <v>0</v>
      </c>
      <c r="BY582">
        <v>0</v>
      </c>
      <c r="BZ582">
        <v>0</v>
      </c>
      <c r="CA582">
        <v>0</v>
      </c>
      <c r="CB582" s="1">
        <v>21237.71</v>
      </c>
      <c r="CC582" t="s">
        <v>143</v>
      </c>
    </row>
    <row r="583" spans="1:81" x14ac:dyDescent="0.25">
      <c r="A583">
        <v>345</v>
      </c>
      <c r="B583">
        <v>2</v>
      </c>
      <c r="C583">
        <v>928</v>
      </c>
      <c r="D583" t="s">
        <v>3324</v>
      </c>
      <c r="E583" t="s">
        <v>121</v>
      </c>
      <c r="F583" t="s">
        <v>3325</v>
      </c>
      <c r="G583" t="s">
        <v>3326</v>
      </c>
      <c r="H583" t="s">
        <v>3327</v>
      </c>
      <c r="I583" t="s">
        <v>125</v>
      </c>
      <c r="J583" t="s">
        <v>3074</v>
      </c>
      <c r="K583" t="s">
        <v>1853</v>
      </c>
      <c r="L583" t="s">
        <v>128</v>
      </c>
      <c r="M583" t="s">
        <v>1854</v>
      </c>
      <c r="N583" t="s">
        <v>3328</v>
      </c>
      <c r="O583" t="s">
        <v>296</v>
      </c>
      <c r="P583">
        <v>0</v>
      </c>
      <c r="Q583" t="s">
        <v>125</v>
      </c>
      <c r="R583">
        <v>6</v>
      </c>
      <c r="S583">
        <v>41</v>
      </c>
      <c r="T583" t="s">
        <v>132</v>
      </c>
      <c r="U583" t="s">
        <v>133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234</v>
      </c>
      <c r="AE583" t="s">
        <v>134</v>
      </c>
      <c r="AF583" s="2">
        <v>45518</v>
      </c>
      <c r="AG583" s="2">
        <v>46021</v>
      </c>
      <c r="AH583" s="1">
        <v>2545.5500000000002</v>
      </c>
      <c r="AI583" s="1">
        <v>4792.84</v>
      </c>
      <c r="AJ583" s="1">
        <v>35637.699999999997</v>
      </c>
      <c r="AK583">
        <v>0</v>
      </c>
      <c r="AL583">
        <v>0</v>
      </c>
      <c r="AM583">
        <v>0</v>
      </c>
      <c r="AN583" t="s">
        <v>135</v>
      </c>
      <c r="AO583" t="s">
        <v>135</v>
      </c>
      <c r="AP583" t="s">
        <v>136</v>
      </c>
      <c r="AQ583" t="s">
        <v>137</v>
      </c>
      <c r="AR583" t="s">
        <v>138</v>
      </c>
      <c r="AS583" t="s">
        <v>139</v>
      </c>
      <c r="AT583" t="s">
        <v>140</v>
      </c>
      <c r="AU583">
        <v>106</v>
      </c>
      <c r="AV583">
        <v>10</v>
      </c>
      <c r="AW583">
        <v>1</v>
      </c>
      <c r="AX583" s="2">
        <v>45812</v>
      </c>
      <c r="AY583" t="s">
        <v>168</v>
      </c>
      <c r="AZ583" s="2">
        <v>46022</v>
      </c>
      <c r="BA583">
        <v>0</v>
      </c>
      <c r="BB583">
        <v>0</v>
      </c>
      <c r="BC583">
        <v>0</v>
      </c>
      <c r="BD583">
        <v>700</v>
      </c>
      <c r="BE583">
        <v>70</v>
      </c>
      <c r="BF583">
        <v>9</v>
      </c>
      <c r="BG583" s="2">
        <v>45536</v>
      </c>
      <c r="BH583" t="s">
        <v>142</v>
      </c>
      <c r="BI583" s="2">
        <v>46026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 s="1">
        <v>11744.19</v>
      </c>
      <c r="BQ583" s="1">
        <v>11744.19</v>
      </c>
      <c r="BR583">
        <v>0</v>
      </c>
      <c r="BS583">
        <v>0</v>
      </c>
      <c r="BT583">
        <v>0</v>
      </c>
      <c r="BU583">
        <v>0</v>
      </c>
      <c r="BV583" s="1">
        <v>13118.61</v>
      </c>
      <c r="BW583" s="1">
        <v>13118.61</v>
      </c>
      <c r="BX583">
        <v>0</v>
      </c>
      <c r="BY583">
        <v>0</v>
      </c>
      <c r="BZ583">
        <v>0</v>
      </c>
      <c r="CA583">
        <v>0</v>
      </c>
      <c r="CB583" s="1">
        <v>9159.19</v>
      </c>
      <c r="CC583" t="s">
        <v>297</v>
      </c>
    </row>
    <row r="584" spans="1:81" x14ac:dyDescent="0.25">
      <c r="A584">
        <v>345</v>
      </c>
      <c r="B584">
        <v>2</v>
      </c>
      <c r="C584">
        <v>929</v>
      </c>
      <c r="D584" t="s">
        <v>3329</v>
      </c>
      <c r="E584" t="s">
        <v>121</v>
      </c>
      <c r="F584" t="s">
        <v>3330</v>
      </c>
      <c r="G584" t="s">
        <v>3331</v>
      </c>
      <c r="H584" t="s">
        <v>3332</v>
      </c>
      <c r="I584" t="s">
        <v>125</v>
      </c>
      <c r="J584" t="s">
        <v>3174</v>
      </c>
      <c r="K584" t="s">
        <v>1853</v>
      </c>
      <c r="L584" t="s">
        <v>128</v>
      </c>
      <c r="M584" t="s">
        <v>1854</v>
      </c>
      <c r="N584" t="s">
        <v>3333</v>
      </c>
      <c r="O584" t="s">
        <v>159</v>
      </c>
      <c r="P584">
        <v>0</v>
      </c>
      <c r="Q584" t="s">
        <v>125</v>
      </c>
      <c r="R584">
        <v>5</v>
      </c>
      <c r="S584">
        <v>69</v>
      </c>
      <c r="T584" t="s">
        <v>132</v>
      </c>
      <c r="U584" t="s">
        <v>133</v>
      </c>
      <c r="V584" s="1">
        <v>1100</v>
      </c>
      <c r="W584">
        <v>0</v>
      </c>
      <c r="X584" s="1">
        <v>1100</v>
      </c>
      <c r="Y584">
        <v>7</v>
      </c>
      <c r="Z584">
        <v>0</v>
      </c>
      <c r="AA584">
        <v>7</v>
      </c>
      <c r="AB584">
        <v>0</v>
      </c>
      <c r="AC584">
        <v>14</v>
      </c>
      <c r="AD584" t="s">
        <v>134</v>
      </c>
      <c r="AE584" t="s">
        <v>134</v>
      </c>
      <c r="AF584" s="2">
        <v>45518</v>
      </c>
      <c r="AG584" s="2">
        <v>46000</v>
      </c>
      <c r="AH584">
        <v>621.20000000000005</v>
      </c>
      <c r="AI584">
        <v>759.64</v>
      </c>
      <c r="AJ584" s="1">
        <v>2484.8200000000002</v>
      </c>
      <c r="AK584">
        <v>0</v>
      </c>
      <c r="AL584">
        <v>0</v>
      </c>
      <c r="AM584">
        <v>0</v>
      </c>
      <c r="AN584" t="s">
        <v>135</v>
      </c>
      <c r="AO584" t="s">
        <v>135</v>
      </c>
      <c r="AP584" t="s">
        <v>136</v>
      </c>
      <c r="AQ584" t="s">
        <v>137</v>
      </c>
      <c r="AR584" t="s">
        <v>138</v>
      </c>
      <c r="AS584" t="s">
        <v>150</v>
      </c>
      <c r="AT584" t="s">
        <v>140</v>
      </c>
      <c r="AU584">
        <v>106</v>
      </c>
      <c r="AV584">
        <v>10</v>
      </c>
      <c r="AW584">
        <v>1</v>
      </c>
      <c r="AX584" s="2">
        <v>45810</v>
      </c>
      <c r="AY584" t="s">
        <v>141</v>
      </c>
      <c r="AZ584" s="2">
        <v>46027</v>
      </c>
      <c r="BA584">
        <v>0</v>
      </c>
      <c r="BB584">
        <v>0</v>
      </c>
      <c r="BC584">
        <v>0</v>
      </c>
      <c r="BD584">
        <v>999</v>
      </c>
      <c r="BE584">
        <v>99</v>
      </c>
      <c r="BF584">
        <v>9</v>
      </c>
      <c r="BG584" t="s">
        <v>135</v>
      </c>
      <c r="BH584" t="s">
        <v>250</v>
      </c>
      <c r="BI584" t="s">
        <v>135</v>
      </c>
      <c r="BJ584">
        <v>0</v>
      </c>
      <c r="BK584">
        <v>0</v>
      </c>
      <c r="BL584">
        <v>0</v>
      </c>
      <c r="BM584">
        <v>7</v>
      </c>
      <c r="BN584">
        <v>7</v>
      </c>
      <c r="BO584" s="1">
        <v>1154.9000000000001</v>
      </c>
      <c r="BP584">
        <v>0</v>
      </c>
      <c r="BQ584" s="1">
        <v>1154.9000000000001</v>
      </c>
      <c r="BR584">
        <v>594.39</v>
      </c>
      <c r="BS584">
        <v>7</v>
      </c>
      <c r="BT584">
        <v>7</v>
      </c>
      <c r="BU584">
        <v>570.28</v>
      </c>
      <c r="BV584">
        <v>0</v>
      </c>
      <c r="BW584">
        <v>570.28</v>
      </c>
      <c r="BX584">
        <v>0</v>
      </c>
      <c r="BY584">
        <v>0</v>
      </c>
      <c r="BZ584">
        <v>0</v>
      </c>
      <c r="CA584">
        <v>0</v>
      </c>
      <c r="CB584">
        <v>731.24</v>
      </c>
      <c r="CC584" t="s">
        <v>161</v>
      </c>
    </row>
    <row r="585" spans="1:81" x14ac:dyDescent="0.25">
      <c r="A585">
        <v>345</v>
      </c>
      <c r="B585">
        <v>2</v>
      </c>
      <c r="C585">
        <v>930</v>
      </c>
      <c r="D585" t="s">
        <v>3334</v>
      </c>
      <c r="E585" t="s">
        <v>121</v>
      </c>
      <c r="F585" t="s">
        <v>3335</v>
      </c>
      <c r="G585" t="s">
        <v>3336</v>
      </c>
      <c r="H585" t="s">
        <v>3337</v>
      </c>
      <c r="I585" t="s">
        <v>3338</v>
      </c>
      <c r="J585" t="s">
        <v>3074</v>
      </c>
      <c r="K585" t="s">
        <v>1853</v>
      </c>
      <c r="L585" t="s">
        <v>128</v>
      </c>
      <c r="M585" t="s">
        <v>1854</v>
      </c>
      <c r="N585" t="s">
        <v>3339</v>
      </c>
      <c r="O585" t="s">
        <v>159</v>
      </c>
      <c r="P585">
        <v>0</v>
      </c>
      <c r="Q585" t="s">
        <v>125</v>
      </c>
      <c r="R585">
        <v>6</v>
      </c>
      <c r="S585">
        <v>37</v>
      </c>
      <c r="T585" t="s">
        <v>132</v>
      </c>
      <c r="U585" t="s">
        <v>133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134</v>
      </c>
      <c r="AE585" t="s">
        <v>134</v>
      </c>
      <c r="AF585" s="2">
        <v>45518</v>
      </c>
      <c r="AG585" s="2">
        <v>46018</v>
      </c>
      <c r="AH585" s="1">
        <v>1048.28</v>
      </c>
      <c r="AI585" s="1">
        <v>1956.22</v>
      </c>
      <c r="AJ585" s="1">
        <v>10482.86</v>
      </c>
      <c r="AK585">
        <v>0</v>
      </c>
      <c r="AL585">
        <v>0</v>
      </c>
      <c r="AM585">
        <v>0</v>
      </c>
      <c r="AN585" t="s">
        <v>135</v>
      </c>
      <c r="AO585" t="s">
        <v>135</v>
      </c>
      <c r="AP585" t="s">
        <v>136</v>
      </c>
      <c r="AQ585" t="s">
        <v>137</v>
      </c>
      <c r="AR585" t="s">
        <v>138</v>
      </c>
      <c r="AS585" t="s">
        <v>139</v>
      </c>
      <c r="AT585" t="s">
        <v>140</v>
      </c>
      <c r="AU585">
        <v>106</v>
      </c>
      <c r="AV585">
        <v>10</v>
      </c>
      <c r="AW585">
        <v>1</v>
      </c>
      <c r="AX585" s="2">
        <v>45813</v>
      </c>
      <c r="AY585" t="s">
        <v>308</v>
      </c>
      <c r="AZ585" s="2">
        <v>46023</v>
      </c>
      <c r="BA585">
        <v>0</v>
      </c>
      <c r="BB585">
        <v>0</v>
      </c>
      <c r="BC585">
        <v>0</v>
      </c>
      <c r="BD585">
        <v>700</v>
      </c>
      <c r="BE585">
        <v>70</v>
      </c>
      <c r="BF585">
        <v>9</v>
      </c>
      <c r="BG585" s="2">
        <v>45536</v>
      </c>
      <c r="BH585" t="s">
        <v>142</v>
      </c>
      <c r="BI585" s="2">
        <v>46026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s="1">
        <v>3476.4</v>
      </c>
      <c r="BQ585" s="1">
        <v>3476.4</v>
      </c>
      <c r="BR585">
        <v>0</v>
      </c>
      <c r="BS585">
        <v>0</v>
      </c>
      <c r="BT585">
        <v>0</v>
      </c>
      <c r="BU585">
        <v>0</v>
      </c>
      <c r="BV585" s="1">
        <v>3444.26</v>
      </c>
      <c r="BW585" s="1">
        <v>3444.26</v>
      </c>
      <c r="BX585">
        <v>0</v>
      </c>
      <c r="BY585">
        <v>0</v>
      </c>
      <c r="BZ585">
        <v>0</v>
      </c>
      <c r="CA585">
        <v>0</v>
      </c>
      <c r="CB585" s="1">
        <v>3057.8</v>
      </c>
      <c r="CC585" t="s">
        <v>161</v>
      </c>
    </row>
    <row r="586" spans="1:81" x14ac:dyDescent="0.25">
      <c r="A586">
        <v>345</v>
      </c>
      <c r="B586">
        <v>2</v>
      </c>
      <c r="C586">
        <v>931</v>
      </c>
      <c r="D586" t="s">
        <v>3340</v>
      </c>
      <c r="E586" t="s">
        <v>121</v>
      </c>
      <c r="F586" t="s">
        <v>3341</v>
      </c>
      <c r="G586" t="s">
        <v>3342</v>
      </c>
      <c r="H586" t="s">
        <v>3343</v>
      </c>
      <c r="I586" t="s">
        <v>3344</v>
      </c>
      <c r="J586" t="s">
        <v>3074</v>
      </c>
      <c r="K586" t="s">
        <v>1853</v>
      </c>
      <c r="L586" t="s">
        <v>128</v>
      </c>
      <c r="M586" t="s">
        <v>1854</v>
      </c>
      <c r="N586" t="s">
        <v>3345</v>
      </c>
      <c r="O586" t="s">
        <v>167</v>
      </c>
      <c r="P586">
        <v>0</v>
      </c>
      <c r="Q586" t="s">
        <v>125</v>
      </c>
      <c r="R586">
        <v>4</v>
      </c>
      <c r="S586">
        <v>79</v>
      </c>
      <c r="T586" t="s">
        <v>132</v>
      </c>
      <c r="U586" t="s">
        <v>133</v>
      </c>
      <c r="V586" s="1">
        <v>7000</v>
      </c>
      <c r="W586" s="1">
        <v>6717.64</v>
      </c>
      <c r="X586">
        <v>282.36</v>
      </c>
      <c r="Y586">
        <v>0</v>
      </c>
      <c r="Z586">
        <v>0</v>
      </c>
      <c r="AA586">
        <v>7</v>
      </c>
      <c r="AB586">
        <v>4</v>
      </c>
      <c r="AC586">
        <v>37</v>
      </c>
      <c r="AD586" t="s">
        <v>134</v>
      </c>
      <c r="AE586" t="s">
        <v>134</v>
      </c>
      <c r="AF586" s="2">
        <v>45518</v>
      </c>
      <c r="AG586" s="2">
        <v>45982</v>
      </c>
      <c r="AH586" s="1">
        <v>4114.6499999999996</v>
      </c>
      <c r="AI586" s="1">
        <v>6717.64</v>
      </c>
      <c r="AJ586" s="1">
        <v>28802.57</v>
      </c>
      <c r="AK586" s="1">
        <v>6717.64</v>
      </c>
      <c r="AL586">
        <v>0</v>
      </c>
      <c r="AM586">
        <v>0</v>
      </c>
      <c r="AN586" t="s">
        <v>135</v>
      </c>
      <c r="AO586" t="s">
        <v>135</v>
      </c>
      <c r="AP586" t="s">
        <v>136</v>
      </c>
      <c r="AQ586" t="s">
        <v>137</v>
      </c>
      <c r="AR586" t="s">
        <v>138</v>
      </c>
      <c r="AS586" t="s">
        <v>139</v>
      </c>
      <c r="AT586" t="s">
        <v>140</v>
      </c>
      <c r="AU586">
        <v>500</v>
      </c>
      <c r="AV586">
        <v>10</v>
      </c>
      <c r="AW586">
        <v>1</v>
      </c>
      <c r="AX586" s="2">
        <v>45838</v>
      </c>
      <c r="AY586" t="s">
        <v>141</v>
      </c>
      <c r="AZ586" s="2">
        <v>46027</v>
      </c>
      <c r="BA586">
        <v>0</v>
      </c>
      <c r="BB586">
        <v>0</v>
      </c>
      <c r="BC586">
        <v>0</v>
      </c>
      <c r="BD586">
        <v>700</v>
      </c>
      <c r="BE586">
        <v>70</v>
      </c>
      <c r="BF586">
        <v>9</v>
      </c>
      <c r="BG586" s="2">
        <v>45536</v>
      </c>
      <c r="BH586" t="s">
        <v>142</v>
      </c>
      <c r="BI586" s="2">
        <v>46026</v>
      </c>
      <c r="BJ586">
        <v>0</v>
      </c>
      <c r="BK586">
        <v>0</v>
      </c>
      <c r="BL586">
        <v>0</v>
      </c>
      <c r="BM586">
        <v>7</v>
      </c>
      <c r="BN586">
        <v>7</v>
      </c>
      <c r="BO586" s="1">
        <v>12582.18</v>
      </c>
      <c r="BP586">
        <v>0</v>
      </c>
      <c r="BQ586" s="1">
        <v>12582.18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s="1">
        <v>14823.62</v>
      </c>
      <c r="CC586" t="s">
        <v>161</v>
      </c>
    </row>
    <row r="587" spans="1:81" x14ac:dyDescent="0.25">
      <c r="A587">
        <v>345</v>
      </c>
      <c r="B587">
        <v>2</v>
      </c>
      <c r="C587">
        <v>932</v>
      </c>
      <c r="D587" t="s">
        <v>3346</v>
      </c>
      <c r="E587" t="s">
        <v>121</v>
      </c>
      <c r="F587" t="s">
        <v>1482</v>
      </c>
      <c r="G587" t="s">
        <v>3347</v>
      </c>
      <c r="H587" t="s">
        <v>3348</v>
      </c>
      <c r="I587" t="s">
        <v>3349</v>
      </c>
      <c r="J587" t="s">
        <v>1263</v>
      </c>
      <c r="K587" t="s">
        <v>466</v>
      </c>
      <c r="L587" t="s">
        <v>128</v>
      </c>
      <c r="M587" t="s">
        <v>467</v>
      </c>
      <c r="N587" t="s">
        <v>1485</v>
      </c>
      <c r="O587" t="s">
        <v>131</v>
      </c>
      <c r="P587">
        <v>0</v>
      </c>
      <c r="Q587" t="s">
        <v>125</v>
      </c>
      <c r="R587">
        <v>3</v>
      </c>
      <c r="S587">
        <v>87</v>
      </c>
      <c r="T587" t="s">
        <v>132</v>
      </c>
      <c r="U587" t="s">
        <v>133</v>
      </c>
      <c r="V587" s="1">
        <v>19100</v>
      </c>
      <c r="W587" s="1">
        <v>11758.18</v>
      </c>
      <c r="X587" s="1">
        <v>7341.82</v>
      </c>
      <c r="Y587">
        <v>7</v>
      </c>
      <c r="Z587">
        <v>0</v>
      </c>
      <c r="AA587">
        <v>7</v>
      </c>
      <c r="AB587">
        <v>0</v>
      </c>
      <c r="AC587">
        <v>0</v>
      </c>
      <c r="AD587" t="s">
        <v>134</v>
      </c>
      <c r="AE587" t="s">
        <v>134</v>
      </c>
      <c r="AF587" s="2">
        <v>45518</v>
      </c>
      <c r="AG587" s="2">
        <v>46015</v>
      </c>
      <c r="AH587" s="1">
        <v>1853.83</v>
      </c>
      <c r="AI587" s="1">
        <v>8944.35</v>
      </c>
      <c r="AJ587" s="1">
        <v>24099.8</v>
      </c>
      <c r="AK587">
        <v>0</v>
      </c>
      <c r="AL587" s="1">
        <v>11758.18</v>
      </c>
      <c r="AM587">
        <v>5.41</v>
      </c>
      <c r="AN587" t="s">
        <v>135</v>
      </c>
      <c r="AO587" t="s">
        <v>135</v>
      </c>
      <c r="AP587" t="s">
        <v>136</v>
      </c>
      <c r="AQ587" t="s">
        <v>137</v>
      </c>
      <c r="AR587" t="s">
        <v>138</v>
      </c>
      <c r="AS587" t="s">
        <v>150</v>
      </c>
      <c r="AT587" t="s">
        <v>140</v>
      </c>
      <c r="AU587">
        <v>500</v>
      </c>
      <c r="AV587">
        <v>10</v>
      </c>
      <c r="AW587">
        <v>1</v>
      </c>
      <c r="AX587" s="2">
        <v>45818</v>
      </c>
      <c r="AY587" t="s">
        <v>377</v>
      </c>
      <c r="AZ587" s="2">
        <v>46028</v>
      </c>
      <c r="BA587">
        <v>0</v>
      </c>
      <c r="BB587">
        <v>0</v>
      </c>
      <c r="BC587">
        <v>0</v>
      </c>
      <c r="BD587">
        <v>700</v>
      </c>
      <c r="BE587">
        <v>70</v>
      </c>
      <c r="BF587">
        <v>9</v>
      </c>
      <c r="BG587" s="2">
        <v>45536</v>
      </c>
      <c r="BH587" t="s">
        <v>142</v>
      </c>
      <c r="BI587" s="2">
        <v>46026</v>
      </c>
      <c r="BJ587">
        <v>0</v>
      </c>
      <c r="BK587">
        <v>0</v>
      </c>
      <c r="BL587">
        <v>0</v>
      </c>
      <c r="BM587">
        <v>7</v>
      </c>
      <c r="BN587">
        <v>7</v>
      </c>
      <c r="BO587" s="1">
        <v>3555.48</v>
      </c>
      <c r="BP587">
        <v>0</v>
      </c>
      <c r="BQ587" s="1">
        <v>3555.48</v>
      </c>
      <c r="BR587">
        <v>636.49</v>
      </c>
      <c r="BS587">
        <v>7</v>
      </c>
      <c r="BT587">
        <v>7</v>
      </c>
      <c r="BU587" s="1">
        <v>14973.03</v>
      </c>
      <c r="BV587">
        <v>0</v>
      </c>
      <c r="BW587" s="1">
        <v>14973.03</v>
      </c>
      <c r="BX587" s="1">
        <v>8944.35</v>
      </c>
      <c r="BY587">
        <v>59.74</v>
      </c>
      <c r="BZ587">
        <v>0</v>
      </c>
      <c r="CA587">
        <v>0</v>
      </c>
      <c r="CB587" s="1">
        <v>4279.17</v>
      </c>
      <c r="CC587" t="s">
        <v>143</v>
      </c>
    </row>
    <row r="588" spans="1:81" x14ac:dyDescent="0.25">
      <c r="A588">
        <v>345</v>
      </c>
      <c r="B588">
        <v>2</v>
      </c>
      <c r="C588">
        <v>933</v>
      </c>
      <c r="D588" t="s">
        <v>3350</v>
      </c>
      <c r="E588" t="s">
        <v>121</v>
      </c>
      <c r="F588" t="s">
        <v>3351</v>
      </c>
      <c r="G588" t="s">
        <v>3352</v>
      </c>
      <c r="H588" t="s">
        <v>3353</v>
      </c>
      <c r="I588" t="s">
        <v>3354</v>
      </c>
      <c r="J588" t="s">
        <v>3074</v>
      </c>
      <c r="K588" t="s">
        <v>1853</v>
      </c>
      <c r="L588" t="s">
        <v>128</v>
      </c>
      <c r="M588" t="s">
        <v>1854</v>
      </c>
      <c r="N588" t="s">
        <v>3355</v>
      </c>
      <c r="O588" t="s">
        <v>159</v>
      </c>
      <c r="P588">
        <v>0</v>
      </c>
      <c r="Q588" t="s">
        <v>125</v>
      </c>
      <c r="R588">
        <v>4</v>
      </c>
      <c r="S588">
        <v>78</v>
      </c>
      <c r="T588" t="s">
        <v>132</v>
      </c>
      <c r="U588" t="s">
        <v>133</v>
      </c>
      <c r="V588">
        <v>575</v>
      </c>
      <c r="W588">
        <v>0</v>
      </c>
      <c r="X588">
        <v>575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134</v>
      </c>
      <c r="AE588" t="s">
        <v>134</v>
      </c>
      <c r="AF588" s="2">
        <v>45518</v>
      </c>
      <c r="AG588" s="2">
        <v>45988</v>
      </c>
      <c r="AH588">
        <v>318.02</v>
      </c>
      <c r="AI588">
        <v>650</v>
      </c>
      <c r="AJ588" s="1">
        <v>2226.19</v>
      </c>
      <c r="AK588">
        <v>0</v>
      </c>
      <c r="AL588">
        <v>0</v>
      </c>
      <c r="AM588">
        <v>0</v>
      </c>
      <c r="AN588" t="s">
        <v>135</v>
      </c>
      <c r="AO588" t="s">
        <v>135</v>
      </c>
      <c r="AP588" t="s">
        <v>136</v>
      </c>
      <c r="AQ588" t="s">
        <v>137</v>
      </c>
      <c r="AR588" t="s">
        <v>138</v>
      </c>
      <c r="AS588" t="s">
        <v>150</v>
      </c>
      <c r="AT588" t="s">
        <v>140</v>
      </c>
      <c r="AU588">
        <v>106</v>
      </c>
      <c r="AV588">
        <v>10</v>
      </c>
      <c r="AW588">
        <v>1</v>
      </c>
      <c r="AX588" s="2">
        <v>45812</v>
      </c>
      <c r="AY588" t="s">
        <v>168</v>
      </c>
      <c r="AZ588" s="2">
        <v>46022</v>
      </c>
      <c r="BA588">
        <v>0</v>
      </c>
      <c r="BB588">
        <v>0</v>
      </c>
      <c r="BC588">
        <v>0</v>
      </c>
      <c r="BD588">
        <v>700</v>
      </c>
      <c r="BE588">
        <v>70</v>
      </c>
      <c r="BF588">
        <v>9</v>
      </c>
      <c r="BG588" s="2">
        <v>45536</v>
      </c>
      <c r="BH588" t="s">
        <v>142</v>
      </c>
      <c r="BI588" s="2">
        <v>46026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933.9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s="1">
        <v>1173.1199999999999</v>
      </c>
      <c r="CC588" t="s">
        <v>161</v>
      </c>
    </row>
    <row r="589" spans="1:81" x14ac:dyDescent="0.25">
      <c r="A589">
        <v>345</v>
      </c>
      <c r="B589">
        <v>2</v>
      </c>
      <c r="C589">
        <v>934</v>
      </c>
      <c r="D589" t="s">
        <v>3356</v>
      </c>
      <c r="E589" t="s">
        <v>121</v>
      </c>
      <c r="F589" t="s">
        <v>3357</v>
      </c>
      <c r="G589" t="s">
        <v>3358</v>
      </c>
      <c r="H589" t="s">
        <v>3183</v>
      </c>
      <c r="I589" t="s">
        <v>125</v>
      </c>
      <c r="J589" t="s">
        <v>3074</v>
      </c>
      <c r="K589" t="s">
        <v>1853</v>
      </c>
      <c r="L589" t="s">
        <v>128</v>
      </c>
      <c r="M589" t="s">
        <v>1854</v>
      </c>
      <c r="N589" t="s">
        <v>3359</v>
      </c>
      <c r="O589" t="s">
        <v>159</v>
      </c>
      <c r="P589">
        <v>0</v>
      </c>
      <c r="Q589" t="s">
        <v>125</v>
      </c>
      <c r="R589">
        <v>6</v>
      </c>
      <c r="S589">
        <v>37</v>
      </c>
      <c r="T589" t="s">
        <v>132</v>
      </c>
      <c r="U589" t="s">
        <v>133</v>
      </c>
      <c r="V589" s="1">
        <v>1000</v>
      </c>
      <c r="W589">
        <v>0</v>
      </c>
      <c r="X589" s="1">
        <v>1000</v>
      </c>
      <c r="Y589">
        <v>7</v>
      </c>
      <c r="Z589">
        <v>0</v>
      </c>
      <c r="AA589">
        <v>0</v>
      </c>
      <c r="AB589">
        <v>0</v>
      </c>
      <c r="AC589">
        <v>0</v>
      </c>
      <c r="AD589" t="s">
        <v>134</v>
      </c>
      <c r="AE589" t="s">
        <v>134</v>
      </c>
      <c r="AF589" s="2">
        <v>45518</v>
      </c>
      <c r="AG589" s="2">
        <v>45987</v>
      </c>
      <c r="AH589">
        <v>181.9</v>
      </c>
      <c r="AI589">
        <v>181.9</v>
      </c>
      <c r="AJ589">
        <v>545.70000000000005</v>
      </c>
      <c r="AK589">
        <v>0</v>
      </c>
      <c r="AL589">
        <v>0</v>
      </c>
      <c r="AM589">
        <v>0</v>
      </c>
      <c r="AN589" t="s">
        <v>135</v>
      </c>
      <c r="AO589" t="s">
        <v>135</v>
      </c>
      <c r="AP589" t="s">
        <v>136</v>
      </c>
      <c r="AQ589" t="s">
        <v>137</v>
      </c>
      <c r="AR589" t="s">
        <v>138</v>
      </c>
      <c r="AS589" t="s">
        <v>150</v>
      </c>
      <c r="AT589" t="s">
        <v>140</v>
      </c>
      <c r="AU589">
        <v>106</v>
      </c>
      <c r="AV589">
        <v>10</v>
      </c>
      <c r="AW589">
        <v>1</v>
      </c>
      <c r="AX589" s="2">
        <v>45839</v>
      </c>
      <c r="AY589" t="s">
        <v>377</v>
      </c>
      <c r="AZ589" s="2">
        <v>46028</v>
      </c>
      <c r="BA589">
        <v>0</v>
      </c>
      <c r="BB589">
        <v>0</v>
      </c>
      <c r="BC589">
        <v>0</v>
      </c>
      <c r="BD589">
        <v>700</v>
      </c>
      <c r="BE589">
        <v>70</v>
      </c>
      <c r="BF589">
        <v>9</v>
      </c>
      <c r="BG589" s="2">
        <v>45536</v>
      </c>
      <c r="BH589" t="s">
        <v>142</v>
      </c>
      <c r="BI589" s="2">
        <v>46026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363.8</v>
      </c>
      <c r="BQ589">
        <v>363.8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181.9</v>
      </c>
      <c r="CC589" t="s">
        <v>161</v>
      </c>
    </row>
    <row r="590" spans="1:81" x14ac:dyDescent="0.25">
      <c r="A590">
        <v>345</v>
      </c>
      <c r="B590">
        <v>2</v>
      </c>
      <c r="C590">
        <v>935</v>
      </c>
      <c r="D590" t="s">
        <v>3360</v>
      </c>
      <c r="E590" t="s">
        <v>121</v>
      </c>
      <c r="F590" t="s">
        <v>3361</v>
      </c>
      <c r="G590" t="s">
        <v>3362</v>
      </c>
      <c r="H590" t="s">
        <v>3363</v>
      </c>
      <c r="I590" t="s">
        <v>3364</v>
      </c>
      <c r="J590" t="s">
        <v>1263</v>
      </c>
      <c r="K590" t="s">
        <v>466</v>
      </c>
      <c r="L590" t="s">
        <v>128</v>
      </c>
      <c r="M590" t="s">
        <v>467</v>
      </c>
      <c r="N590" t="s">
        <v>3365</v>
      </c>
      <c r="O590" t="s">
        <v>159</v>
      </c>
      <c r="P590">
        <v>0</v>
      </c>
      <c r="Q590" t="s">
        <v>125</v>
      </c>
      <c r="R590">
        <v>6</v>
      </c>
      <c r="S590">
        <v>42</v>
      </c>
      <c r="T590" t="s">
        <v>132</v>
      </c>
      <c r="U590" t="s">
        <v>133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234</v>
      </c>
      <c r="AE590" t="s">
        <v>134</v>
      </c>
      <c r="AF590" s="2">
        <v>45518</v>
      </c>
      <c r="AG590" s="2">
        <v>46021</v>
      </c>
      <c r="AH590" s="1">
        <v>1762.21</v>
      </c>
      <c r="AI590" s="1">
        <v>2833.13</v>
      </c>
      <c r="AJ590" s="1">
        <v>24670.99</v>
      </c>
      <c r="AK590">
        <v>0</v>
      </c>
      <c r="AL590">
        <v>0</v>
      </c>
      <c r="AM590">
        <v>0</v>
      </c>
      <c r="AN590" t="s">
        <v>135</v>
      </c>
      <c r="AO590" t="s">
        <v>135</v>
      </c>
      <c r="AP590" t="s">
        <v>136</v>
      </c>
      <c r="AQ590" t="s">
        <v>137</v>
      </c>
      <c r="AR590" t="s">
        <v>138</v>
      </c>
      <c r="AS590" t="s">
        <v>150</v>
      </c>
      <c r="AT590" t="s">
        <v>140</v>
      </c>
      <c r="AU590">
        <v>106</v>
      </c>
      <c r="AV590">
        <v>10</v>
      </c>
      <c r="AW590">
        <v>1</v>
      </c>
      <c r="AX590" s="2">
        <v>45814</v>
      </c>
      <c r="AY590" t="s">
        <v>151</v>
      </c>
      <c r="AZ590" s="2">
        <v>46024</v>
      </c>
      <c r="BA590">
        <v>0</v>
      </c>
      <c r="BB590">
        <v>0</v>
      </c>
      <c r="BC590">
        <v>0</v>
      </c>
      <c r="BD590">
        <v>700</v>
      </c>
      <c r="BE590">
        <v>70</v>
      </c>
      <c r="BF590">
        <v>9</v>
      </c>
      <c r="BG590" s="2">
        <v>45536</v>
      </c>
      <c r="BH590" t="s">
        <v>142</v>
      </c>
      <c r="BI590" s="2">
        <v>46026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s="1">
        <v>10029.9</v>
      </c>
      <c r="BQ590" s="1">
        <v>10029.9</v>
      </c>
      <c r="BR590">
        <v>0</v>
      </c>
      <c r="BS590">
        <v>0</v>
      </c>
      <c r="BT590">
        <v>0</v>
      </c>
      <c r="BU590">
        <v>0</v>
      </c>
      <c r="BV590" s="1">
        <v>8962.43</v>
      </c>
      <c r="BW590" s="1">
        <v>8962.43</v>
      </c>
      <c r="BX590">
        <v>0</v>
      </c>
      <c r="BY590">
        <v>0</v>
      </c>
      <c r="BZ590">
        <v>0</v>
      </c>
      <c r="CA590">
        <v>0</v>
      </c>
      <c r="CB590" s="1">
        <v>6825.68</v>
      </c>
      <c r="CC590" t="s">
        <v>161</v>
      </c>
    </row>
    <row r="591" spans="1:81" x14ac:dyDescent="0.25">
      <c r="A591">
        <v>345</v>
      </c>
      <c r="B591">
        <v>2</v>
      </c>
      <c r="C591">
        <v>936</v>
      </c>
      <c r="D591" t="s">
        <v>3366</v>
      </c>
      <c r="E591" t="s">
        <v>121</v>
      </c>
      <c r="F591" t="s">
        <v>3367</v>
      </c>
      <c r="G591" t="s">
        <v>3368</v>
      </c>
      <c r="H591" t="s">
        <v>3369</v>
      </c>
      <c r="I591" t="s">
        <v>125</v>
      </c>
      <c r="J591" t="s">
        <v>126</v>
      </c>
      <c r="K591" t="s">
        <v>1853</v>
      </c>
      <c r="L591" t="s">
        <v>128</v>
      </c>
      <c r="M591" t="s">
        <v>1854</v>
      </c>
      <c r="N591" t="s">
        <v>3370</v>
      </c>
      <c r="O591" t="s">
        <v>131</v>
      </c>
      <c r="P591">
        <v>0</v>
      </c>
      <c r="Q591" t="s">
        <v>125</v>
      </c>
      <c r="R591">
        <v>3</v>
      </c>
      <c r="S591">
        <v>87</v>
      </c>
      <c r="T591" t="s">
        <v>132</v>
      </c>
      <c r="U591" t="s">
        <v>133</v>
      </c>
      <c r="V591" s="1">
        <v>4700</v>
      </c>
      <c r="W591">
        <v>0</v>
      </c>
      <c r="X591" s="1">
        <v>4700</v>
      </c>
      <c r="Y591">
        <v>7</v>
      </c>
      <c r="Z591">
        <v>0</v>
      </c>
      <c r="AA591">
        <v>0</v>
      </c>
      <c r="AB591">
        <v>0</v>
      </c>
      <c r="AC591">
        <v>0</v>
      </c>
      <c r="AD591" t="s">
        <v>134</v>
      </c>
      <c r="AE591" t="s">
        <v>134</v>
      </c>
      <c r="AF591" s="2">
        <v>45518</v>
      </c>
      <c r="AG591" s="2">
        <v>46015</v>
      </c>
      <c r="AH591" s="1">
        <v>2167.6</v>
      </c>
      <c r="AI591" s="1">
        <v>3609.3</v>
      </c>
      <c r="AJ591" s="1">
        <v>28178.9</v>
      </c>
      <c r="AK591">
        <v>0</v>
      </c>
      <c r="AL591" s="1">
        <v>3609.3</v>
      </c>
      <c r="AM591">
        <v>0</v>
      </c>
      <c r="AN591" t="s">
        <v>135</v>
      </c>
      <c r="AO591" t="s">
        <v>135</v>
      </c>
      <c r="AP591" t="s">
        <v>136</v>
      </c>
      <c r="AQ591" t="s">
        <v>137</v>
      </c>
      <c r="AR591" t="s">
        <v>138</v>
      </c>
      <c r="AS591" t="s">
        <v>150</v>
      </c>
      <c r="AT591" t="s">
        <v>140</v>
      </c>
      <c r="AU591">
        <v>106</v>
      </c>
      <c r="AV591">
        <v>10</v>
      </c>
      <c r="AW591">
        <v>1</v>
      </c>
      <c r="AX591" s="2">
        <v>45810</v>
      </c>
      <c r="AY591" t="s">
        <v>141</v>
      </c>
      <c r="AZ591" s="2">
        <v>46027</v>
      </c>
      <c r="BA591">
        <v>0</v>
      </c>
      <c r="BB591">
        <v>0</v>
      </c>
      <c r="BC591">
        <v>0</v>
      </c>
      <c r="BD591">
        <v>700</v>
      </c>
      <c r="BE591">
        <v>70</v>
      </c>
      <c r="BF591">
        <v>9</v>
      </c>
      <c r="BG591" s="2">
        <v>45536</v>
      </c>
      <c r="BH591" t="s">
        <v>142</v>
      </c>
      <c r="BI591" s="2">
        <v>46026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s="1">
        <v>7617.67</v>
      </c>
      <c r="BQ591" s="1">
        <v>7617.67</v>
      </c>
      <c r="BR591">
        <v>0</v>
      </c>
      <c r="BS591">
        <v>0</v>
      </c>
      <c r="BT591">
        <v>0</v>
      </c>
      <c r="BU591">
        <v>0</v>
      </c>
      <c r="BV591" s="1">
        <v>11800.74</v>
      </c>
      <c r="BW591" s="1">
        <v>11800.74</v>
      </c>
      <c r="BX591">
        <v>0</v>
      </c>
      <c r="BY591">
        <v>0</v>
      </c>
      <c r="BZ591">
        <v>0</v>
      </c>
      <c r="CA591">
        <v>0</v>
      </c>
      <c r="CB591" s="1">
        <v>8021.25</v>
      </c>
      <c r="CC591" t="s">
        <v>143</v>
      </c>
    </row>
    <row r="592" spans="1:81" x14ac:dyDescent="0.25">
      <c r="A592">
        <v>345</v>
      </c>
      <c r="B592">
        <v>2</v>
      </c>
      <c r="C592">
        <v>937</v>
      </c>
      <c r="D592" t="s">
        <v>3371</v>
      </c>
      <c r="E592" t="s">
        <v>121</v>
      </c>
      <c r="F592" t="s">
        <v>3372</v>
      </c>
      <c r="G592" t="s">
        <v>3373</v>
      </c>
      <c r="H592" t="s">
        <v>3374</v>
      </c>
      <c r="I592" t="s">
        <v>3375</v>
      </c>
      <c r="J592" t="s">
        <v>1263</v>
      </c>
      <c r="K592" t="s">
        <v>466</v>
      </c>
      <c r="L592" t="s">
        <v>128</v>
      </c>
      <c r="M592" t="s">
        <v>467</v>
      </c>
      <c r="N592" t="s">
        <v>3376</v>
      </c>
      <c r="O592" t="s">
        <v>131</v>
      </c>
      <c r="P592">
        <v>0</v>
      </c>
      <c r="Q592" t="s">
        <v>125</v>
      </c>
      <c r="R592">
        <v>6</v>
      </c>
      <c r="S592">
        <v>45</v>
      </c>
      <c r="T592" t="s">
        <v>132</v>
      </c>
      <c r="U592" t="s">
        <v>133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134</v>
      </c>
      <c r="AE592" t="s">
        <v>134</v>
      </c>
      <c r="AF592" s="2">
        <v>45518</v>
      </c>
      <c r="AG592" s="2">
        <v>46013</v>
      </c>
      <c r="AH592">
        <v>119.38</v>
      </c>
      <c r="AI592">
        <v>145.44</v>
      </c>
      <c r="AJ592">
        <v>238.76</v>
      </c>
      <c r="AK592">
        <v>0</v>
      </c>
      <c r="AL592">
        <v>0</v>
      </c>
      <c r="AM592">
        <v>0</v>
      </c>
      <c r="AN592" t="s">
        <v>135</v>
      </c>
      <c r="AO592" t="s">
        <v>135</v>
      </c>
      <c r="AP592" t="s">
        <v>136</v>
      </c>
      <c r="AQ592" t="s">
        <v>137</v>
      </c>
      <c r="AR592" t="s">
        <v>138</v>
      </c>
      <c r="AS592" t="s">
        <v>150</v>
      </c>
      <c r="AT592" t="s">
        <v>140</v>
      </c>
      <c r="AU592">
        <v>106</v>
      </c>
      <c r="AV592">
        <v>10</v>
      </c>
      <c r="AW592">
        <v>1</v>
      </c>
      <c r="AX592" s="2">
        <v>45815</v>
      </c>
      <c r="AY592" t="s">
        <v>160</v>
      </c>
      <c r="AZ592" s="2">
        <v>46025</v>
      </c>
      <c r="BA592">
        <v>0</v>
      </c>
      <c r="BB592">
        <v>0</v>
      </c>
      <c r="BC592">
        <v>0</v>
      </c>
      <c r="BD592">
        <v>700</v>
      </c>
      <c r="BE592">
        <v>70</v>
      </c>
      <c r="BF592">
        <v>9</v>
      </c>
      <c r="BG592" s="2">
        <v>45536</v>
      </c>
      <c r="BH592" t="s">
        <v>142</v>
      </c>
      <c r="BI592" s="2">
        <v>46026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93.32</v>
      </c>
      <c r="BW592">
        <v>93.32</v>
      </c>
      <c r="BX592">
        <v>0</v>
      </c>
      <c r="BY592">
        <v>0</v>
      </c>
      <c r="BZ592">
        <v>0</v>
      </c>
      <c r="CA592">
        <v>0</v>
      </c>
      <c r="CB592">
        <v>148.97999999999999</v>
      </c>
      <c r="CC592" t="s">
        <v>143</v>
      </c>
    </row>
    <row r="593" spans="1:81" x14ac:dyDescent="0.25">
      <c r="A593">
        <v>345</v>
      </c>
      <c r="B593">
        <v>2</v>
      </c>
      <c r="C593">
        <v>938</v>
      </c>
      <c r="D593" t="s">
        <v>3377</v>
      </c>
      <c r="E593" t="s">
        <v>121</v>
      </c>
      <c r="F593" t="s">
        <v>3378</v>
      </c>
      <c r="G593" t="s">
        <v>3379</v>
      </c>
      <c r="H593" t="s">
        <v>3380</v>
      </c>
      <c r="I593" t="s">
        <v>3381</v>
      </c>
      <c r="J593" t="s">
        <v>1465</v>
      </c>
      <c r="K593" t="s">
        <v>466</v>
      </c>
      <c r="L593" t="s">
        <v>128</v>
      </c>
      <c r="M593" t="s">
        <v>467</v>
      </c>
      <c r="N593" t="s">
        <v>3382</v>
      </c>
      <c r="O593" t="s">
        <v>131</v>
      </c>
      <c r="P593">
        <v>0</v>
      </c>
      <c r="Q593" t="s">
        <v>125</v>
      </c>
      <c r="R593">
        <v>6</v>
      </c>
      <c r="S593">
        <v>38</v>
      </c>
      <c r="T593" t="s">
        <v>132</v>
      </c>
      <c r="U593" t="s">
        <v>133</v>
      </c>
      <c r="V593" s="1">
        <v>2000</v>
      </c>
      <c r="W593">
        <v>0</v>
      </c>
      <c r="X593" s="1">
        <v>2000</v>
      </c>
      <c r="Y593">
        <v>7</v>
      </c>
      <c r="Z593">
        <v>0</v>
      </c>
      <c r="AA593">
        <v>0</v>
      </c>
      <c r="AB593">
        <v>0</v>
      </c>
      <c r="AC593">
        <v>0</v>
      </c>
      <c r="AD593" t="s">
        <v>134</v>
      </c>
      <c r="AE593" t="s">
        <v>134</v>
      </c>
      <c r="AF593" s="2">
        <v>45518</v>
      </c>
      <c r="AG593" s="2">
        <v>46017</v>
      </c>
      <c r="AH593">
        <v>361.5</v>
      </c>
      <c r="AI593">
        <v>505.19</v>
      </c>
      <c r="AJ593" s="1">
        <v>3615.05</v>
      </c>
      <c r="AK593">
        <v>0</v>
      </c>
      <c r="AL593">
        <v>0</v>
      </c>
      <c r="AM593">
        <v>0</v>
      </c>
      <c r="AN593" t="s">
        <v>135</v>
      </c>
      <c r="AO593" t="s">
        <v>135</v>
      </c>
      <c r="AP593" t="s">
        <v>136</v>
      </c>
      <c r="AQ593" t="s">
        <v>137</v>
      </c>
      <c r="AR593" t="s">
        <v>138</v>
      </c>
      <c r="AS593" t="s">
        <v>139</v>
      </c>
      <c r="AT593" t="s">
        <v>140</v>
      </c>
      <c r="AU593">
        <v>100</v>
      </c>
      <c r="AV593">
        <v>10</v>
      </c>
      <c r="AW593">
        <v>1</v>
      </c>
      <c r="AX593" s="2">
        <v>45840</v>
      </c>
      <c r="AY593" t="s">
        <v>168</v>
      </c>
      <c r="AZ593" s="2">
        <v>46022</v>
      </c>
      <c r="BA593">
        <v>0</v>
      </c>
      <c r="BB593">
        <v>0</v>
      </c>
      <c r="BC593">
        <v>0</v>
      </c>
      <c r="BD593">
        <v>700</v>
      </c>
      <c r="BE593">
        <v>70</v>
      </c>
      <c r="BF593">
        <v>9</v>
      </c>
      <c r="BG593" s="2">
        <v>45536</v>
      </c>
      <c r="BH593" t="s">
        <v>142</v>
      </c>
      <c r="BI593" s="2">
        <v>46026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s="1">
        <v>1346.01</v>
      </c>
      <c r="BQ593" s="1">
        <v>1346.01</v>
      </c>
      <c r="BR593">
        <v>0</v>
      </c>
      <c r="BS593">
        <v>0</v>
      </c>
      <c r="BT593">
        <v>0</v>
      </c>
      <c r="BU593">
        <v>0</v>
      </c>
      <c r="BV593" s="1">
        <v>1152.28</v>
      </c>
      <c r="BW593" s="1">
        <v>1152.28</v>
      </c>
      <c r="BX593">
        <v>0</v>
      </c>
      <c r="BY593">
        <v>0</v>
      </c>
      <c r="BZ593">
        <v>0</v>
      </c>
      <c r="CA593">
        <v>0</v>
      </c>
      <c r="CB593" s="1">
        <v>1176.7</v>
      </c>
      <c r="CC593" t="s">
        <v>143</v>
      </c>
    </row>
    <row r="594" spans="1:81" x14ac:dyDescent="0.25">
      <c r="A594">
        <v>345</v>
      </c>
      <c r="B594">
        <v>2</v>
      </c>
      <c r="C594">
        <v>940</v>
      </c>
      <c r="D594" t="s">
        <v>3383</v>
      </c>
      <c r="E594" t="s">
        <v>121</v>
      </c>
      <c r="F594" t="s">
        <v>3384</v>
      </c>
      <c r="G594" t="s">
        <v>3385</v>
      </c>
      <c r="H594" t="s">
        <v>3386</v>
      </c>
      <c r="I594" t="s">
        <v>3387</v>
      </c>
      <c r="J594" t="s">
        <v>1263</v>
      </c>
      <c r="K594" t="s">
        <v>466</v>
      </c>
      <c r="L594" t="s">
        <v>128</v>
      </c>
      <c r="M594" t="s">
        <v>467</v>
      </c>
      <c r="N594" t="s">
        <v>3388</v>
      </c>
      <c r="O594" t="s">
        <v>131</v>
      </c>
      <c r="P594">
        <v>0</v>
      </c>
      <c r="Q594" t="s">
        <v>125</v>
      </c>
      <c r="R594">
        <v>6</v>
      </c>
      <c r="S594">
        <v>43</v>
      </c>
      <c r="T594" t="s">
        <v>132</v>
      </c>
      <c r="U594" t="s">
        <v>133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134</v>
      </c>
      <c r="AE594" t="s">
        <v>134</v>
      </c>
      <c r="AF594" s="2">
        <v>45518</v>
      </c>
      <c r="AG594" s="2">
        <v>46020</v>
      </c>
      <c r="AH594">
        <v>142.35</v>
      </c>
      <c r="AI594">
        <v>157.54</v>
      </c>
      <c r="AJ594">
        <v>854.15</v>
      </c>
      <c r="AK594">
        <v>0</v>
      </c>
      <c r="AL594">
        <v>0</v>
      </c>
      <c r="AM594">
        <v>0</v>
      </c>
      <c r="AN594" t="s">
        <v>135</v>
      </c>
      <c r="AO594" t="s">
        <v>135</v>
      </c>
      <c r="AP594" t="s">
        <v>136</v>
      </c>
      <c r="AQ594" t="s">
        <v>137</v>
      </c>
      <c r="AR594" t="s">
        <v>138</v>
      </c>
      <c r="AS594" t="s">
        <v>150</v>
      </c>
      <c r="AT594" t="s">
        <v>140</v>
      </c>
      <c r="AU594">
        <v>106</v>
      </c>
      <c r="AV594">
        <v>10</v>
      </c>
      <c r="AW594">
        <v>1</v>
      </c>
      <c r="AX594" s="2">
        <v>45815</v>
      </c>
      <c r="AY594" t="s">
        <v>160</v>
      </c>
      <c r="AZ594" s="2">
        <v>46025</v>
      </c>
      <c r="BA594">
        <v>0</v>
      </c>
      <c r="BB594">
        <v>0</v>
      </c>
      <c r="BC594">
        <v>0</v>
      </c>
      <c r="BD594">
        <v>700</v>
      </c>
      <c r="BE594">
        <v>70</v>
      </c>
      <c r="BF594">
        <v>9</v>
      </c>
      <c r="BG594" s="2">
        <v>45536</v>
      </c>
      <c r="BH594" t="s">
        <v>142</v>
      </c>
      <c r="BI594" s="2">
        <v>46026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149.77000000000001</v>
      </c>
      <c r="BQ594">
        <v>149.77000000000001</v>
      </c>
      <c r="BR594">
        <v>0</v>
      </c>
      <c r="BS594">
        <v>0</v>
      </c>
      <c r="BT594">
        <v>0</v>
      </c>
      <c r="BU594">
        <v>0</v>
      </c>
      <c r="BV594">
        <v>573.77</v>
      </c>
      <c r="BW594">
        <v>573.77</v>
      </c>
      <c r="BX594">
        <v>0</v>
      </c>
      <c r="BY594">
        <v>0</v>
      </c>
      <c r="BZ594">
        <v>0</v>
      </c>
      <c r="CA594">
        <v>0</v>
      </c>
      <c r="CB594">
        <v>209.72</v>
      </c>
      <c r="CC594" t="s">
        <v>143</v>
      </c>
    </row>
    <row r="595" spans="1:81" x14ac:dyDescent="0.25">
      <c r="A595">
        <v>345</v>
      </c>
      <c r="B595">
        <v>2</v>
      </c>
      <c r="C595">
        <v>941</v>
      </c>
      <c r="D595" t="s">
        <v>3389</v>
      </c>
      <c r="E595" t="s">
        <v>121</v>
      </c>
      <c r="F595" t="s">
        <v>3390</v>
      </c>
      <c r="G595" t="s">
        <v>3391</v>
      </c>
      <c r="H595" t="s">
        <v>3392</v>
      </c>
      <c r="I595" t="s">
        <v>3393</v>
      </c>
      <c r="J595" t="s">
        <v>1263</v>
      </c>
      <c r="K595" t="s">
        <v>466</v>
      </c>
      <c r="L595" t="s">
        <v>128</v>
      </c>
      <c r="M595" t="s">
        <v>467</v>
      </c>
      <c r="N595" t="s">
        <v>3394</v>
      </c>
      <c r="O595" t="s">
        <v>131</v>
      </c>
      <c r="P595">
        <v>0</v>
      </c>
      <c r="Q595" t="s">
        <v>125</v>
      </c>
      <c r="R595">
        <v>6</v>
      </c>
      <c r="S595">
        <v>39</v>
      </c>
      <c r="T595" t="s">
        <v>132</v>
      </c>
      <c r="U595" t="s">
        <v>133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134</v>
      </c>
      <c r="AE595" t="s">
        <v>134</v>
      </c>
      <c r="AF595" s="2">
        <v>45518</v>
      </c>
      <c r="AG595" s="2">
        <v>45962</v>
      </c>
      <c r="AH595">
        <v>388.66</v>
      </c>
      <c r="AI595">
        <v>388.66</v>
      </c>
      <c r="AJ595">
        <v>388.66</v>
      </c>
      <c r="AK595">
        <v>0</v>
      </c>
      <c r="AL595">
        <v>0</v>
      </c>
      <c r="AM595">
        <v>0</v>
      </c>
      <c r="AN595" t="s">
        <v>135</v>
      </c>
      <c r="AO595" t="s">
        <v>135</v>
      </c>
      <c r="AP595" t="s">
        <v>136</v>
      </c>
      <c r="AQ595" t="s">
        <v>137</v>
      </c>
      <c r="AR595" t="s">
        <v>138</v>
      </c>
      <c r="AS595" t="s">
        <v>139</v>
      </c>
      <c r="AT595" t="s">
        <v>140</v>
      </c>
      <c r="AU595">
        <v>106</v>
      </c>
      <c r="AV595">
        <v>10</v>
      </c>
      <c r="AW595">
        <v>1</v>
      </c>
      <c r="AX595" s="2">
        <v>45828</v>
      </c>
      <c r="AY595" t="s">
        <v>151</v>
      </c>
      <c r="AZ595" s="2">
        <v>46024</v>
      </c>
      <c r="BA595">
        <v>0</v>
      </c>
      <c r="BB595">
        <v>0</v>
      </c>
      <c r="BC595">
        <v>0</v>
      </c>
      <c r="BD595">
        <v>700</v>
      </c>
      <c r="BE595">
        <v>70</v>
      </c>
      <c r="BF595">
        <v>9</v>
      </c>
      <c r="BG595" s="2">
        <v>45536</v>
      </c>
      <c r="BH595" t="s">
        <v>142</v>
      </c>
      <c r="BI595" s="2">
        <v>46026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388.66</v>
      </c>
      <c r="BQ595">
        <v>388.66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434.65</v>
      </c>
      <c r="CC595" t="s">
        <v>143</v>
      </c>
    </row>
    <row r="596" spans="1:81" x14ac:dyDescent="0.25">
      <c r="A596">
        <v>345</v>
      </c>
      <c r="B596">
        <v>2</v>
      </c>
      <c r="C596">
        <v>942</v>
      </c>
      <c r="D596" t="s">
        <v>3395</v>
      </c>
      <c r="E596" t="s">
        <v>121</v>
      </c>
      <c r="F596" t="s">
        <v>3396</v>
      </c>
      <c r="G596" t="s">
        <v>3397</v>
      </c>
      <c r="H596" t="s">
        <v>3398</v>
      </c>
      <c r="I596" t="s">
        <v>3399</v>
      </c>
      <c r="J596" t="s">
        <v>3080</v>
      </c>
      <c r="K596" t="s">
        <v>336</v>
      </c>
      <c r="L596" t="s">
        <v>128</v>
      </c>
      <c r="M596" t="s">
        <v>337</v>
      </c>
      <c r="N596" t="s">
        <v>3400</v>
      </c>
      <c r="O596" t="s">
        <v>167</v>
      </c>
      <c r="P596">
        <v>0</v>
      </c>
      <c r="Q596" t="s">
        <v>125</v>
      </c>
      <c r="R596">
        <v>3</v>
      </c>
      <c r="S596">
        <v>84</v>
      </c>
      <c r="T596" t="s">
        <v>132</v>
      </c>
      <c r="U596" t="s">
        <v>133</v>
      </c>
      <c r="V596" s="1">
        <v>1800</v>
      </c>
      <c r="W596">
        <v>0</v>
      </c>
      <c r="X596" s="1">
        <v>1800</v>
      </c>
      <c r="Y596">
        <v>7</v>
      </c>
      <c r="Z596">
        <v>0</v>
      </c>
      <c r="AA596">
        <v>7</v>
      </c>
      <c r="AB596">
        <v>0</v>
      </c>
      <c r="AC596">
        <v>0</v>
      </c>
      <c r="AD596" t="s">
        <v>134</v>
      </c>
      <c r="AE596" t="s">
        <v>134</v>
      </c>
      <c r="AF596" s="2">
        <v>45518</v>
      </c>
      <c r="AG596" s="2">
        <v>46017</v>
      </c>
      <c r="AH596">
        <v>400.52</v>
      </c>
      <c r="AI596">
        <v>631.96</v>
      </c>
      <c r="AJ596" s="1">
        <v>4405.8</v>
      </c>
      <c r="AK596">
        <v>0</v>
      </c>
      <c r="AL596">
        <v>0</v>
      </c>
      <c r="AM596">
        <v>0</v>
      </c>
      <c r="AN596" t="s">
        <v>135</v>
      </c>
      <c r="AO596" t="s">
        <v>135</v>
      </c>
      <c r="AP596" t="s">
        <v>136</v>
      </c>
      <c r="AQ596" t="s">
        <v>137</v>
      </c>
      <c r="AR596" t="s">
        <v>138</v>
      </c>
      <c r="AS596" t="s">
        <v>139</v>
      </c>
      <c r="AT596" t="s">
        <v>140</v>
      </c>
      <c r="AU596">
        <v>100</v>
      </c>
      <c r="AV596">
        <v>10</v>
      </c>
      <c r="AW596">
        <v>1</v>
      </c>
      <c r="AX596" s="2">
        <v>45839</v>
      </c>
      <c r="AY596" t="s">
        <v>377</v>
      </c>
      <c r="AZ596" s="2">
        <v>46028</v>
      </c>
      <c r="BA596">
        <v>0</v>
      </c>
      <c r="BB596">
        <v>0</v>
      </c>
      <c r="BC596">
        <v>0</v>
      </c>
      <c r="BD596">
        <v>700</v>
      </c>
      <c r="BE596">
        <v>70</v>
      </c>
      <c r="BF596">
        <v>9</v>
      </c>
      <c r="BG596" s="2">
        <v>45536</v>
      </c>
      <c r="BH596" t="s">
        <v>142</v>
      </c>
      <c r="BI596" s="2">
        <v>46026</v>
      </c>
      <c r="BJ596">
        <v>0</v>
      </c>
      <c r="BK596">
        <v>0</v>
      </c>
      <c r="BL596">
        <v>0</v>
      </c>
      <c r="BM596">
        <v>7</v>
      </c>
      <c r="BN596">
        <v>7</v>
      </c>
      <c r="BO596" s="1">
        <v>1493.36</v>
      </c>
      <c r="BP596">
        <v>0</v>
      </c>
      <c r="BQ596" s="1">
        <v>1493.36</v>
      </c>
      <c r="BR596">
        <v>306.41000000000003</v>
      </c>
      <c r="BS596">
        <v>7</v>
      </c>
      <c r="BT596">
        <v>5.71</v>
      </c>
      <c r="BU596">
        <v>941.54</v>
      </c>
      <c r="BV596">
        <v>213.15</v>
      </c>
      <c r="BW596" s="1">
        <v>1154.69</v>
      </c>
      <c r="BX596">
        <v>288.12</v>
      </c>
      <c r="BY596">
        <v>30.6</v>
      </c>
      <c r="BZ596">
        <v>0</v>
      </c>
      <c r="CA596">
        <v>0</v>
      </c>
      <c r="CB596" s="1">
        <v>1200.49</v>
      </c>
      <c r="CC596" t="s">
        <v>161</v>
      </c>
    </row>
    <row r="597" spans="1:81" x14ac:dyDescent="0.25">
      <c r="A597">
        <v>345</v>
      </c>
      <c r="B597">
        <v>2</v>
      </c>
      <c r="C597">
        <v>944</v>
      </c>
      <c r="D597" t="s">
        <v>3401</v>
      </c>
      <c r="E597" t="s">
        <v>121</v>
      </c>
      <c r="F597" t="s">
        <v>3402</v>
      </c>
      <c r="G597" t="s">
        <v>3403</v>
      </c>
      <c r="H597" t="s">
        <v>3404</v>
      </c>
      <c r="I597" t="s">
        <v>3405</v>
      </c>
      <c r="J597" t="s">
        <v>1263</v>
      </c>
      <c r="K597" t="s">
        <v>466</v>
      </c>
      <c r="L597" t="s">
        <v>128</v>
      </c>
      <c r="M597" t="s">
        <v>467</v>
      </c>
      <c r="N597" t="s">
        <v>3406</v>
      </c>
      <c r="O597" t="s">
        <v>131</v>
      </c>
      <c r="P597">
        <v>0</v>
      </c>
      <c r="Q597" t="s">
        <v>125</v>
      </c>
      <c r="R597">
        <v>6</v>
      </c>
      <c r="S597">
        <v>40</v>
      </c>
      <c r="T597" t="s">
        <v>132</v>
      </c>
      <c r="U597" t="s">
        <v>133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134</v>
      </c>
      <c r="AE597" t="s">
        <v>134</v>
      </c>
      <c r="AF597" s="2">
        <v>45518</v>
      </c>
      <c r="AG597" s="2">
        <v>46015</v>
      </c>
      <c r="AH597">
        <v>679.78</v>
      </c>
      <c r="AI597" s="1">
        <v>1052.1500000000001</v>
      </c>
      <c r="AJ597" s="1">
        <v>8157.45</v>
      </c>
      <c r="AK597">
        <v>0</v>
      </c>
      <c r="AL597" s="1">
        <v>1052.1500000000001</v>
      </c>
      <c r="AM597">
        <v>0</v>
      </c>
      <c r="AN597" t="s">
        <v>135</v>
      </c>
      <c r="AO597" t="s">
        <v>135</v>
      </c>
      <c r="AP597" t="s">
        <v>136</v>
      </c>
      <c r="AQ597" t="s">
        <v>137</v>
      </c>
      <c r="AR597" t="s">
        <v>138</v>
      </c>
      <c r="AS597" t="s">
        <v>139</v>
      </c>
      <c r="AT597" t="s">
        <v>140</v>
      </c>
      <c r="AU597">
        <v>100</v>
      </c>
      <c r="AV597">
        <v>10</v>
      </c>
      <c r="AW597">
        <v>1</v>
      </c>
      <c r="AX597" s="2">
        <v>45811</v>
      </c>
      <c r="AY597" t="s">
        <v>377</v>
      </c>
      <c r="AZ597" s="2">
        <v>46028</v>
      </c>
      <c r="BA597">
        <v>0</v>
      </c>
      <c r="BB597">
        <v>0</v>
      </c>
      <c r="BC597">
        <v>0</v>
      </c>
      <c r="BD597">
        <v>700</v>
      </c>
      <c r="BE597">
        <v>70</v>
      </c>
      <c r="BF597">
        <v>9</v>
      </c>
      <c r="BG597" s="2">
        <v>45536</v>
      </c>
      <c r="BH597" t="s">
        <v>142</v>
      </c>
      <c r="BI597" s="2">
        <v>46026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s="1">
        <v>1809.75</v>
      </c>
      <c r="BQ597" s="1">
        <v>1809.75</v>
      </c>
      <c r="BR597">
        <v>0</v>
      </c>
      <c r="BS597">
        <v>0</v>
      </c>
      <c r="BT597">
        <v>0</v>
      </c>
      <c r="BU597">
        <v>0</v>
      </c>
      <c r="BV597" s="1">
        <v>3761.25</v>
      </c>
      <c r="BW597" s="1">
        <v>3761.25</v>
      </c>
      <c r="BX597">
        <v>0</v>
      </c>
      <c r="BY597">
        <v>0</v>
      </c>
      <c r="BZ597">
        <v>0</v>
      </c>
      <c r="CA597">
        <v>0</v>
      </c>
      <c r="CB597" s="1">
        <v>2632.19</v>
      </c>
      <c r="CC597" t="s">
        <v>143</v>
      </c>
    </row>
    <row r="598" spans="1:81" x14ac:dyDescent="0.25">
      <c r="A598">
        <v>345</v>
      </c>
      <c r="B598">
        <v>2</v>
      </c>
      <c r="C598">
        <v>945</v>
      </c>
      <c r="D598" t="s">
        <v>3407</v>
      </c>
      <c r="E598" t="s">
        <v>121</v>
      </c>
      <c r="F598" t="s">
        <v>3408</v>
      </c>
      <c r="G598" t="s">
        <v>3409</v>
      </c>
      <c r="H598" t="s">
        <v>3410</v>
      </c>
      <c r="I598" t="s">
        <v>125</v>
      </c>
      <c r="J598" t="s">
        <v>3074</v>
      </c>
      <c r="K598" t="s">
        <v>1853</v>
      </c>
      <c r="L598" t="s">
        <v>128</v>
      </c>
      <c r="M598" t="s">
        <v>1854</v>
      </c>
      <c r="N598" t="s">
        <v>3411</v>
      </c>
      <c r="O598" t="s">
        <v>167</v>
      </c>
      <c r="P598">
        <v>0</v>
      </c>
      <c r="Q598" t="s">
        <v>125</v>
      </c>
      <c r="R598">
        <v>6</v>
      </c>
      <c r="S598">
        <v>34</v>
      </c>
      <c r="T598" t="s">
        <v>132</v>
      </c>
      <c r="U598" t="s">
        <v>133</v>
      </c>
      <c r="V598" s="1">
        <v>1600</v>
      </c>
      <c r="W598">
        <v>0</v>
      </c>
      <c r="X598" s="1">
        <v>1600</v>
      </c>
      <c r="Y598">
        <v>7</v>
      </c>
      <c r="Z598">
        <v>0</v>
      </c>
      <c r="AA598">
        <v>7</v>
      </c>
      <c r="AB598">
        <v>0</v>
      </c>
      <c r="AC598">
        <v>10</v>
      </c>
      <c r="AD598" t="s">
        <v>134</v>
      </c>
      <c r="AE598" t="s">
        <v>134</v>
      </c>
      <c r="AF598" s="2">
        <v>45518</v>
      </c>
      <c r="AG598" s="2">
        <v>46015</v>
      </c>
      <c r="AH598">
        <v>876.99</v>
      </c>
      <c r="AI598" s="1">
        <v>1564.94</v>
      </c>
      <c r="AJ598" s="1">
        <v>9646.92</v>
      </c>
      <c r="AK598">
        <v>0</v>
      </c>
      <c r="AL598">
        <v>0</v>
      </c>
      <c r="AM598">
        <v>0</v>
      </c>
      <c r="AN598" t="s">
        <v>135</v>
      </c>
      <c r="AO598" t="s">
        <v>135</v>
      </c>
      <c r="AP598" t="s">
        <v>136</v>
      </c>
      <c r="AQ598" t="s">
        <v>137</v>
      </c>
      <c r="AR598" t="s">
        <v>138</v>
      </c>
      <c r="AS598" t="s">
        <v>150</v>
      </c>
      <c r="AT598" t="s">
        <v>140</v>
      </c>
      <c r="AU598">
        <v>106</v>
      </c>
      <c r="AV598">
        <v>10</v>
      </c>
      <c r="AW598">
        <v>1</v>
      </c>
      <c r="AX598" s="2">
        <v>45860</v>
      </c>
      <c r="AY598" t="s">
        <v>377</v>
      </c>
      <c r="AZ598" s="2">
        <v>46028</v>
      </c>
      <c r="BA598">
        <v>0</v>
      </c>
      <c r="BB598">
        <v>0</v>
      </c>
      <c r="BC598">
        <v>0</v>
      </c>
      <c r="BD598">
        <v>700</v>
      </c>
      <c r="BE598">
        <v>70</v>
      </c>
      <c r="BF598">
        <v>9</v>
      </c>
      <c r="BG598" s="2">
        <v>45536</v>
      </c>
      <c r="BH598" t="s">
        <v>142</v>
      </c>
      <c r="BI598" s="2">
        <v>46026</v>
      </c>
      <c r="BJ598">
        <v>0</v>
      </c>
      <c r="BK598">
        <v>0</v>
      </c>
      <c r="BL598">
        <v>0</v>
      </c>
      <c r="BM598">
        <v>3.6</v>
      </c>
      <c r="BN598">
        <v>3.6</v>
      </c>
      <c r="BO598">
        <v>710.33</v>
      </c>
      <c r="BP598">
        <v>0</v>
      </c>
      <c r="BQ598">
        <v>710.33</v>
      </c>
      <c r="BR598">
        <v>0</v>
      </c>
      <c r="BS598">
        <v>2</v>
      </c>
      <c r="BT598">
        <v>2</v>
      </c>
      <c r="BU598" s="1">
        <v>5743.1</v>
      </c>
      <c r="BV598">
        <v>0</v>
      </c>
      <c r="BW598" s="1">
        <v>5743.1</v>
      </c>
      <c r="BX598">
        <v>0</v>
      </c>
      <c r="BY598">
        <v>0</v>
      </c>
      <c r="BZ598">
        <v>0</v>
      </c>
      <c r="CA598">
        <v>0</v>
      </c>
      <c r="CB598" s="1">
        <v>1966.65</v>
      </c>
      <c r="CC598" t="s">
        <v>161</v>
      </c>
    </row>
    <row r="599" spans="1:81" x14ac:dyDescent="0.25">
      <c r="A599">
        <v>345</v>
      </c>
      <c r="B599">
        <v>2</v>
      </c>
      <c r="C599">
        <v>947</v>
      </c>
      <c r="D599" t="s">
        <v>3412</v>
      </c>
      <c r="E599" t="s">
        <v>121</v>
      </c>
      <c r="F599" t="s">
        <v>3413</v>
      </c>
      <c r="G599" t="s">
        <v>3414</v>
      </c>
      <c r="H599" t="s">
        <v>3415</v>
      </c>
      <c r="I599" t="s">
        <v>3416</v>
      </c>
      <c r="J599" t="s">
        <v>1263</v>
      </c>
      <c r="K599" t="s">
        <v>466</v>
      </c>
      <c r="L599" t="s">
        <v>128</v>
      </c>
      <c r="M599" t="s">
        <v>467</v>
      </c>
      <c r="N599" t="s">
        <v>3417</v>
      </c>
      <c r="O599" t="s">
        <v>131</v>
      </c>
      <c r="P599">
        <v>0</v>
      </c>
      <c r="Q599" t="s">
        <v>125</v>
      </c>
      <c r="R599">
        <v>2</v>
      </c>
      <c r="S599">
        <v>90</v>
      </c>
      <c r="T599" t="s">
        <v>132</v>
      </c>
      <c r="U599" t="s">
        <v>133</v>
      </c>
      <c r="V599">
        <v>553</v>
      </c>
      <c r="W599">
        <v>0</v>
      </c>
      <c r="X599">
        <v>553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134</v>
      </c>
      <c r="AE599" t="s">
        <v>134</v>
      </c>
      <c r="AF599" s="2">
        <v>45518</v>
      </c>
      <c r="AG599" s="2">
        <v>46018</v>
      </c>
      <c r="AH599">
        <v>249.35</v>
      </c>
      <c r="AI599">
        <v>375.24</v>
      </c>
      <c r="AJ599" s="1">
        <v>1496.14</v>
      </c>
      <c r="AK599">
        <v>0</v>
      </c>
      <c r="AL599">
        <v>0</v>
      </c>
      <c r="AM599">
        <v>0</v>
      </c>
      <c r="AN599" t="s">
        <v>135</v>
      </c>
      <c r="AO599" t="s">
        <v>135</v>
      </c>
      <c r="AP599" t="s">
        <v>136</v>
      </c>
      <c r="AQ599" t="s">
        <v>137</v>
      </c>
      <c r="AR599" t="s">
        <v>138</v>
      </c>
      <c r="AS599" t="s">
        <v>139</v>
      </c>
      <c r="AT599" t="s">
        <v>140</v>
      </c>
      <c r="AU599">
        <v>106</v>
      </c>
      <c r="AV599">
        <v>10</v>
      </c>
      <c r="AW599">
        <v>1</v>
      </c>
      <c r="AX599" s="2">
        <v>45814</v>
      </c>
      <c r="AY599" t="s">
        <v>151</v>
      </c>
      <c r="AZ599" s="2">
        <v>46024</v>
      </c>
      <c r="BA599">
        <v>0</v>
      </c>
      <c r="BB599">
        <v>0</v>
      </c>
      <c r="BC599">
        <v>0</v>
      </c>
      <c r="BD599">
        <v>700</v>
      </c>
      <c r="BE599">
        <v>70</v>
      </c>
      <c r="BF599">
        <v>9</v>
      </c>
      <c r="BG599" s="2">
        <v>45536</v>
      </c>
      <c r="BH599" t="s">
        <v>142</v>
      </c>
      <c r="BI599" s="2">
        <v>46026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497.85</v>
      </c>
      <c r="BQ599">
        <v>497.85</v>
      </c>
      <c r="BR599">
        <v>0</v>
      </c>
      <c r="BS599">
        <v>0</v>
      </c>
      <c r="BT599">
        <v>0</v>
      </c>
      <c r="BU599">
        <v>0</v>
      </c>
      <c r="BV599">
        <v>403.42</v>
      </c>
      <c r="BW599">
        <v>403.42</v>
      </c>
      <c r="BX599">
        <v>0</v>
      </c>
      <c r="BY599">
        <v>0</v>
      </c>
      <c r="BZ599">
        <v>0</v>
      </c>
      <c r="CA599">
        <v>0</v>
      </c>
      <c r="CB599">
        <v>713.64</v>
      </c>
      <c r="CC599" t="s">
        <v>143</v>
      </c>
    </row>
    <row r="600" spans="1:81" x14ac:dyDescent="0.25">
      <c r="A600">
        <v>345</v>
      </c>
      <c r="B600">
        <v>2</v>
      </c>
      <c r="C600">
        <v>949</v>
      </c>
      <c r="D600" t="s">
        <v>3418</v>
      </c>
      <c r="E600" t="s">
        <v>121</v>
      </c>
      <c r="F600" t="s">
        <v>3419</v>
      </c>
      <c r="G600" t="s">
        <v>3420</v>
      </c>
      <c r="H600" t="s">
        <v>3421</v>
      </c>
      <c r="I600" t="s">
        <v>3422</v>
      </c>
      <c r="J600" t="s">
        <v>3107</v>
      </c>
      <c r="K600" t="s">
        <v>336</v>
      </c>
      <c r="L600" t="s">
        <v>128</v>
      </c>
      <c r="M600" t="s">
        <v>337</v>
      </c>
      <c r="N600" t="s">
        <v>3423</v>
      </c>
      <c r="O600" t="s">
        <v>131</v>
      </c>
      <c r="P600">
        <v>0</v>
      </c>
      <c r="Q600" t="s">
        <v>125</v>
      </c>
      <c r="R600">
        <v>6</v>
      </c>
      <c r="S600">
        <v>33</v>
      </c>
      <c r="T600" t="s">
        <v>132</v>
      </c>
      <c r="U600" t="s">
        <v>133</v>
      </c>
      <c r="V600" s="1">
        <v>2000</v>
      </c>
      <c r="W600">
        <v>0</v>
      </c>
      <c r="X600" s="1">
        <v>2000</v>
      </c>
      <c r="Y600">
        <v>7</v>
      </c>
      <c r="Z600">
        <v>0</v>
      </c>
      <c r="AA600">
        <v>5</v>
      </c>
      <c r="AB600">
        <v>0</v>
      </c>
      <c r="AC600">
        <v>7</v>
      </c>
      <c r="AD600" t="s">
        <v>134</v>
      </c>
      <c r="AE600" t="s">
        <v>134</v>
      </c>
      <c r="AF600" s="2">
        <v>45518</v>
      </c>
      <c r="AG600" s="2">
        <v>46021</v>
      </c>
      <c r="AH600">
        <v>620.88</v>
      </c>
      <c r="AI600">
        <v>771.84</v>
      </c>
      <c r="AJ600" s="1">
        <v>4346.22</v>
      </c>
      <c r="AK600">
        <v>0</v>
      </c>
      <c r="AL600">
        <v>0</v>
      </c>
      <c r="AM600">
        <v>0</v>
      </c>
      <c r="AN600" t="s">
        <v>135</v>
      </c>
      <c r="AO600" t="s">
        <v>135</v>
      </c>
      <c r="AP600" t="s">
        <v>136</v>
      </c>
      <c r="AQ600" t="s">
        <v>137</v>
      </c>
      <c r="AR600" t="s">
        <v>138</v>
      </c>
      <c r="AS600" t="s">
        <v>139</v>
      </c>
      <c r="AT600" t="s">
        <v>140</v>
      </c>
      <c r="AU600">
        <v>100</v>
      </c>
      <c r="AV600">
        <v>10</v>
      </c>
      <c r="AW600">
        <v>1</v>
      </c>
      <c r="AX600" s="2">
        <v>45817</v>
      </c>
      <c r="AY600" t="s">
        <v>141</v>
      </c>
      <c r="AZ600" s="2">
        <v>46027</v>
      </c>
      <c r="BA600">
        <v>0</v>
      </c>
      <c r="BB600">
        <v>0</v>
      </c>
      <c r="BC600">
        <v>0</v>
      </c>
      <c r="BD600">
        <v>700</v>
      </c>
      <c r="BE600">
        <v>70</v>
      </c>
      <c r="BF600">
        <v>9</v>
      </c>
      <c r="BG600" s="2">
        <v>45536</v>
      </c>
      <c r="BH600" t="s">
        <v>142</v>
      </c>
      <c r="BI600" s="2">
        <v>46026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s="1">
        <v>1734.12</v>
      </c>
      <c r="BQ600" s="1">
        <v>1734.12</v>
      </c>
      <c r="BR600">
        <v>0</v>
      </c>
      <c r="BS600">
        <v>0</v>
      </c>
      <c r="BT600">
        <v>0</v>
      </c>
      <c r="BU600">
        <v>0</v>
      </c>
      <c r="BV600" s="1">
        <v>1943.8</v>
      </c>
      <c r="BW600" s="1">
        <v>1943.8</v>
      </c>
      <c r="BX600">
        <v>0</v>
      </c>
      <c r="BY600">
        <v>0</v>
      </c>
      <c r="BZ600">
        <v>0</v>
      </c>
      <c r="CA600">
        <v>0</v>
      </c>
      <c r="CB600" s="1">
        <v>1196.6400000000001</v>
      </c>
      <c r="CC600" t="s">
        <v>143</v>
      </c>
    </row>
    <row r="601" spans="1:81" x14ac:dyDescent="0.25">
      <c r="A601">
        <v>345</v>
      </c>
      <c r="B601">
        <v>2</v>
      </c>
      <c r="C601">
        <v>950</v>
      </c>
      <c r="D601" t="s">
        <v>3424</v>
      </c>
      <c r="E601" t="s">
        <v>121</v>
      </c>
      <c r="F601" t="s">
        <v>3425</v>
      </c>
      <c r="G601" t="s">
        <v>3426</v>
      </c>
      <c r="H601" t="s">
        <v>3427</v>
      </c>
      <c r="I601" t="s">
        <v>3428</v>
      </c>
      <c r="J601" t="s">
        <v>3107</v>
      </c>
      <c r="K601" t="s">
        <v>336</v>
      </c>
      <c r="L601" t="s">
        <v>128</v>
      </c>
      <c r="M601" t="s">
        <v>337</v>
      </c>
      <c r="N601" t="s">
        <v>3429</v>
      </c>
      <c r="O601" t="s">
        <v>131</v>
      </c>
      <c r="P601">
        <v>0</v>
      </c>
      <c r="Q601" t="s">
        <v>125</v>
      </c>
      <c r="R601">
        <v>6</v>
      </c>
      <c r="S601">
        <v>43</v>
      </c>
      <c r="T601" t="s">
        <v>132</v>
      </c>
      <c r="U601" t="s">
        <v>133</v>
      </c>
      <c r="V601" s="1">
        <v>1700</v>
      </c>
      <c r="W601">
        <v>649.75</v>
      </c>
      <c r="X601" s="1">
        <v>1050.25</v>
      </c>
      <c r="Y601">
        <v>7</v>
      </c>
      <c r="Z601">
        <v>0</v>
      </c>
      <c r="AA601">
        <v>7</v>
      </c>
      <c r="AB601">
        <v>0</v>
      </c>
      <c r="AC601">
        <v>0</v>
      </c>
      <c r="AD601" t="s">
        <v>134</v>
      </c>
      <c r="AE601" t="s">
        <v>134</v>
      </c>
      <c r="AF601" s="2">
        <v>45518</v>
      </c>
      <c r="AG601" s="2">
        <v>46021</v>
      </c>
      <c r="AH601">
        <v>364.1</v>
      </c>
      <c r="AI601">
        <v>495.92</v>
      </c>
      <c r="AJ601" s="1">
        <v>4733.3500000000004</v>
      </c>
      <c r="AK601">
        <v>253.39</v>
      </c>
      <c r="AL601">
        <v>396.36</v>
      </c>
      <c r="AM601">
        <v>106.95</v>
      </c>
      <c r="AN601" t="s">
        <v>135</v>
      </c>
      <c r="AO601" t="s">
        <v>135</v>
      </c>
      <c r="AP601" t="s">
        <v>136</v>
      </c>
      <c r="AQ601" t="s">
        <v>137</v>
      </c>
      <c r="AR601" t="s">
        <v>138</v>
      </c>
      <c r="AS601" t="s">
        <v>150</v>
      </c>
      <c r="AT601" t="s">
        <v>140</v>
      </c>
      <c r="AU601">
        <v>100</v>
      </c>
      <c r="AV601">
        <v>10</v>
      </c>
      <c r="AW601">
        <v>1</v>
      </c>
      <c r="AX601" s="2">
        <v>45817</v>
      </c>
      <c r="AY601" t="s">
        <v>141</v>
      </c>
      <c r="AZ601" s="2">
        <v>46027</v>
      </c>
      <c r="BA601">
        <v>0</v>
      </c>
      <c r="BB601">
        <v>0</v>
      </c>
      <c r="BC601">
        <v>0</v>
      </c>
      <c r="BD601">
        <v>700</v>
      </c>
      <c r="BE601">
        <v>70</v>
      </c>
      <c r="BF601">
        <v>9</v>
      </c>
      <c r="BG601" s="2">
        <v>45536</v>
      </c>
      <c r="BH601" t="s">
        <v>142</v>
      </c>
      <c r="BI601" s="2">
        <v>46026</v>
      </c>
      <c r="BJ601">
        <v>0</v>
      </c>
      <c r="BK601">
        <v>0</v>
      </c>
      <c r="BL601">
        <v>0</v>
      </c>
      <c r="BM601">
        <v>7</v>
      </c>
      <c r="BN601">
        <v>7</v>
      </c>
      <c r="BO601" s="1">
        <v>1510.91</v>
      </c>
      <c r="BP601">
        <v>0</v>
      </c>
      <c r="BQ601" s="1">
        <v>1510.91</v>
      </c>
      <c r="BR601">
        <v>423.91</v>
      </c>
      <c r="BS601">
        <v>7</v>
      </c>
      <c r="BT601">
        <v>7</v>
      </c>
      <c r="BU601" s="1">
        <v>1787.22</v>
      </c>
      <c r="BV601">
        <v>0</v>
      </c>
      <c r="BW601" s="1">
        <v>1787.22</v>
      </c>
      <c r="BX601">
        <v>396.36</v>
      </c>
      <c r="BY601">
        <v>22.18</v>
      </c>
      <c r="BZ601">
        <v>0</v>
      </c>
      <c r="CA601">
        <v>0</v>
      </c>
      <c r="CB601" s="1">
        <v>1622.67</v>
      </c>
      <c r="CC601" t="s">
        <v>143</v>
      </c>
    </row>
    <row r="602" spans="1:81" x14ac:dyDescent="0.25">
      <c r="A602">
        <v>345</v>
      </c>
      <c r="B602">
        <v>2</v>
      </c>
      <c r="C602">
        <v>951</v>
      </c>
      <c r="D602" t="s">
        <v>3430</v>
      </c>
      <c r="E602" t="s">
        <v>121</v>
      </c>
      <c r="F602" t="s">
        <v>3431</v>
      </c>
      <c r="G602" t="s">
        <v>3432</v>
      </c>
      <c r="H602" t="s">
        <v>3433</v>
      </c>
      <c r="I602" t="s">
        <v>3434</v>
      </c>
      <c r="J602" t="s">
        <v>3107</v>
      </c>
      <c r="K602" t="s">
        <v>336</v>
      </c>
      <c r="L602" t="s">
        <v>128</v>
      </c>
      <c r="M602" t="s">
        <v>337</v>
      </c>
      <c r="N602" t="s">
        <v>3435</v>
      </c>
      <c r="O602" t="s">
        <v>131</v>
      </c>
      <c r="P602">
        <v>0</v>
      </c>
      <c r="Q602" t="s">
        <v>125</v>
      </c>
      <c r="R602">
        <v>6</v>
      </c>
      <c r="S602">
        <v>41</v>
      </c>
      <c r="T602" t="s">
        <v>132</v>
      </c>
      <c r="U602" t="s">
        <v>133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134</v>
      </c>
      <c r="AE602" t="s">
        <v>134</v>
      </c>
      <c r="AF602" s="2">
        <v>45518</v>
      </c>
      <c r="AG602" s="2">
        <v>46021</v>
      </c>
      <c r="AH602">
        <v>111.46</v>
      </c>
      <c r="AI602">
        <v>372.69</v>
      </c>
      <c r="AJ602" s="1">
        <v>1003.18</v>
      </c>
      <c r="AK602">
        <v>0</v>
      </c>
      <c r="AL602">
        <v>0</v>
      </c>
      <c r="AM602">
        <v>0</v>
      </c>
      <c r="AN602" t="s">
        <v>135</v>
      </c>
      <c r="AO602" t="s">
        <v>135</v>
      </c>
      <c r="AP602" t="s">
        <v>136</v>
      </c>
      <c r="AQ602" t="s">
        <v>137</v>
      </c>
      <c r="AR602" t="s">
        <v>138</v>
      </c>
      <c r="AS602" t="s">
        <v>139</v>
      </c>
      <c r="AT602" t="s">
        <v>140</v>
      </c>
      <c r="AU602">
        <v>100</v>
      </c>
      <c r="AV602">
        <v>10</v>
      </c>
      <c r="AW602">
        <v>1</v>
      </c>
      <c r="AX602" s="2">
        <v>45859</v>
      </c>
      <c r="AY602" t="s">
        <v>141</v>
      </c>
      <c r="AZ602" s="2">
        <v>46027</v>
      </c>
      <c r="BA602">
        <v>0</v>
      </c>
      <c r="BB602">
        <v>0</v>
      </c>
      <c r="BC602">
        <v>0</v>
      </c>
      <c r="BD602">
        <v>700</v>
      </c>
      <c r="BE602">
        <v>70</v>
      </c>
      <c r="BF602">
        <v>9</v>
      </c>
      <c r="BG602" s="2">
        <v>45866</v>
      </c>
      <c r="BH602" t="s">
        <v>141</v>
      </c>
      <c r="BI602" s="2">
        <v>46034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179.47</v>
      </c>
      <c r="BQ602">
        <v>179.47</v>
      </c>
      <c r="BR602">
        <v>0</v>
      </c>
      <c r="BS602">
        <v>0</v>
      </c>
      <c r="BT602">
        <v>0</v>
      </c>
      <c r="BU602">
        <v>0</v>
      </c>
      <c r="BV602">
        <v>615.20000000000005</v>
      </c>
      <c r="BW602">
        <v>615.20000000000005</v>
      </c>
      <c r="BX602">
        <v>0</v>
      </c>
      <c r="BY602">
        <v>0</v>
      </c>
      <c r="BZ602">
        <v>0</v>
      </c>
      <c r="CA602">
        <v>0</v>
      </c>
      <c r="CB602">
        <v>185.25</v>
      </c>
      <c r="CC602" t="s">
        <v>143</v>
      </c>
    </row>
    <row r="603" spans="1:81" x14ac:dyDescent="0.25">
      <c r="A603">
        <v>345</v>
      </c>
      <c r="B603">
        <v>2</v>
      </c>
      <c r="C603">
        <v>952</v>
      </c>
      <c r="D603" t="s">
        <v>3436</v>
      </c>
      <c r="E603" t="s">
        <v>121</v>
      </c>
      <c r="F603" t="s">
        <v>3437</v>
      </c>
      <c r="G603" t="s">
        <v>3438</v>
      </c>
      <c r="H603" t="s">
        <v>3439</v>
      </c>
      <c r="I603" t="s">
        <v>3440</v>
      </c>
      <c r="J603" t="s">
        <v>3074</v>
      </c>
      <c r="K603" t="s">
        <v>1853</v>
      </c>
      <c r="L603" t="s">
        <v>128</v>
      </c>
      <c r="M603" t="s">
        <v>1854</v>
      </c>
      <c r="N603" t="s">
        <v>3441</v>
      </c>
      <c r="O603" t="s">
        <v>167</v>
      </c>
      <c r="P603">
        <v>0</v>
      </c>
      <c r="Q603" t="s">
        <v>125</v>
      </c>
      <c r="R603">
        <v>6</v>
      </c>
      <c r="S603">
        <v>40</v>
      </c>
      <c r="T603" t="s">
        <v>132</v>
      </c>
      <c r="U603" t="s">
        <v>133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234</v>
      </c>
      <c r="AE603" t="s">
        <v>134</v>
      </c>
      <c r="AF603" s="2">
        <v>45518</v>
      </c>
      <c r="AG603" s="2">
        <v>46021</v>
      </c>
      <c r="AH603" s="1">
        <v>3787.07</v>
      </c>
      <c r="AI603" s="1">
        <v>7112.18</v>
      </c>
      <c r="AJ603" s="1">
        <v>56806.11</v>
      </c>
      <c r="AK603">
        <v>0</v>
      </c>
      <c r="AL603">
        <v>521.70000000000005</v>
      </c>
      <c r="AM603">
        <v>0</v>
      </c>
      <c r="AN603" t="s">
        <v>135</v>
      </c>
      <c r="AO603" t="s">
        <v>135</v>
      </c>
      <c r="AP603" t="s">
        <v>136</v>
      </c>
      <c r="AQ603" t="s">
        <v>137</v>
      </c>
      <c r="AR603" t="s">
        <v>138</v>
      </c>
      <c r="AS603" t="s">
        <v>150</v>
      </c>
      <c r="AT603" t="s">
        <v>140</v>
      </c>
      <c r="AU603">
        <v>500</v>
      </c>
      <c r="AV603">
        <v>10</v>
      </c>
      <c r="AW603">
        <v>1</v>
      </c>
      <c r="AX603" s="2">
        <v>45607</v>
      </c>
      <c r="AY603" t="s">
        <v>141</v>
      </c>
      <c r="AZ603" s="2">
        <v>46027</v>
      </c>
      <c r="BA603">
        <v>0</v>
      </c>
      <c r="BB603">
        <v>0</v>
      </c>
      <c r="BC603">
        <v>0</v>
      </c>
      <c r="BD603">
        <v>700</v>
      </c>
      <c r="BE603">
        <v>70</v>
      </c>
      <c r="BF603">
        <v>9</v>
      </c>
      <c r="BG603" s="2">
        <v>45536</v>
      </c>
      <c r="BH603" t="s">
        <v>142</v>
      </c>
      <c r="BI603" s="2">
        <v>46026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s="1">
        <v>20415.38</v>
      </c>
      <c r="BQ603" s="1">
        <v>20415.38</v>
      </c>
      <c r="BR603">
        <v>0</v>
      </c>
      <c r="BS603">
        <v>0</v>
      </c>
      <c r="BT603">
        <v>0</v>
      </c>
      <c r="BU603">
        <v>0</v>
      </c>
      <c r="BV603" s="1">
        <v>18892.3</v>
      </c>
      <c r="BW603" s="1">
        <v>18892.3</v>
      </c>
      <c r="BX603">
        <v>0</v>
      </c>
      <c r="BY603">
        <v>0</v>
      </c>
      <c r="BZ603">
        <v>0</v>
      </c>
      <c r="CA603">
        <v>0</v>
      </c>
      <c r="CB603" s="1">
        <v>18383.84</v>
      </c>
      <c r="CC603" t="s">
        <v>161</v>
      </c>
    </row>
    <row r="604" spans="1:81" x14ac:dyDescent="0.25">
      <c r="A604">
        <v>345</v>
      </c>
      <c r="B604">
        <v>2</v>
      </c>
      <c r="C604">
        <v>953</v>
      </c>
      <c r="D604" t="s">
        <v>3442</v>
      </c>
      <c r="E604" t="s">
        <v>121</v>
      </c>
      <c r="F604" t="s">
        <v>3443</v>
      </c>
      <c r="G604" t="s">
        <v>3444</v>
      </c>
      <c r="H604" t="s">
        <v>3445</v>
      </c>
      <c r="I604" t="s">
        <v>3446</v>
      </c>
      <c r="J604" t="s">
        <v>1852</v>
      </c>
      <c r="K604" t="s">
        <v>336</v>
      </c>
      <c r="L604" t="s">
        <v>128</v>
      </c>
      <c r="M604" t="s">
        <v>337</v>
      </c>
      <c r="N604" t="s">
        <v>3447</v>
      </c>
      <c r="O604" t="s">
        <v>131</v>
      </c>
      <c r="P604">
        <v>0</v>
      </c>
      <c r="Q604" t="s">
        <v>125</v>
      </c>
      <c r="R604">
        <v>6</v>
      </c>
      <c r="S604">
        <v>39</v>
      </c>
      <c r="T604" t="s">
        <v>132</v>
      </c>
      <c r="U604" t="s">
        <v>133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134</v>
      </c>
      <c r="AE604" t="s">
        <v>134</v>
      </c>
      <c r="AF604" s="2">
        <v>45518</v>
      </c>
      <c r="AG604" s="2">
        <v>46008</v>
      </c>
      <c r="AH604">
        <v>686.86</v>
      </c>
      <c r="AI604">
        <v>913.47</v>
      </c>
      <c r="AJ604" s="1">
        <v>4808.05</v>
      </c>
      <c r="AK604">
        <v>0</v>
      </c>
      <c r="AL604">
        <v>0</v>
      </c>
      <c r="AM604">
        <v>0</v>
      </c>
      <c r="AN604" t="s">
        <v>135</v>
      </c>
      <c r="AO604" t="s">
        <v>135</v>
      </c>
      <c r="AP604" t="s">
        <v>136</v>
      </c>
      <c r="AQ604" t="s">
        <v>137</v>
      </c>
      <c r="AR604" t="s">
        <v>138</v>
      </c>
      <c r="AS604" t="s">
        <v>139</v>
      </c>
      <c r="AT604" t="s">
        <v>140</v>
      </c>
      <c r="AU604">
        <v>100</v>
      </c>
      <c r="AV604">
        <v>10</v>
      </c>
      <c r="AW604">
        <v>1</v>
      </c>
      <c r="AX604" s="2">
        <v>45839</v>
      </c>
      <c r="AY604" t="s">
        <v>377</v>
      </c>
      <c r="AZ604" s="2">
        <v>46028</v>
      </c>
      <c r="BA604">
        <v>0</v>
      </c>
      <c r="BB604">
        <v>0</v>
      </c>
      <c r="BC604">
        <v>0</v>
      </c>
      <c r="BD604">
        <v>700</v>
      </c>
      <c r="BE604">
        <v>70</v>
      </c>
      <c r="BF604">
        <v>9</v>
      </c>
      <c r="BG604" s="2">
        <v>45536</v>
      </c>
      <c r="BH604" t="s">
        <v>142</v>
      </c>
      <c r="BI604" s="2">
        <v>46026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947.9</v>
      </c>
      <c r="BQ604">
        <v>947.9</v>
      </c>
      <c r="BR604">
        <v>0</v>
      </c>
      <c r="BS604">
        <v>0</v>
      </c>
      <c r="BT604">
        <v>0</v>
      </c>
      <c r="BU604">
        <v>0</v>
      </c>
      <c r="BV604" s="1">
        <v>1781.22</v>
      </c>
      <c r="BW604" s="1">
        <v>1781.22</v>
      </c>
      <c r="BX604">
        <v>0</v>
      </c>
      <c r="BY604">
        <v>0</v>
      </c>
      <c r="BZ604">
        <v>0</v>
      </c>
      <c r="CA604">
        <v>0</v>
      </c>
      <c r="CB604" s="1">
        <v>1327.91</v>
      </c>
      <c r="CC604" t="s">
        <v>143</v>
      </c>
    </row>
    <row r="605" spans="1:81" x14ac:dyDescent="0.25">
      <c r="A605">
        <v>345</v>
      </c>
      <c r="B605">
        <v>2</v>
      </c>
      <c r="C605">
        <v>954</v>
      </c>
      <c r="D605" t="s">
        <v>3448</v>
      </c>
      <c r="E605" t="s">
        <v>121</v>
      </c>
      <c r="F605" t="s">
        <v>3449</v>
      </c>
      <c r="G605" t="s">
        <v>3450</v>
      </c>
      <c r="H605" t="s">
        <v>3451</v>
      </c>
      <c r="I605" t="s">
        <v>3452</v>
      </c>
      <c r="J605" t="s">
        <v>3080</v>
      </c>
      <c r="K605" t="s">
        <v>336</v>
      </c>
      <c r="L605" t="s">
        <v>128</v>
      </c>
      <c r="M605" t="s">
        <v>337</v>
      </c>
      <c r="N605" t="s">
        <v>3453</v>
      </c>
      <c r="O605" t="s">
        <v>131</v>
      </c>
      <c r="P605">
        <v>0</v>
      </c>
      <c r="Q605" t="s">
        <v>125</v>
      </c>
      <c r="R605">
        <v>6</v>
      </c>
      <c r="S605">
        <v>41</v>
      </c>
      <c r="T605" t="s">
        <v>132</v>
      </c>
      <c r="U605" t="s">
        <v>133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134</v>
      </c>
      <c r="AE605" t="s">
        <v>134</v>
      </c>
      <c r="AF605" s="2">
        <v>45518</v>
      </c>
      <c r="AG605" s="2">
        <v>46017</v>
      </c>
      <c r="AH605">
        <v>570.70000000000005</v>
      </c>
      <c r="AI605">
        <v>880.13</v>
      </c>
      <c r="AJ605" s="1">
        <v>7419.19</v>
      </c>
      <c r="AK605">
        <v>0</v>
      </c>
      <c r="AL605">
        <v>0</v>
      </c>
      <c r="AM605">
        <v>0</v>
      </c>
      <c r="AN605" t="s">
        <v>135</v>
      </c>
      <c r="AO605" t="s">
        <v>135</v>
      </c>
      <c r="AP605" t="s">
        <v>136</v>
      </c>
      <c r="AQ605" t="s">
        <v>137</v>
      </c>
      <c r="AR605" t="s">
        <v>138</v>
      </c>
      <c r="AS605" t="s">
        <v>139</v>
      </c>
      <c r="AT605" t="s">
        <v>140</v>
      </c>
      <c r="AU605">
        <v>100</v>
      </c>
      <c r="AV605">
        <v>10</v>
      </c>
      <c r="AW605">
        <v>1</v>
      </c>
      <c r="AX605" s="2">
        <v>45839</v>
      </c>
      <c r="AY605" t="s">
        <v>377</v>
      </c>
      <c r="AZ605" s="2">
        <v>46028</v>
      </c>
      <c r="BA605">
        <v>0</v>
      </c>
      <c r="BB605">
        <v>0</v>
      </c>
      <c r="BC605">
        <v>0</v>
      </c>
      <c r="BD605">
        <v>700</v>
      </c>
      <c r="BE605">
        <v>70</v>
      </c>
      <c r="BF605">
        <v>9</v>
      </c>
      <c r="BG605" s="2">
        <v>45536</v>
      </c>
      <c r="BH605" t="s">
        <v>142</v>
      </c>
      <c r="BI605" s="2">
        <v>46026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s="1">
        <v>2215.81</v>
      </c>
      <c r="BQ605" s="1">
        <v>2215.81</v>
      </c>
      <c r="BR605">
        <v>0</v>
      </c>
      <c r="BS605">
        <v>0</v>
      </c>
      <c r="BT605">
        <v>0</v>
      </c>
      <c r="BU605">
        <v>0</v>
      </c>
      <c r="BV605" s="1">
        <v>2712.18</v>
      </c>
      <c r="BW605" s="1">
        <v>2712.18</v>
      </c>
      <c r="BX605">
        <v>0</v>
      </c>
      <c r="BY605">
        <v>0</v>
      </c>
      <c r="BZ605">
        <v>0</v>
      </c>
      <c r="CA605">
        <v>0</v>
      </c>
      <c r="CB605" s="1">
        <v>2489.7399999999998</v>
      </c>
      <c r="CC605" t="s">
        <v>143</v>
      </c>
    </row>
    <row r="606" spans="1:81" x14ac:dyDescent="0.25">
      <c r="A606">
        <v>345</v>
      </c>
      <c r="B606">
        <v>2</v>
      </c>
      <c r="C606">
        <v>956</v>
      </c>
      <c r="D606" t="s">
        <v>3454</v>
      </c>
      <c r="E606" t="s">
        <v>121</v>
      </c>
      <c r="F606" t="s">
        <v>3455</v>
      </c>
      <c r="G606" t="s">
        <v>3456</v>
      </c>
      <c r="H606" t="s">
        <v>3457</v>
      </c>
      <c r="I606" t="s">
        <v>3458</v>
      </c>
      <c r="J606" t="s">
        <v>1882</v>
      </c>
      <c r="K606" t="s">
        <v>336</v>
      </c>
      <c r="L606" t="s">
        <v>128</v>
      </c>
      <c r="M606" t="s">
        <v>337</v>
      </c>
      <c r="N606" t="s">
        <v>3459</v>
      </c>
      <c r="O606" t="s">
        <v>131</v>
      </c>
      <c r="P606">
        <v>0</v>
      </c>
      <c r="Q606" t="s">
        <v>125</v>
      </c>
      <c r="R606">
        <v>6</v>
      </c>
      <c r="S606">
        <v>39</v>
      </c>
      <c r="T606" t="s">
        <v>132</v>
      </c>
      <c r="U606" t="s">
        <v>133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134</v>
      </c>
      <c r="AE606" t="s">
        <v>134</v>
      </c>
      <c r="AF606" s="2">
        <v>45518</v>
      </c>
      <c r="AG606" s="2">
        <v>46000</v>
      </c>
      <c r="AH606">
        <v>272.54000000000002</v>
      </c>
      <c r="AI606">
        <v>435.4</v>
      </c>
      <c r="AJ606" s="1">
        <v>1362.71</v>
      </c>
      <c r="AK606">
        <v>0</v>
      </c>
      <c r="AL606">
        <v>0</v>
      </c>
      <c r="AM606">
        <v>0</v>
      </c>
      <c r="AN606" t="s">
        <v>135</v>
      </c>
      <c r="AO606" t="s">
        <v>135</v>
      </c>
      <c r="AP606" t="s">
        <v>136</v>
      </c>
      <c r="AQ606" t="s">
        <v>137</v>
      </c>
      <c r="AR606" t="s">
        <v>138</v>
      </c>
      <c r="AS606" t="s">
        <v>139</v>
      </c>
      <c r="AT606" t="s">
        <v>140</v>
      </c>
      <c r="AU606">
        <v>100</v>
      </c>
      <c r="AV606">
        <v>10</v>
      </c>
      <c r="AW606">
        <v>1</v>
      </c>
      <c r="AX606" s="2">
        <v>45810</v>
      </c>
      <c r="AY606" t="s">
        <v>141</v>
      </c>
      <c r="AZ606" s="2">
        <v>46027</v>
      </c>
      <c r="BA606">
        <v>0</v>
      </c>
      <c r="BB606">
        <v>0</v>
      </c>
      <c r="BC606">
        <v>0</v>
      </c>
      <c r="BD606">
        <v>700</v>
      </c>
      <c r="BE606">
        <v>70</v>
      </c>
      <c r="BF606">
        <v>9</v>
      </c>
      <c r="BG606" s="2">
        <v>45536</v>
      </c>
      <c r="BH606" t="s">
        <v>142</v>
      </c>
      <c r="BI606" s="2">
        <v>46026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361.93</v>
      </c>
      <c r="BQ606">
        <v>361.93</v>
      </c>
      <c r="BR606">
        <v>0</v>
      </c>
      <c r="BS606">
        <v>0</v>
      </c>
      <c r="BT606">
        <v>0</v>
      </c>
      <c r="BU606">
        <v>0</v>
      </c>
      <c r="BV606">
        <v>305.64</v>
      </c>
      <c r="BW606">
        <v>305.64</v>
      </c>
      <c r="BX606">
        <v>0</v>
      </c>
      <c r="BY606">
        <v>0</v>
      </c>
      <c r="BZ606">
        <v>0</v>
      </c>
      <c r="CA606">
        <v>0</v>
      </c>
      <c r="CB606">
        <v>539.86</v>
      </c>
      <c r="CC606" t="s">
        <v>143</v>
      </c>
    </row>
    <row r="607" spans="1:81" x14ac:dyDescent="0.25">
      <c r="A607">
        <v>345</v>
      </c>
      <c r="B607">
        <v>2</v>
      </c>
      <c r="C607">
        <v>957</v>
      </c>
      <c r="D607" t="s">
        <v>3460</v>
      </c>
      <c r="E607" t="s">
        <v>121</v>
      </c>
      <c r="F607" t="s">
        <v>3461</v>
      </c>
      <c r="G607" t="s">
        <v>3462</v>
      </c>
      <c r="H607" t="s">
        <v>3463</v>
      </c>
      <c r="I607" t="s">
        <v>3464</v>
      </c>
      <c r="J607" t="s">
        <v>1852</v>
      </c>
      <c r="K607" t="s">
        <v>336</v>
      </c>
      <c r="L607" t="s">
        <v>128</v>
      </c>
      <c r="M607" t="s">
        <v>337</v>
      </c>
      <c r="N607" t="s">
        <v>3465</v>
      </c>
      <c r="O607" t="s">
        <v>131</v>
      </c>
      <c r="P607">
        <v>0</v>
      </c>
      <c r="Q607" t="s">
        <v>125</v>
      </c>
      <c r="R607">
        <v>3</v>
      </c>
      <c r="S607">
        <v>83</v>
      </c>
      <c r="T607" t="s">
        <v>132</v>
      </c>
      <c r="U607" t="s">
        <v>133</v>
      </c>
      <c r="V607" s="1">
        <v>1600</v>
      </c>
      <c r="W607">
        <v>465.8</v>
      </c>
      <c r="X607" s="1">
        <v>1134.2</v>
      </c>
      <c r="Y607">
        <v>7</v>
      </c>
      <c r="Z607">
        <v>0</v>
      </c>
      <c r="AA607">
        <v>7</v>
      </c>
      <c r="AB607">
        <v>0</v>
      </c>
      <c r="AC607">
        <v>0</v>
      </c>
      <c r="AD607" t="s">
        <v>134</v>
      </c>
      <c r="AE607" t="s">
        <v>134</v>
      </c>
      <c r="AF607" s="2">
        <v>45518</v>
      </c>
      <c r="AG607" s="2">
        <v>46017</v>
      </c>
      <c r="AH607">
        <v>629.77</v>
      </c>
      <c r="AI607" s="1">
        <v>1353.12</v>
      </c>
      <c r="AJ607" s="1">
        <v>3778.64</v>
      </c>
      <c r="AK607">
        <v>0</v>
      </c>
      <c r="AL607">
        <v>465.8</v>
      </c>
      <c r="AM607">
        <v>0</v>
      </c>
      <c r="AN607" t="s">
        <v>135</v>
      </c>
      <c r="AO607" t="s">
        <v>135</v>
      </c>
      <c r="AP607" t="s">
        <v>136</v>
      </c>
      <c r="AQ607" t="s">
        <v>137</v>
      </c>
      <c r="AR607" t="s">
        <v>138</v>
      </c>
      <c r="AS607" t="s">
        <v>150</v>
      </c>
      <c r="AT607" t="s">
        <v>140</v>
      </c>
      <c r="AU607">
        <v>100</v>
      </c>
      <c r="AV607">
        <v>10</v>
      </c>
      <c r="AW607">
        <v>1</v>
      </c>
      <c r="AX607" s="2">
        <v>45839</v>
      </c>
      <c r="AY607" t="s">
        <v>377</v>
      </c>
      <c r="AZ607" s="2">
        <v>46028</v>
      </c>
      <c r="BA607">
        <v>0</v>
      </c>
      <c r="BB607">
        <v>0</v>
      </c>
      <c r="BC607">
        <v>0</v>
      </c>
      <c r="BD607">
        <v>700</v>
      </c>
      <c r="BE607">
        <v>70</v>
      </c>
      <c r="BF607">
        <v>9</v>
      </c>
      <c r="BG607" s="2">
        <v>45536</v>
      </c>
      <c r="BH607" t="s">
        <v>142</v>
      </c>
      <c r="BI607" s="2">
        <v>46026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7</v>
      </c>
      <c r="BT607">
        <v>7</v>
      </c>
      <c r="BU607" s="1">
        <v>1007.73</v>
      </c>
      <c r="BV607">
        <v>0</v>
      </c>
      <c r="BW607" s="1">
        <v>1007.73</v>
      </c>
      <c r="BX607">
        <v>465.8</v>
      </c>
      <c r="BY607">
        <v>46.22</v>
      </c>
      <c r="BZ607">
        <v>0</v>
      </c>
      <c r="CA607">
        <v>0</v>
      </c>
      <c r="CB607" s="1">
        <v>1355.07</v>
      </c>
      <c r="CC607" t="s">
        <v>143</v>
      </c>
    </row>
    <row r="608" spans="1:81" x14ac:dyDescent="0.25">
      <c r="A608">
        <v>345</v>
      </c>
      <c r="B608">
        <v>2</v>
      </c>
      <c r="C608">
        <v>958</v>
      </c>
      <c r="D608" t="s">
        <v>3466</v>
      </c>
      <c r="E608" t="s">
        <v>121</v>
      </c>
      <c r="F608" t="s">
        <v>3467</v>
      </c>
      <c r="G608" t="s">
        <v>3468</v>
      </c>
      <c r="H608" t="s">
        <v>3469</v>
      </c>
      <c r="I608" t="s">
        <v>3470</v>
      </c>
      <c r="J608" t="s">
        <v>3471</v>
      </c>
      <c r="K608" t="s">
        <v>336</v>
      </c>
      <c r="L608" t="s">
        <v>128</v>
      </c>
      <c r="M608" t="s">
        <v>337</v>
      </c>
      <c r="N608" t="s">
        <v>3472</v>
      </c>
      <c r="O608" t="s">
        <v>131</v>
      </c>
      <c r="P608">
        <v>0</v>
      </c>
      <c r="Q608" t="s">
        <v>125</v>
      </c>
      <c r="R608">
        <v>6</v>
      </c>
      <c r="S608">
        <v>39</v>
      </c>
      <c r="T608" t="s">
        <v>132</v>
      </c>
      <c r="U608" t="s">
        <v>133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134</v>
      </c>
      <c r="AE608" t="s">
        <v>134</v>
      </c>
      <c r="AF608" s="2">
        <v>45518</v>
      </c>
      <c r="AG608" s="2">
        <v>46021</v>
      </c>
      <c r="AH608">
        <v>299.70999999999998</v>
      </c>
      <c r="AI608">
        <v>453.76</v>
      </c>
      <c r="AJ608" s="1">
        <v>1498.55</v>
      </c>
      <c r="AK608">
        <v>0</v>
      </c>
      <c r="AL608">
        <v>0</v>
      </c>
      <c r="AM608">
        <v>0</v>
      </c>
      <c r="AN608" t="s">
        <v>135</v>
      </c>
      <c r="AO608" t="s">
        <v>135</v>
      </c>
      <c r="AP608" t="s">
        <v>136</v>
      </c>
      <c r="AQ608" t="s">
        <v>137</v>
      </c>
      <c r="AR608" t="s">
        <v>138</v>
      </c>
      <c r="AS608" t="s">
        <v>139</v>
      </c>
      <c r="AT608" t="s">
        <v>140</v>
      </c>
      <c r="AU608">
        <v>100</v>
      </c>
      <c r="AV608">
        <v>10</v>
      </c>
      <c r="AW608">
        <v>1</v>
      </c>
      <c r="AX608" s="2">
        <v>45810</v>
      </c>
      <c r="AY608" t="s">
        <v>141</v>
      </c>
      <c r="AZ608" s="2">
        <v>46027</v>
      </c>
      <c r="BA608">
        <v>0</v>
      </c>
      <c r="BB608">
        <v>0</v>
      </c>
      <c r="BC608">
        <v>0</v>
      </c>
      <c r="BD608">
        <v>700</v>
      </c>
      <c r="BE608">
        <v>70</v>
      </c>
      <c r="BF608">
        <v>9</v>
      </c>
      <c r="BG608" s="2">
        <v>45536</v>
      </c>
      <c r="BH608" t="s">
        <v>142</v>
      </c>
      <c r="BI608" s="2">
        <v>46026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294.08999999999997</v>
      </c>
      <c r="BQ608">
        <v>294.08999999999997</v>
      </c>
      <c r="BR608">
        <v>0</v>
      </c>
      <c r="BS608">
        <v>0</v>
      </c>
      <c r="BT608">
        <v>0</v>
      </c>
      <c r="BU608">
        <v>0</v>
      </c>
      <c r="BV608" s="1">
        <v>1036.93</v>
      </c>
      <c r="BW608" s="1">
        <v>1036.93</v>
      </c>
      <c r="BX608">
        <v>0</v>
      </c>
      <c r="BY608">
        <v>0</v>
      </c>
      <c r="BZ608">
        <v>0</v>
      </c>
      <c r="CA608">
        <v>0</v>
      </c>
      <c r="CB608">
        <v>153.87</v>
      </c>
      <c r="CC608" t="s">
        <v>143</v>
      </c>
    </row>
    <row r="609" spans="1:81" x14ac:dyDescent="0.25">
      <c r="A609">
        <v>345</v>
      </c>
      <c r="B609">
        <v>2</v>
      </c>
      <c r="C609">
        <v>959</v>
      </c>
      <c r="D609" t="s">
        <v>3473</v>
      </c>
      <c r="E609" t="s">
        <v>121</v>
      </c>
      <c r="F609" t="s">
        <v>3474</v>
      </c>
      <c r="G609" t="s">
        <v>3475</v>
      </c>
      <c r="H609" t="s">
        <v>3476</v>
      </c>
      <c r="I609" t="s">
        <v>3477</v>
      </c>
      <c r="J609" t="s">
        <v>1201</v>
      </c>
      <c r="K609" t="s">
        <v>466</v>
      </c>
      <c r="L609" t="s">
        <v>128</v>
      </c>
      <c r="M609" t="s">
        <v>467</v>
      </c>
      <c r="N609" t="s">
        <v>3478</v>
      </c>
      <c r="O609" t="s">
        <v>131</v>
      </c>
      <c r="P609">
        <v>0</v>
      </c>
      <c r="Q609" t="s">
        <v>125</v>
      </c>
      <c r="R609">
        <v>6</v>
      </c>
      <c r="S609">
        <v>40</v>
      </c>
      <c r="T609" t="s">
        <v>132</v>
      </c>
      <c r="U609" t="s">
        <v>133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134</v>
      </c>
      <c r="AE609" t="s">
        <v>134</v>
      </c>
      <c r="AF609" s="2">
        <v>45518</v>
      </c>
      <c r="AG609" s="2">
        <v>46017</v>
      </c>
      <c r="AH609">
        <v>500.31</v>
      </c>
      <c r="AI609">
        <v>810.93</v>
      </c>
      <c r="AJ609" s="1">
        <v>5503.45</v>
      </c>
      <c r="AK609">
        <v>0</v>
      </c>
      <c r="AL609">
        <v>500.94</v>
      </c>
      <c r="AM609">
        <v>0</v>
      </c>
      <c r="AN609" t="s">
        <v>135</v>
      </c>
      <c r="AO609" t="s">
        <v>135</v>
      </c>
      <c r="AP609" t="s">
        <v>136</v>
      </c>
      <c r="AQ609" t="s">
        <v>137</v>
      </c>
      <c r="AR609" t="s">
        <v>138</v>
      </c>
      <c r="AS609" t="s">
        <v>139</v>
      </c>
      <c r="AT609" t="s">
        <v>140</v>
      </c>
      <c r="AU609">
        <v>103</v>
      </c>
      <c r="AV609">
        <v>10</v>
      </c>
      <c r="AW609">
        <v>1</v>
      </c>
      <c r="AX609" s="2">
        <v>45867</v>
      </c>
      <c r="AY609" t="s">
        <v>377</v>
      </c>
      <c r="AZ609" s="2">
        <v>46028</v>
      </c>
      <c r="BA609">
        <v>0</v>
      </c>
      <c r="BB609">
        <v>0</v>
      </c>
      <c r="BC609">
        <v>0</v>
      </c>
      <c r="BD609">
        <v>700</v>
      </c>
      <c r="BE609">
        <v>70</v>
      </c>
      <c r="BF609">
        <v>9</v>
      </c>
      <c r="BG609" s="2">
        <v>45536</v>
      </c>
      <c r="BH609" t="s">
        <v>142</v>
      </c>
      <c r="BI609" s="2">
        <v>46026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 s="1">
        <v>1478.86</v>
      </c>
      <c r="BQ609" s="1">
        <v>1478.86</v>
      </c>
      <c r="BR609">
        <v>0</v>
      </c>
      <c r="BS609">
        <v>0</v>
      </c>
      <c r="BT609">
        <v>0</v>
      </c>
      <c r="BU609">
        <v>0</v>
      </c>
      <c r="BV609" s="1">
        <v>1799.91</v>
      </c>
      <c r="BW609" s="1">
        <v>1799.91</v>
      </c>
      <c r="BX609">
        <v>0</v>
      </c>
      <c r="BY609">
        <v>0</v>
      </c>
      <c r="BZ609">
        <v>0</v>
      </c>
      <c r="CA609">
        <v>0</v>
      </c>
      <c r="CB609" s="1">
        <v>1862.12</v>
      </c>
      <c r="CC609" t="s">
        <v>143</v>
      </c>
    </row>
    <row r="610" spans="1:81" x14ac:dyDescent="0.25">
      <c r="A610">
        <v>345</v>
      </c>
      <c r="B610">
        <v>2</v>
      </c>
      <c r="C610">
        <v>960</v>
      </c>
      <c r="D610" t="s">
        <v>3479</v>
      </c>
      <c r="E610" t="s">
        <v>121</v>
      </c>
      <c r="F610" t="s">
        <v>3480</v>
      </c>
      <c r="G610" t="s">
        <v>3481</v>
      </c>
      <c r="H610" t="s">
        <v>3433</v>
      </c>
      <c r="I610" t="s">
        <v>3482</v>
      </c>
      <c r="J610" t="s">
        <v>3107</v>
      </c>
      <c r="K610" t="s">
        <v>336</v>
      </c>
      <c r="L610" t="s">
        <v>128</v>
      </c>
      <c r="M610" t="s">
        <v>337</v>
      </c>
      <c r="N610" t="s">
        <v>3483</v>
      </c>
      <c r="O610" t="s">
        <v>167</v>
      </c>
      <c r="P610">
        <v>0</v>
      </c>
      <c r="Q610" t="s">
        <v>125</v>
      </c>
      <c r="R610">
        <v>6</v>
      </c>
      <c r="S610">
        <v>36</v>
      </c>
      <c r="T610" t="s">
        <v>132</v>
      </c>
      <c r="U610" t="s">
        <v>133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134</v>
      </c>
      <c r="AE610" t="s">
        <v>134</v>
      </c>
      <c r="AF610" s="2">
        <v>45518</v>
      </c>
      <c r="AG610" s="2">
        <v>46021</v>
      </c>
      <c r="AH610">
        <v>583.20000000000005</v>
      </c>
      <c r="AI610" s="1">
        <v>1381.54</v>
      </c>
      <c r="AJ610" s="1">
        <v>6998.44</v>
      </c>
      <c r="AK610">
        <v>0</v>
      </c>
      <c r="AL610">
        <v>0</v>
      </c>
      <c r="AM610">
        <v>0</v>
      </c>
      <c r="AN610" t="s">
        <v>135</v>
      </c>
      <c r="AO610" t="s">
        <v>135</v>
      </c>
      <c r="AP610" t="s">
        <v>136</v>
      </c>
      <c r="AQ610" t="s">
        <v>137</v>
      </c>
      <c r="AR610" t="s">
        <v>138</v>
      </c>
      <c r="AS610" t="s">
        <v>139</v>
      </c>
      <c r="AT610" t="s">
        <v>140</v>
      </c>
      <c r="AU610">
        <v>100</v>
      </c>
      <c r="AV610">
        <v>10</v>
      </c>
      <c r="AW610">
        <v>1</v>
      </c>
      <c r="AX610" s="2">
        <v>45817</v>
      </c>
      <c r="AY610" t="s">
        <v>141</v>
      </c>
      <c r="AZ610" s="2">
        <v>46027</v>
      </c>
      <c r="BA610">
        <v>0</v>
      </c>
      <c r="BB610">
        <v>0</v>
      </c>
      <c r="BC610">
        <v>0</v>
      </c>
      <c r="BD610">
        <v>700</v>
      </c>
      <c r="BE610">
        <v>70</v>
      </c>
      <c r="BF610">
        <v>9</v>
      </c>
      <c r="BG610" s="2">
        <v>45536</v>
      </c>
      <c r="BH610" t="s">
        <v>142</v>
      </c>
      <c r="BI610" s="2">
        <v>46026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s="1">
        <v>2310.96</v>
      </c>
      <c r="BQ610" s="1">
        <v>2310.96</v>
      </c>
      <c r="BR610">
        <v>0</v>
      </c>
      <c r="BS610">
        <v>0</v>
      </c>
      <c r="BT610">
        <v>0</v>
      </c>
      <c r="BU610">
        <v>0</v>
      </c>
      <c r="BV610" s="1">
        <v>3355.55</v>
      </c>
      <c r="BW610" s="1">
        <v>3355.55</v>
      </c>
      <c r="BX610">
        <v>0</v>
      </c>
      <c r="BY610">
        <v>0</v>
      </c>
      <c r="BZ610">
        <v>0</v>
      </c>
      <c r="CA610">
        <v>0</v>
      </c>
      <c r="CB610" s="1">
        <v>1806.61</v>
      </c>
      <c r="CC610" t="s">
        <v>161</v>
      </c>
    </row>
    <row r="611" spans="1:81" x14ac:dyDescent="0.25">
      <c r="A611">
        <v>345</v>
      </c>
      <c r="B611">
        <v>2</v>
      </c>
      <c r="C611">
        <v>962</v>
      </c>
      <c r="D611" t="s">
        <v>3484</v>
      </c>
      <c r="E611" t="s">
        <v>121</v>
      </c>
      <c r="F611" t="s">
        <v>3485</v>
      </c>
      <c r="G611" t="s">
        <v>3486</v>
      </c>
      <c r="H611" t="s">
        <v>3487</v>
      </c>
      <c r="I611" t="s">
        <v>3488</v>
      </c>
      <c r="J611" t="s">
        <v>3311</v>
      </c>
      <c r="K611" t="s">
        <v>466</v>
      </c>
      <c r="L611" t="s">
        <v>128</v>
      </c>
      <c r="M611" t="s">
        <v>467</v>
      </c>
      <c r="N611" t="s">
        <v>3489</v>
      </c>
      <c r="O611" t="s">
        <v>131</v>
      </c>
      <c r="P611">
        <v>0</v>
      </c>
      <c r="Q611" t="s">
        <v>125</v>
      </c>
      <c r="R611">
        <v>6</v>
      </c>
      <c r="S611">
        <v>39</v>
      </c>
      <c r="T611" t="s">
        <v>132</v>
      </c>
      <c r="U611" t="s">
        <v>133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134</v>
      </c>
      <c r="AE611" t="s">
        <v>134</v>
      </c>
      <c r="AF611" s="2">
        <v>45518</v>
      </c>
      <c r="AG611" s="2">
        <v>46009</v>
      </c>
      <c r="AH611">
        <v>586.09</v>
      </c>
      <c r="AI611">
        <v>767.27</v>
      </c>
      <c r="AJ611" s="1">
        <v>2344.39</v>
      </c>
      <c r="AK611">
        <v>0</v>
      </c>
      <c r="AL611">
        <v>0</v>
      </c>
      <c r="AM611">
        <v>0</v>
      </c>
      <c r="AN611" t="s">
        <v>135</v>
      </c>
      <c r="AO611" t="s">
        <v>135</v>
      </c>
      <c r="AP611" t="s">
        <v>136</v>
      </c>
      <c r="AQ611" t="s">
        <v>137</v>
      </c>
      <c r="AR611" t="s">
        <v>138</v>
      </c>
      <c r="AS611" t="s">
        <v>139</v>
      </c>
      <c r="AT611" t="s">
        <v>140</v>
      </c>
      <c r="AU611">
        <v>100</v>
      </c>
      <c r="AV611">
        <v>10</v>
      </c>
      <c r="AW611">
        <v>1</v>
      </c>
      <c r="AX611" s="2">
        <v>45812</v>
      </c>
      <c r="AY611" t="s">
        <v>168</v>
      </c>
      <c r="AZ611" s="2">
        <v>46022</v>
      </c>
      <c r="BA611">
        <v>0</v>
      </c>
      <c r="BB611">
        <v>0</v>
      </c>
      <c r="BC611">
        <v>0</v>
      </c>
      <c r="BD611">
        <v>700</v>
      </c>
      <c r="BE611">
        <v>70</v>
      </c>
      <c r="BF611">
        <v>9</v>
      </c>
      <c r="BG611" s="2">
        <v>45536</v>
      </c>
      <c r="BH611" t="s">
        <v>142</v>
      </c>
      <c r="BI611" s="2">
        <v>46026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767.27</v>
      </c>
      <c r="BQ611">
        <v>767.27</v>
      </c>
      <c r="BR611">
        <v>0</v>
      </c>
      <c r="BS611">
        <v>0</v>
      </c>
      <c r="BT611">
        <v>0</v>
      </c>
      <c r="BU611">
        <v>0</v>
      </c>
      <c r="BV611">
        <v>672.1</v>
      </c>
      <c r="BW611">
        <v>672.1</v>
      </c>
      <c r="BX611">
        <v>0</v>
      </c>
      <c r="BY611">
        <v>0</v>
      </c>
      <c r="BZ611">
        <v>0</v>
      </c>
      <c r="CA611">
        <v>0</v>
      </c>
      <c r="CB611" s="1">
        <v>1004.92</v>
      </c>
      <c r="CC611" t="s">
        <v>143</v>
      </c>
    </row>
    <row r="612" spans="1:81" x14ac:dyDescent="0.25">
      <c r="A612">
        <v>345</v>
      </c>
      <c r="B612">
        <v>2</v>
      </c>
      <c r="C612">
        <v>963</v>
      </c>
      <c r="D612" t="s">
        <v>3490</v>
      </c>
      <c r="E612" t="s">
        <v>121</v>
      </c>
      <c r="F612" t="s">
        <v>3491</v>
      </c>
      <c r="G612" t="s">
        <v>3492</v>
      </c>
      <c r="H612" t="s">
        <v>3493</v>
      </c>
      <c r="I612" t="s">
        <v>3494</v>
      </c>
      <c r="J612" t="s">
        <v>3080</v>
      </c>
      <c r="K612" t="s">
        <v>336</v>
      </c>
      <c r="L612" t="s">
        <v>128</v>
      </c>
      <c r="M612" t="s">
        <v>337</v>
      </c>
      <c r="N612" t="s">
        <v>3495</v>
      </c>
      <c r="O612" t="s">
        <v>167</v>
      </c>
      <c r="P612">
        <v>0</v>
      </c>
      <c r="Q612" t="s">
        <v>125</v>
      </c>
      <c r="R612">
        <v>6</v>
      </c>
      <c r="S612">
        <v>37</v>
      </c>
      <c r="T612" t="s">
        <v>132</v>
      </c>
      <c r="U612" t="s">
        <v>133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134</v>
      </c>
      <c r="AE612" t="s">
        <v>134</v>
      </c>
      <c r="AF612" s="2">
        <v>45518</v>
      </c>
      <c r="AG612" s="2">
        <v>46021</v>
      </c>
      <c r="AH612" s="1">
        <v>1551.05</v>
      </c>
      <c r="AI612" s="1">
        <v>2208.6999999999998</v>
      </c>
      <c r="AJ612" s="1">
        <v>20163.75</v>
      </c>
      <c r="AK612">
        <v>0</v>
      </c>
      <c r="AL612">
        <v>0</v>
      </c>
      <c r="AM612">
        <v>0</v>
      </c>
      <c r="AN612" t="s">
        <v>135</v>
      </c>
      <c r="AO612" t="s">
        <v>135</v>
      </c>
      <c r="AP612" t="s">
        <v>136</v>
      </c>
      <c r="AQ612" t="s">
        <v>137</v>
      </c>
      <c r="AR612" t="s">
        <v>138</v>
      </c>
      <c r="AS612" t="s">
        <v>139</v>
      </c>
      <c r="AT612" t="s">
        <v>140</v>
      </c>
      <c r="AU612">
        <v>100</v>
      </c>
      <c r="AV612">
        <v>10</v>
      </c>
      <c r="AW612">
        <v>1</v>
      </c>
      <c r="AX612" s="2">
        <v>45817</v>
      </c>
      <c r="AY612" t="s">
        <v>141</v>
      </c>
      <c r="AZ612" s="2">
        <v>46027</v>
      </c>
      <c r="BA612">
        <v>0</v>
      </c>
      <c r="BB612">
        <v>0</v>
      </c>
      <c r="BC612">
        <v>0</v>
      </c>
      <c r="BD612">
        <v>700</v>
      </c>
      <c r="BE612">
        <v>70</v>
      </c>
      <c r="BF612">
        <v>9</v>
      </c>
      <c r="BG612" s="2">
        <v>45536</v>
      </c>
      <c r="BH612" t="s">
        <v>142</v>
      </c>
      <c r="BI612" s="2">
        <v>46026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s="1">
        <v>5862.55</v>
      </c>
      <c r="BQ612" s="1">
        <v>5862.55</v>
      </c>
      <c r="BR612">
        <v>0</v>
      </c>
      <c r="BS612">
        <v>0</v>
      </c>
      <c r="BT612">
        <v>0</v>
      </c>
      <c r="BU612">
        <v>0</v>
      </c>
      <c r="BV612" s="1">
        <v>8834.74</v>
      </c>
      <c r="BW612" s="1">
        <v>8834.74</v>
      </c>
      <c r="BX612">
        <v>0</v>
      </c>
      <c r="BY612">
        <v>0</v>
      </c>
      <c r="BZ612">
        <v>0</v>
      </c>
      <c r="CA612">
        <v>0</v>
      </c>
      <c r="CB612" s="1">
        <v>5039.49</v>
      </c>
      <c r="CC612" t="s">
        <v>161</v>
      </c>
    </row>
    <row r="613" spans="1:81" x14ac:dyDescent="0.25">
      <c r="A613">
        <v>345</v>
      </c>
      <c r="B613">
        <v>2</v>
      </c>
      <c r="C613">
        <v>964</v>
      </c>
      <c r="D613" t="s">
        <v>3496</v>
      </c>
      <c r="E613" t="s">
        <v>121</v>
      </c>
      <c r="F613" t="s">
        <v>3497</v>
      </c>
      <c r="G613" t="s">
        <v>3498</v>
      </c>
      <c r="H613" t="s">
        <v>3499</v>
      </c>
      <c r="I613" t="s">
        <v>3500</v>
      </c>
      <c r="J613" t="s">
        <v>3074</v>
      </c>
      <c r="K613" t="s">
        <v>1853</v>
      </c>
      <c r="L613" t="s">
        <v>128</v>
      </c>
      <c r="M613" t="s">
        <v>1854</v>
      </c>
      <c r="N613" t="s">
        <v>3501</v>
      </c>
      <c r="O613" t="s">
        <v>167</v>
      </c>
      <c r="P613">
        <v>0</v>
      </c>
      <c r="Q613" t="s">
        <v>125</v>
      </c>
      <c r="R613">
        <v>6</v>
      </c>
      <c r="S613">
        <v>27</v>
      </c>
      <c r="T613" t="s">
        <v>132</v>
      </c>
      <c r="U613" t="s">
        <v>133</v>
      </c>
      <c r="V613" s="1">
        <v>2000</v>
      </c>
      <c r="W613">
        <v>0</v>
      </c>
      <c r="X613" s="1">
        <v>2000</v>
      </c>
      <c r="Y613">
        <v>7</v>
      </c>
      <c r="Z613">
        <v>0</v>
      </c>
      <c r="AA613">
        <v>7</v>
      </c>
      <c r="AB613">
        <v>1</v>
      </c>
      <c r="AC613">
        <v>40</v>
      </c>
      <c r="AD613" t="s">
        <v>134</v>
      </c>
      <c r="AE613" t="s">
        <v>134</v>
      </c>
      <c r="AF613" s="2">
        <v>45518</v>
      </c>
      <c r="AG613" s="2">
        <v>46007</v>
      </c>
      <c r="AH613">
        <v>982.54</v>
      </c>
      <c r="AI613">
        <v>982.54</v>
      </c>
      <c r="AJ613">
        <v>982.54</v>
      </c>
      <c r="AK613">
        <v>0</v>
      </c>
      <c r="AL613">
        <v>0</v>
      </c>
      <c r="AM613">
        <v>0</v>
      </c>
      <c r="AN613" t="s">
        <v>135</v>
      </c>
      <c r="AO613" t="s">
        <v>135</v>
      </c>
      <c r="AP613" t="s">
        <v>136</v>
      </c>
      <c r="AQ613" t="s">
        <v>137</v>
      </c>
      <c r="AR613" t="s">
        <v>138</v>
      </c>
      <c r="AS613" t="s">
        <v>150</v>
      </c>
      <c r="AT613" t="s">
        <v>140</v>
      </c>
      <c r="AU613">
        <v>106</v>
      </c>
      <c r="AV613">
        <v>10</v>
      </c>
      <c r="AW613">
        <v>1</v>
      </c>
      <c r="AX613" s="2">
        <v>45859</v>
      </c>
      <c r="AY613" t="s">
        <v>141</v>
      </c>
      <c r="AZ613" s="2">
        <v>46027</v>
      </c>
      <c r="BA613">
        <v>0</v>
      </c>
      <c r="BB613">
        <v>0</v>
      </c>
      <c r="BC613">
        <v>0</v>
      </c>
      <c r="BD613">
        <v>700</v>
      </c>
      <c r="BE613">
        <v>70</v>
      </c>
      <c r="BF613">
        <v>9</v>
      </c>
      <c r="BG613" s="2">
        <v>45536</v>
      </c>
      <c r="BH613" t="s">
        <v>142</v>
      </c>
      <c r="BI613" s="2">
        <v>46026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7</v>
      </c>
      <c r="BT613">
        <v>7</v>
      </c>
      <c r="BU613">
        <v>982.54</v>
      </c>
      <c r="BV613">
        <v>0</v>
      </c>
      <c r="BW613">
        <v>982.54</v>
      </c>
      <c r="BX613">
        <v>0</v>
      </c>
      <c r="BY613">
        <v>0</v>
      </c>
      <c r="BZ613">
        <v>0</v>
      </c>
      <c r="CA613">
        <v>0</v>
      </c>
      <c r="CB613">
        <v>0</v>
      </c>
      <c r="CC613" t="s">
        <v>161</v>
      </c>
    </row>
    <row r="614" spans="1:81" x14ac:dyDescent="0.25">
      <c r="A614">
        <v>345</v>
      </c>
      <c r="B614">
        <v>2</v>
      </c>
      <c r="C614">
        <v>965</v>
      </c>
      <c r="D614" t="s">
        <v>3502</v>
      </c>
      <c r="E614" t="s">
        <v>121</v>
      </c>
      <c r="F614" t="s">
        <v>3503</v>
      </c>
      <c r="G614" t="s">
        <v>3504</v>
      </c>
      <c r="H614" t="s">
        <v>3505</v>
      </c>
      <c r="I614" t="s">
        <v>3506</v>
      </c>
      <c r="J614" t="s">
        <v>1263</v>
      </c>
      <c r="K614" t="s">
        <v>466</v>
      </c>
      <c r="L614" t="s">
        <v>128</v>
      </c>
      <c r="M614" t="s">
        <v>467</v>
      </c>
      <c r="N614" t="s">
        <v>3507</v>
      </c>
      <c r="O614" t="s">
        <v>167</v>
      </c>
      <c r="P614">
        <v>0</v>
      </c>
      <c r="Q614" t="s">
        <v>125</v>
      </c>
      <c r="R614">
        <v>6</v>
      </c>
      <c r="S614">
        <v>40</v>
      </c>
      <c r="T614" t="s">
        <v>132</v>
      </c>
      <c r="U614" t="s">
        <v>133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234</v>
      </c>
      <c r="AE614" t="s">
        <v>134</v>
      </c>
      <c r="AF614" s="2">
        <v>45518</v>
      </c>
      <c r="AG614" s="2">
        <v>46011</v>
      </c>
      <c r="AH614">
        <v>726.9</v>
      </c>
      <c r="AI614" s="1">
        <v>1085.9100000000001</v>
      </c>
      <c r="AJ614" s="1">
        <v>7269.08</v>
      </c>
      <c r="AK614">
        <v>0</v>
      </c>
      <c r="AL614">
        <v>0</v>
      </c>
      <c r="AM614">
        <v>0</v>
      </c>
      <c r="AN614" t="s">
        <v>135</v>
      </c>
      <c r="AO614" t="s">
        <v>135</v>
      </c>
      <c r="AP614" t="s">
        <v>136</v>
      </c>
      <c r="AQ614" t="s">
        <v>137</v>
      </c>
      <c r="AR614" t="s">
        <v>138</v>
      </c>
      <c r="AS614" t="s">
        <v>150</v>
      </c>
      <c r="AT614" t="s">
        <v>140</v>
      </c>
      <c r="AU614">
        <v>500</v>
      </c>
      <c r="AV614">
        <v>10</v>
      </c>
      <c r="AW614">
        <v>1</v>
      </c>
      <c r="AX614" s="2">
        <v>45863</v>
      </c>
      <c r="AY614" t="s">
        <v>151</v>
      </c>
      <c r="AZ614" s="2">
        <v>46024</v>
      </c>
      <c r="BA614">
        <v>0</v>
      </c>
      <c r="BB614">
        <v>0</v>
      </c>
      <c r="BC614">
        <v>0</v>
      </c>
      <c r="BD614">
        <v>700</v>
      </c>
      <c r="BE614">
        <v>70</v>
      </c>
      <c r="BF614">
        <v>9</v>
      </c>
      <c r="BG614" s="2">
        <v>45536</v>
      </c>
      <c r="BH614" t="s">
        <v>142</v>
      </c>
      <c r="BI614" s="2">
        <v>46026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s="1">
        <v>4160.58</v>
      </c>
      <c r="BQ614" s="1">
        <v>4160.58</v>
      </c>
      <c r="BR614">
        <v>0</v>
      </c>
      <c r="BS614">
        <v>0</v>
      </c>
      <c r="BT614">
        <v>0</v>
      </c>
      <c r="BU614">
        <v>0</v>
      </c>
      <c r="BV614" s="1">
        <v>2295.36</v>
      </c>
      <c r="BW614" s="1">
        <v>2295.36</v>
      </c>
      <c r="BX614">
        <v>0</v>
      </c>
      <c r="BY614">
        <v>0</v>
      </c>
      <c r="BZ614">
        <v>0</v>
      </c>
      <c r="CA614">
        <v>0</v>
      </c>
      <c r="CB614" s="1">
        <v>2606.23</v>
      </c>
      <c r="CC614" t="s">
        <v>161</v>
      </c>
    </row>
    <row r="615" spans="1:81" x14ac:dyDescent="0.25">
      <c r="A615">
        <v>345</v>
      </c>
      <c r="B615">
        <v>2</v>
      </c>
      <c r="C615">
        <v>966</v>
      </c>
      <c r="D615" t="s">
        <v>3508</v>
      </c>
      <c r="E615" t="s">
        <v>121</v>
      </c>
      <c r="F615" t="s">
        <v>3509</v>
      </c>
      <c r="G615" t="s">
        <v>3510</v>
      </c>
      <c r="H615" t="s">
        <v>3511</v>
      </c>
      <c r="I615" t="s">
        <v>3512</v>
      </c>
      <c r="J615" t="s">
        <v>1263</v>
      </c>
      <c r="K615" t="s">
        <v>466</v>
      </c>
      <c r="L615" t="s">
        <v>128</v>
      </c>
      <c r="M615" t="s">
        <v>467</v>
      </c>
      <c r="N615" t="s">
        <v>3513</v>
      </c>
      <c r="O615" t="s">
        <v>167</v>
      </c>
      <c r="P615">
        <v>0</v>
      </c>
      <c r="Q615" t="s">
        <v>125</v>
      </c>
      <c r="R615">
        <v>6</v>
      </c>
      <c r="S615">
        <v>36</v>
      </c>
      <c r="T615" t="s">
        <v>132</v>
      </c>
      <c r="U615" t="s">
        <v>133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134</v>
      </c>
      <c r="AE615" t="s">
        <v>134</v>
      </c>
      <c r="AF615" s="2">
        <v>45518</v>
      </c>
      <c r="AG615" s="2">
        <v>46009</v>
      </c>
      <c r="AH615">
        <v>29.3</v>
      </c>
      <c r="AI615">
        <v>64.78</v>
      </c>
      <c r="AJ615">
        <v>263.76</v>
      </c>
      <c r="AK615">
        <v>0</v>
      </c>
      <c r="AL615">
        <v>0</v>
      </c>
      <c r="AM615">
        <v>0</v>
      </c>
      <c r="AN615" t="s">
        <v>135</v>
      </c>
      <c r="AO615" t="s">
        <v>135</v>
      </c>
      <c r="AP615" t="s">
        <v>136</v>
      </c>
      <c r="AQ615" t="s">
        <v>137</v>
      </c>
      <c r="AR615" t="s">
        <v>138</v>
      </c>
      <c r="AS615" t="s">
        <v>139</v>
      </c>
      <c r="AT615" t="s">
        <v>140</v>
      </c>
      <c r="AU615">
        <v>100</v>
      </c>
      <c r="AV615">
        <v>10</v>
      </c>
      <c r="AW615">
        <v>1</v>
      </c>
      <c r="AX615" s="2">
        <v>45812</v>
      </c>
      <c r="AY615" t="s">
        <v>168</v>
      </c>
      <c r="AZ615" s="2">
        <v>46022</v>
      </c>
      <c r="BA615">
        <v>0</v>
      </c>
      <c r="BB615">
        <v>0</v>
      </c>
      <c r="BC615">
        <v>0</v>
      </c>
      <c r="BD615">
        <v>700</v>
      </c>
      <c r="BE615">
        <v>70</v>
      </c>
      <c r="BF615">
        <v>9</v>
      </c>
      <c r="BG615" s="2">
        <v>45536</v>
      </c>
      <c r="BH615" t="s">
        <v>142</v>
      </c>
      <c r="BI615" s="2">
        <v>46026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45.46</v>
      </c>
      <c r="BQ615">
        <v>45.46</v>
      </c>
      <c r="BR615">
        <v>0</v>
      </c>
      <c r="BS615">
        <v>0</v>
      </c>
      <c r="BT615">
        <v>0</v>
      </c>
      <c r="BU615">
        <v>0</v>
      </c>
      <c r="BV615">
        <v>132.53</v>
      </c>
      <c r="BW615">
        <v>132.53</v>
      </c>
      <c r="BX615">
        <v>0</v>
      </c>
      <c r="BY615">
        <v>0</v>
      </c>
      <c r="BZ615">
        <v>0</v>
      </c>
      <c r="CA615">
        <v>0</v>
      </c>
      <c r="CB615">
        <v>65.040000000000006</v>
      </c>
      <c r="CC615" t="s">
        <v>161</v>
      </c>
    </row>
    <row r="616" spans="1:81" x14ac:dyDescent="0.25">
      <c r="A616">
        <v>345</v>
      </c>
      <c r="B616">
        <v>2</v>
      </c>
      <c r="C616">
        <v>967</v>
      </c>
      <c r="D616" t="s">
        <v>3514</v>
      </c>
      <c r="E616" t="s">
        <v>121</v>
      </c>
      <c r="F616" t="s">
        <v>3515</v>
      </c>
      <c r="G616" t="s">
        <v>3516</v>
      </c>
      <c r="H616" t="s">
        <v>3517</v>
      </c>
      <c r="I616" t="s">
        <v>3518</v>
      </c>
      <c r="J616" t="s">
        <v>3519</v>
      </c>
      <c r="K616" t="s">
        <v>336</v>
      </c>
      <c r="L616" t="s">
        <v>128</v>
      </c>
      <c r="M616" t="s">
        <v>337</v>
      </c>
      <c r="N616" t="s">
        <v>3520</v>
      </c>
      <c r="O616" t="s">
        <v>167</v>
      </c>
      <c r="P616">
        <v>0</v>
      </c>
      <c r="Q616" t="s">
        <v>125</v>
      </c>
      <c r="R616">
        <v>6</v>
      </c>
      <c r="S616">
        <v>35</v>
      </c>
      <c r="T616" t="s">
        <v>132</v>
      </c>
      <c r="U616" t="s">
        <v>133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134</v>
      </c>
      <c r="AE616" t="s">
        <v>134</v>
      </c>
      <c r="AF616" s="2">
        <v>45518</v>
      </c>
      <c r="AG616" s="2">
        <v>46021</v>
      </c>
      <c r="AH616">
        <v>599.22</v>
      </c>
      <c r="AI616">
        <v>982.09</v>
      </c>
      <c r="AJ616" s="1">
        <v>2996.12</v>
      </c>
      <c r="AK616">
        <v>0</v>
      </c>
      <c r="AL616">
        <v>0</v>
      </c>
      <c r="AM616">
        <v>0</v>
      </c>
      <c r="AN616" t="s">
        <v>135</v>
      </c>
      <c r="AO616" t="s">
        <v>135</v>
      </c>
      <c r="AP616" t="s">
        <v>136</v>
      </c>
      <c r="AQ616" t="s">
        <v>137</v>
      </c>
      <c r="AR616" t="s">
        <v>138</v>
      </c>
      <c r="AS616" t="s">
        <v>139</v>
      </c>
      <c r="AT616" t="s">
        <v>140</v>
      </c>
      <c r="AU616">
        <v>100</v>
      </c>
      <c r="AV616">
        <v>10</v>
      </c>
      <c r="AW616">
        <v>1</v>
      </c>
      <c r="AX616" s="2">
        <v>45859</v>
      </c>
      <c r="AY616" t="s">
        <v>141</v>
      </c>
      <c r="AZ616" s="2">
        <v>46027</v>
      </c>
      <c r="BA616">
        <v>0</v>
      </c>
      <c r="BB616">
        <v>0</v>
      </c>
      <c r="BC616">
        <v>0</v>
      </c>
      <c r="BD616">
        <v>700</v>
      </c>
      <c r="BE616">
        <v>70</v>
      </c>
      <c r="BF616">
        <v>9</v>
      </c>
      <c r="BG616" s="2">
        <v>45536</v>
      </c>
      <c r="BH616" t="s">
        <v>142</v>
      </c>
      <c r="BI616" s="2">
        <v>46026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982.09</v>
      </c>
      <c r="BQ616">
        <v>982.09</v>
      </c>
      <c r="BR616">
        <v>0</v>
      </c>
      <c r="BS616">
        <v>0</v>
      </c>
      <c r="BT616">
        <v>0</v>
      </c>
      <c r="BU616">
        <v>0</v>
      </c>
      <c r="BV616" s="1">
        <v>1037.3499999999999</v>
      </c>
      <c r="BW616" s="1">
        <v>1037.3499999999999</v>
      </c>
      <c r="BX616">
        <v>0</v>
      </c>
      <c r="BY616">
        <v>0</v>
      </c>
      <c r="BZ616">
        <v>0</v>
      </c>
      <c r="CA616">
        <v>0</v>
      </c>
      <c r="CB616" s="1">
        <v>1191.21</v>
      </c>
      <c r="CC616" t="s">
        <v>161</v>
      </c>
    </row>
    <row r="617" spans="1:81" x14ac:dyDescent="0.25">
      <c r="A617">
        <v>345</v>
      </c>
      <c r="B617">
        <v>2</v>
      </c>
      <c r="C617">
        <v>968</v>
      </c>
      <c r="D617" t="s">
        <v>3521</v>
      </c>
      <c r="E617" t="s">
        <v>121</v>
      </c>
      <c r="F617" t="s">
        <v>3522</v>
      </c>
      <c r="G617" t="s">
        <v>3523</v>
      </c>
      <c r="H617" t="s">
        <v>3524</v>
      </c>
      <c r="I617" t="s">
        <v>3525</v>
      </c>
      <c r="J617" t="s">
        <v>1263</v>
      </c>
      <c r="K617" t="s">
        <v>466</v>
      </c>
      <c r="L617" t="s">
        <v>128</v>
      </c>
      <c r="M617" t="s">
        <v>467</v>
      </c>
      <c r="N617" t="s">
        <v>3526</v>
      </c>
      <c r="O617" t="s">
        <v>131</v>
      </c>
      <c r="P617">
        <v>0</v>
      </c>
      <c r="Q617" t="s">
        <v>125</v>
      </c>
      <c r="R617">
        <v>6</v>
      </c>
      <c r="S617">
        <v>40</v>
      </c>
      <c r="T617" t="s">
        <v>132</v>
      </c>
      <c r="U617" t="s">
        <v>133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134</v>
      </c>
      <c r="AE617" t="s">
        <v>134</v>
      </c>
      <c r="AF617" s="2">
        <v>45518</v>
      </c>
      <c r="AG617" s="2">
        <v>46011</v>
      </c>
      <c r="AH617">
        <v>224.03</v>
      </c>
      <c r="AI617">
        <v>306.94</v>
      </c>
      <c r="AJ617" s="1">
        <v>1792.24</v>
      </c>
      <c r="AK617">
        <v>0</v>
      </c>
      <c r="AL617">
        <v>0</v>
      </c>
      <c r="AM617">
        <v>0</v>
      </c>
      <c r="AN617" t="s">
        <v>135</v>
      </c>
      <c r="AO617" t="s">
        <v>135</v>
      </c>
      <c r="AP617" t="s">
        <v>136</v>
      </c>
      <c r="AQ617" t="s">
        <v>137</v>
      </c>
      <c r="AR617" t="s">
        <v>138</v>
      </c>
      <c r="AS617" t="s">
        <v>139</v>
      </c>
      <c r="AT617" t="s">
        <v>140</v>
      </c>
      <c r="AU617">
        <v>106</v>
      </c>
      <c r="AV617">
        <v>10</v>
      </c>
      <c r="AW617">
        <v>1</v>
      </c>
      <c r="AX617" s="2">
        <v>45828</v>
      </c>
      <c r="AY617" t="s">
        <v>151</v>
      </c>
      <c r="AZ617" s="2">
        <v>46024</v>
      </c>
      <c r="BA617">
        <v>0</v>
      </c>
      <c r="BB617">
        <v>0</v>
      </c>
      <c r="BC617">
        <v>0</v>
      </c>
      <c r="BD617">
        <v>700</v>
      </c>
      <c r="BE617">
        <v>70</v>
      </c>
      <c r="BF617">
        <v>9</v>
      </c>
      <c r="BG617" s="2">
        <v>45536</v>
      </c>
      <c r="BH617" t="s">
        <v>142</v>
      </c>
      <c r="BI617" s="2">
        <v>46026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440.99</v>
      </c>
      <c r="BQ617">
        <v>440.99</v>
      </c>
      <c r="BR617">
        <v>0</v>
      </c>
      <c r="BS617">
        <v>0</v>
      </c>
      <c r="BT617">
        <v>0</v>
      </c>
      <c r="BU617">
        <v>0</v>
      </c>
      <c r="BV617">
        <v>436.65</v>
      </c>
      <c r="BW617">
        <v>436.65</v>
      </c>
      <c r="BX617">
        <v>0</v>
      </c>
      <c r="BY617">
        <v>0</v>
      </c>
      <c r="BZ617">
        <v>0</v>
      </c>
      <c r="CA617">
        <v>0</v>
      </c>
      <c r="CB617">
        <v>568.72</v>
      </c>
      <c r="CC617" t="s">
        <v>143</v>
      </c>
    </row>
    <row r="618" spans="1:81" x14ac:dyDescent="0.25">
      <c r="A618">
        <v>345</v>
      </c>
      <c r="B618">
        <v>2</v>
      </c>
      <c r="C618">
        <v>969</v>
      </c>
      <c r="D618" t="s">
        <v>3527</v>
      </c>
      <c r="E618" t="s">
        <v>121</v>
      </c>
      <c r="F618" t="s">
        <v>3528</v>
      </c>
      <c r="G618" t="s">
        <v>3529</v>
      </c>
      <c r="H618" t="s">
        <v>3530</v>
      </c>
      <c r="I618" t="s">
        <v>3531</v>
      </c>
      <c r="J618" t="s">
        <v>1465</v>
      </c>
      <c r="K618" t="s">
        <v>466</v>
      </c>
      <c r="L618" t="s">
        <v>128</v>
      </c>
      <c r="M618" t="s">
        <v>467</v>
      </c>
      <c r="N618" t="s">
        <v>3532</v>
      </c>
      <c r="O618" t="s">
        <v>159</v>
      </c>
      <c r="P618">
        <v>0</v>
      </c>
      <c r="Q618" t="s">
        <v>125</v>
      </c>
      <c r="R618">
        <v>6</v>
      </c>
      <c r="S618">
        <v>35</v>
      </c>
      <c r="T618" t="s">
        <v>132</v>
      </c>
      <c r="U618" t="s">
        <v>133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134</v>
      </c>
      <c r="AE618" t="s">
        <v>134</v>
      </c>
      <c r="AF618" s="2">
        <v>45518</v>
      </c>
      <c r="AG618" s="2">
        <v>46009</v>
      </c>
      <c r="AH618">
        <v>208.21</v>
      </c>
      <c r="AI618">
        <v>313.45999999999998</v>
      </c>
      <c r="AJ618">
        <v>832.86</v>
      </c>
      <c r="AK618">
        <v>0</v>
      </c>
      <c r="AL618">
        <v>0</v>
      </c>
      <c r="AM618">
        <v>0</v>
      </c>
      <c r="AN618" t="s">
        <v>135</v>
      </c>
      <c r="AO618" t="s">
        <v>135</v>
      </c>
      <c r="AP618" t="s">
        <v>136</v>
      </c>
      <c r="AQ618" t="s">
        <v>137</v>
      </c>
      <c r="AR618" t="s">
        <v>138</v>
      </c>
      <c r="AS618" t="s">
        <v>139</v>
      </c>
      <c r="AT618" t="s">
        <v>140</v>
      </c>
      <c r="AU618">
        <v>100</v>
      </c>
      <c r="AV618">
        <v>10</v>
      </c>
      <c r="AW618">
        <v>1</v>
      </c>
      <c r="AX618" s="2">
        <v>45812</v>
      </c>
      <c r="AY618" t="s">
        <v>168</v>
      </c>
      <c r="AZ618" s="2">
        <v>46022</v>
      </c>
      <c r="BA618">
        <v>0</v>
      </c>
      <c r="BB618">
        <v>0</v>
      </c>
      <c r="BC618">
        <v>0</v>
      </c>
      <c r="BD618">
        <v>700</v>
      </c>
      <c r="BE618">
        <v>70</v>
      </c>
      <c r="BF618">
        <v>9</v>
      </c>
      <c r="BG618" s="2">
        <v>45536</v>
      </c>
      <c r="BH618" t="s">
        <v>142</v>
      </c>
      <c r="BI618" s="2">
        <v>46026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181.9</v>
      </c>
      <c r="BQ618">
        <v>181.9</v>
      </c>
      <c r="BR618">
        <v>0</v>
      </c>
      <c r="BS618">
        <v>0</v>
      </c>
      <c r="BT618">
        <v>0</v>
      </c>
      <c r="BU618">
        <v>0</v>
      </c>
      <c r="BV618">
        <v>505.06</v>
      </c>
      <c r="BW618">
        <v>505.06</v>
      </c>
      <c r="BX618">
        <v>0</v>
      </c>
      <c r="BY618">
        <v>0</v>
      </c>
      <c r="BZ618">
        <v>0</v>
      </c>
      <c r="CA618">
        <v>0</v>
      </c>
      <c r="CB618">
        <v>175.24</v>
      </c>
      <c r="CC618" t="s">
        <v>161</v>
      </c>
    </row>
    <row r="619" spans="1:81" x14ac:dyDescent="0.25">
      <c r="A619">
        <v>345</v>
      </c>
      <c r="B619">
        <v>2</v>
      </c>
      <c r="C619">
        <v>971</v>
      </c>
      <c r="D619" t="s">
        <v>3533</v>
      </c>
      <c r="E619" t="s">
        <v>121</v>
      </c>
      <c r="F619" t="s">
        <v>3534</v>
      </c>
      <c r="G619" t="s">
        <v>3535</v>
      </c>
      <c r="H619" t="s">
        <v>3536</v>
      </c>
      <c r="I619" t="s">
        <v>3537</v>
      </c>
      <c r="J619" t="s">
        <v>3538</v>
      </c>
      <c r="K619" t="s">
        <v>336</v>
      </c>
      <c r="L619" t="s">
        <v>128</v>
      </c>
      <c r="M619" t="s">
        <v>337</v>
      </c>
      <c r="N619" t="s">
        <v>3539</v>
      </c>
      <c r="O619" t="s">
        <v>131</v>
      </c>
      <c r="P619">
        <v>0</v>
      </c>
      <c r="Q619" t="s">
        <v>125</v>
      </c>
      <c r="R619">
        <v>6</v>
      </c>
      <c r="S619">
        <v>40</v>
      </c>
      <c r="T619" t="s">
        <v>132</v>
      </c>
      <c r="U619" t="s">
        <v>133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134</v>
      </c>
      <c r="AE619" t="s">
        <v>134</v>
      </c>
      <c r="AF619" s="2">
        <v>45518</v>
      </c>
      <c r="AG619" s="2">
        <v>46008</v>
      </c>
      <c r="AH619">
        <v>257.95</v>
      </c>
      <c r="AI619">
        <v>332.19</v>
      </c>
      <c r="AJ619" s="1">
        <v>1547.75</v>
      </c>
      <c r="AK619">
        <v>0</v>
      </c>
      <c r="AL619">
        <v>0</v>
      </c>
      <c r="AM619">
        <v>0</v>
      </c>
      <c r="AN619" t="s">
        <v>135</v>
      </c>
      <c r="AO619" t="s">
        <v>135</v>
      </c>
      <c r="AP619" t="s">
        <v>136</v>
      </c>
      <c r="AQ619" t="s">
        <v>137</v>
      </c>
      <c r="AR619" t="s">
        <v>138</v>
      </c>
      <c r="AS619" t="s">
        <v>139</v>
      </c>
      <c r="AT619" t="s">
        <v>140</v>
      </c>
      <c r="AU619">
        <v>100</v>
      </c>
      <c r="AV619">
        <v>10</v>
      </c>
      <c r="AW619">
        <v>1</v>
      </c>
      <c r="AX619" s="2">
        <v>45832</v>
      </c>
      <c r="AY619" t="s">
        <v>377</v>
      </c>
      <c r="AZ619" s="2">
        <v>46028</v>
      </c>
      <c r="BA619">
        <v>0</v>
      </c>
      <c r="BB619">
        <v>0</v>
      </c>
      <c r="BC619">
        <v>0</v>
      </c>
      <c r="BD619">
        <v>700</v>
      </c>
      <c r="BE619">
        <v>70</v>
      </c>
      <c r="BF619">
        <v>9</v>
      </c>
      <c r="BG619" s="2">
        <v>45536</v>
      </c>
      <c r="BH619" t="s">
        <v>142</v>
      </c>
      <c r="BI619" s="2">
        <v>46026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59.04</v>
      </c>
      <c r="BW619">
        <v>59.04</v>
      </c>
      <c r="BX619">
        <v>0</v>
      </c>
      <c r="BY619">
        <v>0</v>
      </c>
      <c r="BZ619">
        <v>0</v>
      </c>
      <c r="CA619">
        <v>0</v>
      </c>
      <c r="CB619">
        <v>868.45</v>
      </c>
      <c r="CC619" t="s">
        <v>143</v>
      </c>
    </row>
    <row r="620" spans="1:81" x14ac:dyDescent="0.25">
      <c r="A620">
        <v>345</v>
      </c>
      <c r="B620">
        <v>2</v>
      </c>
      <c r="C620">
        <v>973</v>
      </c>
      <c r="D620" t="s">
        <v>3540</v>
      </c>
      <c r="E620" t="s">
        <v>121</v>
      </c>
      <c r="F620" t="s">
        <v>3541</v>
      </c>
      <c r="G620" t="s">
        <v>3542</v>
      </c>
      <c r="H620" t="s">
        <v>3543</v>
      </c>
      <c r="I620" t="s">
        <v>3544</v>
      </c>
      <c r="J620" t="s">
        <v>1263</v>
      </c>
      <c r="K620" t="s">
        <v>466</v>
      </c>
      <c r="L620" t="s">
        <v>128</v>
      </c>
      <c r="M620" t="s">
        <v>467</v>
      </c>
      <c r="N620" t="s">
        <v>3545</v>
      </c>
      <c r="O620" t="s">
        <v>159</v>
      </c>
      <c r="P620">
        <v>0</v>
      </c>
      <c r="Q620" t="s">
        <v>125</v>
      </c>
      <c r="R620">
        <v>4</v>
      </c>
      <c r="S620">
        <v>76</v>
      </c>
      <c r="T620" t="s">
        <v>132</v>
      </c>
      <c r="U620" t="s">
        <v>133</v>
      </c>
      <c r="V620" s="1">
        <v>15000</v>
      </c>
      <c r="W620" s="1">
        <v>34891.64</v>
      </c>
      <c r="X620" s="1">
        <v>-19891.64</v>
      </c>
      <c r="Y620">
        <v>7</v>
      </c>
      <c r="Z620">
        <v>0</v>
      </c>
      <c r="AA620">
        <v>7</v>
      </c>
      <c r="AB620">
        <v>0</v>
      </c>
      <c r="AC620">
        <v>5</v>
      </c>
      <c r="AD620" t="s">
        <v>134</v>
      </c>
      <c r="AE620" t="s">
        <v>134</v>
      </c>
      <c r="AF620" s="2">
        <v>45518</v>
      </c>
      <c r="AG620" s="2">
        <v>46015</v>
      </c>
      <c r="AH620" s="1">
        <v>11393.24</v>
      </c>
      <c r="AI620" s="1">
        <v>46239.4</v>
      </c>
      <c r="AJ620" s="1">
        <v>91145.94</v>
      </c>
      <c r="AK620">
        <v>0</v>
      </c>
      <c r="AL620" s="1">
        <v>34891.64</v>
      </c>
      <c r="AM620">
        <v>0</v>
      </c>
      <c r="AN620" t="s">
        <v>135</v>
      </c>
      <c r="AO620" t="s">
        <v>135</v>
      </c>
      <c r="AP620" t="s">
        <v>136</v>
      </c>
      <c r="AQ620" t="s">
        <v>137</v>
      </c>
      <c r="AR620" t="s">
        <v>138</v>
      </c>
      <c r="AS620" t="s">
        <v>150</v>
      </c>
      <c r="AT620" t="s">
        <v>140</v>
      </c>
      <c r="AU620">
        <v>500</v>
      </c>
      <c r="AV620">
        <v>10</v>
      </c>
      <c r="AW620">
        <v>1</v>
      </c>
      <c r="AX620" s="2">
        <v>45825</v>
      </c>
      <c r="AY620" t="s">
        <v>377</v>
      </c>
      <c r="AZ620" s="2">
        <v>46028</v>
      </c>
      <c r="BA620">
        <v>0</v>
      </c>
      <c r="BB620">
        <v>0</v>
      </c>
      <c r="BC620">
        <v>0</v>
      </c>
      <c r="BD620">
        <v>999</v>
      </c>
      <c r="BE620">
        <v>99</v>
      </c>
      <c r="BF620">
        <v>9</v>
      </c>
      <c r="BG620" t="s">
        <v>135</v>
      </c>
      <c r="BH620" t="s">
        <v>250</v>
      </c>
      <c r="BI620" t="s">
        <v>135</v>
      </c>
      <c r="BJ620">
        <v>0</v>
      </c>
      <c r="BK620">
        <v>0</v>
      </c>
      <c r="BL620">
        <v>0</v>
      </c>
      <c r="BM620">
        <v>5</v>
      </c>
      <c r="BN620">
        <v>5</v>
      </c>
      <c r="BO620" s="1">
        <v>3162.33</v>
      </c>
      <c r="BP620">
        <v>0</v>
      </c>
      <c r="BQ620" s="1">
        <v>3162.33</v>
      </c>
      <c r="BR620">
        <v>0</v>
      </c>
      <c r="BS620">
        <v>5.15</v>
      </c>
      <c r="BT620">
        <v>5.15</v>
      </c>
      <c r="BU620" s="1">
        <v>41744.21</v>
      </c>
      <c r="BV620">
        <v>0</v>
      </c>
      <c r="BW620" s="1">
        <v>41744.21</v>
      </c>
      <c r="BX620" s="1">
        <v>34891.64</v>
      </c>
      <c r="BY620">
        <v>83.58</v>
      </c>
      <c r="BZ620">
        <v>0</v>
      </c>
      <c r="CA620">
        <v>0</v>
      </c>
      <c r="CB620" s="1">
        <v>24777.39</v>
      </c>
      <c r="CC620" t="s">
        <v>161</v>
      </c>
    </row>
    <row r="621" spans="1:81" x14ac:dyDescent="0.25">
      <c r="A621">
        <v>345</v>
      </c>
      <c r="B621">
        <v>2</v>
      </c>
      <c r="C621">
        <v>974</v>
      </c>
      <c r="D621" t="s">
        <v>3546</v>
      </c>
      <c r="E621" t="s">
        <v>121</v>
      </c>
      <c r="F621" t="s">
        <v>3547</v>
      </c>
      <c r="G621" t="s">
        <v>3548</v>
      </c>
      <c r="H621" t="s">
        <v>3549</v>
      </c>
      <c r="I621" t="s">
        <v>3550</v>
      </c>
      <c r="J621" t="s">
        <v>3551</v>
      </c>
      <c r="K621" t="s">
        <v>466</v>
      </c>
      <c r="L621" t="s">
        <v>128</v>
      </c>
      <c r="M621" t="s">
        <v>467</v>
      </c>
      <c r="N621" t="s">
        <v>3552</v>
      </c>
      <c r="O621" t="s">
        <v>167</v>
      </c>
      <c r="P621">
        <v>0</v>
      </c>
      <c r="Q621" t="s">
        <v>125</v>
      </c>
      <c r="R621">
        <v>4</v>
      </c>
      <c r="S621">
        <v>80</v>
      </c>
      <c r="T621" t="s">
        <v>132</v>
      </c>
      <c r="U621" t="s">
        <v>133</v>
      </c>
      <c r="V621" s="1">
        <v>1500</v>
      </c>
      <c r="W621">
        <v>559.61</v>
      </c>
      <c r="X621">
        <v>940.39</v>
      </c>
      <c r="Y621">
        <v>7</v>
      </c>
      <c r="Z621">
        <v>0</v>
      </c>
      <c r="AA621">
        <v>8</v>
      </c>
      <c r="AB621">
        <v>1</v>
      </c>
      <c r="AC621">
        <v>23</v>
      </c>
      <c r="AD621" t="s">
        <v>134</v>
      </c>
      <c r="AE621" t="s">
        <v>134</v>
      </c>
      <c r="AF621" s="2">
        <v>45518</v>
      </c>
      <c r="AG621" s="2">
        <v>46017</v>
      </c>
      <c r="AH621">
        <v>600.75</v>
      </c>
      <c r="AI621" s="1">
        <v>1045.53</v>
      </c>
      <c r="AJ621" s="1">
        <v>7209.1</v>
      </c>
      <c r="AK621">
        <v>0</v>
      </c>
      <c r="AL621">
        <v>559.61</v>
      </c>
      <c r="AM621">
        <v>143.66999999999999</v>
      </c>
      <c r="AN621" t="s">
        <v>135</v>
      </c>
      <c r="AO621" t="s">
        <v>135</v>
      </c>
      <c r="AP621" t="s">
        <v>136</v>
      </c>
      <c r="AQ621" t="s">
        <v>137</v>
      </c>
      <c r="AR621" t="s">
        <v>138</v>
      </c>
      <c r="AS621" t="s">
        <v>139</v>
      </c>
      <c r="AT621" t="s">
        <v>140</v>
      </c>
      <c r="AU621">
        <v>100</v>
      </c>
      <c r="AV621">
        <v>10</v>
      </c>
      <c r="AW621">
        <v>1</v>
      </c>
      <c r="AX621" s="2">
        <v>45840</v>
      </c>
      <c r="AY621" t="s">
        <v>168</v>
      </c>
      <c r="AZ621" s="2">
        <v>46022</v>
      </c>
      <c r="BA621">
        <v>0</v>
      </c>
      <c r="BB621">
        <v>0</v>
      </c>
      <c r="BC621">
        <v>0</v>
      </c>
      <c r="BD621">
        <v>700</v>
      </c>
      <c r="BE621">
        <v>70</v>
      </c>
      <c r="BF621">
        <v>9</v>
      </c>
      <c r="BG621" s="2">
        <v>45536</v>
      </c>
      <c r="BH621" t="s">
        <v>142</v>
      </c>
      <c r="BI621" s="2">
        <v>46026</v>
      </c>
      <c r="BJ621">
        <v>0</v>
      </c>
      <c r="BK621">
        <v>0</v>
      </c>
      <c r="BL621">
        <v>0</v>
      </c>
      <c r="BM621">
        <v>7</v>
      </c>
      <c r="BN621">
        <v>6.69</v>
      </c>
      <c r="BO621" s="1">
        <v>1432.87</v>
      </c>
      <c r="BP621">
        <v>66.47</v>
      </c>
      <c r="BQ621" s="1">
        <v>1499.34</v>
      </c>
      <c r="BR621">
        <v>804.01</v>
      </c>
      <c r="BS621">
        <v>7.45</v>
      </c>
      <c r="BT621">
        <v>6.54</v>
      </c>
      <c r="BU621" s="1">
        <v>2059.08</v>
      </c>
      <c r="BV621">
        <v>286.5</v>
      </c>
      <c r="BW621" s="1">
        <v>2345.58</v>
      </c>
      <c r="BX621">
        <v>559.61</v>
      </c>
      <c r="BY621">
        <v>27.18</v>
      </c>
      <c r="BZ621">
        <v>0</v>
      </c>
      <c r="CA621">
        <v>0</v>
      </c>
      <c r="CB621" s="1">
        <v>2420.0500000000002</v>
      </c>
      <c r="CC621" t="s">
        <v>161</v>
      </c>
    </row>
    <row r="622" spans="1:81" x14ac:dyDescent="0.25">
      <c r="A622">
        <v>345</v>
      </c>
      <c r="B622">
        <v>2</v>
      </c>
      <c r="C622">
        <v>975</v>
      </c>
      <c r="D622" t="s">
        <v>3553</v>
      </c>
      <c r="E622" t="s">
        <v>121</v>
      </c>
      <c r="F622" t="s">
        <v>3554</v>
      </c>
      <c r="G622" t="s">
        <v>3555</v>
      </c>
      <c r="H622" t="s">
        <v>3556</v>
      </c>
      <c r="I622" t="s">
        <v>3557</v>
      </c>
      <c r="J622" t="s">
        <v>3074</v>
      </c>
      <c r="K622" t="s">
        <v>1853</v>
      </c>
      <c r="L622" t="s">
        <v>128</v>
      </c>
      <c r="M622" t="s">
        <v>3558</v>
      </c>
      <c r="N622" t="s">
        <v>3559</v>
      </c>
      <c r="O622" t="s">
        <v>167</v>
      </c>
      <c r="P622">
        <v>0</v>
      </c>
      <c r="Q622" t="s">
        <v>125</v>
      </c>
      <c r="R622">
        <v>6</v>
      </c>
      <c r="S622">
        <v>35</v>
      </c>
      <c r="T622" t="s">
        <v>132</v>
      </c>
      <c r="U622" t="s">
        <v>133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134</v>
      </c>
      <c r="AE622" t="s">
        <v>134</v>
      </c>
      <c r="AF622" s="2">
        <v>45518</v>
      </c>
      <c r="AG622" s="2">
        <v>45953</v>
      </c>
      <c r="AH622">
        <v>455.67</v>
      </c>
      <c r="AI622">
        <v>634.4</v>
      </c>
      <c r="AJ622" s="1">
        <v>1822.69</v>
      </c>
      <c r="AK622">
        <v>0</v>
      </c>
      <c r="AL622">
        <v>0</v>
      </c>
      <c r="AM622">
        <v>0</v>
      </c>
      <c r="AN622" t="s">
        <v>135</v>
      </c>
      <c r="AO622" t="s">
        <v>135</v>
      </c>
      <c r="AP622" t="s">
        <v>136</v>
      </c>
      <c r="AQ622" t="s">
        <v>137</v>
      </c>
      <c r="AR622" t="s">
        <v>138</v>
      </c>
      <c r="AS622" t="s">
        <v>139</v>
      </c>
      <c r="AT622" t="s">
        <v>140</v>
      </c>
      <c r="AU622">
        <v>106</v>
      </c>
      <c r="AV622">
        <v>10</v>
      </c>
      <c r="AW622">
        <v>1</v>
      </c>
      <c r="AX622" s="2">
        <v>45812</v>
      </c>
      <c r="AY622" t="s">
        <v>168</v>
      </c>
      <c r="AZ622" s="2">
        <v>46022</v>
      </c>
      <c r="BA622">
        <v>0</v>
      </c>
      <c r="BB622">
        <v>0</v>
      </c>
      <c r="BC622">
        <v>0</v>
      </c>
      <c r="BD622">
        <v>700</v>
      </c>
      <c r="BE622">
        <v>70</v>
      </c>
      <c r="BF622">
        <v>9</v>
      </c>
      <c r="BG622" s="2">
        <v>45536</v>
      </c>
      <c r="BH622" t="s">
        <v>142</v>
      </c>
      <c r="BI622" s="2">
        <v>46026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711.96</v>
      </c>
      <c r="CC622" t="s">
        <v>161</v>
      </c>
    </row>
    <row r="623" spans="1:81" x14ac:dyDescent="0.25">
      <c r="A623">
        <v>345</v>
      </c>
      <c r="B623">
        <v>2</v>
      </c>
      <c r="C623">
        <v>976</v>
      </c>
      <c r="D623" t="s">
        <v>3560</v>
      </c>
      <c r="E623" t="s">
        <v>121</v>
      </c>
      <c r="F623" t="s">
        <v>3561</v>
      </c>
      <c r="G623" t="s">
        <v>3562</v>
      </c>
      <c r="H623" t="s">
        <v>3563</v>
      </c>
      <c r="I623" t="s">
        <v>3564</v>
      </c>
      <c r="J623" t="s">
        <v>1263</v>
      </c>
      <c r="K623" t="s">
        <v>466</v>
      </c>
      <c r="L623" t="s">
        <v>128</v>
      </c>
      <c r="M623" t="s">
        <v>467</v>
      </c>
      <c r="N623" t="s">
        <v>3565</v>
      </c>
      <c r="O623" t="s">
        <v>131</v>
      </c>
      <c r="P623">
        <v>0</v>
      </c>
      <c r="Q623" t="s">
        <v>125</v>
      </c>
      <c r="R623">
        <v>6</v>
      </c>
      <c r="S623">
        <v>45</v>
      </c>
      <c r="T623" t="s">
        <v>132</v>
      </c>
      <c r="U623" t="s">
        <v>133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134</v>
      </c>
      <c r="AE623" t="s">
        <v>134</v>
      </c>
      <c r="AF623" s="2">
        <v>45518</v>
      </c>
      <c r="AG623" s="2">
        <v>46017</v>
      </c>
      <c r="AH623" s="1">
        <v>3790.41</v>
      </c>
      <c r="AI623" s="1">
        <v>10199.84</v>
      </c>
      <c r="AJ623" s="1">
        <v>34113.72</v>
      </c>
      <c r="AK623">
        <v>0</v>
      </c>
      <c r="AL623">
        <v>0</v>
      </c>
      <c r="AM623">
        <v>0</v>
      </c>
      <c r="AN623" t="s">
        <v>135</v>
      </c>
      <c r="AO623" t="s">
        <v>135</v>
      </c>
      <c r="AP623" t="s">
        <v>136</v>
      </c>
      <c r="AQ623" t="s">
        <v>137</v>
      </c>
      <c r="AR623" t="s">
        <v>138</v>
      </c>
      <c r="AS623" t="s">
        <v>150</v>
      </c>
      <c r="AT623" t="s">
        <v>140</v>
      </c>
      <c r="AU623">
        <v>500</v>
      </c>
      <c r="AV623">
        <v>10</v>
      </c>
      <c r="AW623">
        <v>1</v>
      </c>
      <c r="AX623" s="2">
        <v>45847</v>
      </c>
      <c r="AY623" t="s">
        <v>168</v>
      </c>
      <c r="AZ623" s="2">
        <v>46022</v>
      </c>
      <c r="BA623">
        <v>0</v>
      </c>
      <c r="BB623">
        <v>0</v>
      </c>
      <c r="BC623">
        <v>0</v>
      </c>
      <c r="BD623">
        <v>700</v>
      </c>
      <c r="BE623">
        <v>70</v>
      </c>
      <c r="BF623">
        <v>9</v>
      </c>
      <c r="BG623" s="2">
        <v>45536</v>
      </c>
      <c r="BH623" t="s">
        <v>142</v>
      </c>
      <c r="BI623" s="2">
        <v>46026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s="1">
        <v>3806.06</v>
      </c>
      <c r="BQ623" s="1">
        <v>3806.06</v>
      </c>
      <c r="BR623">
        <v>0</v>
      </c>
      <c r="BS623">
        <v>0</v>
      </c>
      <c r="BT623">
        <v>0</v>
      </c>
      <c r="BU623">
        <v>0</v>
      </c>
      <c r="BV623" s="1">
        <v>23074.51</v>
      </c>
      <c r="BW623" s="1">
        <v>23074.51</v>
      </c>
      <c r="BX623">
        <v>0</v>
      </c>
      <c r="BY623">
        <v>0</v>
      </c>
      <c r="BZ623">
        <v>0</v>
      </c>
      <c r="CA623">
        <v>0</v>
      </c>
      <c r="CB623" s="1">
        <v>6344.84</v>
      </c>
      <c r="CC623" t="s">
        <v>143</v>
      </c>
    </row>
    <row r="624" spans="1:81" x14ac:dyDescent="0.25">
      <c r="A624">
        <v>345</v>
      </c>
      <c r="B624">
        <v>2</v>
      </c>
      <c r="C624">
        <v>977</v>
      </c>
      <c r="D624" t="s">
        <v>3566</v>
      </c>
      <c r="E624" t="s">
        <v>121</v>
      </c>
      <c r="F624" t="s">
        <v>1482</v>
      </c>
      <c r="G624" t="s">
        <v>3567</v>
      </c>
      <c r="H624" t="s">
        <v>3568</v>
      </c>
      <c r="I624" t="s">
        <v>125</v>
      </c>
      <c r="J624" t="s">
        <v>1263</v>
      </c>
      <c r="K624" t="s">
        <v>466</v>
      </c>
      <c r="L624" t="s">
        <v>128</v>
      </c>
      <c r="M624" t="s">
        <v>467</v>
      </c>
      <c r="N624" t="s">
        <v>3569</v>
      </c>
      <c r="O624" t="s">
        <v>131</v>
      </c>
      <c r="P624">
        <v>0</v>
      </c>
      <c r="Q624" t="s">
        <v>125</v>
      </c>
      <c r="R624">
        <v>3</v>
      </c>
      <c r="S624">
        <v>83</v>
      </c>
      <c r="T624" t="s">
        <v>132</v>
      </c>
      <c r="U624" t="s">
        <v>133</v>
      </c>
      <c r="V624" s="1">
        <v>10000</v>
      </c>
      <c r="W624" s="1">
        <v>3302.63</v>
      </c>
      <c r="X624" s="1">
        <v>6697.37</v>
      </c>
      <c r="Y624">
        <v>7</v>
      </c>
      <c r="Z624">
        <v>0</v>
      </c>
      <c r="AA624">
        <v>7</v>
      </c>
      <c r="AB624">
        <v>0</v>
      </c>
      <c r="AC624">
        <v>11</v>
      </c>
      <c r="AD624" t="s">
        <v>134</v>
      </c>
      <c r="AE624" t="s">
        <v>134</v>
      </c>
      <c r="AF624" s="2">
        <v>45518</v>
      </c>
      <c r="AG624" s="2">
        <v>46020</v>
      </c>
      <c r="AH624" s="1">
        <v>2413.92</v>
      </c>
      <c r="AI624" s="1">
        <v>4776.29</v>
      </c>
      <c r="AJ624" s="1">
        <v>26553.21</v>
      </c>
      <c r="AK624">
        <v>0</v>
      </c>
      <c r="AL624" s="1">
        <v>3302.63</v>
      </c>
      <c r="AM624">
        <v>0</v>
      </c>
      <c r="AN624" t="s">
        <v>135</v>
      </c>
      <c r="AO624" t="s">
        <v>135</v>
      </c>
      <c r="AP624" t="s">
        <v>136</v>
      </c>
      <c r="AQ624" t="s">
        <v>137</v>
      </c>
      <c r="AR624" t="s">
        <v>138</v>
      </c>
      <c r="AS624" t="s">
        <v>150</v>
      </c>
      <c r="AT624" t="s">
        <v>140</v>
      </c>
      <c r="AU624">
        <v>500</v>
      </c>
      <c r="AV624">
        <v>10</v>
      </c>
      <c r="AW624">
        <v>1</v>
      </c>
      <c r="AX624" s="2">
        <v>45843</v>
      </c>
      <c r="AY624" t="s">
        <v>160</v>
      </c>
      <c r="AZ624" s="2">
        <v>46025</v>
      </c>
      <c r="BA624">
        <v>0</v>
      </c>
      <c r="BB624">
        <v>0</v>
      </c>
      <c r="BC624">
        <v>0</v>
      </c>
      <c r="BD624">
        <v>700</v>
      </c>
      <c r="BE624">
        <v>70</v>
      </c>
      <c r="BF624">
        <v>9</v>
      </c>
      <c r="BG624" s="2">
        <v>45536</v>
      </c>
      <c r="BH624" t="s">
        <v>142</v>
      </c>
      <c r="BI624" s="2">
        <v>46026</v>
      </c>
      <c r="BJ624">
        <v>0</v>
      </c>
      <c r="BK624">
        <v>0</v>
      </c>
      <c r="BL624">
        <v>0</v>
      </c>
      <c r="BM624">
        <v>7</v>
      </c>
      <c r="BN624">
        <v>7</v>
      </c>
      <c r="BO624" s="1">
        <v>4214.43</v>
      </c>
      <c r="BP624">
        <v>0</v>
      </c>
      <c r="BQ624" s="1">
        <v>4214.43</v>
      </c>
      <c r="BR624">
        <v>0</v>
      </c>
      <c r="BS624">
        <v>7</v>
      </c>
      <c r="BT624">
        <v>7</v>
      </c>
      <c r="BU624" s="1">
        <v>15986.03</v>
      </c>
      <c r="BV624">
        <v>0</v>
      </c>
      <c r="BW624" s="1">
        <v>15986.03</v>
      </c>
      <c r="BX624" s="1">
        <v>3302.63</v>
      </c>
      <c r="BY624">
        <v>20.66</v>
      </c>
      <c r="BZ624">
        <v>0</v>
      </c>
      <c r="CA624">
        <v>0</v>
      </c>
      <c r="CB624" s="1">
        <v>5796.2</v>
      </c>
      <c r="CC624" t="s">
        <v>143</v>
      </c>
    </row>
    <row r="625" spans="1:81" x14ac:dyDescent="0.25">
      <c r="A625">
        <v>345</v>
      </c>
      <c r="B625">
        <v>2</v>
      </c>
      <c r="C625">
        <v>979</v>
      </c>
      <c r="D625" t="s">
        <v>3570</v>
      </c>
      <c r="E625" t="s">
        <v>121</v>
      </c>
      <c r="F625" t="s">
        <v>3571</v>
      </c>
      <c r="G625" t="s">
        <v>3572</v>
      </c>
      <c r="H625" t="s">
        <v>3573</v>
      </c>
      <c r="I625" t="s">
        <v>3574</v>
      </c>
      <c r="J625" t="s">
        <v>3174</v>
      </c>
      <c r="K625" t="s">
        <v>1853</v>
      </c>
      <c r="L625" t="s">
        <v>128</v>
      </c>
      <c r="M625" t="s">
        <v>1854</v>
      </c>
      <c r="N625" t="s">
        <v>3575</v>
      </c>
      <c r="O625" t="s">
        <v>159</v>
      </c>
      <c r="P625">
        <v>0</v>
      </c>
      <c r="Q625" t="s">
        <v>125</v>
      </c>
      <c r="R625">
        <v>3</v>
      </c>
      <c r="S625">
        <v>82</v>
      </c>
      <c r="T625" t="s">
        <v>132</v>
      </c>
      <c r="U625" t="s">
        <v>133</v>
      </c>
      <c r="V625" s="1">
        <v>3000</v>
      </c>
      <c r="W625">
        <v>0</v>
      </c>
      <c r="X625" s="1">
        <v>3000</v>
      </c>
      <c r="Y625">
        <v>7</v>
      </c>
      <c r="Z625">
        <v>0</v>
      </c>
      <c r="AA625">
        <v>7</v>
      </c>
      <c r="AB625">
        <v>0</v>
      </c>
      <c r="AC625">
        <v>7</v>
      </c>
      <c r="AD625" t="s">
        <v>134</v>
      </c>
      <c r="AE625" t="s">
        <v>134</v>
      </c>
      <c r="AF625" s="2">
        <v>45518</v>
      </c>
      <c r="AG625" s="2">
        <v>46007</v>
      </c>
      <c r="AH625">
        <v>881.68</v>
      </c>
      <c r="AI625" s="1">
        <v>1206.3599999999999</v>
      </c>
      <c r="AJ625" s="1">
        <v>7053.44</v>
      </c>
      <c r="AK625">
        <v>0</v>
      </c>
      <c r="AL625" s="1">
        <v>1206.3599999999999</v>
      </c>
      <c r="AM625">
        <v>0</v>
      </c>
      <c r="AN625" t="s">
        <v>135</v>
      </c>
      <c r="AO625" t="s">
        <v>135</v>
      </c>
      <c r="AP625" t="s">
        <v>136</v>
      </c>
      <c r="AQ625" t="s">
        <v>137</v>
      </c>
      <c r="AR625" t="s">
        <v>138</v>
      </c>
      <c r="AS625" t="s">
        <v>139</v>
      </c>
      <c r="AT625" t="s">
        <v>140</v>
      </c>
      <c r="AU625">
        <v>106</v>
      </c>
      <c r="AV625">
        <v>10</v>
      </c>
      <c r="AW625">
        <v>1</v>
      </c>
      <c r="AX625" s="2">
        <v>45537</v>
      </c>
      <c r="AY625" t="s">
        <v>141</v>
      </c>
      <c r="AZ625" s="2">
        <v>46027</v>
      </c>
      <c r="BA625">
        <v>0</v>
      </c>
      <c r="BB625">
        <v>0</v>
      </c>
      <c r="BC625">
        <v>0</v>
      </c>
      <c r="BD625">
        <v>700</v>
      </c>
      <c r="BE625">
        <v>70</v>
      </c>
      <c r="BF625">
        <v>9</v>
      </c>
      <c r="BG625" s="2">
        <v>45536</v>
      </c>
      <c r="BH625" t="s">
        <v>142</v>
      </c>
      <c r="BI625" s="2">
        <v>46026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s="1">
        <v>1978.36</v>
      </c>
      <c r="BQ625" s="1">
        <v>1978.36</v>
      </c>
      <c r="BR625">
        <v>0</v>
      </c>
      <c r="BS625">
        <v>7</v>
      </c>
      <c r="BT625">
        <v>2.33</v>
      </c>
      <c r="BU625">
        <v>959.86</v>
      </c>
      <c r="BV625" s="1">
        <v>1927.92</v>
      </c>
      <c r="BW625" s="1">
        <v>2887.78</v>
      </c>
      <c r="BX625">
        <v>0</v>
      </c>
      <c r="BY625">
        <v>0</v>
      </c>
      <c r="BZ625">
        <v>0</v>
      </c>
      <c r="CA625">
        <v>0</v>
      </c>
      <c r="CB625" s="1">
        <v>2411.29</v>
      </c>
      <c r="CC625" t="s">
        <v>161</v>
      </c>
    </row>
    <row r="626" spans="1:81" x14ac:dyDescent="0.25">
      <c r="A626">
        <v>345</v>
      </c>
      <c r="B626">
        <v>2</v>
      </c>
      <c r="C626">
        <v>980</v>
      </c>
      <c r="D626" t="s">
        <v>3576</v>
      </c>
      <c r="E626" t="s">
        <v>121</v>
      </c>
      <c r="F626" t="s">
        <v>3577</v>
      </c>
      <c r="G626" t="s">
        <v>3578</v>
      </c>
      <c r="H626" t="s">
        <v>3310</v>
      </c>
      <c r="I626" t="s">
        <v>3579</v>
      </c>
      <c r="J626" t="s">
        <v>3311</v>
      </c>
      <c r="K626" t="s">
        <v>466</v>
      </c>
      <c r="L626" t="s">
        <v>128</v>
      </c>
      <c r="M626" t="s">
        <v>467</v>
      </c>
      <c r="N626" t="s">
        <v>3580</v>
      </c>
      <c r="O626" t="s">
        <v>131</v>
      </c>
      <c r="P626">
        <v>0</v>
      </c>
      <c r="Q626" t="s">
        <v>125</v>
      </c>
      <c r="R626">
        <v>6</v>
      </c>
      <c r="S626">
        <v>40</v>
      </c>
      <c r="T626" t="s">
        <v>132</v>
      </c>
      <c r="U626" t="s">
        <v>133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134</v>
      </c>
      <c r="AE626" t="s">
        <v>134</v>
      </c>
      <c r="AF626" s="2">
        <v>45518</v>
      </c>
      <c r="AG626" s="2">
        <v>46017</v>
      </c>
      <c r="AH626">
        <v>400.31</v>
      </c>
      <c r="AI626">
        <v>583.02</v>
      </c>
      <c r="AJ626" s="1">
        <v>5204.09</v>
      </c>
      <c r="AK626">
        <v>0</v>
      </c>
      <c r="AL626">
        <v>0</v>
      </c>
      <c r="AM626">
        <v>0</v>
      </c>
      <c r="AN626" t="s">
        <v>135</v>
      </c>
      <c r="AO626" t="s">
        <v>135</v>
      </c>
      <c r="AP626" t="s">
        <v>136</v>
      </c>
      <c r="AQ626" t="s">
        <v>137</v>
      </c>
      <c r="AR626" t="s">
        <v>138</v>
      </c>
      <c r="AS626" t="s">
        <v>139</v>
      </c>
      <c r="AT626" t="s">
        <v>140</v>
      </c>
      <c r="AU626">
        <v>100</v>
      </c>
      <c r="AV626">
        <v>10</v>
      </c>
      <c r="AW626">
        <v>1</v>
      </c>
      <c r="AX626" s="2">
        <v>45812</v>
      </c>
      <c r="AY626" t="s">
        <v>168</v>
      </c>
      <c r="AZ626" s="2">
        <v>46022</v>
      </c>
      <c r="BA626">
        <v>0</v>
      </c>
      <c r="BB626">
        <v>0</v>
      </c>
      <c r="BC626">
        <v>0</v>
      </c>
      <c r="BD626">
        <v>700</v>
      </c>
      <c r="BE626">
        <v>70</v>
      </c>
      <c r="BF626">
        <v>9</v>
      </c>
      <c r="BG626" s="2">
        <v>45536</v>
      </c>
      <c r="BH626" t="s">
        <v>142</v>
      </c>
      <c r="BI626" s="2">
        <v>46026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s="1">
        <v>1649.66</v>
      </c>
      <c r="BQ626" s="1">
        <v>1649.66</v>
      </c>
      <c r="BR626">
        <v>0</v>
      </c>
      <c r="BS626">
        <v>0</v>
      </c>
      <c r="BT626">
        <v>0</v>
      </c>
      <c r="BU626">
        <v>0</v>
      </c>
      <c r="BV626" s="1">
        <v>1633.11</v>
      </c>
      <c r="BW626" s="1">
        <v>1633.11</v>
      </c>
      <c r="BX626">
        <v>0</v>
      </c>
      <c r="BY626">
        <v>0</v>
      </c>
      <c r="BZ626">
        <v>0</v>
      </c>
      <c r="CA626">
        <v>0</v>
      </c>
      <c r="CB626" s="1">
        <v>1582.98</v>
      </c>
      <c r="CC626" t="s">
        <v>143</v>
      </c>
    </row>
    <row r="627" spans="1:81" x14ac:dyDescent="0.25">
      <c r="A627">
        <v>345</v>
      </c>
      <c r="B627">
        <v>2</v>
      </c>
      <c r="C627">
        <v>981</v>
      </c>
      <c r="D627" t="s">
        <v>3581</v>
      </c>
      <c r="E627" t="s">
        <v>121</v>
      </c>
      <c r="F627" t="s">
        <v>3582</v>
      </c>
      <c r="G627" t="s">
        <v>3582</v>
      </c>
      <c r="H627" t="s">
        <v>3583</v>
      </c>
      <c r="I627" t="s">
        <v>3584</v>
      </c>
      <c r="J627" t="s">
        <v>3074</v>
      </c>
      <c r="K627" t="s">
        <v>1853</v>
      </c>
      <c r="L627" t="s">
        <v>128</v>
      </c>
      <c r="M627" t="s">
        <v>1854</v>
      </c>
      <c r="N627" t="s">
        <v>3585</v>
      </c>
      <c r="O627" t="s">
        <v>167</v>
      </c>
      <c r="P627">
        <v>0</v>
      </c>
      <c r="Q627" t="s">
        <v>125</v>
      </c>
      <c r="R627">
        <v>6</v>
      </c>
      <c r="S627">
        <v>31</v>
      </c>
      <c r="T627" t="s">
        <v>132</v>
      </c>
      <c r="U627" t="s">
        <v>133</v>
      </c>
      <c r="V627" s="1">
        <v>2000</v>
      </c>
      <c r="W627">
        <v>417.39</v>
      </c>
      <c r="X627" s="1">
        <v>1582.61</v>
      </c>
      <c r="Y627">
        <v>7</v>
      </c>
      <c r="Z627">
        <v>0</v>
      </c>
      <c r="AA627">
        <v>7</v>
      </c>
      <c r="AB627">
        <v>0</v>
      </c>
      <c r="AC627">
        <v>11</v>
      </c>
      <c r="AD627" t="s">
        <v>134</v>
      </c>
      <c r="AE627" t="s">
        <v>134</v>
      </c>
      <c r="AF627" s="2">
        <v>45518</v>
      </c>
      <c r="AG627" s="2">
        <v>46015</v>
      </c>
      <c r="AH627">
        <v>276.36</v>
      </c>
      <c r="AI627">
        <v>417.39</v>
      </c>
      <c r="AJ627" s="1">
        <v>1381.8</v>
      </c>
      <c r="AK627">
        <v>0</v>
      </c>
      <c r="AL627">
        <v>417.39</v>
      </c>
      <c r="AM627">
        <v>0</v>
      </c>
      <c r="AN627" t="s">
        <v>135</v>
      </c>
      <c r="AO627" t="s">
        <v>135</v>
      </c>
      <c r="AP627" t="s">
        <v>136</v>
      </c>
      <c r="AQ627" t="s">
        <v>137</v>
      </c>
      <c r="AR627" t="s">
        <v>138</v>
      </c>
      <c r="AS627" t="s">
        <v>150</v>
      </c>
      <c r="AT627" t="s">
        <v>140</v>
      </c>
      <c r="AU627">
        <v>106</v>
      </c>
      <c r="AV627">
        <v>10</v>
      </c>
      <c r="AW627">
        <v>1</v>
      </c>
      <c r="AX627" s="2">
        <v>45860</v>
      </c>
      <c r="AY627" t="s">
        <v>377</v>
      </c>
      <c r="AZ627" s="2">
        <v>46028</v>
      </c>
      <c r="BA627">
        <v>0</v>
      </c>
      <c r="BB627">
        <v>0</v>
      </c>
      <c r="BC627">
        <v>0</v>
      </c>
      <c r="BD627">
        <v>700</v>
      </c>
      <c r="BE627">
        <v>70</v>
      </c>
      <c r="BF627">
        <v>9</v>
      </c>
      <c r="BG627" s="2">
        <v>45536</v>
      </c>
      <c r="BH627" t="s">
        <v>142</v>
      </c>
      <c r="BI627" s="2">
        <v>46026</v>
      </c>
      <c r="BJ627">
        <v>0</v>
      </c>
      <c r="BK627">
        <v>0</v>
      </c>
      <c r="BL627">
        <v>0</v>
      </c>
      <c r="BM627">
        <v>7</v>
      </c>
      <c r="BN627">
        <v>7</v>
      </c>
      <c r="BO627">
        <v>246.02</v>
      </c>
      <c r="BP627">
        <v>0</v>
      </c>
      <c r="BQ627">
        <v>246.02</v>
      </c>
      <c r="BR627">
        <v>0</v>
      </c>
      <c r="BS627">
        <v>7</v>
      </c>
      <c r="BT627">
        <v>7</v>
      </c>
      <c r="BU627">
        <v>739.59</v>
      </c>
      <c r="BV627">
        <v>0</v>
      </c>
      <c r="BW627">
        <v>739.59</v>
      </c>
      <c r="BX627">
        <v>0</v>
      </c>
      <c r="BY627">
        <v>0</v>
      </c>
      <c r="BZ627">
        <v>0</v>
      </c>
      <c r="CA627">
        <v>0</v>
      </c>
      <c r="CB627">
        <v>235.55</v>
      </c>
      <c r="CC627" t="s">
        <v>161</v>
      </c>
    </row>
    <row r="628" spans="1:81" x14ac:dyDescent="0.25">
      <c r="A628">
        <v>345</v>
      </c>
      <c r="B628">
        <v>2</v>
      </c>
      <c r="C628">
        <v>983</v>
      </c>
      <c r="D628" t="s">
        <v>3586</v>
      </c>
      <c r="E628" t="s">
        <v>121</v>
      </c>
      <c r="F628" t="s">
        <v>3587</v>
      </c>
      <c r="G628" t="s">
        <v>3588</v>
      </c>
      <c r="H628" t="s">
        <v>3589</v>
      </c>
      <c r="I628" t="s">
        <v>3590</v>
      </c>
      <c r="J628" t="s">
        <v>3107</v>
      </c>
      <c r="K628" t="s">
        <v>336</v>
      </c>
      <c r="L628" t="s">
        <v>128</v>
      </c>
      <c r="M628" t="s">
        <v>337</v>
      </c>
      <c r="N628" t="s">
        <v>3591</v>
      </c>
      <c r="O628" t="s">
        <v>131</v>
      </c>
      <c r="P628">
        <v>0</v>
      </c>
      <c r="Q628" t="s">
        <v>125</v>
      </c>
      <c r="R628">
        <v>6</v>
      </c>
      <c r="S628">
        <v>37</v>
      </c>
      <c r="T628" t="s">
        <v>132</v>
      </c>
      <c r="U628" t="s">
        <v>133</v>
      </c>
      <c r="V628" s="1">
        <v>2000</v>
      </c>
      <c r="W628">
        <v>0</v>
      </c>
      <c r="X628" s="1">
        <v>2000</v>
      </c>
      <c r="Y628">
        <v>7</v>
      </c>
      <c r="Z628">
        <v>0</v>
      </c>
      <c r="AA628">
        <v>0</v>
      </c>
      <c r="AB628">
        <v>0</v>
      </c>
      <c r="AC628">
        <v>0</v>
      </c>
      <c r="AD628" t="s">
        <v>134</v>
      </c>
      <c r="AE628" t="s">
        <v>134</v>
      </c>
      <c r="AF628" s="2">
        <v>45518</v>
      </c>
      <c r="AG628" s="2">
        <v>46014</v>
      </c>
      <c r="AH628">
        <v>189.04</v>
      </c>
      <c r="AI628">
        <v>288.17</v>
      </c>
      <c r="AJ628" s="1">
        <v>1323.34</v>
      </c>
      <c r="AK628">
        <v>0</v>
      </c>
      <c r="AL628">
        <v>0</v>
      </c>
      <c r="AM628">
        <v>0</v>
      </c>
      <c r="AN628" t="s">
        <v>135</v>
      </c>
      <c r="AO628" t="s">
        <v>135</v>
      </c>
      <c r="AP628" t="s">
        <v>136</v>
      </c>
      <c r="AQ628" t="s">
        <v>137</v>
      </c>
      <c r="AR628" t="s">
        <v>138</v>
      </c>
      <c r="AS628" t="s">
        <v>139</v>
      </c>
      <c r="AT628" t="s">
        <v>140</v>
      </c>
      <c r="AU628">
        <v>100</v>
      </c>
      <c r="AV628">
        <v>10</v>
      </c>
      <c r="AW628">
        <v>1</v>
      </c>
      <c r="AX628" s="2">
        <v>45817</v>
      </c>
      <c r="AY628" t="s">
        <v>141</v>
      </c>
      <c r="AZ628" s="2">
        <v>46027</v>
      </c>
      <c r="BA628">
        <v>0</v>
      </c>
      <c r="BB628">
        <v>0</v>
      </c>
      <c r="BC628">
        <v>0</v>
      </c>
      <c r="BD628">
        <v>700</v>
      </c>
      <c r="BE628">
        <v>70</v>
      </c>
      <c r="BF628">
        <v>9</v>
      </c>
      <c r="BG628" s="2">
        <v>45536</v>
      </c>
      <c r="BH628" t="s">
        <v>142</v>
      </c>
      <c r="BI628" s="2">
        <v>46026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127.33</v>
      </c>
      <c r="BQ628">
        <v>127.33</v>
      </c>
      <c r="BR628">
        <v>0</v>
      </c>
      <c r="BS628">
        <v>0</v>
      </c>
      <c r="BT628">
        <v>0</v>
      </c>
      <c r="BU628">
        <v>0</v>
      </c>
      <c r="BV628">
        <v>879.41</v>
      </c>
      <c r="BW628">
        <v>879.41</v>
      </c>
      <c r="BX628">
        <v>0</v>
      </c>
      <c r="BY628">
        <v>0</v>
      </c>
      <c r="BZ628">
        <v>0</v>
      </c>
      <c r="CA628">
        <v>0</v>
      </c>
      <c r="CB628">
        <v>263.7</v>
      </c>
      <c r="CC628" t="s">
        <v>143</v>
      </c>
    </row>
    <row r="629" spans="1:81" x14ac:dyDescent="0.25">
      <c r="A629">
        <v>345</v>
      </c>
      <c r="B629">
        <v>2</v>
      </c>
      <c r="C629">
        <v>984</v>
      </c>
      <c r="D629" t="s">
        <v>3592</v>
      </c>
      <c r="E629" t="s">
        <v>121</v>
      </c>
      <c r="F629" t="s">
        <v>3593</v>
      </c>
      <c r="G629" t="s">
        <v>3594</v>
      </c>
      <c r="H629" t="s">
        <v>3595</v>
      </c>
      <c r="I629" t="s">
        <v>3596</v>
      </c>
      <c r="J629" t="s">
        <v>3074</v>
      </c>
      <c r="K629" t="s">
        <v>1853</v>
      </c>
      <c r="L629" t="s">
        <v>128</v>
      </c>
      <c r="M629" t="s">
        <v>1854</v>
      </c>
      <c r="N629" t="s">
        <v>3597</v>
      </c>
      <c r="O629" t="s">
        <v>167</v>
      </c>
      <c r="P629">
        <v>0</v>
      </c>
      <c r="Q629" t="s">
        <v>125</v>
      </c>
      <c r="R629">
        <v>6</v>
      </c>
      <c r="S629">
        <v>41</v>
      </c>
      <c r="T629" t="s">
        <v>132</v>
      </c>
      <c r="U629" t="s">
        <v>133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234</v>
      </c>
      <c r="AE629" t="s">
        <v>134</v>
      </c>
      <c r="AF629" s="2">
        <v>45518</v>
      </c>
      <c r="AG629" s="2">
        <v>46008</v>
      </c>
      <c r="AH629" s="1">
        <v>1698.03</v>
      </c>
      <c r="AI629" s="1">
        <v>2037.54</v>
      </c>
      <c r="AJ629" s="1">
        <v>15282.34</v>
      </c>
      <c r="AK629">
        <v>0</v>
      </c>
      <c r="AL629" s="1">
        <v>1874.65</v>
      </c>
      <c r="AM629">
        <v>0</v>
      </c>
      <c r="AN629" t="s">
        <v>135</v>
      </c>
      <c r="AO629" t="s">
        <v>135</v>
      </c>
      <c r="AP629" t="s">
        <v>136</v>
      </c>
      <c r="AQ629" t="s">
        <v>137</v>
      </c>
      <c r="AR629" t="s">
        <v>138</v>
      </c>
      <c r="AS629" t="s">
        <v>150</v>
      </c>
      <c r="AT629" t="s">
        <v>140</v>
      </c>
      <c r="AU629">
        <v>106</v>
      </c>
      <c r="AV629">
        <v>10</v>
      </c>
      <c r="AW629">
        <v>1</v>
      </c>
      <c r="AX629" s="2">
        <v>45810</v>
      </c>
      <c r="AY629" t="s">
        <v>141</v>
      </c>
      <c r="AZ629" s="2">
        <v>46027</v>
      </c>
      <c r="BA629">
        <v>0</v>
      </c>
      <c r="BB629">
        <v>0</v>
      </c>
      <c r="BC629">
        <v>0</v>
      </c>
      <c r="BD629">
        <v>700</v>
      </c>
      <c r="BE629">
        <v>70</v>
      </c>
      <c r="BF629">
        <v>9</v>
      </c>
      <c r="BG629" s="2">
        <v>45536</v>
      </c>
      <c r="BH629" t="s">
        <v>142</v>
      </c>
      <c r="BI629" s="2">
        <v>46026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s="1">
        <v>7085.43</v>
      </c>
      <c r="BQ629" s="1">
        <v>7085.43</v>
      </c>
      <c r="BR629">
        <v>0</v>
      </c>
      <c r="BS629">
        <v>0</v>
      </c>
      <c r="BT629">
        <v>0</v>
      </c>
      <c r="BU629">
        <v>0</v>
      </c>
      <c r="BV629" s="1">
        <v>7322.95</v>
      </c>
      <c r="BW629" s="1">
        <v>7322.95</v>
      </c>
      <c r="BX629">
        <v>0</v>
      </c>
      <c r="BY629">
        <v>0</v>
      </c>
      <c r="BZ629">
        <v>0</v>
      </c>
      <c r="CA629">
        <v>0</v>
      </c>
      <c r="CB629" s="1">
        <v>4536.6899999999996</v>
      </c>
      <c r="CC629" t="s">
        <v>161</v>
      </c>
    </row>
    <row r="630" spans="1:81" x14ac:dyDescent="0.25">
      <c r="A630">
        <v>345</v>
      </c>
      <c r="B630">
        <v>2</v>
      </c>
      <c r="C630">
        <v>986</v>
      </c>
      <c r="D630" t="s">
        <v>3598</v>
      </c>
      <c r="E630" t="s">
        <v>121</v>
      </c>
      <c r="F630" t="s">
        <v>3599</v>
      </c>
      <c r="G630" t="s">
        <v>3600</v>
      </c>
      <c r="H630" t="s">
        <v>3601</v>
      </c>
      <c r="I630" t="s">
        <v>125</v>
      </c>
      <c r="J630" t="s">
        <v>3074</v>
      </c>
      <c r="K630" t="s">
        <v>1853</v>
      </c>
      <c r="L630" t="s">
        <v>128</v>
      </c>
      <c r="M630" t="s">
        <v>1854</v>
      </c>
      <c r="N630" t="s">
        <v>3602</v>
      </c>
      <c r="O630" t="s">
        <v>296</v>
      </c>
      <c r="P630">
        <v>0</v>
      </c>
      <c r="Q630" t="s">
        <v>125</v>
      </c>
      <c r="R630">
        <v>5</v>
      </c>
      <c r="S630">
        <v>72</v>
      </c>
      <c r="T630" t="s">
        <v>132</v>
      </c>
      <c r="U630" t="s">
        <v>133</v>
      </c>
      <c r="V630">
        <v>900</v>
      </c>
      <c r="W630">
        <v>0</v>
      </c>
      <c r="X630">
        <v>900</v>
      </c>
      <c r="Y630">
        <v>0</v>
      </c>
      <c r="Z630">
        <v>0</v>
      </c>
      <c r="AA630">
        <v>4</v>
      </c>
      <c r="AB630">
        <v>6</v>
      </c>
      <c r="AC630">
        <v>19</v>
      </c>
      <c r="AD630" t="s">
        <v>134</v>
      </c>
      <c r="AE630" t="s">
        <v>134</v>
      </c>
      <c r="AF630" s="2">
        <v>45518</v>
      </c>
      <c r="AG630" s="2">
        <v>45996</v>
      </c>
      <c r="AH630" s="1">
        <v>1174</v>
      </c>
      <c r="AI630" s="1">
        <v>1514.17</v>
      </c>
      <c r="AJ630" s="1">
        <v>7044.02</v>
      </c>
      <c r="AK630">
        <v>0</v>
      </c>
      <c r="AL630">
        <v>0</v>
      </c>
      <c r="AM630">
        <v>0</v>
      </c>
      <c r="AN630" t="s">
        <v>135</v>
      </c>
      <c r="AO630" t="s">
        <v>135</v>
      </c>
      <c r="AP630" t="s">
        <v>136</v>
      </c>
      <c r="AQ630" t="s">
        <v>137</v>
      </c>
      <c r="AR630" t="s">
        <v>138</v>
      </c>
      <c r="AS630" t="s">
        <v>139</v>
      </c>
      <c r="AT630" t="s">
        <v>140</v>
      </c>
      <c r="AU630">
        <v>106</v>
      </c>
      <c r="AV630">
        <v>10</v>
      </c>
      <c r="AW630">
        <v>1</v>
      </c>
      <c r="AX630" s="2">
        <v>45946</v>
      </c>
      <c r="AY630" t="s">
        <v>308</v>
      </c>
      <c r="AZ630" s="2">
        <v>46023</v>
      </c>
      <c r="BA630">
        <v>0</v>
      </c>
      <c r="BB630">
        <v>0</v>
      </c>
      <c r="BC630">
        <v>0</v>
      </c>
      <c r="BD630">
        <v>700</v>
      </c>
      <c r="BE630">
        <v>70</v>
      </c>
      <c r="BF630">
        <v>9</v>
      </c>
      <c r="BG630" s="2">
        <v>45536</v>
      </c>
      <c r="BH630" t="s">
        <v>142</v>
      </c>
      <c r="BI630" s="2">
        <v>46026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 s="1">
        <v>2924.55</v>
      </c>
      <c r="BQ630" s="1">
        <v>2924.55</v>
      </c>
      <c r="BR630">
        <v>0</v>
      </c>
      <c r="BS630">
        <v>0</v>
      </c>
      <c r="BT630">
        <v>0</v>
      </c>
      <c r="BU630">
        <v>0</v>
      </c>
      <c r="BV630" s="1">
        <v>1299.58</v>
      </c>
      <c r="BW630" s="1">
        <v>1299.58</v>
      </c>
      <c r="BX630">
        <v>0</v>
      </c>
      <c r="BY630">
        <v>0</v>
      </c>
      <c r="BZ630">
        <v>0</v>
      </c>
      <c r="CA630">
        <v>0</v>
      </c>
      <c r="CB630" s="1">
        <v>1914.81</v>
      </c>
      <c r="CC630" t="s">
        <v>297</v>
      </c>
    </row>
    <row r="631" spans="1:81" x14ac:dyDescent="0.25">
      <c r="A631">
        <v>345</v>
      </c>
      <c r="B631">
        <v>2</v>
      </c>
      <c r="C631">
        <v>987</v>
      </c>
      <c r="D631" t="s">
        <v>3603</v>
      </c>
      <c r="E631" t="s">
        <v>121</v>
      </c>
      <c r="F631" t="s">
        <v>3604</v>
      </c>
      <c r="G631" t="s">
        <v>3605</v>
      </c>
      <c r="H631" t="s">
        <v>3606</v>
      </c>
      <c r="I631" t="s">
        <v>3607</v>
      </c>
      <c r="J631" t="s">
        <v>3608</v>
      </c>
      <c r="K631" t="s">
        <v>1853</v>
      </c>
      <c r="L631" t="s">
        <v>128</v>
      </c>
      <c r="M631" t="s">
        <v>467</v>
      </c>
      <c r="N631" t="s">
        <v>3609</v>
      </c>
      <c r="O631" t="s">
        <v>159</v>
      </c>
      <c r="P631">
        <v>0</v>
      </c>
      <c r="Q631" t="s">
        <v>125</v>
      </c>
      <c r="R631">
        <v>6</v>
      </c>
      <c r="S631">
        <v>36</v>
      </c>
      <c r="T631" t="s">
        <v>132</v>
      </c>
      <c r="U631" t="s">
        <v>133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134</v>
      </c>
      <c r="AE631" t="s">
        <v>134</v>
      </c>
      <c r="AF631" s="2">
        <v>45518</v>
      </c>
      <c r="AG631" s="2">
        <v>46018</v>
      </c>
      <c r="AH631">
        <v>836.49</v>
      </c>
      <c r="AI631" s="1">
        <v>2633.15</v>
      </c>
      <c r="AJ631" s="1">
        <v>7528.46</v>
      </c>
      <c r="AK631">
        <v>0</v>
      </c>
      <c r="AL631">
        <v>0</v>
      </c>
      <c r="AM631">
        <v>0</v>
      </c>
      <c r="AN631" t="s">
        <v>135</v>
      </c>
      <c r="AO631" t="s">
        <v>135</v>
      </c>
      <c r="AP631" t="s">
        <v>136</v>
      </c>
      <c r="AQ631" t="s">
        <v>137</v>
      </c>
      <c r="AR631" t="s">
        <v>138</v>
      </c>
      <c r="AS631" t="s">
        <v>139</v>
      </c>
      <c r="AT631" t="s">
        <v>140</v>
      </c>
      <c r="AU631">
        <v>500</v>
      </c>
      <c r="AV631">
        <v>10</v>
      </c>
      <c r="AW631">
        <v>1</v>
      </c>
      <c r="AX631" s="2">
        <v>45813</v>
      </c>
      <c r="AY631" t="s">
        <v>308</v>
      </c>
      <c r="AZ631" s="2">
        <v>46023</v>
      </c>
      <c r="BA631">
        <v>0</v>
      </c>
      <c r="BB631">
        <v>0</v>
      </c>
      <c r="BC631">
        <v>0</v>
      </c>
      <c r="BD631">
        <v>700</v>
      </c>
      <c r="BE631">
        <v>70</v>
      </c>
      <c r="BF631">
        <v>9</v>
      </c>
      <c r="BG631" s="2">
        <v>45536</v>
      </c>
      <c r="BH631" t="s">
        <v>142</v>
      </c>
      <c r="BI631" s="2">
        <v>46026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 s="1">
        <v>1672.9</v>
      </c>
      <c r="BQ631" s="1">
        <v>1672.9</v>
      </c>
      <c r="BR631">
        <v>0</v>
      </c>
      <c r="BS631">
        <v>0</v>
      </c>
      <c r="BT631">
        <v>0</v>
      </c>
      <c r="BU631">
        <v>0</v>
      </c>
      <c r="BV631" s="1">
        <v>4826.78</v>
      </c>
      <c r="BW631" s="1">
        <v>4826.78</v>
      </c>
      <c r="BX631">
        <v>0</v>
      </c>
      <c r="BY631">
        <v>0</v>
      </c>
      <c r="BZ631">
        <v>0</v>
      </c>
      <c r="CA631">
        <v>0</v>
      </c>
      <c r="CB631" s="1">
        <v>1474.19</v>
      </c>
      <c r="CC631" t="s">
        <v>161</v>
      </c>
    </row>
    <row r="632" spans="1:81" x14ac:dyDescent="0.25">
      <c r="A632">
        <v>345</v>
      </c>
      <c r="B632">
        <v>2</v>
      </c>
      <c r="C632">
        <v>988</v>
      </c>
      <c r="D632" t="s">
        <v>3610</v>
      </c>
      <c r="E632" t="s">
        <v>121</v>
      </c>
      <c r="F632" t="s">
        <v>3611</v>
      </c>
      <c r="G632" t="s">
        <v>3612</v>
      </c>
      <c r="H632" t="s">
        <v>3613</v>
      </c>
      <c r="I632" t="s">
        <v>125</v>
      </c>
      <c r="J632" t="s">
        <v>3074</v>
      </c>
      <c r="K632" t="s">
        <v>1853</v>
      </c>
      <c r="L632" t="s">
        <v>128</v>
      </c>
      <c r="M632" t="s">
        <v>1854</v>
      </c>
      <c r="N632" t="s">
        <v>3614</v>
      </c>
      <c r="O632" t="s">
        <v>167</v>
      </c>
      <c r="P632">
        <v>0</v>
      </c>
      <c r="Q632" t="s">
        <v>125</v>
      </c>
      <c r="R632">
        <v>6</v>
      </c>
      <c r="S632">
        <v>38</v>
      </c>
      <c r="T632" t="s">
        <v>132</v>
      </c>
      <c r="U632" t="s">
        <v>133</v>
      </c>
      <c r="V632" s="1">
        <v>5000</v>
      </c>
      <c r="W632">
        <v>0</v>
      </c>
      <c r="X632" s="1">
        <v>5000</v>
      </c>
      <c r="Y632">
        <v>7</v>
      </c>
      <c r="Z632">
        <v>0</v>
      </c>
      <c r="AA632">
        <v>3</v>
      </c>
      <c r="AB632">
        <v>0</v>
      </c>
      <c r="AC632">
        <v>0</v>
      </c>
      <c r="AD632" t="s">
        <v>134</v>
      </c>
      <c r="AE632" t="s">
        <v>134</v>
      </c>
      <c r="AF632" s="2">
        <v>45518</v>
      </c>
      <c r="AG632" s="2">
        <v>46015</v>
      </c>
      <c r="AH632" s="1">
        <v>1046.92</v>
      </c>
      <c r="AI632" s="1">
        <v>2050.52</v>
      </c>
      <c r="AJ632" s="1">
        <v>5234.63</v>
      </c>
      <c r="AK632">
        <v>0</v>
      </c>
      <c r="AL632">
        <v>0</v>
      </c>
      <c r="AM632">
        <v>0</v>
      </c>
      <c r="AN632" t="s">
        <v>135</v>
      </c>
      <c r="AO632" t="s">
        <v>135</v>
      </c>
      <c r="AP632" t="s">
        <v>136</v>
      </c>
      <c r="AQ632" t="s">
        <v>137</v>
      </c>
      <c r="AR632" t="s">
        <v>138</v>
      </c>
      <c r="AS632" t="s">
        <v>150</v>
      </c>
      <c r="AT632" t="s">
        <v>140</v>
      </c>
      <c r="AU632">
        <v>106</v>
      </c>
      <c r="AV632">
        <v>10</v>
      </c>
      <c r="AW632">
        <v>1</v>
      </c>
      <c r="AX632" s="2">
        <v>45810</v>
      </c>
      <c r="AY632" t="s">
        <v>141</v>
      </c>
      <c r="AZ632" s="2">
        <v>46027</v>
      </c>
      <c r="BA632">
        <v>0</v>
      </c>
      <c r="BB632">
        <v>0</v>
      </c>
      <c r="BC632">
        <v>0</v>
      </c>
      <c r="BD632">
        <v>700</v>
      </c>
      <c r="BE632">
        <v>70</v>
      </c>
      <c r="BF632">
        <v>9</v>
      </c>
      <c r="BG632" s="2">
        <v>45536</v>
      </c>
      <c r="BH632" t="s">
        <v>142</v>
      </c>
      <c r="BI632" s="2">
        <v>46026</v>
      </c>
      <c r="BJ632">
        <v>0</v>
      </c>
      <c r="BK632">
        <v>0</v>
      </c>
      <c r="BL632">
        <v>0</v>
      </c>
      <c r="BM632">
        <v>3</v>
      </c>
      <c r="BN632">
        <v>3</v>
      </c>
      <c r="BO632">
        <v>166.88</v>
      </c>
      <c r="BP632">
        <v>0</v>
      </c>
      <c r="BQ632">
        <v>166.88</v>
      </c>
      <c r="BR632">
        <v>0</v>
      </c>
      <c r="BS632">
        <v>2</v>
      </c>
      <c r="BT632">
        <v>2</v>
      </c>
      <c r="BU632" s="1">
        <v>1797.55</v>
      </c>
      <c r="BV632">
        <v>0</v>
      </c>
      <c r="BW632" s="1">
        <v>1797.55</v>
      </c>
      <c r="BX632">
        <v>0</v>
      </c>
      <c r="BY632">
        <v>0</v>
      </c>
      <c r="BZ632">
        <v>0</v>
      </c>
      <c r="CA632">
        <v>0</v>
      </c>
      <c r="CB632" s="1">
        <v>1705.07</v>
      </c>
      <c r="CC632" t="s">
        <v>161</v>
      </c>
    </row>
    <row r="633" spans="1:81" x14ac:dyDescent="0.25">
      <c r="A633">
        <v>345</v>
      </c>
      <c r="B633">
        <v>2</v>
      </c>
      <c r="C633">
        <v>990</v>
      </c>
      <c r="D633" t="s">
        <v>3615</v>
      </c>
      <c r="E633" t="s">
        <v>121</v>
      </c>
      <c r="F633" t="s">
        <v>3616</v>
      </c>
      <c r="G633" t="s">
        <v>3617</v>
      </c>
      <c r="H633" t="s">
        <v>3618</v>
      </c>
      <c r="I633" t="s">
        <v>125</v>
      </c>
      <c r="J633" t="s">
        <v>3074</v>
      </c>
      <c r="K633" t="s">
        <v>1853</v>
      </c>
      <c r="L633" t="s">
        <v>128</v>
      </c>
      <c r="M633" t="s">
        <v>1854</v>
      </c>
      <c r="N633" t="s">
        <v>3619</v>
      </c>
      <c r="O633" t="s">
        <v>167</v>
      </c>
      <c r="P633">
        <v>0</v>
      </c>
      <c r="Q633" t="s">
        <v>125</v>
      </c>
      <c r="R633">
        <v>6</v>
      </c>
      <c r="S633">
        <v>35</v>
      </c>
      <c r="T633" t="s">
        <v>132</v>
      </c>
      <c r="U633" t="s">
        <v>133</v>
      </c>
      <c r="V633" s="1">
        <v>5000</v>
      </c>
      <c r="W633" s="1">
        <v>1997.29</v>
      </c>
      <c r="X633" s="1">
        <v>3002.71</v>
      </c>
      <c r="Y633">
        <v>7</v>
      </c>
      <c r="Z633">
        <v>0</v>
      </c>
      <c r="AA633">
        <v>7</v>
      </c>
      <c r="AB633">
        <v>0</v>
      </c>
      <c r="AC633">
        <v>7</v>
      </c>
      <c r="AD633" t="s">
        <v>234</v>
      </c>
      <c r="AE633" t="s">
        <v>134</v>
      </c>
      <c r="AF633" s="2">
        <v>45518</v>
      </c>
      <c r="AG633" s="2">
        <v>46014</v>
      </c>
      <c r="AH633" s="1">
        <v>1884.39</v>
      </c>
      <c r="AI633" s="1">
        <v>2962.52</v>
      </c>
      <c r="AJ633" s="1">
        <v>11306.36</v>
      </c>
      <c r="AK633" s="1">
        <v>1997.29</v>
      </c>
      <c r="AL633">
        <v>0</v>
      </c>
      <c r="AM633">
        <v>0</v>
      </c>
      <c r="AN633" t="s">
        <v>135</v>
      </c>
      <c r="AO633" t="s">
        <v>135</v>
      </c>
      <c r="AP633" t="s">
        <v>136</v>
      </c>
      <c r="AQ633" t="s">
        <v>137</v>
      </c>
      <c r="AR633" t="s">
        <v>138</v>
      </c>
      <c r="AS633" t="s">
        <v>150</v>
      </c>
      <c r="AT633" t="s">
        <v>140</v>
      </c>
      <c r="AU633">
        <v>500</v>
      </c>
      <c r="AV633">
        <v>10</v>
      </c>
      <c r="AW633">
        <v>1</v>
      </c>
      <c r="AX633" s="2">
        <v>45838</v>
      </c>
      <c r="AY633" t="s">
        <v>141</v>
      </c>
      <c r="AZ633" s="2">
        <v>46027</v>
      </c>
      <c r="BA633">
        <v>0</v>
      </c>
      <c r="BB633">
        <v>0</v>
      </c>
      <c r="BC633">
        <v>0</v>
      </c>
      <c r="BD633">
        <v>700</v>
      </c>
      <c r="BE633">
        <v>70</v>
      </c>
      <c r="BF633">
        <v>9</v>
      </c>
      <c r="BG633" s="2">
        <v>45536</v>
      </c>
      <c r="BH633" t="s">
        <v>142</v>
      </c>
      <c r="BI633" s="2">
        <v>46026</v>
      </c>
      <c r="BJ633">
        <v>0</v>
      </c>
      <c r="BK633">
        <v>0</v>
      </c>
      <c r="BL633">
        <v>0</v>
      </c>
      <c r="BM633">
        <v>7</v>
      </c>
      <c r="BN633">
        <v>7</v>
      </c>
      <c r="BO633" s="1">
        <v>5855.2</v>
      </c>
      <c r="BP633">
        <v>0</v>
      </c>
      <c r="BQ633" s="1">
        <v>5855.2</v>
      </c>
      <c r="BR633" s="1">
        <v>2469.7399999999998</v>
      </c>
      <c r="BS633">
        <v>7</v>
      </c>
      <c r="BT633">
        <v>7</v>
      </c>
      <c r="BU633" s="1">
        <v>4025.26</v>
      </c>
      <c r="BV633">
        <v>0</v>
      </c>
      <c r="BW633" s="1">
        <v>4025.26</v>
      </c>
      <c r="BX633">
        <v>0</v>
      </c>
      <c r="BY633">
        <v>0</v>
      </c>
      <c r="BZ633">
        <v>0</v>
      </c>
      <c r="CA633">
        <v>0</v>
      </c>
      <c r="CB633" s="1">
        <v>3892.03</v>
      </c>
      <c r="CC633" t="s">
        <v>161</v>
      </c>
    </row>
    <row r="634" spans="1:81" x14ac:dyDescent="0.25">
      <c r="A634">
        <v>345</v>
      </c>
      <c r="B634">
        <v>2</v>
      </c>
      <c r="C634">
        <v>991</v>
      </c>
      <c r="D634" t="s">
        <v>3620</v>
      </c>
      <c r="E634" t="s">
        <v>121</v>
      </c>
      <c r="F634" t="s">
        <v>3621</v>
      </c>
      <c r="G634" t="s">
        <v>3622</v>
      </c>
      <c r="H634" t="s">
        <v>3623</v>
      </c>
      <c r="I634" t="s">
        <v>3624</v>
      </c>
      <c r="J634" t="s">
        <v>1263</v>
      </c>
      <c r="K634" t="s">
        <v>466</v>
      </c>
      <c r="L634" t="s">
        <v>128</v>
      </c>
      <c r="M634" t="s">
        <v>467</v>
      </c>
      <c r="N634" t="s">
        <v>3625</v>
      </c>
      <c r="O634" t="s">
        <v>167</v>
      </c>
      <c r="P634">
        <v>0</v>
      </c>
      <c r="Q634" t="s">
        <v>125</v>
      </c>
      <c r="R634">
        <v>6</v>
      </c>
      <c r="S634">
        <v>38</v>
      </c>
      <c r="T634" t="s">
        <v>132</v>
      </c>
      <c r="U634" t="s">
        <v>133</v>
      </c>
      <c r="V634" s="1">
        <v>10000</v>
      </c>
      <c r="W634" s="1">
        <v>1211.94</v>
      </c>
      <c r="X634" s="1">
        <v>8788.06</v>
      </c>
      <c r="Y634">
        <v>7</v>
      </c>
      <c r="Z634">
        <v>0</v>
      </c>
      <c r="AA634">
        <v>7</v>
      </c>
      <c r="AB634">
        <v>0</v>
      </c>
      <c r="AC634">
        <v>4</v>
      </c>
      <c r="AD634" t="s">
        <v>134</v>
      </c>
      <c r="AE634" t="s">
        <v>134</v>
      </c>
      <c r="AF634" s="2">
        <v>45518</v>
      </c>
      <c r="AG634" s="2">
        <v>46015</v>
      </c>
      <c r="AH634" s="1">
        <v>1155.9000000000001</v>
      </c>
      <c r="AI634" s="1">
        <v>2863.63</v>
      </c>
      <c r="AJ634" s="1">
        <v>13870.9</v>
      </c>
      <c r="AK634">
        <v>0</v>
      </c>
      <c r="AL634" s="1">
        <v>2911.23</v>
      </c>
      <c r="AM634">
        <v>0</v>
      </c>
      <c r="AN634" t="s">
        <v>135</v>
      </c>
      <c r="AO634" t="s">
        <v>135</v>
      </c>
      <c r="AP634" t="s">
        <v>136</v>
      </c>
      <c r="AQ634" t="s">
        <v>137</v>
      </c>
      <c r="AR634" t="s">
        <v>138</v>
      </c>
      <c r="AS634" t="s">
        <v>150</v>
      </c>
      <c r="AT634" t="s">
        <v>140</v>
      </c>
      <c r="AU634">
        <v>500</v>
      </c>
      <c r="AV634">
        <v>10</v>
      </c>
      <c r="AW634">
        <v>1</v>
      </c>
      <c r="AX634" s="2">
        <v>45832</v>
      </c>
      <c r="AY634" t="s">
        <v>377</v>
      </c>
      <c r="AZ634" s="2">
        <v>46028</v>
      </c>
      <c r="BA634">
        <v>0</v>
      </c>
      <c r="BB634">
        <v>0</v>
      </c>
      <c r="BC634">
        <v>0</v>
      </c>
      <c r="BD634">
        <v>700</v>
      </c>
      <c r="BE634">
        <v>70</v>
      </c>
      <c r="BF634">
        <v>9</v>
      </c>
      <c r="BG634" s="2">
        <v>45536</v>
      </c>
      <c r="BH634" t="s">
        <v>142</v>
      </c>
      <c r="BI634" s="2">
        <v>46026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 s="1">
        <v>4156.88</v>
      </c>
      <c r="BQ634" s="1">
        <v>4156.88</v>
      </c>
      <c r="BR634">
        <v>0</v>
      </c>
      <c r="BS634">
        <v>7</v>
      </c>
      <c r="BT634">
        <v>3.28</v>
      </c>
      <c r="BU634" s="1">
        <v>3063.09</v>
      </c>
      <c r="BV634" s="1">
        <v>3476.97</v>
      </c>
      <c r="BW634" s="1">
        <v>6540.06</v>
      </c>
      <c r="BX634">
        <v>0</v>
      </c>
      <c r="BY634">
        <v>0</v>
      </c>
      <c r="BZ634">
        <v>0</v>
      </c>
      <c r="CA634">
        <v>0</v>
      </c>
      <c r="CB634" s="1">
        <v>2985.65</v>
      </c>
      <c r="CC634" t="s">
        <v>161</v>
      </c>
    </row>
    <row r="635" spans="1:81" x14ac:dyDescent="0.25">
      <c r="A635">
        <v>345</v>
      </c>
      <c r="B635">
        <v>2</v>
      </c>
      <c r="C635">
        <v>992</v>
      </c>
      <c r="D635" t="s">
        <v>3626</v>
      </c>
      <c r="E635" t="s">
        <v>121</v>
      </c>
      <c r="F635" t="s">
        <v>3627</v>
      </c>
      <c r="G635" t="s">
        <v>3628</v>
      </c>
      <c r="H635" t="s">
        <v>3629</v>
      </c>
      <c r="I635" t="s">
        <v>3630</v>
      </c>
      <c r="J635" t="s">
        <v>3631</v>
      </c>
      <c r="K635" t="s">
        <v>1853</v>
      </c>
      <c r="L635" t="s">
        <v>128</v>
      </c>
      <c r="M635" t="s">
        <v>1854</v>
      </c>
      <c r="N635" t="s">
        <v>3632</v>
      </c>
      <c r="O635" t="s">
        <v>159</v>
      </c>
      <c r="P635">
        <v>0</v>
      </c>
      <c r="Q635" t="s">
        <v>125</v>
      </c>
      <c r="R635">
        <v>6</v>
      </c>
      <c r="S635">
        <v>37</v>
      </c>
      <c r="T635" t="s">
        <v>132</v>
      </c>
      <c r="U635" t="s">
        <v>133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134</v>
      </c>
      <c r="AE635" t="s">
        <v>234</v>
      </c>
      <c r="AF635" s="2">
        <v>45518</v>
      </c>
      <c r="AG635" s="2">
        <v>45968</v>
      </c>
      <c r="AH635">
        <v>200.5</v>
      </c>
      <c r="AI635">
        <v>200.5</v>
      </c>
      <c r="AJ635">
        <v>200.5</v>
      </c>
      <c r="AK635">
        <v>0</v>
      </c>
      <c r="AL635">
        <v>0</v>
      </c>
      <c r="AM635">
        <v>0</v>
      </c>
      <c r="AN635" t="s">
        <v>135</v>
      </c>
      <c r="AO635" t="s">
        <v>135</v>
      </c>
      <c r="AP635" t="s">
        <v>136</v>
      </c>
      <c r="AQ635" t="s">
        <v>137</v>
      </c>
      <c r="AR635" t="s">
        <v>138</v>
      </c>
      <c r="AS635" t="s">
        <v>150</v>
      </c>
      <c r="AT635" t="s">
        <v>140</v>
      </c>
      <c r="AU635">
        <v>500</v>
      </c>
      <c r="AV635">
        <v>10</v>
      </c>
      <c r="AW635">
        <v>1</v>
      </c>
      <c r="AX635" s="2">
        <v>45820</v>
      </c>
      <c r="AY635" t="s">
        <v>308</v>
      </c>
      <c r="AZ635" s="2">
        <v>46023</v>
      </c>
      <c r="BA635">
        <v>0</v>
      </c>
      <c r="BB635">
        <v>0</v>
      </c>
      <c r="BC635">
        <v>0</v>
      </c>
      <c r="BD635">
        <v>700</v>
      </c>
      <c r="BE635">
        <v>70</v>
      </c>
      <c r="BF635">
        <v>9</v>
      </c>
      <c r="BG635" s="2">
        <v>45536</v>
      </c>
      <c r="BH635" t="s">
        <v>142</v>
      </c>
      <c r="BI635" s="2">
        <v>46026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200.5</v>
      </c>
      <c r="BQ635">
        <v>200.5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159.88</v>
      </c>
      <c r="CC635" t="s">
        <v>161</v>
      </c>
    </row>
    <row r="636" spans="1:81" x14ac:dyDescent="0.25">
      <c r="A636">
        <v>345</v>
      </c>
      <c r="B636">
        <v>2</v>
      </c>
      <c r="C636">
        <v>993</v>
      </c>
      <c r="D636" t="s">
        <v>3633</v>
      </c>
      <c r="E636" t="s">
        <v>121</v>
      </c>
      <c r="F636" t="s">
        <v>3634</v>
      </c>
      <c r="G636" t="s">
        <v>3635</v>
      </c>
      <c r="H636" t="s">
        <v>3636</v>
      </c>
      <c r="I636" t="s">
        <v>3637</v>
      </c>
      <c r="J636" t="s">
        <v>1263</v>
      </c>
      <c r="K636" t="s">
        <v>466</v>
      </c>
      <c r="L636" t="s">
        <v>128</v>
      </c>
      <c r="M636" t="s">
        <v>467</v>
      </c>
      <c r="N636" t="s">
        <v>3638</v>
      </c>
      <c r="O636" t="s">
        <v>131</v>
      </c>
      <c r="P636">
        <v>0</v>
      </c>
      <c r="Q636" t="s">
        <v>125</v>
      </c>
      <c r="R636">
        <v>6</v>
      </c>
      <c r="S636">
        <v>42</v>
      </c>
      <c r="T636" t="s">
        <v>132</v>
      </c>
      <c r="U636" t="s">
        <v>133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234</v>
      </c>
      <c r="AE636" t="s">
        <v>134</v>
      </c>
      <c r="AF636" s="2">
        <v>45518</v>
      </c>
      <c r="AG636" s="2">
        <v>46015</v>
      </c>
      <c r="AH636" s="1">
        <v>12485.09</v>
      </c>
      <c r="AI636" s="1">
        <v>48188.79</v>
      </c>
      <c r="AJ636" s="1">
        <v>199761.56</v>
      </c>
      <c r="AK636">
        <v>0</v>
      </c>
      <c r="AL636" s="1">
        <v>8032.85</v>
      </c>
      <c r="AM636">
        <v>0</v>
      </c>
      <c r="AN636" t="s">
        <v>135</v>
      </c>
      <c r="AO636" t="s">
        <v>135</v>
      </c>
      <c r="AP636" t="s">
        <v>136</v>
      </c>
      <c r="AQ636" t="s">
        <v>137</v>
      </c>
      <c r="AR636" t="s">
        <v>138</v>
      </c>
      <c r="AS636" t="s">
        <v>139</v>
      </c>
      <c r="AT636" t="s">
        <v>140</v>
      </c>
      <c r="AU636">
        <v>500</v>
      </c>
      <c r="AV636">
        <v>10</v>
      </c>
      <c r="AW636">
        <v>1</v>
      </c>
      <c r="AX636" s="2">
        <v>45839</v>
      </c>
      <c r="AY636" t="s">
        <v>377</v>
      </c>
      <c r="AZ636" s="2">
        <v>46028</v>
      </c>
      <c r="BA636">
        <v>0</v>
      </c>
      <c r="BB636">
        <v>0</v>
      </c>
      <c r="BC636">
        <v>0</v>
      </c>
      <c r="BD636">
        <v>700</v>
      </c>
      <c r="BE636">
        <v>70</v>
      </c>
      <c r="BF636">
        <v>9</v>
      </c>
      <c r="BG636" s="2">
        <v>45536</v>
      </c>
      <c r="BH636" t="s">
        <v>142</v>
      </c>
      <c r="BI636" s="2">
        <v>46026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s="1">
        <v>28810.41</v>
      </c>
      <c r="BQ636" s="1">
        <v>28810.41</v>
      </c>
      <c r="BR636">
        <v>0</v>
      </c>
      <c r="BS636">
        <v>0</v>
      </c>
      <c r="BT636">
        <v>0</v>
      </c>
      <c r="BU636">
        <v>0</v>
      </c>
      <c r="BV636" s="1">
        <v>76052.06</v>
      </c>
      <c r="BW636" s="1">
        <v>76052.06</v>
      </c>
      <c r="BX636">
        <v>0</v>
      </c>
      <c r="BY636">
        <v>0</v>
      </c>
      <c r="BZ636">
        <v>0</v>
      </c>
      <c r="CA636">
        <v>0</v>
      </c>
      <c r="CB636" s="1">
        <v>89768.7</v>
      </c>
      <c r="CC636" t="s">
        <v>143</v>
      </c>
    </row>
    <row r="637" spans="1:81" x14ac:dyDescent="0.25">
      <c r="A637">
        <v>345</v>
      </c>
      <c r="B637">
        <v>2</v>
      </c>
      <c r="C637">
        <v>995</v>
      </c>
      <c r="D637" t="s">
        <v>3639</v>
      </c>
      <c r="E637" t="s">
        <v>121</v>
      </c>
      <c r="F637" t="s">
        <v>3640</v>
      </c>
      <c r="G637" t="s">
        <v>3641</v>
      </c>
      <c r="H637" t="s">
        <v>3642</v>
      </c>
      <c r="I637" t="s">
        <v>3643</v>
      </c>
      <c r="J637" t="s">
        <v>3644</v>
      </c>
      <c r="K637" t="s">
        <v>336</v>
      </c>
      <c r="L637" t="s">
        <v>128</v>
      </c>
      <c r="M637" t="s">
        <v>337</v>
      </c>
      <c r="N637" t="s">
        <v>3645</v>
      </c>
      <c r="O637" t="s">
        <v>159</v>
      </c>
      <c r="P637">
        <v>0</v>
      </c>
      <c r="Q637" t="s">
        <v>125</v>
      </c>
      <c r="R637">
        <v>6</v>
      </c>
      <c r="S637">
        <v>37</v>
      </c>
      <c r="T637" t="s">
        <v>132</v>
      </c>
      <c r="U637" t="s">
        <v>133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134</v>
      </c>
      <c r="AE637" t="s">
        <v>134</v>
      </c>
      <c r="AF637" s="2">
        <v>45518</v>
      </c>
      <c r="AG637" t="s">
        <v>135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135</v>
      </c>
      <c r="AO637" t="s">
        <v>135</v>
      </c>
      <c r="AP637" t="s">
        <v>136</v>
      </c>
      <c r="AQ637" t="s">
        <v>137</v>
      </c>
      <c r="AR637" t="s">
        <v>138</v>
      </c>
      <c r="AS637" t="s">
        <v>139</v>
      </c>
      <c r="AT637" t="s">
        <v>140</v>
      </c>
      <c r="AU637">
        <v>995</v>
      </c>
      <c r="AV637">
        <v>99</v>
      </c>
      <c r="AW637">
        <v>9</v>
      </c>
      <c r="AX637" s="2">
        <v>45529</v>
      </c>
      <c r="AY637" t="s">
        <v>142</v>
      </c>
      <c r="AZ637" s="2">
        <v>46026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135</v>
      </c>
      <c r="BH637" t="s">
        <v>250</v>
      </c>
      <c r="BI637" t="s">
        <v>135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 t="s">
        <v>161</v>
      </c>
    </row>
    <row r="638" spans="1:81" x14ac:dyDescent="0.25">
      <c r="A638">
        <v>345</v>
      </c>
      <c r="B638">
        <v>2</v>
      </c>
      <c r="C638">
        <v>997</v>
      </c>
      <c r="D638" t="s">
        <v>3646</v>
      </c>
      <c r="E638" t="s">
        <v>121</v>
      </c>
      <c r="F638" t="s">
        <v>3647</v>
      </c>
      <c r="G638" t="s">
        <v>3648</v>
      </c>
      <c r="H638" t="s">
        <v>3505</v>
      </c>
      <c r="I638" t="s">
        <v>3649</v>
      </c>
      <c r="J638" t="s">
        <v>1263</v>
      </c>
      <c r="K638" t="s">
        <v>466</v>
      </c>
      <c r="L638" t="s">
        <v>128</v>
      </c>
      <c r="M638" t="s">
        <v>467</v>
      </c>
      <c r="N638" t="s">
        <v>3650</v>
      </c>
      <c r="O638" t="s">
        <v>159</v>
      </c>
      <c r="P638">
        <v>0</v>
      </c>
      <c r="Q638" t="s">
        <v>125</v>
      </c>
      <c r="R638">
        <v>6</v>
      </c>
      <c r="S638">
        <v>42</v>
      </c>
      <c r="T638" t="s">
        <v>132</v>
      </c>
      <c r="U638" t="s">
        <v>133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234</v>
      </c>
      <c r="AE638" t="s">
        <v>134</v>
      </c>
      <c r="AF638" s="2">
        <v>45518</v>
      </c>
      <c r="AG638" s="2">
        <v>46015</v>
      </c>
      <c r="AH638" s="1">
        <v>2748.99</v>
      </c>
      <c r="AI638" s="1">
        <v>7462.74</v>
      </c>
      <c r="AJ638" s="1">
        <v>38485.919999999998</v>
      </c>
      <c r="AK638">
        <v>0</v>
      </c>
      <c r="AL638" s="1">
        <v>7462.74</v>
      </c>
      <c r="AM638">
        <v>0</v>
      </c>
      <c r="AN638" t="s">
        <v>135</v>
      </c>
      <c r="AO638" t="s">
        <v>135</v>
      </c>
      <c r="AP638" t="s">
        <v>136</v>
      </c>
      <c r="AQ638" t="s">
        <v>137</v>
      </c>
      <c r="AR638" t="s">
        <v>138</v>
      </c>
      <c r="AS638" t="s">
        <v>150</v>
      </c>
      <c r="AT638" t="s">
        <v>140</v>
      </c>
      <c r="AU638">
        <v>500</v>
      </c>
      <c r="AV638">
        <v>10</v>
      </c>
      <c r="AW638">
        <v>1</v>
      </c>
      <c r="AX638" s="2">
        <v>45825</v>
      </c>
      <c r="AY638" t="s">
        <v>377</v>
      </c>
      <c r="AZ638" s="2">
        <v>46028</v>
      </c>
      <c r="BA638">
        <v>0</v>
      </c>
      <c r="BB638">
        <v>0</v>
      </c>
      <c r="BC638">
        <v>0</v>
      </c>
      <c r="BD638">
        <v>700</v>
      </c>
      <c r="BE638">
        <v>70</v>
      </c>
      <c r="BF638">
        <v>9</v>
      </c>
      <c r="BG638" s="2">
        <v>45536</v>
      </c>
      <c r="BH638" t="s">
        <v>142</v>
      </c>
      <c r="BI638" s="2">
        <v>46026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s="1">
        <v>9688.7000000000007</v>
      </c>
      <c r="BQ638" s="1">
        <v>9688.7000000000007</v>
      </c>
      <c r="BR638">
        <v>0</v>
      </c>
      <c r="BS638">
        <v>0</v>
      </c>
      <c r="BT638">
        <v>0</v>
      </c>
      <c r="BU638">
        <v>0</v>
      </c>
      <c r="BV638" s="1">
        <v>14518.41</v>
      </c>
      <c r="BW638" s="1">
        <v>14518.41</v>
      </c>
      <c r="BX638">
        <v>0</v>
      </c>
      <c r="BY638">
        <v>0</v>
      </c>
      <c r="BZ638">
        <v>0</v>
      </c>
      <c r="CA638">
        <v>0</v>
      </c>
      <c r="CB638" s="1">
        <v>9882.2800000000007</v>
      </c>
      <c r="CC638" t="s">
        <v>161</v>
      </c>
    </row>
    <row r="639" spans="1:81" x14ac:dyDescent="0.25">
      <c r="A639">
        <v>345</v>
      </c>
      <c r="B639">
        <v>2</v>
      </c>
      <c r="C639">
        <v>998</v>
      </c>
      <c r="D639" t="s">
        <v>3651</v>
      </c>
      <c r="E639" t="s">
        <v>121</v>
      </c>
      <c r="F639" t="s">
        <v>3652</v>
      </c>
      <c r="G639" t="s">
        <v>3653</v>
      </c>
      <c r="H639" t="s">
        <v>3654</v>
      </c>
      <c r="I639" t="s">
        <v>3655</v>
      </c>
      <c r="J639" t="s">
        <v>1996</v>
      </c>
      <c r="K639" t="s">
        <v>466</v>
      </c>
      <c r="L639" t="s">
        <v>128</v>
      </c>
      <c r="M639" t="s">
        <v>467</v>
      </c>
      <c r="N639" t="s">
        <v>3656</v>
      </c>
      <c r="O639" t="s">
        <v>149</v>
      </c>
      <c r="P639">
        <v>0</v>
      </c>
      <c r="Q639" t="s">
        <v>125</v>
      </c>
      <c r="R639">
        <v>6</v>
      </c>
      <c r="S639">
        <v>41</v>
      </c>
      <c r="T639" t="s">
        <v>132</v>
      </c>
      <c r="U639" t="s">
        <v>133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134</v>
      </c>
      <c r="AE639" t="s">
        <v>134</v>
      </c>
      <c r="AF639" s="2">
        <v>45518</v>
      </c>
      <c r="AG639" s="2">
        <v>46017</v>
      </c>
      <c r="AH639" s="1">
        <v>2122.8200000000002</v>
      </c>
      <c r="AI639" s="1">
        <v>6396.82</v>
      </c>
      <c r="AJ639" s="1">
        <v>25473.88</v>
      </c>
      <c r="AK639">
        <v>0</v>
      </c>
      <c r="AL639" s="1">
        <v>1146</v>
      </c>
      <c r="AM639">
        <v>0</v>
      </c>
      <c r="AN639" t="s">
        <v>135</v>
      </c>
      <c r="AO639" t="s">
        <v>135</v>
      </c>
      <c r="AP639" t="s">
        <v>136</v>
      </c>
      <c r="AQ639" t="s">
        <v>137</v>
      </c>
      <c r="AR639" t="s">
        <v>138</v>
      </c>
      <c r="AS639" t="s">
        <v>139</v>
      </c>
      <c r="AT639" t="s">
        <v>140</v>
      </c>
      <c r="AU639">
        <v>103</v>
      </c>
      <c r="AV639">
        <v>10</v>
      </c>
      <c r="AW639">
        <v>1</v>
      </c>
      <c r="AX639" s="2">
        <v>45839</v>
      </c>
      <c r="AY639" t="s">
        <v>377</v>
      </c>
      <c r="AZ639" s="2">
        <v>46028</v>
      </c>
      <c r="BA639">
        <v>0</v>
      </c>
      <c r="BB639">
        <v>0</v>
      </c>
      <c r="BC639">
        <v>0</v>
      </c>
      <c r="BD639">
        <v>700</v>
      </c>
      <c r="BE639">
        <v>70</v>
      </c>
      <c r="BF639">
        <v>9</v>
      </c>
      <c r="BG639" s="2">
        <v>45536</v>
      </c>
      <c r="BH639" t="s">
        <v>142</v>
      </c>
      <c r="BI639" s="2">
        <v>46026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s="1">
        <v>10992.83</v>
      </c>
      <c r="BQ639" s="1">
        <v>10992.83</v>
      </c>
      <c r="BR639">
        <v>0</v>
      </c>
      <c r="BS639">
        <v>0</v>
      </c>
      <c r="BT639">
        <v>0</v>
      </c>
      <c r="BU639">
        <v>0</v>
      </c>
      <c r="BV639" s="1">
        <v>7329.31</v>
      </c>
      <c r="BW639" s="1">
        <v>7329.31</v>
      </c>
      <c r="BX639">
        <v>0</v>
      </c>
      <c r="BY639">
        <v>0</v>
      </c>
      <c r="BZ639">
        <v>0</v>
      </c>
      <c r="CA639">
        <v>0</v>
      </c>
      <c r="CB639" s="1">
        <v>10067.1</v>
      </c>
      <c r="CC639" t="s">
        <v>152</v>
      </c>
    </row>
    <row r="640" spans="1:81" x14ac:dyDescent="0.25">
      <c r="A640">
        <v>345</v>
      </c>
      <c r="B640">
        <v>2</v>
      </c>
      <c r="C640">
        <v>1001</v>
      </c>
      <c r="D640" t="s">
        <v>3657</v>
      </c>
      <c r="E640" t="s">
        <v>121</v>
      </c>
      <c r="F640" t="s">
        <v>3658</v>
      </c>
      <c r="G640" t="s">
        <v>3659</v>
      </c>
      <c r="H640" t="s">
        <v>3660</v>
      </c>
      <c r="I640" t="s">
        <v>3661</v>
      </c>
      <c r="J640" t="s">
        <v>1263</v>
      </c>
      <c r="K640" t="s">
        <v>466</v>
      </c>
      <c r="L640" t="s">
        <v>128</v>
      </c>
      <c r="M640" t="s">
        <v>467</v>
      </c>
      <c r="N640" t="s">
        <v>3662</v>
      </c>
      <c r="O640" t="s">
        <v>167</v>
      </c>
      <c r="P640">
        <v>0</v>
      </c>
      <c r="Q640" t="s">
        <v>125</v>
      </c>
      <c r="R640">
        <v>4</v>
      </c>
      <c r="S640">
        <v>76</v>
      </c>
      <c r="T640" t="s">
        <v>132</v>
      </c>
      <c r="U640" t="s">
        <v>133</v>
      </c>
      <c r="V640" s="1">
        <v>1000</v>
      </c>
      <c r="W640">
        <v>0</v>
      </c>
      <c r="X640" s="1">
        <v>1000</v>
      </c>
      <c r="Y640">
        <v>7</v>
      </c>
      <c r="Z640">
        <v>0</v>
      </c>
      <c r="AA640">
        <v>9</v>
      </c>
      <c r="AB640">
        <v>1</v>
      </c>
      <c r="AC640">
        <v>25</v>
      </c>
      <c r="AD640" t="s">
        <v>234</v>
      </c>
      <c r="AE640" t="s">
        <v>134</v>
      </c>
      <c r="AF640" s="2">
        <v>45518</v>
      </c>
      <c r="AG640" s="2">
        <v>46011</v>
      </c>
      <c r="AH640">
        <v>543.57000000000005</v>
      </c>
      <c r="AI640">
        <v>908.99</v>
      </c>
      <c r="AJ640" s="1">
        <v>4892.13</v>
      </c>
      <c r="AK640">
        <v>0</v>
      </c>
      <c r="AL640">
        <v>0</v>
      </c>
      <c r="AM640">
        <v>0</v>
      </c>
      <c r="AN640" t="s">
        <v>135</v>
      </c>
      <c r="AO640" t="s">
        <v>135</v>
      </c>
      <c r="AP640" t="s">
        <v>136</v>
      </c>
      <c r="AQ640" t="s">
        <v>137</v>
      </c>
      <c r="AR640" t="s">
        <v>138</v>
      </c>
      <c r="AS640" t="s">
        <v>150</v>
      </c>
      <c r="AT640" t="s">
        <v>140</v>
      </c>
      <c r="AU640">
        <v>106</v>
      </c>
      <c r="AV640">
        <v>10</v>
      </c>
      <c r="AW640">
        <v>1</v>
      </c>
      <c r="AX640" s="2">
        <v>45639</v>
      </c>
      <c r="AY640" t="s">
        <v>151</v>
      </c>
      <c r="AZ640" s="2">
        <v>46024</v>
      </c>
      <c r="BA640">
        <v>0</v>
      </c>
      <c r="BB640">
        <v>0</v>
      </c>
      <c r="BC640">
        <v>0</v>
      </c>
      <c r="BD640">
        <v>700</v>
      </c>
      <c r="BE640">
        <v>70</v>
      </c>
      <c r="BF640">
        <v>9</v>
      </c>
      <c r="BG640" s="2">
        <v>45536</v>
      </c>
      <c r="BH640" t="s">
        <v>142</v>
      </c>
      <c r="BI640" s="2">
        <v>46026</v>
      </c>
      <c r="BJ640">
        <v>0</v>
      </c>
      <c r="BK640">
        <v>0</v>
      </c>
      <c r="BL640">
        <v>0</v>
      </c>
      <c r="BM640">
        <v>8.18</v>
      </c>
      <c r="BN640">
        <v>6.72</v>
      </c>
      <c r="BO640" s="1">
        <v>2097.92</v>
      </c>
      <c r="BP640">
        <v>458.12</v>
      </c>
      <c r="BQ640" s="1">
        <v>2556.04</v>
      </c>
      <c r="BR640">
        <v>891.2</v>
      </c>
      <c r="BS640">
        <v>9</v>
      </c>
      <c r="BT640">
        <v>9</v>
      </c>
      <c r="BU640" s="1">
        <v>1427.1</v>
      </c>
      <c r="BV640">
        <v>0</v>
      </c>
      <c r="BW640" s="1">
        <v>1427.1</v>
      </c>
      <c r="BX640">
        <v>0</v>
      </c>
      <c r="BY640">
        <v>0</v>
      </c>
      <c r="BZ640">
        <v>0</v>
      </c>
      <c r="CA640">
        <v>0</v>
      </c>
      <c r="CB640" s="1">
        <v>1414.87</v>
      </c>
      <c r="CC640" t="s">
        <v>161</v>
      </c>
    </row>
    <row r="641" spans="1:81" x14ac:dyDescent="0.25">
      <c r="A641">
        <v>345</v>
      </c>
      <c r="B641">
        <v>2</v>
      </c>
      <c r="C641">
        <v>1005</v>
      </c>
      <c r="D641" t="s">
        <v>3663</v>
      </c>
      <c r="E641" t="s">
        <v>121</v>
      </c>
      <c r="F641" t="s">
        <v>3664</v>
      </c>
      <c r="G641" t="s">
        <v>3665</v>
      </c>
      <c r="H641" t="s">
        <v>3666</v>
      </c>
      <c r="I641" t="s">
        <v>125</v>
      </c>
      <c r="J641" t="s">
        <v>3074</v>
      </c>
      <c r="K641" t="s">
        <v>1853</v>
      </c>
      <c r="L641" t="s">
        <v>128</v>
      </c>
      <c r="M641" t="s">
        <v>1854</v>
      </c>
      <c r="N641" t="s">
        <v>3667</v>
      </c>
      <c r="O641" t="s">
        <v>167</v>
      </c>
      <c r="P641">
        <v>0</v>
      </c>
      <c r="Q641" t="s">
        <v>125</v>
      </c>
      <c r="R641">
        <v>4</v>
      </c>
      <c r="S641">
        <v>76</v>
      </c>
      <c r="T641" t="s">
        <v>132</v>
      </c>
      <c r="U641" t="s">
        <v>133</v>
      </c>
      <c r="V641" s="1">
        <v>5000</v>
      </c>
      <c r="W641">
        <v>0</v>
      </c>
      <c r="X641" s="1">
        <v>5000</v>
      </c>
      <c r="Y641">
        <v>7</v>
      </c>
      <c r="Z641">
        <v>0</v>
      </c>
      <c r="AA641">
        <v>7</v>
      </c>
      <c r="AB641">
        <v>1</v>
      </c>
      <c r="AC641">
        <v>20</v>
      </c>
      <c r="AD641" t="s">
        <v>134</v>
      </c>
      <c r="AE641" t="s">
        <v>134</v>
      </c>
      <c r="AF641" s="2">
        <v>45518</v>
      </c>
      <c r="AG641" s="2">
        <v>45967</v>
      </c>
      <c r="AH641">
        <v>160.5</v>
      </c>
      <c r="AI641">
        <v>261.01</v>
      </c>
      <c r="AJ641">
        <v>802.52</v>
      </c>
      <c r="AK641">
        <v>0</v>
      </c>
      <c r="AL641">
        <v>0</v>
      </c>
      <c r="AM641">
        <v>0</v>
      </c>
      <c r="AN641" t="s">
        <v>135</v>
      </c>
      <c r="AO641" t="s">
        <v>135</v>
      </c>
      <c r="AP641" t="s">
        <v>136</v>
      </c>
      <c r="AQ641" t="s">
        <v>137</v>
      </c>
      <c r="AR641" t="s">
        <v>138</v>
      </c>
      <c r="AS641" t="s">
        <v>150</v>
      </c>
      <c r="AT641" t="s">
        <v>140</v>
      </c>
      <c r="AU641">
        <v>106</v>
      </c>
      <c r="AV641">
        <v>10</v>
      </c>
      <c r="AW641">
        <v>1</v>
      </c>
      <c r="AX641" s="2">
        <v>45839</v>
      </c>
      <c r="AY641" t="s">
        <v>377</v>
      </c>
      <c r="AZ641" s="2">
        <v>46028</v>
      </c>
      <c r="BA641">
        <v>0</v>
      </c>
      <c r="BB641">
        <v>0</v>
      </c>
      <c r="BC641">
        <v>0</v>
      </c>
      <c r="BD641">
        <v>700</v>
      </c>
      <c r="BE641">
        <v>70</v>
      </c>
      <c r="BF641">
        <v>9</v>
      </c>
      <c r="BG641" s="2">
        <v>45536</v>
      </c>
      <c r="BH641" t="s">
        <v>142</v>
      </c>
      <c r="BI641" s="2">
        <v>46026</v>
      </c>
      <c r="BJ641">
        <v>0</v>
      </c>
      <c r="BK641">
        <v>0</v>
      </c>
      <c r="BL641">
        <v>0</v>
      </c>
      <c r="BM641">
        <v>4</v>
      </c>
      <c r="BN641">
        <v>4</v>
      </c>
      <c r="BO641">
        <v>141.66999999999999</v>
      </c>
      <c r="BP641">
        <v>0</v>
      </c>
      <c r="BQ641">
        <v>141.66999999999999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532.28</v>
      </c>
      <c r="CC641" t="s">
        <v>161</v>
      </c>
    </row>
    <row r="642" spans="1:81" x14ac:dyDescent="0.25">
      <c r="A642">
        <v>345</v>
      </c>
      <c r="B642">
        <v>2</v>
      </c>
      <c r="C642">
        <v>1006</v>
      </c>
      <c r="D642" t="s">
        <v>3668</v>
      </c>
      <c r="E642" t="s">
        <v>121</v>
      </c>
      <c r="F642" t="s">
        <v>3669</v>
      </c>
      <c r="G642" t="s">
        <v>3670</v>
      </c>
      <c r="H642" t="s">
        <v>3671</v>
      </c>
      <c r="I642" t="s">
        <v>125</v>
      </c>
      <c r="J642" t="s">
        <v>3074</v>
      </c>
      <c r="K642" t="s">
        <v>1853</v>
      </c>
      <c r="L642" t="s">
        <v>128</v>
      </c>
      <c r="M642" t="s">
        <v>1854</v>
      </c>
      <c r="N642" t="s">
        <v>3672</v>
      </c>
      <c r="O642" t="s">
        <v>167</v>
      </c>
      <c r="P642">
        <v>0</v>
      </c>
      <c r="Q642" t="s">
        <v>125</v>
      </c>
      <c r="R642">
        <v>6</v>
      </c>
      <c r="S642">
        <v>35</v>
      </c>
      <c r="T642" t="s">
        <v>132</v>
      </c>
      <c r="U642" t="s">
        <v>133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134</v>
      </c>
      <c r="AE642" t="s">
        <v>134</v>
      </c>
      <c r="AF642" s="2">
        <v>45518</v>
      </c>
      <c r="AG642" s="2">
        <v>46008</v>
      </c>
      <c r="AH642">
        <v>126.62</v>
      </c>
      <c r="AI642">
        <v>126.62</v>
      </c>
      <c r="AJ642">
        <v>126.62</v>
      </c>
      <c r="AK642">
        <v>0</v>
      </c>
      <c r="AL642">
        <v>0</v>
      </c>
      <c r="AM642">
        <v>0</v>
      </c>
      <c r="AN642" t="s">
        <v>135</v>
      </c>
      <c r="AO642" t="s">
        <v>135</v>
      </c>
      <c r="AP642" t="s">
        <v>136</v>
      </c>
      <c r="AQ642" t="s">
        <v>137</v>
      </c>
      <c r="AR642" t="s">
        <v>138</v>
      </c>
      <c r="AS642" t="s">
        <v>139</v>
      </c>
      <c r="AT642" t="s">
        <v>140</v>
      </c>
      <c r="AU642">
        <v>106</v>
      </c>
      <c r="AV642">
        <v>10</v>
      </c>
      <c r="AW642">
        <v>1</v>
      </c>
      <c r="AX642" s="2">
        <v>45608</v>
      </c>
      <c r="AY642" t="s">
        <v>377</v>
      </c>
      <c r="AZ642" s="2">
        <v>46028</v>
      </c>
      <c r="BA642">
        <v>0</v>
      </c>
      <c r="BB642">
        <v>0</v>
      </c>
      <c r="BC642">
        <v>0</v>
      </c>
      <c r="BD642">
        <v>700</v>
      </c>
      <c r="BE642">
        <v>70</v>
      </c>
      <c r="BF642">
        <v>9</v>
      </c>
      <c r="BG642" s="2">
        <v>45536</v>
      </c>
      <c r="BH642" t="s">
        <v>142</v>
      </c>
      <c r="BI642" s="2">
        <v>46026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126.62</v>
      </c>
      <c r="BQ642">
        <v>126.62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287.06</v>
      </c>
      <c r="CC642" t="s">
        <v>161</v>
      </c>
    </row>
    <row r="643" spans="1:81" x14ac:dyDescent="0.25">
      <c r="A643">
        <v>345</v>
      </c>
      <c r="B643">
        <v>2</v>
      </c>
      <c r="C643">
        <v>1007</v>
      </c>
      <c r="D643" t="s">
        <v>3673</v>
      </c>
      <c r="E643" t="s">
        <v>121</v>
      </c>
      <c r="F643" t="s">
        <v>3674</v>
      </c>
      <c r="G643" t="s">
        <v>3675</v>
      </c>
      <c r="H643" t="s">
        <v>3676</v>
      </c>
      <c r="I643" t="s">
        <v>3677</v>
      </c>
      <c r="J643" t="s">
        <v>3113</v>
      </c>
      <c r="K643" t="s">
        <v>1853</v>
      </c>
      <c r="L643" t="s">
        <v>128</v>
      </c>
      <c r="M643" t="s">
        <v>1854</v>
      </c>
      <c r="N643" t="s">
        <v>3678</v>
      </c>
      <c r="O643" t="s">
        <v>159</v>
      </c>
      <c r="P643">
        <v>0</v>
      </c>
      <c r="Q643" t="s">
        <v>125</v>
      </c>
      <c r="R643">
        <v>6</v>
      </c>
      <c r="S643">
        <v>42</v>
      </c>
      <c r="T643" t="s">
        <v>132</v>
      </c>
      <c r="U643" t="s">
        <v>133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134</v>
      </c>
      <c r="AE643" t="s">
        <v>134</v>
      </c>
      <c r="AF643" s="2">
        <v>45518</v>
      </c>
      <c r="AG643" s="2">
        <v>46010</v>
      </c>
      <c r="AH643" s="1">
        <v>1742.07</v>
      </c>
      <c r="AI643" s="1">
        <v>2250.67</v>
      </c>
      <c r="AJ643" s="1">
        <v>20904.939999999999</v>
      </c>
      <c r="AK643">
        <v>0</v>
      </c>
      <c r="AL643">
        <v>0</v>
      </c>
      <c r="AM643">
        <v>0</v>
      </c>
      <c r="AN643" t="s">
        <v>135</v>
      </c>
      <c r="AO643" t="s">
        <v>135</v>
      </c>
      <c r="AP643" t="s">
        <v>136</v>
      </c>
      <c r="AQ643" t="s">
        <v>137</v>
      </c>
      <c r="AR643" t="s">
        <v>138</v>
      </c>
      <c r="AS643" t="s">
        <v>150</v>
      </c>
      <c r="AT643" t="s">
        <v>140</v>
      </c>
      <c r="AU643">
        <v>500</v>
      </c>
      <c r="AV643">
        <v>10</v>
      </c>
      <c r="AW643">
        <v>1</v>
      </c>
      <c r="AX643" s="2">
        <v>45813</v>
      </c>
      <c r="AY643" t="s">
        <v>308</v>
      </c>
      <c r="AZ643" s="2">
        <v>46023</v>
      </c>
      <c r="BA643">
        <v>0</v>
      </c>
      <c r="BB643">
        <v>0</v>
      </c>
      <c r="BC643">
        <v>0</v>
      </c>
      <c r="BD643">
        <v>700</v>
      </c>
      <c r="BE643">
        <v>70</v>
      </c>
      <c r="BF643">
        <v>9</v>
      </c>
      <c r="BG643" s="2">
        <v>45536</v>
      </c>
      <c r="BH643" t="s">
        <v>142</v>
      </c>
      <c r="BI643" s="2">
        <v>46026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s="1">
        <v>7841.19</v>
      </c>
      <c r="BQ643" s="1">
        <v>7841.19</v>
      </c>
      <c r="BR643">
        <v>0</v>
      </c>
      <c r="BS643">
        <v>0</v>
      </c>
      <c r="BT643">
        <v>0</v>
      </c>
      <c r="BU643">
        <v>0</v>
      </c>
      <c r="BV643" s="1">
        <v>5448.14</v>
      </c>
      <c r="BW643" s="1">
        <v>5448.14</v>
      </c>
      <c r="BX643">
        <v>0</v>
      </c>
      <c r="BY643">
        <v>0</v>
      </c>
      <c r="BZ643">
        <v>0</v>
      </c>
      <c r="CA643">
        <v>0</v>
      </c>
      <c r="CB643" s="1">
        <v>8196.26</v>
      </c>
      <c r="CC643" t="s">
        <v>161</v>
      </c>
    </row>
    <row r="644" spans="1:81" x14ac:dyDescent="0.25">
      <c r="A644">
        <v>345</v>
      </c>
      <c r="B644">
        <v>2</v>
      </c>
      <c r="C644">
        <v>1008</v>
      </c>
      <c r="D644" t="s">
        <v>3679</v>
      </c>
      <c r="E644" t="s">
        <v>121</v>
      </c>
      <c r="F644" t="s">
        <v>3680</v>
      </c>
      <c r="G644" t="s">
        <v>3681</v>
      </c>
      <c r="H644" t="s">
        <v>3682</v>
      </c>
      <c r="I644" t="s">
        <v>3683</v>
      </c>
      <c r="J644" t="s">
        <v>3311</v>
      </c>
      <c r="K644" t="s">
        <v>466</v>
      </c>
      <c r="L644" t="s">
        <v>128</v>
      </c>
      <c r="M644" t="s">
        <v>467</v>
      </c>
      <c r="N644" t="s">
        <v>3684</v>
      </c>
      <c r="O644" t="s">
        <v>131</v>
      </c>
      <c r="P644">
        <v>0</v>
      </c>
      <c r="Q644" t="s">
        <v>125</v>
      </c>
      <c r="R644">
        <v>6</v>
      </c>
      <c r="S644">
        <v>41</v>
      </c>
      <c r="T644" t="s">
        <v>132</v>
      </c>
      <c r="U644" t="s">
        <v>133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134</v>
      </c>
      <c r="AE644" t="s">
        <v>134</v>
      </c>
      <c r="AF644" s="2">
        <v>45518</v>
      </c>
      <c r="AG644" s="2">
        <v>46017</v>
      </c>
      <c r="AH644" s="1">
        <v>1021.74</v>
      </c>
      <c r="AI644" s="1">
        <v>1545.78</v>
      </c>
      <c r="AJ644" s="1">
        <v>13282.71</v>
      </c>
      <c r="AK644">
        <v>0</v>
      </c>
      <c r="AL644">
        <v>0</v>
      </c>
      <c r="AM644">
        <v>0</v>
      </c>
      <c r="AN644" t="s">
        <v>135</v>
      </c>
      <c r="AO644" t="s">
        <v>135</v>
      </c>
      <c r="AP644" t="s">
        <v>136</v>
      </c>
      <c r="AQ644" t="s">
        <v>137</v>
      </c>
      <c r="AR644" t="s">
        <v>138</v>
      </c>
      <c r="AS644" t="s">
        <v>139</v>
      </c>
      <c r="AT644" t="s">
        <v>140</v>
      </c>
      <c r="AU644">
        <v>100</v>
      </c>
      <c r="AV644">
        <v>10</v>
      </c>
      <c r="AW644">
        <v>1</v>
      </c>
      <c r="AX644" s="2">
        <v>45848</v>
      </c>
      <c r="AY644" t="s">
        <v>308</v>
      </c>
      <c r="AZ644" s="2">
        <v>46023</v>
      </c>
      <c r="BA644">
        <v>0</v>
      </c>
      <c r="BB644">
        <v>0</v>
      </c>
      <c r="BC644">
        <v>0</v>
      </c>
      <c r="BD644">
        <v>700</v>
      </c>
      <c r="BE644">
        <v>70</v>
      </c>
      <c r="BF644">
        <v>9</v>
      </c>
      <c r="BG644" s="2">
        <v>45536</v>
      </c>
      <c r="BH644" t="s">
        <v>142</v>
      </c>
      <c r="BI644" s="2">
        <v>46026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s="1">
        <v>3558.8</v>
      </c>
      <c r="BQ644" s="1">
        <v>3558.8</v>
      </c>
      <c r="BR644">
        <v>0</v>
      </c>
      <c r="BS644">
        <v>0</v>
      </c>
      <c r="BT644">
        <v>0</v>
      </c>
      <c r="BU644">
        <v>0</v>
      </c>
      <c r="BV644" s="1">
        <v>4571.3599999999997</v>
      </c>
      <c r="BW644" s="1">
        <v>4571.3599999999997</v>
      </c>
      <c r="BX644">
        <v>0</v>
      </c>
      <c r="BY644">
        <v>0</v>
      </c>
      <c r="BZ644">
        <v>0</v>
      </c>
      <c r="CA644">
        <v>0</v>
      </c>
      <c r="CB644" s="1">
        <v>4061.99</v>
      </c>
      <c r="CC644" t="s">
        <v>143</v>
      </c>
    </row>
    <row r="645" spans="1:81" x14ac:dyDescent="0.25">
      <c r="A645">
        <v>345</v>
      </c>
      <c r="B645">
        <v>2</v>
      </c>
      <c r="C645">
        <v>1009</v>
      </c>
      <c r="D645" t="s">
        <v>3685</v>
      </c>
      <c r="E645" t="s">
        <v>121</v>
      </c>
      <c r="F645" t="s">
        <v>3686</v>
      </c>
      <c r="G645" t="s">
        <v>3687</v>
      </c>
      <c r="H645" t="s">
        <v>3688</v>
      </c>
      <c r="I645" t="s">
        <v>3689</v>
      </c>
      <c r="J645" t="s">
        <v>3074</v>
      </c>
      <c r="K645" t="s">
        <v>1853</v>
      </c>
      <c r="L645" t="s">
        <v>128</v>
      </c>
      <c r="M645" t="s">
        <v>1854</v>
      </c>
      <c r="N645" t="s">
        <v>3690</v>
      </c>
      <c r="O645" t="s">
        <v>167</v>
      </c>
      <c r="P645">
        <v>0</v>
      </c>
      <c r="Q645" t="s">
        <v>125</v>
      </c>
      <c r="R645">
        <v>6</v>
      </c>
      <c r="S645">
        <v>38</v>
      </c>
      <c r="T645" t="s">
        <v>132</v>
      </c>
      <c r="U645" t="s">
        <v>133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134</v>
      </c>
      <c r="AE645" t="s">
        <v>134</v>
      </c>
      <c r="AF645" s="2">
        <v>45518</v>
      </c>
      <c r="AG645" s="2">
        <v>46017</v>
      </c>
      <c r="AH645">
        <v>130.36000000000001</v>
      </c>
      <c r="AI645">
        <v>265.43</v>
      </c>
      <c r="AJ645">
        <v>782.17</v>
      </c>
      <c r="AK645">
        <v>0</v>
      </c>
      <c r="AL645">
        <v>0</v>
      </c>
      <c r="AM645">
        <v>0</v>
      </c>
      <c r="AN645" t="s">
        <v>135</v>
      </c>
      <c r="AO645" t="s">
        <v>135</v>
      </c>
      <c r="AP645" t="s">
        <v>136</v>
      </c>
      <c r="AQ645" t="s">
        <v>137</v>
      </c>
      <c r="AR645" t="s">
        <v>138</v>
      </c>
      <c r="AS645" t="s">
        <v>139</v>
      </c>
      <c r="AT645" t="s">
        <v>140</v>
      </c>
      <c r="AU645">
        <v>106</v>
      </c>
      <c r="AV645">
        <v>10</v>
      </c>
      <c r="AW645">
        <v>1</v>
      </c>
      <c r="AX645" s="2">
        <v>45813</v>
      </c>
      <c r="AY645" t="s">
        <v>308</v>
      </c>
      <c r="AZ645" s="2">
        <v>46023</v>
      </c>
      <c r="BA645">
        <v>0</v>
      </c>
      <c r="BB645">
        <v>0</v>
      </c>
      <c r="BC645">
        <v>0</v>
      </c>
      <c r="BD645">
        <v>700</v>
      </c>
      <c r="BE645">
        <v>70</v>
      </c>
      <c r="BF645">
        <v>9</v>
      </c>
      <c r="BG645" s="2">
        <v>45536</v>
      </c>
      <c r="BH645" t="s">
        <v>142</v>
      </c>
      <c r="BI645" s="2">
        <v>46026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597.29999999999995</v>
      </c>
      <c r="BQ645">
        <v>597.29999999999995</v>
      </c>
      <c r="BR645">
        <v>0</v>
      </c>
      <c r="BS645">
        <v>0</v>
      </c>
      <c r="BT645">
        <v>0</v>
      </c>
      <c r="BU645">
        <v>0</v>
      </c>
      <c r="BV645">
        <v>98.75</v>
      </c>
      <c r="BW645">
        <v>98.75</v>
      </c>
      <c r="BX645">
        <v>0</v>
      </c>
      <c r="BY645">
        <v>0</v>
      </c>
      <c r="BZ645">
        <v>0</v>
      </c>
      <c r="CA645">
        <v>0</v>
      </c>
      <c r="CB645">
        <v>291.69</v>
      </c>
      <c r="CC645" t="s">
        <v>161</v>
      </c>
    </row>
    <row r="646" spans="1:81" x14ac:dyDescent="0.25">
      <c r="A646">
        <v>345</v>
      </c>
      <c r="B646">
        <v>2</v>
      </c>
      <c r="C646">
        <v>1011</v>
      </c>
      <c r="D646" t="s">
        <v>3691</v>
      </c>
      <c r="E646" t="s">
        <v>121</v>
      </c>
      <c r="F646" t="s">
        <v>3692</v>
      </c>
      <c r="G646" t="s">
        <v>3693</v>
      </c>
      <c r="H646" t="s">
        <v>3694</v>
      </c>
      <c r="I646" t="s">
        <v>3695</v>
      </c>
      <c r="J646" t="s">
        <v>3074</v>
      </c>
      <c r="K646" t="s">
        <v>1853</v>
      </c>
      <c r="L646" t="s">
        <v>128</v>
      </c>
      <c r="M646" t="s">
        <v>1854</v>
      </c>
      <c r="N646" t="s">
        <v>3696</v>
      </c>
      <c r="O646" t="s">
        <v>131</v>
      </c>
      <c r="P646">
        <v>0</v>
      </c>
      <c r="Q646" t="s">
        <v>125</v>
      </c>
      <c r="R646">
        <v>3</v>
      </c>
      <c r="S646">
        <v>86</v>
      </c>
      <c r="T646" t="s">
        <v>132</v>
      </c>
      <c r="U646" t="s">
        <v>133</v>
      </c>
      <c r="V646" s="1">
        <v>5000</v>
      </c>
      <c r="W646">
        <v>483.76</v>
      </c>
      <c r="X646" s="1">
        <v>4516.24</v>
      </c>
      <c r="Y646">
        <v>7</v>
      </c>
      <c r="Z646">
        <v>0</v>
      </c>
      <c r="AA646">
        <v>7</v>
      </c>
      <c r="AB646">
        <v>0</v>
      </c>
      <c r="AC646">
        <v>0</v>
      </c>
      <c r="AD646" t="s">
        <v>134</v>
      </c>
      <c r="AE646" t="s">
        <v>134</v>
      </c>
      <c r="AF646" s="2">
        <v>45518</v>
      </c>
      <c r="AG646" s="2">
        <v>46015</v>
      </c>
      <c r="AH646">
        <v>228.17</v>
      </c>
      <c r="AI646">
        <v>326.89999999999998</v>
      </c>
      <c r="AJ646" s="1">
        <v>2509.9499999999998</v>
      </c>
      <c r="AK646">
        <v>0</v>
      </c>
      <c r="AL646">
        <v>483.76</v>
      </c>
      <c r="AM646">
        <v>22.73</v>
      </c>
      <c r="AN646" t="s">
        <v>135</v>
      </c>
      <c r="AO646" t="s">
        <v>135</v>
      </c>
      <c r="AP646" t="s">
        <v>136</v>
      </c>
      <c r="AQ646" t="s">
        <v>137</v>
      </c>
      <c r="AR646" t="s">
        <v>138</v>
      </c>
      <c r="AS646" t="s">
        <v>150</v>
      </c>
      <c r="AT646" t="s">
        <v>140</v>
      </c>
      <c r="AU646">
        <v>106</v>
      </c>
      <c r="AV646">
        <v>10</v>
      </c>
      <c r="AW646">
        <v>1</v>
      </c>
      <c r="AX646" s="2">
        <v>45810</v>
      </c>
      <c r="AY646" t="s">
        <v>141</v>
      </c>
      <c r="AZ646" s="2">
        <v>46027</v>
      </c>
      <c r="BA646">
        <v>0</v>
      </c>
      <c r="BB646">
        <v>0</v>
      </c>
      <c r="BC646">
        <v>0</v>
      </c>
      <c r="BD646">
        <v>700</v>
      </c>
      <c r="BE646">
        <v>70</v>
      </c>
      <c r="BF646">
        <v>9</v>
      </c>
      <c r="BG646" s="2">
        <v>45536</v>
      </c>
      <c r="BH646" t="s">
        <v>142</v>
      </c>
      <c r="BI646" s="2">
        <v>46026</v>
      </c>
      <c r="BJ646">
        <v>0</v>
      </c>
      <c r="BK646">
        <v>0</v>
      </c>
      <c r="BL646">
        <v>0</v>
      </c>
      <c r="BM646">
        <v>7</v>
      </c>
      <c r="BN646">
        <v>7</v>
      </c>
      <c r="BO646">
        <v>701.55</v>
      </c>
      <c r="BP646">
        <v>0</v>
      </c>
      <c r="BQ646">
        <v>701.55</v>
      </c>
      <c r="BR646">
        <v>109.95</v>
      </c>
      <c r="BS646">
        <v>7</v>
      </c>
      <c r="BT646">
        <v>7</v>
      </c>
      <c r="BU646">
        <v>940.3</v>
      </c>
      <c r="BV646">
        <v>0</v>
      </c>
      <c r="BW646">
        <v>940.3</v>
      </c>
      <c r="BX646">
        <v>219.46</v>
      </c>
      <c r="BY646">
        <v>23.34</v>
      </c>
      <c r="BZ646">
        <v>0</v>
      </c>
      <c r="CA646">
        <v>0</v>
      </c>
      <c r="CB646">
        <v>882.17</v>
      </c>
      <c r="CC646" t="s">
        <v>143</v>
      </c>
    </row>
    <row r="647" spans="1:81" x14ac:dyDescent="0.25">
      <c r="A647">
        <v>345</v>
      </c>
      <c r="B647">
        <v>2</v>
      </c>
      <c r="C647">
        <v>1012</v>
      </c>
      <c r="D647" t="s">
        <v>3697</v>
      </c>
      <c r="E647" t="s">
        <v>121</v>
      </c>
      <c r="F647" t="s">
        <v>3698</v>
      </c>
      <c r="G647" t="s">
        <v>3699</v>
      </c>
      <c r="H647" t="s">
        <v>3700</v>
      </c>
      <c r="I647" t="s">
        <v>3701</v>
      </c>
      <c r="J647" t="s">
        <v>3074</v>
      </c>
      <c r="K647" t="s">
        <v>1853</v>
      </c>
      <c r="L647" t="s">
        <v>128</v>
      </c>
      <c r="M647" t="s">
        <v>1854</v>
      </c>
      <c r="N647" t="s">
        <v>3702</v>
      </c>
      <c r="O647" t="s">
        <v>131</v>
      </c>
      <c r="P647">
        <v>0</v>
      </c>
      <c r="Q647" t="s">
        <v>125</v>
      </c>
      <c r="R647">
        <v>6</v>
      </c>
      <c r="S647">
        <v>40</v>
      </c>
      <c r="T647" t="s">
        <v>132</v>
      </c>
      <c r="U647" t="s">
        <v>133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134</v>
      </c>
      <c r="AE647" t="s">
        <v>134</v>
      </c>
      <c r="AF647" s="2">
        <v>45518</v>
      </c>
      <c r="AG647" s="2">
        <v>46017</v>
      </c>
      <c r="AH647">
        <v>353.79</v>
      </c>
      <c r="AI647">
        <v>509.81</v>
      </c>
      <c r="AJ647" s="1">
        <v>4245.49</v>
      </c>
      <c r="AK647">
        <v>0</v>
      </c>
      <c r="AL647">
        <v>0</v>
      </c>
      <c r="AM647">
        <v>0</v>
      </c>
      <c r="AN647" t="s">
        <v>135</v>
      </c>
      <c r="AO647" t="s">
        <v>135</v>
      </c>
      <c r="AP647" t="s">
        <v>136</v>
      </c>
      <c r="AQ647" t="s">
        <v>137</v>
      </c>
      <c r="AR647" t="s">
        <v>138</v>
      </c>
      <c r="AS647" t="s">
        <v>139</v>
      </c>
      <c r="AT647" t="s">
        <v>140</v>
      </c>
      <c r="AU647">
        <v>106</v>
      </c>
      <c r="AV647">
        <v>10</v>
      </c>
      <c r="AW647">
        <v>1</v>
      </c>
      <c r="AX647" s="2">
        <v>45609</v>
      </c>
      <c r="AY647" t="s">
        <v>168</v>
      </c>
      <c r="AZ647" s="2">
        <v>46022</v>
      </c>
      <c r="BA647">
        <v>0</v>
      </c>
      <c r="BB647">
        <v>0</v>
      </c>
      <c r="BC647">
        <v>0</v>
      </c>
      <c r="BD647">
        <v>700</v>
      </c>
      <c r="BE647">
        <v>70</v>
      </c>
      <c r="BF647">
        <v>9</v>
      </c>
      <c r="BG647" s="2">
        <v>45536</v>
      </c>
      <c r="BH647" t="s">
        <v>142</v>
      </c>
      <c r="BI647" s="2">
        <v>46026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s="1">
        <v>1249.58</v>
      </c>
      <c r="BQ647" s="1">
        <v>1249.58</v>
      </c>
      <c r="BR647">
        <v>0</v>
      </c>
      <c r="BS647">
        <v>0</v>
      </c>
      <c r="BT647">
        <v>0</v>
      </c>
      <c r="BU647">
        <v>0</v>
      </c>
      <c r="BV647" s="1">
        <v>1704.27</v>
      </c>
      <c r="BW647" s="1">
        <v>1704.27</v>
      </c>
      <c r="BX647">
        <v>0</v>
      </c>
      <c r="BY647">
        <v>0</v>
      </c>
      <c r="BZ647">
        <v>0</v>
      </c>
      <c r="CA647">
        <v>0</v>
      </c>
      <c r="CB647" s="1">
        <v>1328.27</v>
      </c>
      <c r="CC647" t="s">
        <v>143</v>
      </c>
    </row>
    <row r="648" spans="1:81" x14ac:dyDescent="0.25">
      <c r="A648">
        <v>345</v>
      </c>
      <c r="B648">
        <v>2</v>
      </c>
      <c r="C648">
        <v>1013</v>
      </c>
      <c r="D648" t="s">
        <v>3703</v>
      </c>
      <c r="E648" t="s">
        <v>121</v>
      </c>
      <c r="F648" t="s">
        <v>3704</v>
      </c>
      <c r="G648" t="s">
        <v>3704</v>
      </c>
      <c r="H648" t="s">
        <v>3705</v>
      </c>
      <c r="I648" t="s">
        <v>125</v>
      </c>
      <c r="J648" t="s">
        <v>3074</v>
      </c>
      <c r="K648" t="s">
        <v>1853</v>
      </c>
      <c r="L648" t="s">
        <v>128</v>
      </c>
      <c r="M648" t="s">
        <v>1854</v>
      </c>
      <c r="N648" t="s">
        <v>3706</v>
      </c>
      <c r="O648" t="s">
        <v>167</v>
      </c>
      <c r="P648">
        <v>0</v>
      </c>
      <c r="Q648" t="s">
        <v>125</v>
      </c>
      <c r="R648">
        <v>6</v>
      </c>
      <c r="S648">
        <v>42</v>
      </c>
      <c r="T648" t="s">
        <v>132</v>
      </c>
      <c r="U648" t="s">
        <v>133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134</v>
      </c>
      <c r="AE648" t="s">
        <v>134</v>
      </c>
      <c r="AF648" s="2">
        <v>45518</v>
      </c>
      <c r="AG648" s="2">
        <v>46008</v>
      </c>
      <c r="AH648">
        <v>71.819999999999993</v>
      </c>
      <c r="AI648">
        <v>97.44</v>
      </c>
      <c r="AJ648">
        <v>574.58000000000004</v>
      </c>
      <c r="AK648">
        <v>0</v>
      </c>
      <c r="AL648">
        <v>97.44</v>
      </c>
      <c r="AM648">
        <v>0</v>
      </c>
      <c r="AN648" t="s">
        <v>135</v>
      </c>
      <c r="AO648" t="s">
        <v>135</v>
      </c>
      <c r="AP648" t="s">
        <v>136</v>
      </c>
      <c r="AQ648" t="s">
        <v>137</v>
      </c>
      <c r="AR648" t="s">
        <v>138</v>
      </c>
      <c r="AS648" t="s">
        <v>150</v>
      </c>
      <c r="AT648" t="s">
        <v>140</v>
      </c>
      <c r="AU648">
        <v>106</v>
      </c>
      <c r="AV648">
        <v>10</v>
      </c>
      <c r="AW648">
        <v>1</v>
      </c>
      <c r="AX648" s="2">
        <v>45810</v>
      </c>
      <c r="AY648" t="s">
        <v>141</v>
      </c>
      <c r="AZ648" s="2">
        <v>46027</v>
      </c>
      <c r="BA648">
        <v>0</v>
      </c>
      <c r="BB648">
        <v>0</v>
      </c>
      <c r="BC648">
        <v>0</v>
      </c>
      <c r="BD648">
        <v>700</v>
      </c>
      <c r="BE648">
        <v>70</v>
      </c>
      <c r="BF648">
        <v>9</v>
      </c>
      <c r="BG648" s="2">
        <v>45536</v>
      </c>
      <c r="BH648" t="s">
        <v>142</v>
      </c>
      <c r="BI648" s="2">
        <v>46026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83.64</v>
      </c>
      <c r="BQ648">
        <v>83.64</v>
      </c>
      <c r="BR648">
        <v>0</v>
      </c>
      <c r="BS648">
        <v>0</v>
      </c>
      <c r="BT648">
        <v>0</v>
      </c>
      <c r="BU648">
        <v>0</v>
      </c>
      <c r="BV648">
        <v>309.72000000000003</v>
      </c>
      <c r="BW648">
        <v>309.72000000000003</v>
      </c>
      <c r="BX648">
        <v>0</v>
      </c>
      <c r="BY648">
        <v>0</v>
      </c>
      <c r="BZ648">
        <v>0</v>
      </c>
      <c r="CA648">
        <v>0</v>
      </c>
      <c r="CB648">
        <v>161.53</v>
      </c>
      <c r="CC648" t="s">
        <v>161</v>
      </c>
    </row>
    <row r="649" spans="1:81" x14ac:dyDescent="0.25">
      <c r="A649">
        <v>345</v>
      </c>
      <c r="B649">
        <v>2</v>
      </c>
      <c r="C649">
        <v>1014</v>
      </c>
      <c r="D649" t="s">
        <v>3707</v>
      </c>
      <c r="E649" t="s">
        <v>121</v>
      </c>
      <c r="F649" t="s">
        <v>3708</v>
      </c>
      <c r="G649" t="s">
        <v>3709</v>
      </c>
      <c r="H649" t="s">
        <v>3710</v>
      </c>
      <c r="I649" t="s">
        <v>3711</v>
      </c>
      <c r="J649" t="s">
        <v>1263</v>
      </c>
      <c r="K649" t="s">
        <v>466</v>
      </c>
      <c r="L649" t="s">
        <v>128</v>
      </c>
      <c r="M649" t="s">
        <v>467</v>
      </c>
      <c r="N649" t="s">
        <v>3712</v>
      </c>
      <c r="O649" t="s">
        <v>167</v>
      </c>
      <c r="P649">
        <v>0</v>
      </c>
      <c r="Q649" t="s">
        <v>125</v>
      </c>
      <c r="R649">
        <v>6</v>
      </c>
      <c r="S649">
        <v>35</v>
      </c>
      <c r="T649" t="s">
        <v>132</v>
      </c>
      <c r="U649" t="s">
        <v>133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134</v>
      </c>
      <c r="AE649" t="s">
        <v>134</v>
      </c>
      <c r="AF649" s="2">
        <v>45518</v>
      </c>
      <c r="AG649" s="2">
        <v>45974</v>
      </c>
      <c r="AH649">
        <v>591.9</v>
      </c>
      <c r="AI649">
        <v>815.16</v>
      </c>
      <c r="AJ649" s="1">
        <v>2367.62</v>
      </c>
      <c r="AK649">
        <v>0</v>
      </c>
      <c r="AL649">
        <v>0</v>
      </c>
      <c r="AM649">
        <v>0</v>
      </c>
      <c r="AN649" t="s">
        <v>135</v>
      </c>
      <c r="AO649" t="s">
        <v>135</v>
      </c>
      <c r="AP649" t="s">
        <v>136</v>
      </c>
      <c r="AQ649" t="s">
        <v>137</v>
      </c>
      <c r="AR649" t="s">
        <v>138</v>
      </c>
      <c r="AS649" t="s">
        <v>139</v>
      </c>
      <c r="AT649" t="s">
        <v>140</v>
      </c>
      <c r="AU649">
        <v>100</v>
      </c>
      <c r="AV649">
        <v>10</v>
      </c>
      <c r="AW649">
        <v>1</v>
      </c>
      <c r="AX649" s="2">
        <v>45812</v>
      </c>
      <c r="AY649" t="s">
        <v>168</v>
      </c>
      <c r="AZ649" s="2">
        <v>46022</v>
      </c>
      <c r="BA649">
        <v>0</v>
      </c>
      <c r="BB649">
        <v>0</v>
      </c>
      <c r="BC649">
        <v>0</v>
      </c>
      <c r="BD649">
        <v>700</v>
      </c>
      <c r="BE649">
        <v>70</v>
      </c>
      <c r="BF649">
        <v>9</v>
      </c>
      <c r="BG649" s="2">
        <v>45536</v>
      </c>
      <c r="BH649" t="s">
        <v>142</v>
      </c>
      <c r="BI649" s="2">
        <v>46026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815.16</v>
      </c>
      <c r="BQ649">
        <v>815.16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s="1">
        <v>1415.16</v>
      </c>
      <c r="CC649" t="s">
        <v>161</v>
      </c>
    </row>
    <row r="650" spans="1:81" x14ac:dyDescent="0.25">
      <c r="A650">
        <v>345</v>
      </c>
      <c r="B650">
        <v>2</v>
      </c>
      <c r="C650">
        <v>1016</v>
      </c>
      <c r="D650" t="s">
        <v>3713</v>
      </c>
      <c r="E650" t="s">
        <v>121</v>
      </c>
      <c r="F650" t="s">
        <v>3714</v>
      </c>
      <c r="G650" t="s">
        <v>3715</v>
      </c>
      <c r="H650" t="s">
        <v>3716</v>
      </c>
      <c r="I650" t="s">
        <v>3717</v>
      </c>
      <c r="J650" t="s">
        <v>1263</v>
      </c>
      <c r="K650" t="s">
        <v>466</v>
      </c>
      <c r="L650" t="s">
        <v>128</v>
      </c>
      <c r="M650" t="s">
        <v>467</v>
      </c>
      <c r="N650" t="s">
        <v>3718</v>
      </c>
      <c r="O650" t="s">
        <v>131</v>
      </c>
      <c r="P650">
        <v>0</v>
      </c>
      <c r="Q650" t="s">
        <v>125</v>
      </c>
      <c r="R650">
        <v>6</v>
      </c>
      <c r="S650">
        <v>40</v>
      </c>
      <c r="T650" t="s">
        <v>132</v>
      </c>
      <c r="U650" t="s">
        <v>133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134</v>
      </c>
      <c r="AE650" t="s">
        <v>134</v>
      </c>
      <c r="AF650" s="2">
        <v>45518</v>
      </c>
      <c r="AG650" s="2">
        <v>46015</v>
      </c>
      <c r="AH650">
        <v>861.31</v>
      </c>
      <c r="AI650" s="1">
        <v>1654.45</v>
      </c>
      <c r="AJ650" s="1">
        <v>11197.07</v>
      </c>
      <c r="AK650">
        <v>0</v>
      </c>
      <c r="AL650">
        <v>744.75</v>
      </c>
      <c r="AM650">
        <v>0</v>
      </c>
      <c r="AN650" t="s">
        <v>135</v>
      </c>
      <c r="AO650" t="s">
        <v>135</v>
      </c>
      <c r="AP650" t="s">
        <v>136</v>
      </c>
      <c r="AQ650" t="s">
        <v>137</v>
      </c>
      <c r="AR650" t="s">
        <v>138</v>
      </c>
      <c r="AS650" t="s">
        <v>139</v>
      </c>
      <c r="AT650" t="s">
        <v>140</v>
      </c>
      <c r="AU650">
        <v>100</v>
      </c>
      <c r="AV650">
        <v>10</v>
      </c>
      <c r="AW650">
        <v>1</v>
      </c>
      <c r="AX650" s="2">
        <v>45839</v>
      </c>
      <c r="AY650" t="s">
        <v>377</v>
      </c>
      <c r="AZ650" s="2">
        <v>46028</v>
      </c>
      <c r="BA650">
        <v>0</v>
      </c>
      <c r="BB650">
        <v>0</v>
      </c>
      <c r="BC650">
        <v>0</v>
      </c>
      <c r="BD650">
        <v>700</v>
      </c>
      <c r="BE650">
        <v>70</v>
      </c>
      <c r="BF650">
        <v>9</v>
      </c>
      <c r="BG650" s="2">
        <v>45536</v>
      </c>
      <c r="BH650" t="s">
        <v>142</v>
      </c>
      <c r="BI650" s="2">
        <v>46026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s="1">
        <v>3751.87</v>
      </c>
      <c r="BQ650" s="1">
        <v>3751.87</v>
      </c>
      <c r="BR650">
        <v>0</v>
      </c>
      <c r="BS650">
        <v>0</v>
      </c>
      <c r="BT650">
        <v>0</v>
      </c>
      <c r="BU650">
        <v>0</v>
      </c>
      <c r="BV650" s="1">
        <v>5566.05</v>
      </c>
      <c r="BW650" s="1">
        <v>5566.05</v>
      </c>
      <c r="BX650">
        <v>0</v>
      </c>
      <c r="BY650">
        <v>0</v>
      </c>
      <c r="BZ650">
        <v>0</v>
      </c>
      <c r="CA650">
        <v>0</v>
      </c>
      <c r="CB650" s="1">
        <v>2435</v>
      </c>
      <c r="CC650" t="s">
        <v>143</v>
      </c>
    </row>
    <row r="651" spans="1:81" x14ac:dyDescent="0.25">
      <c r="A651">
        <v>345</v>
      </c>
      <c r="B651">
        <v>2</v>
      </c>
      <c r="C651">
        <v>1017</v>
      </c>
      <c r="D651" t="s">
        <v>3719</v>
      </c>
      <c r="E651" t="s">
        <v>121</v>
      </c>
      <c r="F651" t="s">
        <v>3720</v>
      </c>
      <c r="G651" t="s">
        <v>3721</v>
      </c>
      <c r="H651" t="s">
        <v>3722</v>
      </c>
      <c r="I651" t="s">
        <v>125</v>
      </c>
      <c r="J651" t="s">
        <v>1263</v>
      </c>
      <c r="K651" t="s">
        <v>466</v>
      </c>
      <c r="L651" t="s">
        <v>128</v>
      </c>
      <c r="M651" t="s">
        <v>467</v>
      </c>
      <c r="N651" t="s">
        <v>3723</v>
      </c>
      <c r="O651" t="s">
        <v>131</v>
      </c>
      <c r="P651">
        <v>0</v>
      </c>
      <c r="Q651" t="s">
        <v>125</v>
      </c>
      <c r="R651">
        <v>3</v>
      </c>
      <c r="S651">
        <v>86</v>
      </c>
      <c r="T651" t="s">
        <v>132</v>
      </c>
      <c r="U651" t="s">
        <v>133</v>
      </c>
      <c r="V651" s="1">
        <v>46400</v>
      </c>
      <c r="W651" s="1">
        <v>6634.16</v>
      </c>
      <c r="X651" s="1">
        <v>39765.839999999997</v>
      </c>
      <c r="Y651">
        <v>7</v>
      </c>
      <c r="Z651">
        <v>0</v>
      </c>
      <c r="AA651">
        <v>7</v>
      </c>
      <c r="AB651">
        <v>0</v>
      </c>
      <c r="AC651">
        <v>7</v>
      </c>
      <c r="AD651" t="s">
        <v>134</v>
      </c>
      <c r="AE651" t="s">
        <v>134</v>
      </c>
      <c r="AF651" s="2">
        <v>45518</v>
      </c>
      <c r="AG651" s="2">
        <v>46015</v>
      </c>
      <c r="AH651" s="1">
        <v>4438.33</v>
      </c>
      <c r="AI651" s="1">
        <v>9055.01</v>
      </c>
      <c r="AJ651" s="1">
        <v>57698.36</v>
      </c>
      <c r="AK651">
        <v>0</v>
      </c>
      <c r="AL651" s="1">
        <v>6634.16</v>
      </c>
      <c r="AM651">
        <v>82.8</v>
      </c>
      <c r="AN651" t="s">
        <v>135</v>
      </c>
      <c r="AO651" t="s">
        <v>135</v>
      </c>
      <c r="AP651" t="s">
        <v>136</v>
      </c>
      <c r="AQ651" t="s">
        <v>137</v>
      </c>
      <c r="AR651" t="s">
        <v>138</v>
      </c>
      <c r="AS651" t="s">
        <v>150</v>
      </c>
      <c r="AT651" t="s">
        <v>140</v>
      </c>
      <c r="AU651">
        <v>500</v>
      </c>
      <c r="AV651">
        <v>10</v>
      </c>
      <c r="AW651">
        <v>1</v>
      </c>
      <c r="AX651" s="2">
        <v>45622</v>
      </c>
      <c r="AY651" t="s">
        <v>377</v>
      </c>
      <c r="AZ651" s="2">
        <v>46028</v>
      </c>
      <c r="BA651">
        <v>0</v>
      </c>
      <c r="BB651">
        <v>0</v>
      </c>
      <c r="BC651">
        <v>0</v>
      </c>
      <c r="BD651">
        <v>700</v>
      </c>
      <c r="BE651">
        <v>70</v>
      </c>
      <c r="BF651">
        <v>9</v>
      </c>
      <c r="BG651" s="2">
        <v>45536</v>
      </c>
      <c r="BH651" t="s">
        <v>142</v>
      </c>
      <c r="BI651" s="2">
        <v>46026</v>
      </c>
      <c r="BJ651">
        <v>0</v>
      </c>
      <c r="BK651">
        <v>0</v>
      </c>
      <c r="BL651">
        <v>0</v>
      </c>
      <c r="BM651">
        <v>7</v>
      </c>
      <c r="BN651">
        <v>7</v>
      </c>
      <c r="BO651" s="1">
        <v>20991.69</v>
      </c>
      <c r="BP651">
        <v>0</v>
      </c>
      <c r="BQ651" s="1">
        <v>20991.69</v>
      </c>
      <c r="BR651" s="1">
        <v>5493.35</v>
      </c>
      <c r="BS651">
        <v>7</v>
      </c>
      <c r="BT651">
        <v>7</v>
      </c>
      <c r="BU651" s="1">
        <v>20836.240000000002</v>
      </c>
      <c r="BV651">
        <v>0</v>
      </c>
      <c r="BW651" s="1">
        <v>20836.240000000002</v>
      </c>
      <c r="BX651">
        <v>0</v>
      </c>
      <c r="BY651">
        <v>0</v>
      </c>
      <c r="BZ651">
        <v>0</v>
      </c>
      <c r="CA651">
        <v>0</v>
      </c>
      <c r="CB651" s="1">
        <v>15144.42</v>
      </c>
      <c r="CC651" t="s">
        <v>143</v>
      </c>
    </row>
    <row r="652" spans="1:81" x14ac:dyDescent="0.25">
      <c r="A652">
        <v>345</v>
      </c>
      <c r="B652">
        <v>2</v>
      </c>
      <c r="C652">
        <v>1020</v>
      </c>
      <c r="D652" t="s">
        <v>3724</v>
      </c>
      <c r="E652" t="s">
        <v>121</v>
      </c>
      <c r="F652" t="s">
        <v>3725</v>
      </c>
      <c r="G652" t="s">
        <v>3726</v>
      </c>
      <c r="H652" t="s">
        <v>3727</v>
      </c>
      <c r="I652" t="s">
        <v>3728</v>
      </c>
      <c r="J652" t="s">
        <v>1852</v>
      </c>
      <c r="K652" t="s">
        <v>336</v>
      </c>
      <c r="L652" t="s">
        <v>128</v>
      </c>
      <c r="M652" t="s">
        <v>337</v>
      </c>
      <c r="N652" t="s">
        <v>3729</v>
      </c>
      <c r="O652" t="s">
        <v>159</v>
      </c>
      <c r="P652">
        <v>0</v>
      </c>
      <c r="Q652" t="s">
        <v>125</v>
      </c>
      <c r="R652">
        <v>6</v>
      </c>
      <c r="S652">
        <v>35</v>
      </c>
      <c r="T652" t="s">
        <v>132</v>
      </c>
      <c r="U652" t="s">
        <v>133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134</v>
      </c>
      <c r="AE652" t="s">
        <v>134</v>
      </c>
      <c r="AF652" s="2">
        <v>45518</v>
      </c>
      <c r="AG652" s="2">
        <v>46008</v>
      </c>
      <c r="AH652">
        <v>222.53</v>
      </c>
      <c r="AI652">
        <v>273.64</v>
      </c>
      <c r="AJ652" s="1">
        <v>1112.67</v>
      </c>
      <c r="AK652">
        <v>0</v>
      </c>
      <c r="AL652">
        <v>0</v>
      </c>
      <c r="AM652">
        <v>0</v>
      </c>
      <c r="AN652" t="s">
        <v>135</v>
      </c>
      <c r="AO652" t="s">
        <v>135</v>
      </c>
      <c r="AP652" t="s">
        <v>136</v>
      </c>
      <c r="AQ652" t="s">
        <v>137</v>
      </c>
      <c r="AR652" t="s">
        <v>138</v>
      </c>
      <c r="AS652" t="s">
        <v>139</v>
      </c>
      <c r="AT652" t="s">
        <v>140</v>
      </c>
      <c r="AU652">
        <v>100</v>
      </c>
      <c r="AV652">
        <v>10</v>
      </c>
      <c r="AW652">
        <v>1</v>
      </c>
      <c r="AX652" s="2">
        <v>45860</v>
      </c>
      <c r="AY652" t="s">
        <v>377</v>
      </c>
      <c r="AZ652" s="2">
        <v>46028</v>
      </c>
      <c r="BA652">
        <v>0</v>
      </c>
      <c r="BB652">
        <v>0</v>
      </c>
      <c r="BC652">
        <v>0</v>
      </c>
      <c r="BD652">
        <v>700</v>
      </c>
      <c r="BE652">
        <v>70</v>
      </c>
      <c r="BF652">
        <v>9</v>
      </c>
      <c r="BG652" s="2">
        <v>45536</v>
      </c>
      <c r="BH652" t="s">
        <v>142</v>
      </c>
      <c r="BI652" s="2">
        <v>46026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663</v>
      </c>
      <c r="BQ652">
        <v>663</v>
      </c>
      <c r="BR652">
        <v>0</v>
      </c>
      <c r="BS652">
        <v>0</v>
      </c>
      <c r="BT652">
        <v>0</v>
      </c>
      <c r="BU652">
        <v>0</v>
      </c>
      <c r="BV652">
        <v>227.04</v>
      </c>
      <c r="BW652">
        <v>227.04</v>
      </c>
      <c r="BX652">
        <v>0</v>
      </c>
      <c r="BY652">
        <v>0</v>
      </c>
      <c r="BZ652">
        <v>0</v>
      </c>
      <c r="CA652">
        <v>0</v>
      </c>
      <c r="CB652">
        <v>352.28</v>
      </c>
      <c r="CC652" t="s">
        <v>161</v>
      </c>
    </row>
    <row r="653" spans="1:81" x14ac:dyDescent="0.25">
      <c r="A653">
        <v>345</v>
      </c>
      <c r="B653">
        <v>2</v>
      </c>
      <c r="C653">
        <v>1021</v>
      </c>
      <c r="D653" t="s">
        <v>3730</v>
      </c>
      <c r="E653" t="s">
        <v>121</v>
      </c>
      <c r="F653" t="s">
        <v>3731</v>
      </c>
      <c r="G653" t="s">
        <v>3732</v>
      </c>
      <c r="H653" t="s">
        <v>3733</v>
      </c>
      <c r="I653" t="s">
        <v>125</v>
      </c>
      <c r="J653" t="s">
        <v>3074</v>
      </c>
      <c r="K653" t="s">
        <v>1853</v>
      </c>
      <c r="L653" t="s">
        <v>128</v>
      </c>
      <c r="M653" t="s">
        <v>1854</v>
      </c>
      <c r="N653" t="s">
        <v>3734</v>
      </c>
      <c r="O653" t="s">
        <v>131</v>
      </c>
      <c r="P653">
        <v>0</v>
      </c>
      <c r="Q653" t="s">
        <v>125</v>
      </c>
      <c r="R653">
        <v>6</v>
      </c>
      <c r="S653">
        <v>45</v>
      </c>
      <c r="T653" t="s">
        <v>132</v>
      </c>
      <c r="U653" t="s">
        <v>133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134</v>
      </c>
      <c r="AE653" t="s">
        <v>134</v>
      </c>
      <c r="AF653" s="2">
        <v>45518</v>
      </c>
      <c r="AG653" s="2">
        <v>46015</v>
      </c>
      <c r="AH653" s="1">
        <v>1385.38</v>
      </c>
      <c r="AI653" s="1">
        <v>1804.95</v>
      </c>
      <c r="AJ653" s="1">
        <v>15239.24</v>
      </c>
      <c r="AK653">
        <v>0</v>
      </c>
      <c r="AL653" s="1">
        <v>1804.95</v>
      </c>
      <c r="AM653">
        <v>0</v>
      </c>
      <c r="AN653" t="s">
        <v>135</v>
      </c>
      <c r="AO653" t="s">
        <v>135</v>
      </c>
      <c r="AP653" t="s">
        <v>136</v>
      </c>
      <c r="AQ653" t="s">
        <v>137</v>
      </c>
      <c r="AR653" t="s">
        <v>138</v>
      </c>
      <c r="AS653" t="s">
        <v>150</v>
      </c>
      <c r="AT653" t="s">
        <v>140</v>
      </c>
      <c r="AU653">
        <v>500</v>
      </c>
      <c r="AV653">
        <v>10</v>
      </c>
      <c r="AW653">
        <v>1</v>
      </c>
      <c r="AX653" s="2">
        <v>45838</v>
      </c>
      <c r="AY653" t="s">
        <v>141</v>
      </c>
      <c r="AZ653" s="2">
        <v>46027</v>
      </c>
      <c r="BA653">
        <v>0</v>
      </c>
      <c r="BB653">
        <v>0</v>
      </c>
      <c r="BC653">
        <v>0</v>
      </c>
      <c r="BD653">
        <v>700</v>
      </c>
      <c r="BE653">
        <v>70</v>
      </c>
      <c r="BF653">
        <v>9</v>
      </c>
      <c r="BG653" s="2">
        <v>45536</v>
      </c>
      <c r="BH653" t="s">
        <v>142</v>
      </c>
      <c r="BI653" s="2">
        <v>46026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s="1">
        <v>4315.26</v>
      </c>
      <c r="BQ653" s="1">
        <v>4315.26</v>
      </c>
      <c r="BR653">
        <v>0</v>
      </c>
      <c r="BS653">
        <v>0</v>
      </c>
      <c r="BT653">
        <v>0</v>
      </c>
      <c r="BU653">
        <v>0</v>
      </c>
      <c r="BV653" s="1">
        <v>4830.8</v>
      </c>
      <c r="BW653" s="1">
        <v>4830.8</v>
      </c>
      <c r="BX653">
        <v>0</v>
      </c>
      <c r="BY653">
        <v>0</v>
      </c>
      <c r="BZ653">
        <v>0</v>
      </c>
      <c r="CA653">
        <v>0</v>
      </c>
      <c r="CB653" s="1">
        <v>7374.78</v>
      </c>
      <c r="CC653" t="s">
        <v>143</v>
      </c>
    </row>
    <row r="654" spans="1:81" x14ac:dyDescent="0.25">
      <c r="A654">
        <v>345</v>
      </c>
      <c r="B654">
        <v>2</v>
      </c>
      <c r="C654">
        <v>1022</v>
      </c>
      <c r="D654" t="s">
        <v>3735</v>
      </c>
      <c r="E654" t="s">
        <v>121</v>
      </c>
      <c r="F654" t="s">
        <v>3736</v>
      </c>
      <c r="G654" t="s">
        <v>3737</v>
      </c>
      <c r="H654" t="s">
        <v>3738</v>
      </c>
      <c r="I654" t="s">
        <v>3739</v>
      </c>
      <c r="J654" t="s">
        <v>1465</v>
      </c>
      <c r="K654" t="s">
        <v>466</v>
      </c>
      <c r="L654" t="s">
        <v>128</v>
      </c>
      <c r="M654" t="s">
        <v>467</v>
      </c>
      <c r="N654" t="s">
        <v>3740</v>
      </c>
      <c r="O654" t="s">
        <v>131</v>
      </c>
      <c r="P654">
        <v>0</v>
      </c>
      <c r="Q654" t="s">
        <v>125</v>
      </c>
      <c r="R654">
        <v>6</v>
      </c>
      <c r="S654">
        <v>39</v>
      </c>
      <c r="T654" t="s">
        <v>132</v>
      </c>
      <c r="U654" t="s">
        <v>133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134</v>
      </c>
      <c r="AE654" t="s">
        <v>134</v>
      </c>
      <c r="AF654" s="2">
        <v>45518</v>
      </c>
      <c r="AG654" s="2">
        <v>46009</v>
      </c>
      <c r="AH654">
        <v>678.96</v>
      </c>
      <c r="AI654" s="1">
        <v>1006.14</v>
      </c>
      <c r="AJ654" s="1">
        <v>2715.85</v>
      </c>
      <c r="AK654">
        <v>0</v>
      </c>
      <c r="AL654">
        <v>0</v>
      </c>
      <c r="AM654">
        <v>0</v>
      </c>
      <c r="AN654" t="s">
        <v>135</v>
      </c>
      <c r="AO654" t="s">
        <v>135</v>
      </c>
      <c r="AP654" t="s">
        <v>136</v>
      </c>
      <c r="AQ654" t="s">
        <v>137</v>
      </c>
      <c r="AR654" t="s">
        <v>138</v>
      </c>
      <c r="AS654" t="s">
        <v>139</v>
      </c>
      <c r="AT654" t="s">
        <v>140</v>
      </c>
      <c r="AU654">
        <v>100</v>
      </c>
      <c r="AV654">
        <v>10</v>
      </c>
      <c r="AW654">
        <v>1</v>
      </c>
      <c r="AX654" s="2">
        <v>45812</v>
      </c>
      <c r="AY654" t="s">
        <v>168</v>
      </c>
      <c r="AZ654" s="2">
        <v>46022</v>
      </c>
      <c r="BA654">
        <v>0</v>
      </c>
      <c r="BB654">
        <v>0</v>
      </c>
      <c r="BC654">
        <v>0</v>
      </c>
      <c r="BD654">
        <v>700</v>
      </c>
      <c r="BE654">
        <v>70</v>
      </c>
      <c r="BF654">
        <v>9</v>
      </c>
      <c r="BG654" s="2">
        <v>45536</v>
      </c>
      <c r="BH654" t="s">
        <v>142</v>
      </c>
      <c r="BI654" s="2">
        <v>46026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s="1">
        <v>1006.14</v>
      </c>
      <c r="BQ654" s="1">
        <v>1006.14</v>
      </c>
      <c r="BR654">
        <v>0</v>
      </c>
      <c r="BS654">
        <v>0</v>
      </c>
      <c r="BT654">
        <v>0</v>
      </c>
      <c r="BU654">
        <v>0</v>
      </c>
      <c r="BV654">
        <v>500.53</v>
      </c>
      <c r="BW654">
        <v>500.53</v>
      </c>
      <c r="BX654">
        <v>0</v>
      </c>
      <c r="BY654">
        <v>0</v>
      </c>
      <c r="BZ654">
        <v>0</v>
      </c>
      <c r="CA654">
        <v>0</v>
      </c>
      <c r="CB654">
        <v>899.68</v>
      </c>
      <c r="CC654" t="s">
        <v>143</v>
      </c>
    </row>
    <row r="655" spans="1:81" x14ac:dyDescent="0.25">
      <c r="A655">
        <v>345</v>
      </c>
      <c r="B655">
        <v>2</v>
      </c>
      <c r="C655">
        <v>1023</v>
      </c>
      <c r="D655" t="s">
        <v>3741</v>
      </c>
      <c r="E655" t="s">
        <v>121</v>
      </c>
      <c r="F655" t="s">
        <v>3742</v>
      </c>
      <c r="G655" t="s">
        <v>3743</v>
      </c>
      <c r="H655" t="s">
        <v>3744</v>
      </c>
      <c r="I655" t="s">
        <v>3745</v>
      </c>
      <c r="J655" t="s">
        <v>1465</v>
      </c>
      <c r="K655" t="s">
        <v>466</v>
      </c>
      <c r="L655" t="s">
        <v>128</v>
      </c>
      <c r="M655" t="s">
        <v>467</v>
      </c>
      <c r="N655" t="s">
        <v>3746</v>
      </c>
      <c r="O655" t="s">
        <v>619</v>
      </c>
      <c r="P655">
        <v>0</v>
      </c>
      <c r="Q655" t="s">
        <v>125</v>
      </c>
      <c r="R655">
        <v>6</v>
      </c>
      <c r="S655">
        <v>35</v>
      </c>
      <c r="T655" t="s">
        <v>132</v>
      </c>
      <c r="U655" t="s">
        <v>133</v>
      </c>
      <c r="V655" s="1">
        <v>5000</v>
      </c>
      <c r="W655">
        <v>0</v>
      </c>
      <c r="X655" s="1">
        <v>5000</v>
      </c>
      <c r="Y655">
        <v>7</v>
      </c>
      <c r="Z655">
        <v>0</v>
      </c>
      <c r="AA655">
        <v>8</v>
      </c>
      <c r="AB655">
        <v>0</v>
      </c>
      <c r="AC655">
        <v>0</v>
      </c>
      <c r="AD655" t="s">
        <v>134</v>
      </c>
      <c r="AE655" t="s">
        <v>134</v>
      </c>
      <c r="AF655" s="2">
        <v>45518</v>
      </c>
      <c r="AG655" s="2">
        <v>46009</v>
      </c>
      <c r="AH655">
        <v>385.77</v>
      </c>
      <c r="AI655">
        <v>449.39</v>
      </c>
      <c r="AJ655" s="1">
        <v>1157.32</v>
      </c>
      <c r="AK655">
        <v>0</v>
      </c>
      <c r="AL655">
        <v>0</v>
      </c>
      <c r="AM655">
        <v>0</v>
      </c>
      <c r="AN655" t="s">
        <v>135</v>
      </c>
      <c r="AO655" t="s">
        <v>135</v>
      </c>
      <c r="AP655" t="s">
        <v>136</v>
      </c>
      <c r="AQ655" t="s">
        <v>137</v>
      </c>
      <c r="AR655" t="s">
        <v>138</v>
      </c>
      <c r="AS655" t="s">
        <v>139</v>
      </c>
      <c r="AT655" t="s">
        <v>140</v>
      </c>
      <c r="AU655">
        <v>100</v>
      </c>
      <c r="AV655">
        <v>10</v>
      </c>
      <c r="AW655">
        <v>1</v>
      </c>
      <c r="AX655" s="2">
        <v>45812</v>
      </c>
      <c r="AY655" t="s">
        <v>168</v>
      </c>
      <c r="AZ655" s="2">
        <v>46022</v>
      </c>
      <c r="BA655">
        <v>0</v>
      </c>
      <c r="BB655">
        <v>0</v>
      </c>
      <c r="BC655">
        <v>0</v>
      </c>
      <c r="BD655">
        <v>700</v>
      </c>
      <c r="BE655">
        <v>70</v>
      </c>
      <c r="BF655">
        <v>9</v>
      </c>
      <c r="BG655" s="2">
        <v>45536</v>
      </c>
      <c r="BH655" t="s">
        <v>142</v>
      </c>
      <c r="BI655" s="2">
        <v>46026</v>
      </c>
      <c r="BJ655">
        <v>0</v>
      </c>
      <c r="BK655">
        <v>0</v>
      </c>
      <c r="BL655">
        <v>0</v>
      </c>
      <c r="BM655">
        <v>5</v>
      </c>
      <c r="BN655">
        <v>5</v>
      </c>
      <c r="BO655">
        <v>449.39</v>
      </c>
      <c r="BP655">
        <v>0</v>
      </c>
      <c r="BQ655">
        <v>449.39</v>
      </c>
      <c r="BR655">
        <v>0</v>
      </c>
      <c r="BS655">
        <v>7.61</v>
      </c>
      <c r="BT655">
        <v>7.61</v>
      </c>
      <c r="BU655">
        <v>707.93</v>
      </c>
      <c r="BV655">
        <v>0</v>
      </c>
      <c r="BW655">
        <v>707.93</v>
      </c>
      <c r="BX655">
        <v>0</v>
      </c>
      <c r="BY655">
        <v>0</v>
      </c>
      <c r="BZ655">
        <v>0</v>
      </c>
      <c r="CA655">
        <v>0</v>
      </c>
      <c r="CB655">
        <v>444.03</v>
      </c>
      <c r="CC655" t="s">
        <v>143</v>
      </c>
    </row>
    <row r="656" spans="1:81" x14ac:dyDescent="0.25">
      <c r="A656">
        <v>345</v>
      </c>
      <c r="B656">
        <v>2</v>
      </c>
      <c r="C656">
        <v>1024</v>
      </c>
      <c r="D656" t="s">
        <v>3747</v>
      </c>
      <c r="E656" t="s">
        <v>121</v>
      </c>
      <c r="F656" t="s">
        <v>3748</v>
      </c>
      <c r="G656" t="s">
        <v>3749</v>
      </c>
      <c r="H656" t="s">
        <v>3750</v>
      </c>
      <c r="I656" t="s">
        <v>3751</v>
      </c>
      <c r="J656" t="s">
        <v>126</v>
      </c>
      <c r="K656" t="s">
        <v>1853</v>
      </c>
      <c r="L656" t="s">
        <v>128</v>
      </c>
      <c r="M656" t="s">
        <v>1854</v>
      </c>
      <c r="N656" t="s">
        <v>3752</v>
      </c>
      <c r="O656" t="s">
        <v>167</v>
      </c>
      <c r="P656">
        <v>0</v>
      </c>
      <c r="Q656" t="s">
        <v>125</v>
      </c>
      <c r="R656">
        <v>4</v>
      </c>
      <c r="S656">
        <v>80</v>
      </c>
      <c r="T656" t="s">
        <v>132</v>
      </c>
      <c r="U656" t="s">
        <v>133</v>
      </c>
      <c r="V656" s="1">
        <v>5000</v>
      </c>
      <c r="W656">
        <v>0</v>
      </c>
      <c r="X656" s="1">
        <v>5000</v>
      </c>
      <c r="Y656">
        <v>7</v>
      </c>
      <c r="Z656">
        <v>0</v>
      </c>
      <c r="AA656">
        <v>0</v>
      </c>
      <c r="AB656">
        <v>0</v>
      </c>
      <c r="AC656">
        <v>0</v>
      </c>
      <c r="AD656" t="s">
        <v>134</v>
      </c>
      <c r="AE656" t="s">
        <v>134</v>
      </c>
      <c r="AF656" s="2">
        <v>45518</v>
      </c>
      <c r="AG656" s="2">
        <v>46017</v>
      </c>
      <c r="AH656">
        <v>641</v>
      </c>
      <c r="AI656" s="1">
        <v>2096.02</v>
      </c>
      <c r="AJ656" s="1">
        <v>6410.06</v>
      </c>
      <c r="AK656">
        <v>0</v>
      </c>
      <c r="AL656">
        <v>0</v>
      </c>
      <c r="AM656">
        <v>0</v>
      </c>
      <c r="AN656" t="s">
        <v>135</v>
      </c>
      <c r="AO656" t="s">
        <v>135</v>
      </c>
      <c r="AP656" t="s">
        <v>136</v>
      </c>
      <c r="AQ656" t="s">
        <v>137</v>
      </c>
      <c r="AR656" t="s">
        <v>138</v>
      </c>
      <c r="AS656" t="s">
        <v>150</v>
      </c>
      <c r="AT656" t="s">
        <v>140</v>
      </c>
      <c r="AU656">
        <v>106</v>
      </c>
      <c r="AV656">
        <v>10</v>
      </c>
      <c r="AW656">
        <v>1</v>
      </c>
      <c r="AX656" s="2">
        <v>45813</v>
      </c>
      <c r="AY656" t="s">
        <v>308</v>
      </c>
      <c r="AZ656" s="2">
        <v>46023</v>
      </c>
      <c r="BA656">
        <v>0</v>
      </c>
      <c r="BB656">
        <v>0</v>
      </c>
      <c r="BC656">
        <v>0</v>
      </c>
      <c r="BD656">
        <v>700</v>
      </c>
      <c r="BE656">
        <v>70</v>
      </c>
      <c r="BF656">
        <v>9</v>
      </c>
      <c r="BG656" s="2">
        <v>45536</v>
      </c>
      <c r="BH656" t="s">
        <v>142</v>
      </c>
      <c r="BI656" s="2">
        <v>46026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s="1">
        <v>1719.62</v>
      </c>
      <c r="BQ656" s="1">
        <v>1719.62</v>
      </c>
      <c r="BR656">
        <v>0</v>
      </c>
      <c r="BS656">
        <v>0</v>
      </c>
      <c r="BT656">
        <v>0</v>
      </c>
      <c r="BU656">
        <v>0</v>
      </c>
      <c r="BV656" s="1">
        <v>1482.81</v>
      </c>
      <c r="BW656" s="1">
        <v>1482.81</v>
      </c>
      <c r="BX656">
        <v>0</v>
      </c>
      <c r="BY656">
        <v>0</v>
      </c>
      <c r="BZ656">
        <v>0</v>
      </c>
      <c r="CA656">
        <v>0</v>
      </c>
      <c r="CB656" s="1">
        <v>2158.7399999999998</v>
      </c>
      <c r="CC656" t="s">
        <v>161</v>
      </c>
    </row>
    <row r="657" spans="1:81" x14ac:dyDescent="0.25">
      <c r="A657">
        <v>345</v>
      </c>
      <c r="B657">
        <v>2</v>
      </c>
      <c r="C657">
        <v>1026</v>
      </c>
      <c r="D657" t="s">
        <v>3753</v>
      </c>
      <c r="E657" t="s">
        <v>121</v>
      </c>
      <c r="F657" t="s">
        <v>3754</v>
      </c>
      <c r="G657" t="s">
        <v>3755</v>
      </c>
      <c r="H657" t="s">
        <v>3756</v>
      </c>
      <c r="I657" t="s">
        <v>3757</v>
      </c>
      <c r="J657" t="s">
        <v>1263</v>
      </c>
      <c r="K657" t="s">
        <v>466</v>
      </c>
      <c r="L657" t="s">
        <v>128</v>
      </c>
      <c r="M657" t="s">
        <v>467</v>
      </c>
      <c r="N657" t="s">
        <v>3758</v>
      </c>
      <c r="O657" t="s">
        <v>159</v>
      </c>
      <c r="P657">
        <v>0</v>
      </c>
      <c r="Q657" t="s">
        <v>125</v>
      </c>
      <c r="R657">
        <v>6</v>
      </c>
      <c r="S657">
        <v>37</v>
      </c>
      <c r="T657" t="s">
        <v>132</v>
      </c>
      <c r="U657" t="s">
        <v>133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134</v>
      </c>
      <c r="AE657" t="s">
        <v>134</v>
      </c>
      <c r="AF657" s="2">
        <v>45518</v>
      </c>
      <c r="AG657" s="2">
        <v>46015</v>
      </c>
      <c r="AH657">
        <v>120.68</v>
      </c>
      <c r="AI657">
        <v>191.22</v>
      </c>
      <c r="AJ657">
        <v>603.44000000000005</v>
      </c>
      <c r="AK657">
        <v>0</v>
      </c>
      <c r="AL657">
        <v>0</v>
      </c>
      <c r="AM657">
        <v>0</v>
      </c>
      <c r="AN657" t="s">
        <v>135</v>
      </c>
      <c r="AO657" t="s">
        <v>135</v>
      </c>
      <c r="AP657" t="s">
        <v>136</v>
      </c>
      <c r="AQ657" t="s">
        <v>137</v>
      </c>
      <c r="AR657" t="s">
        <v>138</v>
      </c>
      <c r="AS657" t="s">
        <v>139</v>
      </c>
      <c r="AT657" t="s">
        <v>140</v>
      </c>
      <c r="AU657">
        <v>100</v>
      </c>
      <c r="AV657">
        <v>10</v>
      </c>
      <c r="AW657">
        <v>1</v>
      </c>
      <c r="AX657" s="2">
        <v>45839</v>
      </c>
      <c r="AY657" t="s">
        <v>377</v>
      </c>
      <c r="AZ657" s="2">
        <v>46028</v>
      </c>
      <c r="BA657">
        <v>0</v>
      </c>
      <c r="BB657">
        <v>0</v>
      </c>
      <c r="BC657">
        <v>0</v>
      </c>
      <c r="BD657">
        <v>700</v>
      </c>
      <c r="BE657">
        <v>70</v>
      </c>
      <c r="BF657">
        <v>9</v>
      </c>
      <c r="BG657" s="2">
        <v>45536</v>
      </c>
      <c r="BH657" t="s">
        <v>142</v>
      </c>
      <c r="BI657" s="2">
        <v>46026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141.47999999999999</v>
      </c>
      <c r="BQ657">
        <v>141.47999999999999</v>
      </c>
      <c r="BR657">
        <v>0</v>
      </c>
      <c r="BS657">
        <v>0</v>
      </c>
      <c r="BT657">
        <v>0</v>
      </c>
      <c r="BU657">
        <v>0</v>
      </c>
      <c r="BV657">
        <v>312.42</v>
      </c>
      <c r="BW657">
        <v>312.42</v>
      </c>
      <c r="BX657">
        <v>0</v>
      </c>
      <c r="BY657">
        <v>0</v>
      </c>
      <c r="BZ657">
        <v>0</v>
      </c>
      <c r="CA657">
        <v>0</v>
      </c>
      <c r="CB657">
        <v>178.24</v>
      </c>
      <c r="CC657" t="s">
        <v>161</v>
      </c>
    </row>
    <row r="658" spans="1:81" x14ac:dyDescent="0.25">
      <c r="A658">
        <v>345</v>
      </c>
      <c r="B658">
        <v>2</v>
      </c>
      <c r="C658">
        <v>1028</v>
      </c>
      <c r="D658" t="s">
        <v>3759</v>
      </c>
      <c r="E658" t="s">
        <v>121</v>
      </c>
      <c r="F658" t="s">
        <v>3760</v>
      </c>
      <c r="G658" t="s">
        <v>3760</v>
      </c>
      <c r="H658" t="s">
        <v>3761</v>
      </c>
      <c r="I658" t="s">
        <v>3762</v>
      </c>
      <c r="J658" t="s">
        <v>1263</v>
      </c>
      <c r="K658" t="s">
        <v>466</v>
      </c>
      <c r="L658" t="s">
        <v>128</v>
      </c>
      <c r="M658" t="s">
        <v>467</v>
      </c>
      <c r="N658" t="s">
        <v>3763</v>
      </c>
      <c r="O658" t="s">
        <v>159</v>
      </c>
      <c r="P658">
        <v>0</v>
      </c>
      <c r="Q658" t="s">
        <v>125</v>
      </c>
      <c r="R658">
        <v>6</v>
      </c>
      <c r="S658">
        <v>38</v>
      </c>
      <c r="T658" t="s">
        <v>132</v>
      </c>
      <c r="U658" t="s">
        <v>133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134</v>
      </c>
      <c r="AE658" t="s">
        <v>134</v>
      </c>
      <c r="AF658" s="2">
        <v>45518</v>
      </c>
      <c r="AG658" s="2">
        <v>46017</v>
      </c>
      <c r="AH658">
        <v>566.64</v>
      </c>
      <c r="AI658">
        <v>852.7</v>
      </c>
      <c r="AJ658" s="1">
        <v>5099.84</v>
      </c>
      <c r="AK658">
        <v>0</v>
      </c>
      <c r="AL658">
        <v>0</v>
      </c>
      <c r="AM658">
        <v>0</v>
      </c>
      <c r="AN658" t="s">
        <v>135</v>
      </c>
      <c r="AO658" t="s">
        <v>135</v>
      </c>
      <c r="AP658" t="s">
        <v>136</v>
      </c>
      <c r="AQ658" t="s">
        <v>137</v>
      </c>
      <c r="AR658" t="s">
        <v>138</v>
      </c>
      <c r="AS658" t="s">
        <v>150</v>
      </c>
      <c r="AT658" t="s">
        <v>140</v>
      </c>
      <c r="AU658">
        <v>106</v>
      </c>
      <c r="AV658">
        <v>10</v>
      </c>
      <c r="AW658">
        <v>1</v>
      </c>
      <c r="AX658" s="2">
        <v>45841</v>
      </c>
      <c r="AY658" t="s">
        <v>308</v>
      </c>
      <c r="AZ658" s="2">
        <v>46023</v>
      </c>
      <c r="BA658">
        <v>0</v>
      </c>
      <c r="BB658">
        <v>0</v>
      </c>
      <c r="BC658">
        <v>0</v>
      </c>
      <c r="BD658">
        <v>700</v>
      </c>
      <c r="BE658">
        <v>70</v>
      </c>
      <c r="BF658">
        <v>9</v>
      </c>
      <c r="BG658" s="2">
        <v>45536</v>
      </c>
      <c r="BH658" t="s">
        <v>142</v>
      </c>
      <c r="BI658" s="2">
        <v>46026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s="1">
        <v>1520.1</v>
      </c>
      <c r="BQ658" s="1">
        <v>1520.1</v>
      </c>
      <c r="BR658">
        <v>0</v>
      </c>
      <c r="BS658">
        <v>0</v>
      </c>
      <c r="BT658">
        <v>0</v>
      </c>
      <c r="BU658">
        <v>0</v>
      </c>
      <c r="BV658" s="1">
        <v>1633.14</v>
      </c>
      <c r="BW658" s="1">
        <v>1633.14</v>
      </c>
      <c r="BX658">
        <v>0</v>
      </c>
      <c r="BY658">
        <v>0</v>
      </c>
      <c r="BZ658">
        <v>0</v>
      </c>
      <c r="CA658">
        <v>0</v>
      </c>
      <c r="CB658" s="1">
        <v>1464</v>
      </c>
      <c r="CC658" t="s">
        <v>161</v>
      </c>
    </row>
    <row r="659" spans="1:81" x14ac:dyDescent="0.25">
      <c r="A659">
        <v>345</v>
      </c>
      <c r="B659">
        <v>2</v>
      </c>
      <c r="C659">
        <v>1029</v>
      </c>
      <c r="D659" t="s">
        <v>3764</v>
      </c>
      <c r="E659" t="s">
        <v>121</v>
      </c>
      <c r="F659" t="s">
        <v>3765</v>
      </c>
      <c r="G659" t="s">
        <v>3765</v>
      </c>
      <c r="H659" t="s">
        <v>3766</v>
      </c>
      <c r="I659" t="s">
        <v>3767</v>
      </c>
      <c r="J659" t="s">
        <v>1852</v>
      </c>
      <c r="K659" t="s">
        <v>336</v>
      </c>
      <c r="L659" t="s">
        <v>128</v>
      </c>
      <c r="M659" t="s">
        <v>337</v>
      </c>
      <c r="N659" t="s">
        <v>3768</v>
      </c>
      <c r="O659" t="s">
        <v>167</v>
      </c>
      <c r="P659">
        <v>0</v>
      </c>
      <c r="Q659" t="s">
        <v>125</v>
      </c>
      <c r="R659">
        <v>6</v>
      </c>
      <c r="S659">
        <v>36</v>
      </c>
      <c r="T659" t="s">
        <v>132</v>
      </c>
      <c r="U659" t="s">
        <v>133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134</v>
      </c>
      <c r="AE659" t="s">
        <v>134</v>
      </c>
      <c r="AF659" s="2">
        <v>45518</v>
      </c>
      <c r="AG659" s="2">
        <v>46008</v>
      </c>
      <c r="AH659">
        <v>383.84</v>
      </c>
      <c r="AI659">
        <v>620.70000000000005</v>
      </c>
      <c r="AJ659" s="1">
        <v>2303.0500000000002</v>
      </c>
      <c r="AK659">
        <v>0</v>
      </c>
      <c r="AL659">
        <v>0</v>
      </c>
      <c r="AM659">
        <v>0</v>
      </c>
      <c r="AN659" t="s">
        <v>135</v>
      </c>
      <c r="AO659" t="s">
        <v>135</v>
      </c>
      <c r="AP659" t="s">
        <v>136</v>
      </c>
      <c r="AQ659" t="s">
        <v>137</v>
      </c>
      <c r="AR659" t="s">
        <v>138</v>
      </c>
      <c r="AS659" t="s">
        <v>139</v>
      </c>
      <c r="AT659" t="s">
        <v>140</v>
      </c>
      <c r="AU659">
        <v>100</v>
      </c>
      <c r="AV659">
        <v>10</v>
      </c>
      <c r="AW659">
        <v>1</v>
      </c>
      <c r="AX659" s="2">
        <v>45839</v>
      </c>
      <c r="AY659" t="s">
        <v>377</v>
      </c>
      <c r="AZ659" s="2">
        <v>46028</v>
      </c>
      <c r="BA659">
        <v>0</v>
      </c>
      <c r="BB659">
        <v>0</v>
      </c>
      <c r="BC659">
        <v>0</v>
      </c>
      <c r="BD659">
        <v>700</v>
      </c>
      <c r="BE659">
        <v>70</v>
      </c>
      <c r="BF659">
        <v>9</v>
      </c>
      <c r="BG659" s="2">
        <v>45536</v>
      </c>
      <c r="BH659" t="s">
        <v>142</v>
      </c>
      <c r="BI659" s="2">
        <v>46026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480.65</v>
      </c>
      <c r="BQ659">
        <v>480.65</v>
      </c>
      <c r="BR659">
        <v>0</v>
      </c>
      <c r="BS659">
        <v>0</v>
      </c>
      <c r="BT659">
        <v>0</v>
      </c>
      <c r="BU659">
        <v>0</v>
      </c>
      <c r="BV659">
        <v>852.66</v>
      </c>
      <c r="BW659">
        <v>852.66</v>
      </c>
      <c r="BX659">
        <v>0</v>
      </c>
      <c r="BY659">
        <v>0</v>
      </c>
      <c r="BZ659">
        <v>0</v>
      </c>
      <c r="CA659">
        <v>0</v>
      </c>
      <c r="CB659" s="1">
        <v>1060.95</v>
      </c>
      <c r="CC659" t="s">
        <v>161</v>
      </c>
    </row>
    <row r="660" spans="1:81" x14ac:dyDescent="0.25">
      <c r="A660">
        <v>345</v>
      </c>
      <c r="B660">
        <v>2</v>
      </c>
      <c r="C660">
        <v>1030</v>
      </c>
      <c r="D660" t="s">
        <v>3769</v>
      </c>
      <c r="E660" t="s">
        <v>121</v>
      </c>
      <c r="F660" t="s">
        <v>3770</v>
      </c>
      <c r="G660" t="s">
        <v>3771</v>
      </c>
      <c r="H660" t="s">
        <v>3772</v>
      </c>
      <c r="I660" t="s">
        <v>3773</v>
      </c>
      <c r="J660" t="s">
        <v>1263</v>
      </c>
      <c r="K660" t="s">
        <v>466</v>
      </c>
      <c r="L660" t="s">
        <v>128</v>
      </c>
      <c r="M660" t="s">
        <v>467</v>
      </c>
      <c r="N660" t="s">
        <v>3774</v>
      </c>
      <c r="O660" t="s">
        <v>159</v>
      </c>
      <c r="P660">
        <v>0</v>
      </c>
      <c r="Q660" t="s">
        <v>125</v>
      </c>
      <c r="R660">
        <v>3</v>
      </c>
      <c r="S660">
        <v>82</v>
      </c>
      <c r="T660" t="s">
        <v>132</v>
      </c>
      <c r="U660" t="s">
        <v>133</v>
      </c>
      <c r="V660">
        <v>771</v>
      </c>
      <c r="W660">
        <v>0</v>
      </c>
      <c r="X660">
        <v>771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134</v>
      </c>
      <c r="AE660" t="s">
        <v>134</v>
      </c>
      <c r="AF660" s="2">
        <v>45518</v>
      </c>
      <c r="AG660" s="2">
        <v>46013</v>
      </c>
      <c r="AH660">
        <v>396.54</v>
      </c>
      <c r="AI660">
        <v>712.85</v>
      </c>
      <c r="AJ660" s="1">
        <v>3172.39</v>
      </c>
      <c r="AK660">
        <v>0</v>
      </c>
      <c r="AL660">
        <v>0</v>
      </c>
      <c r="AM660">
        <v>0</v>
      </c>
      <c r="AN660" t="s">
        <v>135</v>
      </c>
      <c r="AO660" t="s">
        <v>135</v>
      </c>
      <c r="AP660" t="s">
        <v>136</v>
      </c>
      <c r="AQ660" t="s">
        <v>137</v>
      </c>
      <c r="AR660" t="s">
        <v>138</v>
      </c>
      <c r="AS660" t="s">
        <v>150</v>
      </c>
      <c r="AT660" t="s">
        <v>140</v>
      </c>
      <c r="AU660">
        <v>106</v>
      </c>
      <c r="AV660">
        <v>10</v>
      </c>
      <c r="AW660">
        <v>1</v>
      </c>
      <c r="AX660" s="2">
        <v>45920</v>
      </c>
      <c r="AY660" t="s">
        <v>160</v>
      </c>
      <c r="AZ660" s="2">
        <v>46025</v>
      </c>
      <c r="BA660">
        <v>0</v>
      </c>
      <c r="BB660">
        <v>0</v>
      </c>
      <c r="BC660">
        <v>0</v>
      </c>
      <c r="BD660">
        <v>700</v>
      </c>
      <c r="BE660">
        <v>70</v>
      </c>
      <c r="BF660">
        <v>9</v>
      </c>
      <c r="BG660" s="2">
        <v>45536</v>
      </c>
      <c r="BH660" t="s">
        <v>142</v>
      </c>
      <c r="BI660" s="2">
        <v>46026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919.75</v>
      </c>
      <c r="BQ660" s="1">
        <v>1060.3499999999999</v>
      </c>
      <c r="BR660">
        <v>0</v>
      </c>
      <c r="BS660">
        <v>0</v>
      </c>
      <c r="BT660">
        <v>0</v>
      </c>
      <c r="BU660">
        <v>0</v>
      </c>
      <c r="BV660">
        <v>826.86</v>
      </c>
      <c r="BW660">
        <v>826.86</v>
      </c>
      <c r="BX660">
        <v>0</v>
      </c>
      <c r="BY660">
        <v>0</v>
      </c>
      <c r="BZ660">
        <v>0</v>
      </c>
      <c r="CA660">
        <v>0</v>
      </c>
      <c r="CB660" s="1">
        <v>1169.54</v>
      </c>
      <c r="CC660" t="s">
        <v>161</v>
      </c>
    </row>
    <row r="661" spans="1:81" x14ac:dyDescent="0.25">
      <c r="A661">
        <v>345</v>
      </c>
      <c r="B661">
        <v>2</v>
      </c>
      <c r="C661">
        <v>1031</v>
      </c>
      <c r="D661" t="s">
        <v>3775</v>
      </c>
      <c r="E661" t="s">
        <v>121</v>
      </c>
      <c r="F661" t="s">
        <v>3776</v>
      </c>
      <c r="G661" t="s">
        <v>3777</v>
      </c>
      <c r="H661" t="s">
        <v>3778</v>
      </c>
      <c r="I661" t="s">
        <v>3779</v>
      </c>
      <c r="J661" t="s">
        <v>1263</v>
      </c>
      <c r="K661" t="s">
        <v>466</v>
      </c>
      <c r="L661" t="s">
        <v>128</v>
      </c>
      <c r="M661" t="s">
        <v>467</v>
      </c>
      <c r="N661" t="s">
        <v>3780</v>
      </c>
      <c r="O661" t="s">
        <v>159</v>
      </c>
      <c r="P661">
        <v>0</v>
      </c>
      <c r="Q661" t="s">
        <v>125</v>
      </c>
      <c r="R661">
        <v>6</v>
      </c>
      <c r="S661">
        <v>36</v>
      </c>
      <c r="T661" t="s">
        <v>132</v>
      </c>
      <c r="U661" t="s">
        <v>133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134</v>
      </c>
      <c r="AE661" t="s">
        <v>134</v>
      </c>
      <c r="AF661" s="2">
        <v>45518</v>
      </c>
      <c r="AG661" s="2">
        <v>46018</v>
      </c>
      <c r="AH661" s="1">
        <v>1028.25</v>
      </c>
      <c r="AI661" s="1">
        <v>1729.9</v>
      </c>
      <c r="AJ661" s="1">
        <v>10282.540000000001</v>
      </c>
      <c r="AK661">
        <v>0</v>
      </c>
      <c r="AL661">
        <v>0</v>
      </c>
      <c r="AM661">
        <v>0</v>
      </c>
      <c r="AN661" t="s">
        <v>135</v>
      </c>
      <c r="AO661" t="s">
        <v>135</v>
      </c>
      <c r="AP661" t="s">
        <v>136</v>
      </c>
      <c r="AQ661" t="s">
        <v>137</v>
      </c>
      <c r="AR661" t="s">
        <v>138</v>
      </c>
      <c r="AS661" t="s">
        <v>139</v>
      </c>
      <c r="AT661" t="s">
        <v>140</v>
      </c>
      <c r="AU661">
        <v>106</v>
      </c>
      <c r="AV661">
        <v>10</v>
      </c>
      <c r="AW661">
        <v>1</v>
      </c>
      <c r="AX661" s="2">
        <v>45814</v>
      </c>
      <c r="AY661" t="s">
        <v>151</v>
      </c>
      <c r="AZ661" s="2">
        <v>46024</v>
      </c>
      <c r="BA661">
        <v>0</v>
      </c>
      <c r="BB661">
        <v>0</v>
      </c>
      <c r="BC661">
        <v>0</v>
      </c>
      <c r="BD661">
        <v>700</v>
      </c>
      <c r="BE661">
        <v>70</v>
      </c>
      <c r="BF661">
        <v>9</v>
      </c>
      <c r="BG661" s="2">
        <v>45536</v>
      </c>
      <c r="BH661" t="s">
        <v>142</v>
      </c>
      <c r="BI661" s="2">
        <v>46026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s="1">
        <v>2950.32</v>
      </c>
      <c r="BQ661" s="1">
        <v>2950.32</v>
      </c>
      <c r="BR661">
        <v>0</v>
      </c>
      <c r="BS661">
        <v>0</v>
      </c>
      <c r="BT661">
        <v>0</v>
      </c>
      <c r="BU661">
        <v>0</v>
      </c>
      <c r="BV661" s="1">
        <v>4452.34</v>
      </c>
      <c r="BW661" s="1">
        <v>4452.34</v>
      </c>
      <c r="BX661">
        <v>0</v>
      </c>
      <c r="BY661">
        <v>0</v>
      </c>
      <c r="BZ661">
        <v>0</v>
      </c>
      <c r="CA661">
        <v>0</v>
      </c>
      <c r="CB661" s="1">
        <v>2496.16</v>
      </c>
      <c r="CC661" t="s">
        <v>161</v>
      </c>
    </row>
    <row r="662" spans="1:81" x14ac:dyDescent="0.25">
      <c r="A662">
        <v>345</v>
      </c>
      <c r="B662">
        <v>2</v>
      </c>
      <c r="C662">
        <v>1033</v>
      </c>
      <c r="D662" t="s">
        <v>3781</v>
      </c>
      <c r="E662" t="s">
        <v>121</v>
      </c>
      <c r="F662" t="s">
        <v>3782</v>
      </c>
      <c r="G662" t="s">
        <v>3783</v>
      </c>
      <c r="H662" t="s">
        <v>3784</v>
      </c>
      <c r="I662" t="s">
        <v>3785</v>
      </c>
      <c r="J662" t="s">
        <v>3074</v>
      </c>
      <c r="K662" t="s">
        <v>1853</v>
      </c>
      <c r="L662" t="s">
        <v>128</v>
      </c>
      <c r="M662" t="s">
        <v>1854</v>
      </c>
      <c r="N662" t="s">
        <v>3786</v>
      </c>
      <c r="O662" t="s">
        <v>167</v>
      </c>
      <c r="P662">
        <v>0</v>
      </c>
      <c r="Q662" t="s">
        <v>125</v>
      </c>
      <c r="R662">
        <v>6</v>
      </c>
      <c r="S662">
        <v>37</v>
      </c>
      <c r="T662" t="s">
        <v>132</v>
      </c>
      <c r="U662" t="s">
        <v>133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134</v>
      </c>
      <c r="AE662" t="s">
        <v>134</v>
      </c>
      <c r="AF662" s="2">
        <v>45518</v>
      </c>
      <c r="AG662" s="2">
        <v>46007</v>
      </c>
      <c r="AH662" s="1">
        <v>1209.58</v>
      </c>
      <c r="AI662" s="1">
        <v>4205.3999999999996</v>
      </c>
      <c r="AJ662" s="1">
        <v>12095.81</v>
      </c>
      <c r="AK662">
        <v>0</v>
      </c>
      <c r="AL662" s="1">
        <v>4205.3999999999996</v>
      </c>
      <c r="AM662">
        <v>0</v>
      </c>
      <c r="AN662" t="s">
        <v>135</v>
      </c>
      <c r="AO662" t="s">
        <v>135</v>
      </c>
      <c r="AP662" t="s">
        <v>136</v>
      </c>
      <c r="AQ662" t="s">
        <v>137</v>
      </c>
      <c r="AR662" t="s">
        <v>138</v>
      </c>
      <c r="AS662" t="s">
        <v>139</v>
      </c>
      <c r="AT662" t="s">
        <v>140</v>
      </c>
      <c r="AU662">
        <v>106</v>
      </c>
      <c r="AV662">
        <v>10</v>
      </c>
      <c r="AW662">
        <v>1</v>
      </c>
      <c r="AX662" s="2">
        <v>45810</v>
      </c>
      <c r="AY662" t="s">
        <v>141</v>
      </c>
      <c r="AZ662" s="2">
        <v>46027</v>
      </c>
      <c r="BA662">
        <v>0</v>
      </c>
      <c r="BB662">
        <v>0</v>
      </c>
      <c r="BC662">
        <v>0</v>
      </c>
      <c r="BD662">
        <v>700</v>
      </c>
      <c r="BE662">
        <v>70</v>
      </c>
      <c r="BF662">
        <v>9</v>
      </c>
      <c r="BG662" s="2">
        <v>45536</v>
      </c>
      <c r="BH662" t="s">
        <v>142</v>
      </c>
      <c r="BI662" s="2">
        <v>46026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s="1">
        <v>4023.67</v>
      </c>
      <c r="BQ662" s="1">
        <v>4023.67</v>
      </c>
      <c r="BR662">
        <v>0</v>
      </c>
      <c r="BS662">
        <v>0</v>
      </c>
      <c r="BT662">
        <v>0</v>
      </c>
      <c r="BU662">
        <v>0</v>
      </c>
      <c r="BV662" s="1">
        <v>4963.04</v>
      </c>
      <c r="BW662" s="1">
        <v>4963.04</v>
      </c>
      <c r="BX662">
        <v>0</v>
      </c>
      <c r="BY662">
        <v>0</v>
      </c>
      <c r="BZ662">
        <v>0</v>
      </c>
      <c r="CA662">
        <v>0</v>
      </c>
      <c r="CB662" s="1">
        <v>3320.51</v>
      </c>
      <c r="CC662" t="s">
        <v>161</v>
      </c>
    </row>
    <row r="663" spans="1:81" x14ac:dyDescent="0.25">
      <c r="A663">
        <v>345</v>
      </c>
      <c r="B663">
        <v>2</v>
      </c>
      <c r="C663">
        <v>1034</v>
      </c>
      <c r="D663" t="s">
        <v>3787</v>
      </c>
      <c r="E663" t="s">
        <v>121</v>
      </c>
      <c r="F663" t="s">
        <v>3788</v>
      </c>
      <c r="G663" t="s">
        <v>3789</v>
      </c>
      <c r="H663" t="s">
        <v>3790</v>
      </c>
      <c r="I663" t="s">
        <v>3791</v>
      </c>
      <c r="J663" t="s">
        <v>3074</v>
      </c>
      <c r="K663" t="s">
        <v>1853</v>
      </c>
      <c r="L663" t="s">
        <v>128</v>
      </c>
      <c r="M663" t="s">
        <v>1854</v>
      </c>
      <c r="N663" t="s">
        <v>3792</v>
      </c>
      <c r="O663" t="s">
        <v>167</v>
      </c>
      <c r="P663">
        <v>0</v>
      </c>
      <c r="Q663" t="s">
        <v>125</v>
      </c>
      <c r="R663">
        <v>6</v>
      </c>
      <c r="S663">
        <v>35</v>
      </c>
      <c r="T663" t="s">
        <v>132</v>
      </c>
      <c r="U663" t="s">
        <v>133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134</v>
      </c>
      <c r="AE663" t="s">
        <v>134</v>
      </c>
      <c r="AF663" s="2">
        <v>45518</v>
      </c>
      <c r="AG663" s="2">
        <v>45959</v>
      </c>
      <c r="AH663">
        <v>156.76</v>
      </c>
      <c r="AI663">
        <v>438.5</v>
      </c>
      <c r="AJ663">
        <v>627.07000000000005</v>
      </c>
      <c r="AK663">
        <v>0</v>
      </c>
      <c r="AL663">
        <v>0</v>
      </c>
      <c r="AM663">
        <v>0</v>
      </c>
      <c r="AN663" t="s">
        <v>135</v>
      </c>
      <c r="AO663" t="s">
        <v>135</v>
      </c>
      <c r="AP663" t="s">
        <v>136</v>
      </c>
      <c r="AQ663" t="s">
        <v>137</v>
      </c>
      <c r="AR663" t="s">
        <v>138</v>
      </c>
      <c r="AS663" t="s">
        <v>139</v>
      </c>
      <c r="AT663" t="s">
        <v>140</v>
      </c>
      <c r="AU663">
        <v>106</v>
      </c>
      <c r="AV663">
        <v>10</v>
      </c>
      <c r="AW663">
        <v>1</v>
      </c>
      <c r="AX663" s="2">
        <v>45810</v>
      </c>
      <c r="AY663" t="s">
        <v>141</v>
      </c>
      <c r="AZ663" s="2">
        <v>46027</v>
      </c>
      <c r="BA663">
        <v>0</v>
      </c>
      <c r="BB663">
        <v>0</v>
      </c>
      <c r="BC663">
        <v>0</v>
      </c>
      <c r="BD663">
        <v>700</v>
      </c>
      <c r="BE663">
        <v>70</v>
      </c>
      <c r="BF663">
        <v>9</v>
      </c>
      <c r="BG663" s="2">
        <v>45536</v>
      </c>
      <c r="BH663" t="s">
        <v>142</v>
      </c>
      <c r="BI663" s="2">
        <v>46026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417.82</v>
      </c>
      <c r="CC663" t="s">
        <v>161</v>
      </c>
    </row>
    <row r="664" spans="1:81" x14ac:dyDescent="0.25">
      <c r="A664">
        <v>345</v>
      </c>
      <c r="B664">
        <v>2</v>
      </c>
      <c r="C664">
        <v>1036</v>
      </c>
      <c r="D664" t="s">
        <v>3793</v>
      </c>
      <c r="E664" t="s">
        <v>121</v>
      </c>
      <c r="F664" t="s">
        <v>3794</v>
      </c>
      <c r="G664" t="s">
        <v>3795</v>
      </c>
      <c r="H664" t="s">
        <v>3796</v>
      </c>
      <c r="I664" t="s">
        <v>3797</v>
      </c>
      <c r="J664" t="s">
        <v>3074</v>
      </c>
      <c r="K664" t="s">
        <v>1853</v>
      </c>
      <c r="L664" t="s">
        <v>128</v>
      </c>
      <c r="M664" t="s">
        <v>1854</v>
      </c>
      <c r="N664" t="s">
        <v>3798</v>
      </c>
      <c r="O664" t="s">
        <v>159</v>
      </c>
      <c r="P664">
        <v>0</v>
      </c>
      <c r="Q664" t="s">
        <v>125</v>
      </c>
      <c r="R664">
        <v>6</v>
      </c>
      <c r="S664">
        <v>40</v>
      </c>
      <c r="T664" t="s">
        <v>132</v>
      </c>
      <c r="U664" t="s">
        <v>133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134</v>
      </c>
      <c r="AE664" t="s">
        <v>134</v>
      </c>
      <c r="AF664" s="2">
        <v>45518</v>
      </c>
      <c r="AG664" s="2">
        <v>46015</v>
      </c>
      <c r="AH664" s="1">
        <v>1401.1</v>
      </c>
      <c r="AI664" s="1">
        <v>2806</v>
      </c>
      <c r="AJ664" s="1">
        <v>11208.8</v>
      </c>
      <c r="AK664">
        <v>0</v>
      </c>
      <c r="AL664" s="1">
        <v>1740.4</v>
      </c>
      <c r="AM664">
        <v>0</v>
      </c>
      <c r="AN664" t="s">
        <v>135</v>
      </c>
      <c r="AO664" t="s">
        <v>135</v>
      </c>
      <c r="AP664" t="s">
        <v>136</v>
      </c>
      <c r="AQ664" t="s">
        <v>137</v>
      </c>
      <c r="AR664" t="s">
        <v>138</v>
      </c>
      <c r="AS664" t="s">
        <v>150</v>
      </c>
      <c r="AT664" t="s">
        <v>140</v>
      </c>
      <c r="AU664">
        <v>106</v>
      </c>
      <c r="AV664">
        <v>10</v>
      </c>
      <c r="AW664">
        <v>1</v>
      </c>
      <c r="AX664" s="2">
        <v>45537</v>
      </c>
      <c r="AY664" t="s">
        <v>141</v>
      </c>
      <c r="AZ664" s="2">
        <v>46027</v>
      </c>
      <c r="BA664">
        <v>0</v>
      </c>
      <c r="BB664">
        <v>0</v>
      </c>
      <c r="BC664">
        <v>0</v>
      </c>
      <c r="BD664">
        <v>700</v>
      </c>
      <c r="BE664">
        <v>70</v>
      </c>
      <c r="BF664">
        <v>9</v>
      </c>
      <c r="BG664" s="2">
        <v>45536</v>
      </c>
      <c r="BH664" t="s">
        <v>142</v>
      </c>
      <c r="BI664" s="2">
        <v>46026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s="1">
        <v>2657.6</v>
      </c>
      <c r="BQ664" s="1">
        <v>2657.6</v>
      </c>
      <c r="BR664">
        <v>0</v>
      </c>
      <c r="BS664">
        <v>0</v>
      </c>
      <c r="BT664">
        <v>0</v>
      </c>
      <c r="BU664">
        <v>0</v>
      </c>
      <c r="BV664" s="1">
        <v>5950.76</v>
      </c>
      <c r="BW664" s="1">
        <v>5950.76</v>
      </c>
      <c r="BX664">
        <v>0</v>
      </c>
      <c r="BY664">
        <v>0</v>
      </c>
      <c r="BZ664">
        <v>0</v>
      </c>
      <c r="CA664">
        <v>0</v>
      </c>
      <c r="CB664" s="1">
        <v>2572.62</v>
      </c>
      <c r="CC664" t="s">
        <v>161</v>
      </c>
    </row>
    <row r="665" spans="1:81" x14ac:dyDescent="0.25">
      <c r="A665">
        <v>345</v>
      </c>
      <c r="B665">
        <v>2</v>
      </c>
      <c r="C665">
        <v>1037</v>
      </c>
      <c r="D665" t="s">
        <v>3799</v>
      </c>
      <c r="E665" t="s">
        <v>121</v>
      </c>
      <c r="F665" t="s">
        <v>3800</v>
      </c>
      <c r="G665" t="s">
        <v>3801</v>
      </c>
      <c r="H665" t="s">
        <v>3802</v>
      </c>
      <c r="I665" t="s">
        <v>125</v>
      </c>
      <c r="J665" t="s">
        <v>1263</v>
      </c>
      <c r="K665" t="s">
        <v>466</v>
      </c>
      <c r="L665" t="s">
        <v>128</v>
      </c>
      <c r="M665" t="s">
        <v>467</v>
      </c>
      <c r="N665" t="s">
        <v>3803</v>
      </c>
      <c r="O665" t="s">
        <v>131</v>
      </c>
      <c r="P665">
        <v>0</v>
      </c>
      <c r="Q665" t="s">
        <v>125</v>
      </c>
      <c r="R665">
        <v>4</v>
      </c>
      <c r="S665">
        <v>80</v>
      </c>
      <c r="T665" t="s">
        <v>132</v>
      </c>
      <c r="U665" t="s">
        <v>133</v>
      </c>
      <c r="V665" s="1">
        <v>8400</v>
      </c>
      <c r="W665" s="1">
        <v>4205.68</v>
      </c>
      <c r="X665" s="1">
        <v>4194.32</v>
      </c>
      <c r="Y665">
        <v>7</v>
      </c>
      <c r="Z665">
        <v>0</v>
      </c>
      <c r="AA665">
        <v>7</v>
      </c>
      <c r="AB665">
        <v>0</v>
      </c>
      <c r="AC665">
        <v>0</v>
      </c>
      <c r="AD665" t="s">
        <v>134</v>
      </c>
      <c r="AE665" t="s">
        <v>134</v>
      </c>
      <c r="AF665" s="2">
        <v>45518</v>
      </c>
      <c r="AG665" s="2">
        <v>46015</v>
      </c>
      <c r="AH665" s="1">
        <v>1864.49</v>
      </c>
      <c r="AI665" s="1">
        <v>3249.8</v>
      </c>
      <c r="AJ665" s="1">
        <v>11186.97</v>
      </c>
      <c r="AK665">
        <v>0</v>
      </c>
      <c r="AL665" s="1">
        <v>4205.68</v>
      </c>
      <c r="AM665">
        <v>0</v>
      </c>
      <c r="AN665" t="s">
        <v>135</v>
      </c>
      <c r="AO665" t="s">
        <v>135</v>
      </c>
      <c r="AP665" t="s">
        <v>136</v>
      </c>
      <c r="AQ665" t="s">
        <v>137</v>
      </c>
      <c r="AR665" t="s">
        <v>138</v>
      </c>
      <c r="AS665" t="s">
        <v>150</v>
      </c>
      <c r="AT665" t="s">
        <v>140</v>
      </c>
      <c r="AU665">
        <v>500</v>
      </c>
      <c r="AV665">
        <v>10</v>
      </c>
      <c r="AW665">
        <v>1</v>
      </c>
      <c r="AX665" s="2">
        <v>45839</v>
      </c>
      <c r="AY665" t="s">
        <v>377</v>
      </c>
      <c r="AZ665" s="2">
        <v>46028</v>
      </c>
      <c r="BA665">
        <v>0</v>
      </c>
      <c r="BB665">
        <v>0</v>
      </c>
      <c r="BC665">
        <v>0</v>
      </c>
      <c r="BD665">
        <v>700</v>
      </c>
      <c r="BE665">
        <v>70</v>
      </c>
      <c r="BF665">
        <v>9</v>
      </c>
      <c r="BG665" s="2">
        <v>45536</v>
      </c>
      <c r="BH665" t="s">
        <v>142</v>
      </c>
      <c r="BI665" s="2">
        <v>46026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7</v>
      </c>
      <c r="BT665">
        <v>7</v>
      </c>
      <c r="BU665" s="1">
        <v>8357.32</v>
      </c>
      <c r="BV665">
        <v>0</v>
      </c>
      <c r="BW665" s="1">
        <v>8357.32</v>
      </c>
      <c r="BX665" s="1">
        <v>2731.2</v>
      </c>
      <c r="BY665">
        <v>32.68</v>
      </c>
      <c r="BZ665">
        <v>0</v>
      </c>
      <c r="CA665">
        <v>0</v>
      </c>
      <c r="CB665" s="1">
        <v>1419.2</v>
      </c>
      <c r="CC665" t="s">
        <v>143</v>
      </c>
    </row>
    <row r="666" spans="1:81" x14ac:dyDescent="0.25">
      <c r="A666">
        <v>345</v>
      </c>
      <c r="B666">
        <v>2</v>
      </c>
      <c r="C666">
        <v>1038</v>
      </c>
      <c r="D666" t="s">
        <v>3804</v>
      </c>
      <c r="E666" t="s">
        <v>121</v>
      </c>
      <c r="F666" t="s">
        <v>3805</v>
      </c>
      <c r="G666" t="s">
        <v>3806</v>
      </c>
      <c r="H666" t="s">
        <v>3807</v>
      </c>
      <c r="I666" t="s">
        <v>3808</v>
      </c>
      <c r="J666" t="s">
        <v>3074</v>
      </c>
      <c r="K666" t="s">
        <v>1853</v>
      </c>
      <c r="L666" t="s">
        <v>128</v>
      </c>
      <c r="M666" t="s">
        <v>1854</v>
      </c>
      <c r="N666" t="s">
        <v>3809</v>
      </c>
      <c r="O666" t="s">
        <v>167</v>
      </c>
      <c r="P666">
        <v>0</v>
      </c>
      <c r="Q666" t="s">
        <v>125</v>
      </c>
      <c r="R666">
        <v>6</v>
      </c>
      <c r="S666">
        <v>38</v>
      </c>
      <c r="T666" t="s">
        <v>132</v>
      </c>
      <c r="U666" t="s">
        <v>133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234</v>
      </c>
      <c r="AE666" t="s">
        <v>134</v>
      </c>
      <c r="AF666" s="2">
        <v>45518</v>
      </c>
      <c r="AG666" s="2">
        <v>46015</v>
      </c>
      <c r="AH666">
        <v>651.6</v>
      </c>
      <c r="AI666">
        <v>975.3</v>
      </c>
      <c r="AJ666" s="1">
        <v>7819.23</v>
      </c>
      <c r="AK666">
        <v>0</v>
      </c>
      <c r="AL666">
        <v>975.3</v>
      </c>
      <c r="AM666">
        <v>0</v>
      </c>
      <c r="AN666" t="s">
        <v>135</v>
      </c>
      <c r="AO666" t="s">
        <v>135</v>
      </c>
      <c r="AP666" t="s">
        <v>136</v>
      </c>
      <c r="AQ666" t="s">
        <v>137</v>
      </c>
      <c r="AR666" t="s">
        <v>138</v>
      </c>
      <c r="AS666" t="s">
        <v>150</v>
      </c>
      <c r="AT666" t="s">
        <v>140</v>
      </c>
      <c r="AU666">
        <v>500</v>
      </c>
      <c r="AV666">
        <v>10</v>
      </c>
      <c r="AW666">
        <v>1</v>
      </c>
      <c r="AX666" s="2">
        <v>45838</v>
      </c>
      <c r="AY666" t="s">
        <v>141</v>
      </c>
      <c r="AZ666" s="2">
        <v>46027</v>
      </c>
      <c r="BA666">
        <v>0</v>
      </c>
      <c r="BB666">
        <v>0</v>
      </c>
      <c r="BC666">
        <v>0</v>
      </c>
      <c r="BD666">
        <v>700</v>
      </c>
      <c r="BE666">
        <v>70</v>
      </c>
      <c r="BF666">
        <v>9</v>
      </c>
      <c r="BG666" s="2">
        <v>45536</v>
      </c>
      <c r="BH666" t="s">
        <v>142</v>
      </c>
      <c r="BI666" s="2">
        <v>46026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s="1">
        <v>1592.88</v>
      </c>
      <c r="BQ666" s="1">
        <v>1592.88</v>
      </c>
      <c r="BR666">
        <v>0</v>
      </c>
      <c r="BS666">
        <v>0</v>
      </c>
      <c r="BT666">
        <v>0</v>
      </c>
      <c r="BU666">
        <v>0</v>
      </c>
      <c r="BV666" s="1">
        <v>3377.41</v>
      </c>
      <c r="BW666" s="1">
        <v>3377.41</v>
      </c>
      <c r="BX666">
        <v>0</v>
      </c>
      <c r="BY666">
        <v>0</v>
      </c>
      <c r="BZ666">
        <v>0</v>
      </c>
      <c r="CA666">
        <v>0</v>
      </c>
      <c r="CB666" s="1">
        <v>2038.71</v>
      </c>
      <c r="CC666" t="s">
        <v>161</v>
      </c>
    </row>
    <row r="667" spans="1:81" x14ac:dyDescent="0.25">
      <c r="A667">
        <v>345</v>
      </c>
      <c r="B667">
        <v>2</v>
      </c>
      <c r="C667">
        <v>1039</v>
      </c>
      <c r="D667" t="s">
        <v>3810</v>
      </c>
      <c r="E667" t="s">
        <v>121</v>
      </c>
      <c r="F667" t="s">
        <v>3811</v>
      </c>
      <c r="G667" t="s">
        <v>3812</v>
      </c>
      <c r="H667" t="s">
        <v>3813</v>
      </c>
      <c r="I667" t="s">
        <v>3814</v>
      </c>
      <c r="J667" t="s">
        <v>1263</v>
      </c>
      <c r="K667" t="s">
        <v>466</v>
      </c>
      <c r="L667" t="s">
        <v>128</v>
      </c>
      <c r="M667" t="s">
        <v>467</v>
      </c>
      <c r="N667" t="s">
        <v>3815</v>
      </c>
      <c r="O667" t="s">
        <v>167</v>
      </c>
      <c r="P667">
        <v>0</v>
      </c>
      <c r="Q667" t="s">
        <v>125</v>
      </c>
      <c r="R667">
        <v>6</v>
      </c>
      <c r="S667">
        <v>37</v>
      </c>
      <c r="T667" t="s">
        <v>132</v>
      </c>
      <c r="U667" t="s">
        <v>133</v>
      </c>
      <c r="V667" s="1">
        <v>5000</v>
      </c>
      <c r="W667">
        <v>0</v>
      </c>
      <c r="X667" s="1">
        <v>5000</v>
      </c>
      <c r="Y667">
        <v>7</v>
      </c>
      <c r="Z667">
        <v>0</v>
      </c>
      <c r="AA667">
        <v>0</v>
      </c>
      <c r="AB667">
        <v>0</v>
      </c>
      <c r="AC667">
        <v>0</v>
      </c>
      <c r="AD667" t="s">
        <v>134</v>
      </c>
      <c r="AE667" t="s">
        <v>134</v>
      </c>
      <c r="AF667" s="2">
        <v>45518</v>
      </c>
      <c r="AG667" s="2">
        <v>46018</v>
      </c>
      <c r="AH667">
        <v>339.29</v>
      </c>
      <c r="AI667">
        <v>419.98</v>
      </c>
      <c r="AJ667" s="1">
        <v>1017.88</v>
      </c>
      <c r="AK667">
        <v>0</v>
      </c>
      <c r="AL667">
        <v>0</v>
      </c>
      <c r="AM667">
        <v>0</v>
      </c>
      <c r="AN667" t="s">
        <v>135</v>
      </c>
      <c r="AO667" t="s">
        <v>135</v>
      </c>
      <c r="AP667" t="s">
        <v>136</v>
      </c>
      <c r="AQ667" t="s">
        <v>137</v>
      </c>
      <c r="AR667" t="s">
        <v>138</v>
      </c>
      <c r="AS667" t="s">
        <v>150</v>
      </c>
      <c r="AT667" t="s">
        <v>140</v>
      </c>
      <c r="AU667">
        <v>106</v>
      </c>
      <c r="AV667">
        <v>10</v>
      </c>
      <c r="AW667">
        <v>1</v>
      </c>
      <c r="AX667" s="2">
        <v>45814</v>
      </c>
      <c r="AY667" t="s">
        <v>151</v>
      </c>
      <c r="AZ667" s="2">
        <v>46024</v>
      </c>
      <c r="BA667">
        <v>0</v>
      </c>
      <c r="BB667">
        <v>0</v>
      </c>
      <c r="BC667">
        <v>0</v>
      </c>
      <c r="BD667">
        <v>700</v>
      </c>
      <c r="BE667">
        <v>70</v>
      </c>
      <c r="BF667">
        <v>9</v>
      </c>
      <c r="BG667" s="2">
        <v>45536</v>
      </c>
      <c r="BH667" t="s">
        <v>142</v>
      </c>
      <c r="BI667" s="2">
        <v>46026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634.67999999999995</v>
      </c>
      <c r="BQ667">
        <v>634.67999999999995</v>
      </c>
      <c r="BR667">
        <v>0</v>
      </c>
      <c r="BS667">
        <v>0</v>
      </c>
      <c r="BT667">
        <v>0</v>
      </c>
      <c r="BU667">
        <v>0</v>
      </c>
      <c r="BV667">
        <v>383.2</v>
      </c>
      <c r="BW667">
        <v>383.2</v>
      </c>
      <c r="BX667">
        <v>0</v>
      </c>
      <c r="BY667">
        <v>0</v>
      </c>
      <c r="BZ667">
        <v>0</v>
      </c>
      <c r="CA667">
        <v>0</v>
      </c>
      <c r="CB667">
        <v>300.06</v>
      </c>
      <c r="CC667" t="s">
        <v>161</v>
      </c>
    </row>
    <row r="668" spans="1:81" x14ac:dyDescent="0.25">
      <c r="A668">
        <v>345</v>
      </c>
      <c r="B668">
        <v>2</v>
      </c>
      <c r="C668">
        <v>1040</v>
      </c>
      <c r="D668" t="s">
        <v>3816</v>
      </c>
      <c r="E668" t="s">
        <v>121</v>
      </c>
      <c r="F668" t="s">
        <v>3817</v>
      </c>
      <c r="G668" t="s">
        <v>3818</v>
      </c>
      <c r="H668" t="s">
        <v>3819</v>
      </c>
      <c r="I668" t="s">
        <v>3820</v>
      </c>
      <c r="J668" t="s">
        <v>3074</v>
      </c>
      <c r="K668" t="s">
        <v>1853</v>
      </c>
      <c r="L668" t="s">
        <v>128</v>
      </c>
      <c r="M668" t="s">
        <v>1854</v>
      </c>
      <c r="N668" t="s">
        <v>3821</v>
      </c>
      <c r="O668" t="s">
        <v>167</v>
      </c>
      <c r="P668">
        <v>0</v>
      </c>
      <c r="Q668" t="s">
        <v>125</v>
      </c>
      <c r="R668">
        <v>6</v>
      </c>
      <c r="S668">
        <v>40</v>
      </c>
      <c r="T668" t="s">
        <v>132</v>
      </c>
      <c r="U668" t="s">
        <v>133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234</v>
      </c>
      <c r="AE668" t="s">
        <v>134</v>
      </c>
      <c r="AF668" s="2">
        <v>45518</v>
      </c>
      <c r="AG668" s="2">
        <v>45967</v>
      </c>
      <c r="AH668" s="1">
        <v>2933.66</v>
      </c>
      <c r="AI668" s="1">
        <v>5105</v>
      </c>
      <c r="AJ668" s="1">
        <v>8801</v>
      </c>
      <c r="AK668">
        <v>0</v>
      </c>
      <c r="AL668">
        <v>0</v>
      </c>
      <c r="AM668">
        <v>0</v>
      </c>
      <c r="AN668" t="s">
        <v>135</v>
      </c>
      <c r="AO668" t="s">
        <v>135</v>
      </c>
      <c r="AP668" t="s">
        <v>136</v>
      </c>
      <c r="AQ668" t="s">
        <v>137</v>
      </c>
      <c r="AR668" t="s">
        <v>138</v>
      </c>
      <c r="AS668" t="s">
        <v>150</v>
      </c>
      <c r="AT668" t="s">
        <v>140</v>
      </c>
      <c r="AU668">
        <v>106</v>
      </c>
      <c r="AV668">
        <v>10</v>
      </c>
      <c r="AW668">
        <v>1</v>
      </c>
      <c r="AX668" s="2">
        <v>45812</v>
      </c>
      <c r="AY668" t="s">
        <v>168</v>
      </c>
      <c r="AZ668" s="2">
        <v>46022</v>
      </c>
      <c r="BA668">
        <v>0</v>
      </c>
      <c r="BB668">
        <v>0</v>
      </c>
      <c r="BC668">
        <v>0</v>
      </c>
      <c r="BD668">
        <v>700</v>
      </c>
      <c r="BE668">
        <v>70</v>
      </c>
      <c r="BF668">
        <v>9</v>
      </c>
      <c r="BG668" s="2">
        <v>45536</v>
      </c>
      <c r="BH668" t="s">
        <v>142</v>
      </c>
      <c r="BI668" s="2">
        <v>46026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s="1">
        <v>1650</v>
      </c>
      <c r="BQ668" s="1">
        <v>1650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s="1">
        <v>3263.66</v>
      </c>
      <c r="CC668" t="s">
        <v>161</v>
      </c>
    </row>
    <row r="669" spans="1:81" x14ac:dyDescent="0.25">
      <c r="A669">
        <v>345</v>
      </c>
      <c r="B669">
        <v>2</v>
      </c>
      <c r="C669">
        <v>1041</v>
      </c>
      <c r="D669" t="s">
        <v>3822</v>
      </c>
      <c r="E669" t="s">
        <v>121</v>
      </c>
      <c r="F669" t="s">
        <v>3823</v>
      </c>
      <c r="G669" t="s">
        <v>3824</v>
      </c>
      <c r="H669" t="s">
        <v>3825</v>
      </c>
      <c r="I669" t="s">
        <v>3826</v>
      </c>
      <c r="J669" t="s">
        <v>3074</v>
      </c>
      <c r="K669" t="s">
        <v>1853</v>
      </c>
      <c r="L669" t="s">
        <v>128</v>
      </c>
      <c r="M669" t="s">
        <v>1854</v>
      </c>
      <c r="N669" t="s">
        <v>3827</v>
      </c>
      <c r="O669" t="s">
        <v>3115</v>
      </c>
      <c r="P669">
        <v>0</v>
      </c>
      <c r="Q669" t="s">
        <v>125</v>
      </c>
      <c r="R669">
        <v>3</v>
      </c>
      <c r="S669">
        <v>83</v>
      </c>
      <c r="T669" t="s">
        <v>132</v>
      </c>
      <c r="U669" t="s">
        <v>133</v>
      </c>
      <c r="V669" s="1">
        <v>5000</v>
      </c>
      <c r="W669">
        <v>0</v>
      </c>
      <c r="X669" s="1">
        <v>5000</v>
      </c>
      <c r="Y669">
        <v>7</v>
      </c>
      <c r="Z669">
        <v>0</v>
      </c>
      <c r="AA669">
        <v>0</v>
      </c>
      <c r="AB669">
        <v>0</v>
      </c>
      <c r="AC669">
        <v>0</v>
      </c>
      <c r="AD669" t="s">
        <v>134</v>
      </c>
      <c r="AE669" t="s">
        <v>134</v>
      </c>
      <c r="AF669" s="2">
        <v>45518</v>
      </c>
      <c r="AG669" s="2">
        <v>46010</v>
      </c>
      <c r="AH669">
        <v>65.349999999999994</v>
      </c>
      <c r="AI669">
        <v>102.2</v>
      </c>
      <c r="AJ669">
        <v>261.43</v>
      </c>
      <c r="AK669">
        <v>0</v>
      </c>
      <c r="AL669">
        <v>0</v>
      </c>
      <c r="AM669">
        <v>0</v>
      </c>
      <c r="AN669" t="s">
        <v>135</v>
      </c>
      <c r="AO669" t="s">
        <v>135</v>
      </c>
      <c r="AP669" t="s">
        <v>136</v>
      </c>
      <c r="AQ669" t="s">
        <v>137</v>
      </c>
      <c r="AR669" t="s">
        <v>138</v>
      </c>
      <c r="AS669" t="s">
        <v>150</v>
      </c>
      <c r="AT669" t="s">
        <v>140</v>
      </c>
      <c r="AU669">
        <v>106</v>
      </c>
      <c r="AV669">
        <v>10</v>
      </c>
      <c r="AW669">
        <v>1</v>
      </c>
      <c r="AX669" s="2">
        <v>45854</v>
      </c>
      <c r="AY669" t="s">
        <v>168</v>
      </c>
      <c r="AZ669" s="2">
        <v>46022</v>
      </c>
      <c r="BA669">
        <v>0</v>
      </c>
      <c r="BB669">
        <v>0</v>
      </c>
      <c r="BC669">
        <v>0</v>
      </c>
      <c r="BD669">
        <v>999</v>
      </c>
      <c r="BE669">
        <v>99</v>
      </c>
      <c r="BF669">
        <v>9</v>
      </c>
      <c r="BG669" t="s">
        <v>135</v>
      </c>
      <c r="BH669" t="s">
        <v>250</v>
      </c>
      <c r="BI669" t="s">
        <v>135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135.19999999999999</v>
      </c>
      <c r="BW669">
        <v>135.19999999999999</v>
      </c>
      <c r="BX669">
        <v>0</v>
      </c>
      <c r="BY669">
        <v>0</v>
      </c>
      <c r="BZ669">
        <v>0</v>
      </c>
      <c r="CA669">
        <v>0</v>
      </c>
      <c r="CB669">
        <v>42.07</v>
      </c>
      <c r="CC669" t="s">
        <v>161</v>
      </c>
    </row>
    <row r="670" spans="1:81" x14ac:dyDescent="0.25">
      <c r="A670">
        <v>345</v>
      </c>
      <c r="B670">
        <v>2</v>
      </c>
      <c r="C670">
        <v>1042</v>
      </c>
      <c r="D670" t="s">
        <v>3828</v>
      </c>
      <c r="E670" t="s">
        <v>121</v>
      </c>
      <c r="F670" t="s">
        <v>3829</v>
      </c>
      <c r="G670" t="s">
        <v>3830</v>
      </c>
      <c r="H670" t="s">
        <v>3831</v>
      </c>
      <c r="I670" t="s">
        <v>3832</v>
      </c>
      <c r="J670" t="s">
        <v>1263</v>
      </c>
      <c r="K670" t="s">
        <v>466</v>
      </c>
      <c r="L670" t="s">
        <v>128</v>
      </c>
      <c r="M670" t="s">
        <v>467</v>
      </c>
      <c r="N670" t="s">
        <v>3833</v>
      </c>
      <c r="O670" t="s">
        <v>159</v>
      </c>
      <c r="P670">
        <v>0</v>
      </c>
      <c r="Q670" t="s">
        <v>125</v>
      </c>
      <c r="R670">
        <v>6</v>
      </c>
      <c r="S670">
        <v>36</v>
      </c>
      <c r="T670" t="s">
        <v>132</v>
      </c>
      <c r="U670" t="s">
        <v>133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134</v>
      </c>
      <c r="AE670" t="s">
        <v>134</v>
      </c>
      <c r="AF670" s="2">
        <v>45518</v>
      </c>
      <c r="AG670" s="2">
        <v>46017</v>
      </c>
      <c r="AH670">
        <v>205.29</v>
      </c>
      <c r="AI670">
        <v>390.4</v>
      </c>
      <c r="AJ670" s="1">
        <v>2052.9899999999998</v>
      </c>
      <c r="AK670">
        <v>0</v>
      </c>
      <c r="AL670">
        <v>0</v>
      </c>
      <c r="AM670">
        <v>0</v>
      </c>
      <c r="AN670" t="s">
        <v>135</v>
      </c>
      <c r="AO670" t="s">
        <v>135</v>
      </c>
      <c r="AP670" t="s">
        <v>136</v>
      </c>
      <c r="AQ670" t="s">
        <v>137</v>
      </c>
      <c r="AR670" t="s">
        <v>138</v>
      </c>
      <c r="AS670" t="s">
        <v>139</v>
      </c>
      <c r="AT670" t="s">
        <v>140</v>
      </c>
      <c r="AU670">
        <v>106</v>
      </c>
      <c r="AV670">
        <v>10</v>
      </c>
      <c r="AW670">
        <v>1</v>
      </c>
      <c r="AX670" s="2">
        <v>45610</v>
      </c>
      <c r="AY670" t="s">
        <v>308</v>
      </c>
      <c r="AZ670" s="2">
        <v>46023</v>
      </c>
      <c r="BA670">
        <v>0</v>
      </c>
      <c r="BB670">
        <v>0</v>
      </c>
      <c r="BC670">
        <v>0</v>
      </c>
      <c r="BD670">
        <v>700</v>
      </c>
      <c r="BE670">
        <v>70</v>
      </c>
      <c r="BF670">
        <v>9</v>
      </c>
      <c r="BG670" s="2">
        <v>45536</v>
      </c>
      <c r="BH670" t="s">
        <v>142</v>
      </c>
      <c r="BI670" s="2">
        <v>46026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871.66</v>
      </c>
      <c r="BQ670">
        <v>871.66</v>
      </c>
      <c r="BR670">
        <v>0</v>
      </c>
      <c r="BS670">
        <v>0</v>
      </c>
      <c r="BT670">
        <v>0</v>
      </c>
      <c r="BU670">
        <v>0</v>
      </c>
      <c r="BV670">
        <v>626.9</v>
      </c>
      <c r="BW670">
        <v>626.9</v>
      </c>
      <c r="BX670">
        <v>0</v>
      </c>
      <c r="BY670">
        <v>0</v>
      </c>
      <c r="BZ670">
        <v>0</v>
      </c>
      <c r="CA670">
        <v>0</v>
      </c>
      <c r="CB670">
        <v>683.27</v>
      </c>
      <c r="CC670" t="s">
        <v>161</v>
      </c>
    </row>
    <row r="671" spans="1:81" x14ac:dyDescent="0.25">
      <c r="A671">
        <v>345</v>
      </c>
      <c r="B671">
        <v>2</v>
      </c>
      <c r="C671">
        <v>1043</v>
      </c>
      <c r="D671" t="s">
        <v>3834</v>
      </c>
      <c r="E671" t="s">
        <v>121</v>
      </c>
      <c r="F671" t="s">
        <v>3835</v>
      </c>
      <c r="G671" t="s">
        <v>3836</v>
      </c>
      <c r="H671" t="s">
        <v>3837</v>
      </c>
      <c r="I671" t="s">
        <v>3838</v>
      </c>
      <c r="J671" t="s">
        <v>3074</v>
      </c>
      <c r="K671" t="s">
        <v>1853</v>
      </c>
      <c r="L671" t="s">
        <v>128</v>
      </c>
      <c r="M671" t="s">
        <v>1854</v>
      </c>
      <c r="N671" t="s">
        <v>3839</v>
      </c>
      <c r="O671" t="s">
        <v>131</v>
      </c>
      <c r="P671">
        <v>0</v>
      </c>
      <c r="Q671" t="s">
        <v>125</v>
      </c>
      <c r="R671">
        <v>6</v>
      </c>
      <c r="S671">
        <v>39</v>
      </c>
      <c r="T671" t="s">
        <v>132</v>
      </c>
      <c r="U671" t="s">
        <v>133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134</v>
      </c>
      <c r="AE671" t="s">
        <v>134</v>
      </c>
      <c r="AF671" s="2">
        <v>45518</v>
      </c>
      <c r="AG671" s="2">
        <v>46017</v>
      </c>
      <c r="AH671">
        <v>236.83</v>
      </c>
      <c r="AI671">
        <v>570.89</v>
      </c>
      <c r="AJ671" s="1">
        <v>1894.67</v>
      </c>
      <c r="AK671">
        <v>0</v>
      </c>
      <c r="AL671">
        <v>0</v>
      </c>
      <c r="AM671">
        <v>0</v>
      </c>
      <c r="AN671" t="s">
        <v>135</v>
      </c>
      <c r="AO671" t="s">
        <v>135</v>
      </c>
      <c r="AP671" t="s">
        <v>136</v>
      </c>
      <c r="AQ671" t="s">
        <v>137</v>
      </c>
      <c r="AR671" t="s">
        <v>138</v>
      </c>
      <c r="AS671" t="s">
        <v>139</v>
      </c>
      <c r="AT671" t="s">
        <v>140</v>
      </c>
      <c r="AU671">
        <v>106</v>
      </c>
      <c r="AV671">
        <v>10</v>
      </c>
      <c r="AW671">
        <v>1</v>
      </c>
      <c r="AX671" s="2">
        <v>45841</v>
      </c>
      <c r="AY671" t="s">
        <v>308</v>
      </c>
      <c r="AZ671" s="2">
        <v>46023</v>
      </c>
      <c r="BA671">
        <v>0</v>
      </c>
      <c r="BB671">
        <v>0</v>
      </c>
      <c r="BC671">
        <v>0</v>
      </c>
      <c r="BD671">
        <v>700</v>
      </c>
      <c r="BE671">
        <v>70</v>
      </c>
      <c r="BF671">
        <v>9</v>
      </c>
      <c r="BG671" s="2">
        <v>45536</v>
      </c>
      <c r="BH671" t="s">
        <v>142</v>
      </c>
      <c r="BI671" s="2">
        <v>46026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534.47</v>
      </c>
      <c r="BQ671">
        <v>534.47</v>
      </c>
      <c r="BR671">
        <v>0</v>
      </c>
      <c r="BS671">
        <v>0</v>
      </c>
      <c r="BT671">
        <v>0</v>
      </c>
      <c r="BU671">
        <v>0</v>
      </c>
      <c r="BV671">
        <v>541.13</v>
      </c>
      <c r="BW671">
        <v>541.13</v>
      </c>
      <c r="BX671">
        <v>0</v>
      </c>
      <c r="BY671">
        <v>0</v>
      </c>
      <c r="BZ671">
        <v>0</v>
      </c>
      <c r="CA671">
        <v>0</v>
      </c>
      <c r="CB671">
        <v>522.77</v>
      </c>
      <c r="CC671" t="s">
        <v>143</v>
      </c>
    </row>
    <row r="672" spans="1:81" x14ac:dyDescent="0.25">
      <c r="A672">
        <v>345</v>
      </c>
      <c r="B672">
        <v>2</v>
      </c>
      <c r="C672">
        <v>1044</v>
      </c>
      <c r="D672" t="s">
        <v>3840</v>
      </c>
      <c r="E672" t="s">
        <v>121</v>
      </c>
      <c r="F672" t="s">
        <v>3841</v>
      </c>
      <c r="G672" t="s">
        <v>3842</v>
      </c>
      <c r="H672" t="s">
        <v>3843</v>
      </c>
      <c r="I672" t="s">
        <v>3844</v>
      </c>
      <c r="J672" t="s">
        <v>1465</v>
      </c>
      <c r="K672" t="s">
        <v>466</v>
      </c>
      <c r="L672" t="s">
        <v>128</v>
      </c>
      <c r="M672" t="s">
        <v>467</v>
      </c>
      <c r="N672" t="s">
        <v>3845</v>
      </c>
      <c r="O672" t="s">
        <v>167</v>
      </c>
      <c r="P672">
        <v>0</v>
      </c>
      <c r="Q672" t="s">
        <v>125</v>
      </c>
      <c r="R672">
        <v>6</v>
      </c>
      <c r="S672">
        <v>37</v>
      </c>
      <c r="T672" t="s">
        <v>132</v>
      </c>
      <c r="U672" t="s">
        <v>133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134</v>
      </c>
      <c r="AE672" t="s">
        <v>134</v>
      </c>
      <c r="AF672" s="2">
        <v>45518</v>
      </c>
      <c r="AG672" s="2">
        <v>45995</v>
      </c>
      <c r="AH672">
        <v>479.7</v>
      </c>
      <c r="AI672">
        <v>813.5</v>
      </c>
      <c r="AJ672" s="1">
        <v>1918.8</v>
      </c>
      <c r="AK672">
        <v>0</v>
      </c>
      <c r="AL672">
        <v>0</v>
      </c>
      <c r="AM672">
        <v>0</v>
      </c>
      <c r="AN672" t="s">
        <v>135</v>
      </c>
      <c r="AO672" t="s">
        <v>135</v>
      </c>
      <c r="AP672" t="s">
        <v>136</v>
      </c>
      <c r="AQ672" t="s">
        <v>137</v>
      </c>
      <c r="AR672" t="s">
        <v>138</v>
      </c>
      <c r="AS672" t="s">
        <v>150</v>
      </c>
      <c r="AT672" t="s">
        <v>140</v>
      </c>
      <c r="AU672">
        <v>100</v>
      </c>
      <c r="AV672">
        <v>10</v>
      </c>
      <c r="AW672">
        <v>1</v>
      </c>
      <c r="AX672" s="2">
        <v>45812</v>
      </c>
      <c r="AY672" t="s">
        <v>168</v>
      </c>
      <c r="AZ672" s="2">
        <v>46022</v>
      </c>
      <c r="BA672">
        <v>0</v>
      </c>
      <c r="BB672">
        <v>0</v>
      </c>
      <c r="BC672">
        <v>0</v>
      </c>
      <c r="BD672">
        <v>700</v>
      </c>
      <c r="BE672">
        <v>70</v>
      </c>
      <c r="BF672">
        <v>9</v>
      </c>
      <c r="BG672" s="2">
        <v>45536</v>
      </c>
      <c r="BH672" t="s">
        <v>142</v>
      </c>
      <c r="BI672" s="2">
        <v>46026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s="1">
        <v>1279.2</v>
      </c>
      <c r="BQ672" s="1">
        <v>1279.2</v>
      </c>
      <c r="BR672">
        <v>0</v>
      </c>
      <c r="BS672">
        <v>0</v>
      </c>
      <c r="BT672">
        <v>0</v>
      </c>
      <c r="BU672">
        <v>0</v>
      </c>
      <c r="BV672">
        <v>639.6</v>
      </c>
      <c r="BW672">
        <v>639.6</v>
      </c>
      <c r="BX672">
        <v>0</v>
      </c>
      <c r="BY672">
        <v>0</v>
      </c>
      <c r="BZ672">
        <v>0</v>
      </c>
      <c r="CA672">
        <v>0</v>
      </c>
      <c r="CB672">
        <v>620.92999999999995</v>
      </c>
      <c r="CC672" t="s">
        <v>161</v>
      </c>
    </row>
    <row r="673" spans="1:81" x14ac:dyDescent="0.25">
      <c r="A673">
        <v>345</v>
      </c>
      <c r="B673">
        <v>2</v>
      </c>
      <c r="C673">
        <v>1045</v>
      </c>
      <c r="D673" t="s">
        <v>3846</v>
      </c>
      <c r="E673" t="s">
        <v>121</v>
      </c>
      <c r="F673" t="s">
        <v>3847</v>
      </c>
      <c r="G673" t="s">
        <v>3848</v>
      </c>
      <c r="H673" t="s">
        <v>3849</v>
      </c>
      <c r="I673" t="s">
        <v>3850</v>
      </c>
      <c r="J673" t="s">
        <v>3113</v>
      </c>
      <c r="K673" t="s">
        <v>1853</v>
      </c>
      <c r="L673" t="s">
        <v>128</v>
      </c>
      <c r="M673" t="s">
        <v>1854</v>
      </c>
      <c r="N673" t="s">
        <v>3851</v>
      </c>
      <c r="O673" t="s">
        <v>149</v>
      </c>
      <c r="P673">
        <v>0</v>
      </c>
      <c r="Q673" t="s">
        <v>125</v>
      </c>
      <c r="R673">
        <v>6</v>
      </c>
      <c r="S673">
        <v>42</v>
      </c>
      <c r="T673" t="s">
        <v>132</v>
      </c>
      <c r="U673" t="s">
        <v>133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134</v>
      </c>
      <c r="AE673" t="s">
        <v>134</v>
      </c>
      <c r="AF673" s="2">
        <v>45518</v>
      </c>
      <c r="AG673" s="2">
        <v>46018</v>
      </c>
      <c r="AH673" s="1">
        <v>8675.56</v>
      </c>
      <c r="AI673" s="1">
        <v>18665.560000000001</v>
      </c>
      <c r="AJ673" s="1">
        <v>112782.39</v>
      </c>
      <c r="AK673">
        <v>0</v>
      </c>
      <c r="AL673">
        <v>0</v>
      </c>
      <c r="AM673">
        <v>0</v>
      </c>
      <c r="AN673" t="s">
        <v>135</v>
      </c>
      <c r="AO673" t="s">
        <v>135</v>
      </c>
      <c r="AP673" t="s">
        <v>136</v>
      </c>
      <c r="AQ673" t="s">
        <v>137</v>
      </c>
      <c r="AR673" t="s">
        <v>138</v>
      </c>
      <c r="AS673" t="s">
        <v>139</v>
      </c>
      <c r="AT673" t="s">
        <v>140</v>
      </c>
      <c r="AU673">
        <v>500</v>
      </c>
      <c r="AV673">
        <v>10</v>
      </c>
      <c r="AW673">
        <v>1</v>
      </c>
      <c r="AX673" s="2">
        <v>45820</v>
      </c>
      <c r="AY673" t="s">
        <v>308</v>
      </c>
      <c r="AZ673" s="2">
        <v>46023</v>
      </c>
      <c r="BA673">
        <v>0</v>
      </c>
      <c r="BB673">
        <v>0</v>
      </c>
      <c r="BC673">
        <v>0</v>
      </c>
      <c r="BD673">
        <v>700</v>
      </c>
      <c r="BE673">
        <v>70</v>
      </c>
      <c r="BF673">
        <v>9</v>
      </c>
      <c r="BG673" s="2">
        <v>45536</v>
      </c>
      <c r="BH673" t="s">
        <v>142</v>
      </c>
      <c r="BI673" s="2">
        <v>46026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s="1">
        <v>34851.86</v>
      </c>
      <c r="BQ673" s="1">
        <v>34851.86</v>
      </c>
      <c r="BR673">
        <v>0</v>
      </c>
      <c r="BS673">
        <v>0</v>
      </c>
      <c r="BT673">
        <v>0</v>
      </c>
      <c r="BU673">
        <v>0</v>
      </c>
      <c r="BV673" s="1">
        <v>44768.47</v>
      </c>
      <c r="BW673" s="1">
        <v>44768.47</v>
      </c>
      <c r="BX673">
        <v>0</v>
      </c>
      <c r="BY673">
        <v>0</v>
      </c>
      <c r="BZ673">
        <v>0</v>
      </c>
      <c r="CA673">
        <v>0</v>
      </c>
      <c r="CB673" s="1">
        <v>31939.759999999998</v>
      </c>
      <c r="CC673" t="s">
        <v>152</v>
      </c>
    </row>
    <row r="674" spans="1:81" x14ac:dyDescent="0.25">
      <c r="A674">
        <v>345</v>
      </c>
      <c r="B674">
        <v>2</v>
      </c>
      <c r="C674">
        <v>1048</v>
      </c>
      <c r="D674" t="s">
        <v>3852</v>
      </c>
      <c r="E674" t="s">
        <v>121</v>
      </c>
      <c r="F674" t="s">
        <v>3853</v>
      </c>
      <c r="G674" t="s">
        <v>3854</v>
      </c>
      <c r="H674" t="s">
        <v>3855</v>
      </c>
      <c r="I674" t="s">
        <v>3856</v>
      </c>
      <c r="J674" t="s">
        <v>1263</v>
      </c>
      <c r="K674" t="s">
        <v>466</v>
      </c>
      <c r="L674" t="s">
        <v>128</v>
      </c>
      <c r="M674" t="s">
        <v>467</v>
      </c>
      <c r="N674" t="s">
        <v>3857</v>
      </c>
      <c r="O674" t="s">
        <v>159</v>
      </c>
      <c r="P674">
        <v>0</v>
      </c>
      <c r="Q674" t="s">
        <v>125</v>
      </c>
      <c r="R674">
        <v>6</v>
      </c>
      <c r="S674">
        <v>36</v>
      </c>
      <c r="T674" t="s">
        <v>132</v>
      </c>
      <c r="U674" t="s">
        <v>133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134</v>
      </c>
      <c r="AE674" t="s">
        <v>134</v>
      </c>
      <c r="AF674" s="2">
        <v>45518</v>
      </c>
      <c r="AG674" s="2">
        <v>46018</v>
      </c>
      <c r="AH674">
        <v>182.85</v>
      </c>
      <c r="AI674">
        <v>216.72</v>
      </c>
      <c r="AJ674" s="1">
        <v>1828.53</v>
      </c>
      <c r="AK674">
        <v>0</v>
      </c>
      <c r="AL674">
        <v>0</v>
      </c>
      <c r="AM674">
        <v>0</v>
      </c>
      <c r="AN674" t="s">
        <v>135</v>
      </c>
      <c r="AO674" t="s">
        <v>135</v>
      </c>
      <c r="AP674" t="s">
        <v>136</v>
      </c>
      <c r="AQ674" t="s">
        <v>137</v>
      </c>
      <c r="AR674" t="s">
        <v>138</v>
      </c>
      <c r="AS674" t="s">
        <v>139</v>
      </c>
      <c r="AT674" t="s">
        <v>140</v>
      </c>
      <c r="AU674">
        <v>106</v>
      </c>
      <c r="AV674">
        <v>10</v>
      </c>
      <c r="AW674">
        <v>1</v>
      </c>
      <c r="AX674" s="2">
        <v>45828</v>
      </c>
      <c r="AY674" t="s">
        <v>151</v>
      </c>
      <c r="AZ674" s="2">
        <v>46024</v>
      </c>
      <c r="BA674">
        <v>0</v>
      </c>
      <c r="BB674">
        <v>0</v>
      </c>
      <c r="BC674">
        <v>0</v>
      </c>
      <c r="BD674">
        <v>700</v>
      </c>
      <c r="BE674">
        <v>70</v>
      </c>
      <c r="BF674">
        <v>9</v>
      </c>
      <c r="BG674" s="2">
        <v>45536</v>
      </c>
      <c r="BH674" t="s">
        <v>142</v>
      </c>
      <c r="BI674" s="2">
        <v>46026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712.43</v>
      </c>
      <c r="BQ674">
        <v>712.43</v>
      </c>
      <c r="BR674">
        <v>0</v>
      </c>
      <c r="BS674">
        <v>0</v>
      </c>
      <c r="BT674">
        <v>0</v>
      </c>
      <c r="BU674">
        <v>0</v>
      </c>
      <c r="BV674">
        <v>730.51</v>
      </c>
      <c r="BW674">
        <v>730.51</v>
      </c>
      <c r="BX674">
        <v>0</v>
      </c>
      <c r="BY674">
        <v>0</v>
      </c>
      <c r="BZ674">
        <v>0</v>
      </c>
      <c r="CA674">
        <v>0</v>
      </c>
      <c r="CB674">
        <v>518.24</v>
      </c>
      <c r="CC674" t="s">
        <v>161</v>
      </c>
    </row>
    <row r="675" spans="1:81" x14ac:dyDescent="0.25">
      <c r="A675">
        <v>345</v>
      </c>
      <c r="B675">
        <v>2</v>
      </c>
      <c r="C675">
        <v>1049</v>
      </c>
      <c r="D675" t="s">
        <v>3858</v>
      </c>
      <c r="E675" t="s">
        <v>121</v>
      </c>
      <c r="F675" t="s">
        <v>3859</v>
      </c>
      <c r="G675" t="s">
        <v>3860</v>
      </c>
      <c r="H675" t="s">
        <v>3861</v>
      </c>
      <c r="I675" t="s">
        <v>3862</v>
      </c>
      <c r="J675" t="s">
        <v>1263</v>
      </c>
      <c r="K675" t="s">
        <v>466</v>
      </c>
      <c r="L675" t="s">
        <v>128</v>
      </c>
      <c r="M675" t="s">
        <v>467</v>
      </c>
      <c r="N675" t="s">
        <v>3863</v>
      </c>
      <c r="O675" t="s">
        <v>131</v>
      </c>
      <c r="P675">
        <v>0</v>
      </c>
      <c r="Q675" t="s">
        <v>125</v>
      </c>
      <c r="R675">
        <v>6</v>
      </c>
      <c r="S675">
        <v>41</v>
      </c>
      <c r="T675" t="s">
        <v>132</v>
      </c>
      <c r="U675" t="s">
        <v>133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234</v>
      </c>
      <c r="AE675" t="s">
        <v>134</v>
      </c>
      <c r="AF675" s="2">
        <v>45518</v>
      </c>
      <c r="AG675" s="2">
        <v>46018</v>
      </c>
      <c r="AH675" s="1">
        <v>2507.77</v>
      </c>
      <c r="AI675" s="1">
        <v>5632.35</v>
      </c>
      <c r="AJ675" s="1">
        <v>27585.55</v>
      </c>
      <c r="AK675">
        <v>0</v>
      </c>
      <c r="AL675">
        <v>0</v>
      </c>
      <c r="AM675">
        <v>0</v>
      </c>
      <c r="AN675" t="s">
        <v>135</v>
      </c>
      <c r="AO675" t="s">
        <v>135</v>
      </c>
      <c r="AP675" t="s">
        <v>136</v>
      </c>
      <c r="AQ675" t="s">
        <v>137</v>
      </c>
      <c r="AR675" t="s">
        <v>138</v>
      </c>
      <c r="AS675" t="s">
        <v>139</v>
      </c>
      <c r="AT675" t="s">
        <v>140</v>
      </c>
      <c r="AU675">
        <v>106</v>
      </c>
      <c r="AV675">
        <v>10</v>
      </c>
      <c r="AW675">
        <v>1</v>
      </c>
      <c r="AX675" s="2">
        <v>45828</v>
      </c>
      <c r="AY675" t="s">
        <v>151</v>
      </c>
      <c r="AZ675" s="2">
        <v>46024</v>
      </c>
      <c r="BA675">
        <v>0</v>
      </c>
      <c r="BB675">
        <v>0</v>
      </c>
      <c r="BC675">
        <v>0</v>
      </c>
      <c r="BD675">
        <v>700</v>
      </c>
      <c r="BE675">
        <v>70</v>
      </c>
      <c r="BF675">
        <v>9</v>
      </c>
      <c r="BG675" s="2">
        <v>45536</v>
      </c>
      <c r="BH675" t="s">
        <v>142</v>
      </c>
      <c r="BI675" s="2">
        <v>46026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s="1">
        <v>9368.7000000000007</v>
      </c>
      <c r="BQ675" s="1">
        <v>9368.7000000000007</v>
      </c>
      <c r="BR675">
        <v>0</v>
      </c>
      <c r="BS675">
        <v>0</v>
      </c>
      <c r="BT675">
        <v>0</v>
      </c>
      <c r="BU675">
        <v>0</v>
      </c>
      <c r="BV675" s="1">
        <v>11016.44</v>
      </c>
      <c r="BW675" s="1">
        <v>11016.44</v>
      </c>
      <c r="BX675">
        <v>0</v>
      </c>
      <c r="BY675">
        <v>0</v>
      </c>
      <c r="BZ675">
        <v>0</v>
      </c>
      <c r="CA675">
        <v>0</v>
      </c>
      <c r="CB675" s="1">
        <v>7688.85</v>
      </c>
      <c r="CC675" t="s">
        <v>143</v>
      </c>
    </row>
    <row r="676" spans="1:81" x14ac:dyDescent="0.25">
      <c r="A676">
        <v>345</v>
      </c>
      <c r="B676">
        <v>2</v>
      </c>
      <c r="C676">
        <v>1051</v>
      </c>
      <c r="D676" t="s">
        <v>3864</v>
      </c>
      <c r="E676" t="s">
        <v>121</v>
      </c>
      <c r="F676" t="s">
        <v>3865</v>
      </c>
      <c r="G676" t="s">
        <v>3866</v>
      </c>
      <c r="H676" t="s">
        <v>3867</v>
      </c>
      <c r="I676" t="s">
        <v>125</v>
      </c>
      <c r="J676" t="s">
        <v>3074</v>
      </c>
      <c r="K676" t="s">
        <v>1853</v>
      </c>
      <c r="L676" t="s">
        <v>128</v>
      </c>
      <c r="M676" t="s">
        <v>1854</v>
      </c>
      <c r="N676" t="s">
        <v>3868</v>
      </c>
      <c r="O676" t="s">
        <v>167</v>
      </c>
      <c r="P676">
        <v>0</v>
      </c>
      <c r="Q676" t="s">
        <v>125</v>
      </c>
      <c r="R676">
        <v>6</v>
      </c>
      <c r="S676">
        <v>38</v>
      </c>
      <c r="T676" t="s">
        <v>132</v>
      </c>
      <c r="U676" t="s">
        <v>133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134</v>
      </c>
      <c r="AE676" t="s">
        <v>134</v>
      </c>
      <c r="AF676" s="2">
        <v>45518</v>
      </c>
      <c r="AG676" s="2">
        <v>46015</v>
      </c>
      <c r="AH676">
        <v>700</v>
      </c>
      <c r="AI676" s="1">
        <v>1415.8</v>
      </c>
      <c r="AJ676" s="1">
        <v>5600.03</v>
      </c>
      <c r="AK676">
        <v>0</v>
      </c>
      <c r="AL676">
        <v>0</v>
      </c>
      <c r="AM676">
        <v>0</v>
      </c>
      <c r="AN676" t="s">
        <v>135</v>
      </c>
      <c r="AO676" t="s">
        <v>135</v>
      </c>
      <c r="AP676" t="s">
        <v>136</v>
      </c>
      <c r="AQ676" t="s">
        <v>137</v>
      </c>
      <c r="AR676" t="s">
        <v>138</v>
      </c>
      <c r="AS676" t="s">
        <v>150</v>
      </c>
      <c r="AT676" t="s">
        <v>140</v>
      </c>
      <c r="AU676">
        <v>500</v>
      </c>
      <c r="AV676">
        <v>10</v>
      </c>
      <c r="AW676">
        <v>1</v>
      </c>
      <c r="AX676" s="2">
        <v>45810</v>
      </c>
      <c r="AY676" t="s">
        <v>141</v>
      </c>
      <c r="AZ676" s="2">
        <v>46027</v>
      </c>
      <c r="BA676">
        <v>0</v>
      </c>
      <c r="BB676">
        <v>0</v>
      </c>
      <c r="BC676">
        <v>0</v>
      </c>
      <c r="BD676">
        <v>700</v>
      </c>
      <c r="BE676">
        <v>70</v>
      </c>
      <c r="BF676">
        <v>9</v>
      </c>
      <c r="BG676" s="2">
        <v>45536</v>
      </c>
      <c r="BH676" t="s">
        <v>142</v>
      </c>
      <c r="BI676" s="2">
        <v>46026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s="1">
        <v>1727.5</v>
      </c>
      <c r="BQ676" s="1">
        <v>1727.5</v>
      </c>
      <c r="BR676">
        <v>0</v>
      </c>
      <c r="BS676">
        <v>0</v>
      </c>
      <c r="BT676">
        <v>0</v>
      </c>
      <c r="BU676">
        <v>0</v>
      </c>
      <c r="BV676" s="1">
        <v>2093.4</v>
      </c>
      <c r="BW676" s="1">
        <v>2093.4</v>
      </c>
      <c r="BX676">
        <v>0</v>
      </c>
      <c r="BY676">
        <v>0</v>
      </c>
      <c r="BZ676">
        <v>0</v>
      </c>
      <c r="CA676">
        <v>0</v>
      </c>
      <c r="CB676" s="1">
        <v>2076.56</v>
      </c>
      <c r="CC676" t="s">
        <v>161</v>
      </c>
    </row>
    <row r="677" spans="1:81" x14ac:dyDescent="0.25">
      <c r="A677">
        <v>345</v>
      </c>
      <c r="B677">
        <v>2</v>
      </c>
      <c r="C677">
        <v>1055</v>
      </c>
      <c r="D677" t="s">
        <v>3869</v>
      </c>
      <c r="E677" t="s">
        <v>121</v>
      </c>
      <c r="F677" t="s">
        <v>3870</v>
      </c>
      <c r="G677" t="s">
        <v>3871</v>
      </c>
      <c r="H677" t="s">
        <v>3872</v>
      </c>
      <c r="I677" t="s">
        <v>3873</v>
      </c>
      <c r="J677" t="s">
        <v>3074</v>
      </c>
      <c r="K677" t="s">
        <v>1853</v>
      </c>
      <c r="L677" t="s">
        <v>128</v>
      </c>
      <c r="M677" t="s">
        <v>1854</v>
      </c>
      <c r="N677" t="s">
        <v>3874</v>
      </c>
      <c r="O677" t="s">
        <v>159</v>
      </c>
      <c r="P677">
        <v>0</v>
      </c>
      <c r="Q677" t="s">
        <v>125</v>
      </c>
      <c r="R677">
        <v>6</v>
      </c>
      <c r="S677">
        <v>40</v>
      </c>
      <c r="T677" t="s">
        <v>132</v>
      </c>
      <c r="U677" t="s">
        <v>133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134</v>
      </c>
      <c r="AE677" t="s">
        <v>134</v>
      </c>
      <c r="AF677" s="2">
        <v>45518</v>
      </c>
      <c r="AG677" s="2">
        <v>45987</v>
      </c>
      <c r="AH677">
        <v>373.78</v>
      </c>
      <c r="AI677">
        <v>677.6</v>
      </c>
      <c r="AJ677" s="1">
        <v>2242.6999999999998</v>
      </c>
      <c r="AK677">
        <v>0</v>
      </c>
      <c r="AL677">
        <v>0</v>
      </c>
      <c r="AM677">
        <v>0</v>
      </c>
      <c r="AN677" t="s">
        <v>135</v>
      </c>
      <c r="AO677" t="s">
        <v>135</v>
      </c>
      <c r="AP677" t="s">
        <v>136</v>
      </c>
      <c r="AQ677" t="s">
        <v>137</v>
      </c>
      <c r="AR677" t="s">
        <v>138</v>
      </c>
      <c r="AS677" t="s">
        <v>150</v>
      </c>
      <c r="AT677" t="s">
        <v>140</v>
      </c>
      <c r="AU677">
        <v>106</v>
      </c>
      <c r="AV677">
        <v>10</v>
      </c>
      <c r="AW677">
        <v>1</v>
      </c>
      <c r="AX677" s="2">
        <v>45838</v>
      </c>
      <c r="AY677" t="s">
        <v>141</v>
      </c>
      <c r="AZ677" s="2">
        <v>46027</v>
      </c>
      <c r="BA677">
        <v>0</v>
      </c>
      <c r="BB677">
        <v>0</v>
      </c>
      <c r="BC677">
        <v>0</v>
      </c>
      <c r="BD677">
        <v>700</v>
      </c>
      <c r="BE677">
        <v>70</v>
      </c>
      <c r="BF677">
        <v>9</v>
      </c>
      <c r="BG677" s="2">
        <v>45536</v>
      </c>
      <c r="BH677" t="s">
        <v>142</v>
      </c>
      <c r="BI677" s="2">
        <v>46026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s="1">
        <v>1878.9</v>
      </c>
      <c r="BQ677" s="1">
        <v>1878.9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906.8</v>
      </c>
      <c r="CC677" t="s">
        <v>161</v>
      </c>
    </row>
    <row r="678" spans="1:81" x14ac:dyDescent="0.25">
      <c r="A678">
        <v>345</v>
      </c>
      <c r="B678">
        <v>2</v>
      </c>
      <c r="C678">
        <v>1057</v>
      </c>
      <c r="D678" t="s">
        <v>3875</v>
      </c>
      <c r="E678" t="s">
        <v>121</v>
      </c>
      <c r="F678" t="s">
        <v>3876</v>
      </c>
      <c r="G678" t="s">
        <v>3877</v>
      </c>
      <c r="H678" t="s">
        <v>3878</v>
      </c>
      <c r="I678" t="s">
        <v>3879</v>
      </c>
      <c r="J678" t="s">
        <v>3074</v>
      </c>
      <c r="K678" t="s">
        <v>1853</v>
      </c>
      <c r="L678" t="s">
        <v>128</v>
      </c>
      <c r="M678" t="s">
        <v>1854</v>
      </c>
      <c r="N678" t="s">
        <v>3880</v>
      </c>
      <c r="O678" t="s">
        <v>167</v>
      </c>
      <c r="P678">
        <v>0</v>
      </c>
      <c r="Q678" t="s">
        <v>125</v>
      </c>
      <c r="R678">
        <v>6</v>
      </c>
      <c r="S678">
        <v>20</v>
      </c>
      <c r="T678" t="s">
        <v>132</v>
      </c>
      <c r="U678" t="s">
        <v>133</v>
      </c>
      <c r="V678">
        <v>0</v>
      </c>
      <c r="W678">
        <v>0</v>
      </c>
      <c r="X678">
        <v>0</v>
      </c>
      <c r="Y678">
        <v>7</v>
      </c>
      <c r="Z678">
        <v>0</v>
      </c>
      <c r="AA678">
        <v>7</v>
      </c>
      <c r="AB678">
        <v>4</v>
      </c>
      <c r="AC678">
        <v>50</v>
      </c>
      <c r="AD678" t="s">
        <v>134</v>
      </c>
      <c r="AE678" t="s">
        <v>134</v>
      </c>
      <c r="AF678" s="2">
        <v>45518</v>
      </c>
      <c r="AG678" s="2">
        <v>46015</v>
      </c>
      <c r="AH678">
        <v>486.19</v>
      </c>
      <c r="AI678">
        <v>850.84</v>
      </c>
      <c r="AJ678" s="1">
        <v>3403.36</v>
      </c>
      <c r="AK678">
        <v>0</v>
      </c>
      <c r="AL678">
        <v>0</v>
      </c>
      <c r="AM678">
        <v>0</v>
      </c>
      <c r="AN678" t="s">
        <v>135</v>
      </c>
      <c r="AO678" t="s">
        <v>135</v>
      </c>
      <c r="AP678" t="s">
        <v>136</v>
      </c>
      <c r="AQ678" t="s">
        <v>137</v>
      </c>
      <c r="AR678" t="s">
        <v>138</v>
      </c>
      <c r="AS678" t="s">
        <v>150</v>
      </c>
      <c r="AT678" t="s">
        <v>140</v>
      </c>
      <c r="AU678">
        <v>106</v>
      </c>
      <c r="AV678">
        <v>10</v>
      </c>
      <c r="AW678">
        <v>1</v>
      </c>
      <c r="AX678" s="2">
        <v>45839</v>
      </c>
      <c r="AY678" t="s">
        <v>377</v>
      </c>
      <c r="AZ678" s="2">
        <v>46028</v>
      </c>
      <c r="BA678">
        <v>0</v>
      </c>
      <c r="BB678">
        <v>0</v>
      </c>
      <c r="BC678">
        <v>0</v>
      </c>
      <c r="BD678">
        <v>700</v>
      </c>
      <c r="BE678">
        <v>70</v>
      </c>
      <c r="BF678">
        <v>9</v>
      </c>
      <c r="BG678" s="2">
        <v>45536</v>
      </c>
      <c r="BH678" t="s">
        <v>142</v>
      </c>
      <c r="BI678" s="2">
        <v>46026</v>
      </c>
      <c r="BJ678">
        <v>0</v>
      </c>
      <c r="BK678">
        <v>0</v>
      </c>
      <c r="BL678">
        <v>0</v>
      </c>
      <c r="BM678">
        <v>7</v>
      </c>
      <c r="BN678">
        <v>7</v>
      </c>
      <c r="BO678" s="1">
        <v>1049.53</v>
      </c>
      <c r="BP678">
        <v>0</v>
      </c>
      <c r="BQ678" s="1">
        <v>1049.53</v>
      </c>
      <c r="BR678">
        <v>0</v>
      </c>
      <c r="BS678">
        <v>0</v>
      </c>
      <c r="BT678">
        <v>0</v>
      </c>
      <c r="BU678">
        <v>0</v>
      </c>
      <c r="BV678" s="1">
        <v>1445.43</v>
      </c>
      <c r="BW678" s="1">
        <v>1445.43</v>
      </c>
      <c r="BX678">
        <v>0</v>
      </c>
      <c r="BY678">
        <v>0</v>
      </c>
      <c r="BZ678">
        <v>0</v>
      </c>
      <c r="CA678">
        <v>0</v>
      </c>
      <c r="CB678">
        <v>930.32</v>
      </c>
      <c r="CC678" t="s">
        <v>161</v>
      </c>
    </row>
    <row r="679" spans="1:81" x14ac:dyDescent="0.25">
      <c r="A679">
        <v>345</v>
      </c>
      <c r="B679">
        <v>2</v>
      </c>
      <c r="C679">
        <v>1059</v>
      </c>
      <c r="D679" t="s">
        <v>3881</v>
      </c>
      <c r="E679" t="s">
        <v>121</v>
      </c>
      <c r="F679" t="s">
        <v>3882</v>
      </c>
      <c r="G679" t="s">
        <v>3883</v>
      </c>
      <c r="H679" t="s">
        <v>3884</v>
      </c>
      <c r="I679" t="s">
        <v>3564</v>
      </c>
      <c r="J679" t="s">
        <v>1263</v>
      </c>
      <c r="K679" t="s">
        <v>466</v>
      </c>
      <c r="L679" t="s">
        <v>128</v>
      </c>
      <c r="M679" t="s">
        <v>467</v>
      </c>
      <c r="N679" t="s">
        <v>3885</v>
      </c>
      <c r="O679" t="s">
        <v>131</v>
      </c>
      <c r="P679">
        <v>0</v>
      </c>
      <c r="Q679" t="s">
        <v>125</v>
      </c>
      <c r="R679">
        <v>6</v>
      </c>
      <c r="S679">
        <v>44</v>
      </c>
      <c r="T679" t="s">
        <v>132</v>
      </c>
      <c r="U679" t="s">
        <v>133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134</v>
      </c>
      <c r="AE679" t="s">
        <v>134</v>
      </c>
      <c r="AF679" s="2">
        <v>45518</v>
      </c>
      <c r="AG679" s="2">
        <v>45995</v>
      </c>
      <c r="AH679" s="1">
        <v>1041.49</v>
      </c>
      <c r="AI679" s="1">
        <v>2007.2</v>
      </c>
      <c r="AJ679" s="1">
        <v>5207.49</v>
      </c>
      <c r="AK679">
        <v>0</v>
      </c>
      <c r="AL679">
        <v>0</v>
      </c>
      <c r="AM679">
        <v>0</v>
      </c>
      <c r="AN679" t="s">
        <v>135</v>
      </c>
      <c r="AO679" t="s">
        <v>135</v>
      </c>
      <c r="AP679" t="s">
        <v>136</v>
      </c>
      <c r="AQ679" t="s">
        <v>137</v>
      </c>
      <c r="AR679" t="s">
        <v>138</v>
      </c>
      <c r="AS679" t="s">
        <v>150</v>
      </c>
      <c r="AT679" t="s">
        <v>140</v>
      </c>
      <c r="AU679">
        <v>100</v>
      </c>
      <c r="AV679">
        <v>10</v>
      </c>
      <c r="AW679">
        <v>1</v>
      </c>
      <c r="AX679" s="2">
        <v>45812</v>
      </c>
      <c r="AY679" t="s">
        <v>168</v>
      </c>
      <c r="AZ679" s="2">
        <v>46022</v>
      </c>
      <c r="BA679">
        <v>0</v>
      </c>
      <c r="BB679">
        <v>0</v>
      </c>
      <c r="BC679">
        <v>0</v>
      </c>
      <c r="BD679">
        <v>700</v>
      </c>
      <c r="BE679">
        <v>70</v>
      </c>
      <c r="BF679">
        <v>9</v>
      </c>
      <c r="BG679" s="2">
        <v>45536</v>
      </c>
      <c r="BH679" t="s">
        <v>142</v>
      </c>
      <c r="BI679" s="2">
        <v>46026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461.94</v>
      </c>
      <c r="BQ679">
        <v>461.94</v>
      </c>
      <c r="BR679">
        <v>0</v>
      </c>
      <c r="BS679">
        <v>0</v>
      </c>
      <c r="BT679">
        <v>0</v>
      </c>
      <c r="BU679">
        <v>0</v>
      </c>
      <c r="BV679" s="1">
        <v>1887.75</v>
      </c>
      <c r="BW679" s="1">
        <v>1887.75</v>
      </c>
      <c r="BX679">
        <v>0</v>
      </c>
      <c r="BY679">
        <v>0</v>
      </c>
      <c r="BZ679">
        <v>0</v>
      </c>
      <c r="CA679">
        <v>0</v>
      </c>
      <c r="CB679" s="1">
        <v>2210.23</v>
      </c>
      <c r="CC679" t="s">
        <v>143</v>
      </c>
    </row>
    <row r="680" spans="1:81" x14ac:dyDescent="0.25">
      <c r="A680">
        <v>345</v>
      </c>
      <c r="B680">
        <v>2</v>
      </c>
      <c r="C680">
        <v>1061</v>
      </c>
      <c r="D680" t="s">
        <v>3886</v>
      </c>
      <c r="E680" t="s">
        <v>121</v>
      </c>
      <c r="F680" t="s">
        <v>3887</v>
      </c>
      <c r="G680" t="s">
        <v>3888</v>
      </c>
      <c r="H680" t="s">
        <v>3889</v>
      </c>
      <c r="I680" t="s">
        <v>3890</v>
      </c>
      <c r="J680" t="s">
        <v>3891</v>
      </c>
      <c r="K680" t="s">
        <v>466</v>
      </c>
      <c r="L680" t="s">
        <v>128</v>
      </c>
      <c r="M680" t="s">
        <v>467</v>
      </c>
      <c r="N680" t="s">
        <v>3892</v>
      </c>
      <c r="O680" t="s">
        <v>131</v>
      </c>
      <c r="P680">
        <v>0</v>
      </c>
      <c r="Q680" t="s">
        <v>125</v>
      </c>
      <c r="R680">
        <v>6</v>
      </c>
      <c r="S680">
        <v>40</v>
      </c>
      <c r="T680" t="s">
        <v>132</v>
      </c>
      <c r="U680" t="s">
        <v>133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134</v>
      </c>
      <c r="AE680" t="s">
        <v>134</v>
      </c>
      <c r="AF680" s="2">
        <v>45518</v>
      </c>
      <c r="AG680" s="2">
        <v>46017</v>
      </c>
      <c r="AH680" s="1">
        <v>1515.18</v>
      </c>
      <c r="AI680" s="1">
        <v>3116.33</v>
      </c>
      <c r="AJ680" s="1">
        <v>10606.28</v>
      </c>
      <c r="AK680">
        <v>0</v>
      </c>
      <c r="AL680">
        <v>0</v>
      </c>
      <c r="AM680">
        <v>0</v>
      </c>
      <c r="AN680" t="s">
        <v>135</v>
      </c>
      <c r="AO680" t="s">
        <v>135</v>
      </c>
      <c r="AP680" t="s">
        <v>136</v>
      </c>
      <c r="AQ680" t="s">
        <v>137</v>
      </c>
      <c r="AR680" t="s">
        <v>138</v>
      </c>
      <c r="AS680" t="s">
        <v>139</v>
      </c>
      <c r="AT680" t="s">
        <v>140</v>
      </c>
      <c r="AU680">
        <v>100</v>
      </c>
      <c r="AV680">
        <v>10</v>
      </c>
      <c r="AW680">
        <v>1</v>
      </c>
      <c r="AX680" s="2">
        <v>45812</v>
      </c>
      <c r="AY680" t="s">
        <v>168</v>
      </c>
      <c r="AZ680" s="2">
        <v>46022</v>
      </c>
      <c r="BA680">
        <v>0</v>
      </c>
      <c r="BB680">
        <v>0</v>
      </c>
      <c r="BC680">
        <v>0</v>
      </c>
      <c r="BD680">
        <v>700</v>
      </c>
      <c r="BE680">
        <v>70</v>
      </c>
      <c r="BF680">
        <v>9</v>
      </c>
      <c r="BG680" s="2">
        <v>45536</v>
      </c>
      <c r="BH680" t="s">
        <v>142</v>
      </c>
      <c r="BI680" s="2">
        <v>46026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 s="1">
        <v>4305.6099999999997</v>
      </c>
      <c r="BQ680" s="1">
        <v>4305.6099999999997</v>
      </c>
      <c r="BR680">
        <v>0</v>
      </c>
      <c r="BS680">
        <v>0</v>
      </c>
      <c r="BT680">
        <v>0</v>
      </c>
      <c r="BU680">
        <v>0</v>
      </c>
      <c r="BV680" s="1">
        <v>3695.06</v>
      </c>
      <c r="BW680" s="1">
        <v>3695.06</v>
      </c>
      <c r="BX680">
        <v>0</v>
      </c>
      <c r="BY680">
        <v>0</v>
      </c>
      <c r="BZ680">
        <v>0</v>
      </c>
      <c r="CA680">
        <v>0</v>
      </c>
      <c r="CB680" s="1">
        <v>3157.47</v>
      </c>
      <c r="CC680" t="s">
        <v>143</v>
      </c>
    </row>
    <row r="681" spans="1:81" x14ac:dyDescent="0.25">
      <c r="A681">
        <v>345</v>
      </c>
      <c r="B681">
        <v>2</v>
      </c>
      <c r="C681">
        <v>1062</v>
      </c>
      <c r="D681" t="s">
        <v>3893</v>
      </c>
      <c r="E681" t="s">
        <v>121</v>
      </c>
      <c r="F681" t="s">
        <v>3894</v>
      </c>
      <c r="G681" t="s">
        <v>3895</v>
      </c>
      <c r="H681" t="s">
        <v>3896</v>
      </c>
      <c r="I681" t="s">
        <v>3897</v>
      </c>
      <c r="J681" t="s">
        <v>1263</v>
      </c>
      <c r="K681" t="s">
        <v>466</v>
      </c>
      <c r="L681" t="s">
        <v>128</v>
      </c>
      <c r="M681" t="s">
        <v>467</v>
      </c>
      <c r="N681" t="s">
        <v>3898</v>
      </c>
      <c r="O681" t="s">
        <v>131</v>
      </c>
      <c r="P681">
        <v>0</v>
      </c>
      <c r="Q681" t="s">
        <v>125</v>
      </c>
      <c r="R681">
        <v>6</v>
      </c>
      <c r="S681">
        <v>39</v>
      </c>
      <c r="T681" t="s">
        <v>132</v>
      </c>
      <c r="U681" t="s">
        <v>133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134</v>
      </c>
      <c r="AE681" t="s">
        <v>134</v>
      </c>
      <c r="AF681" s="2">
        <v>45518</v>
      </c>
      <c r="AG681" s="2">
        <v>45962</v>
      </c>
      <c r="AH681">
        <v>244</v>
      </c>
      <c r="AI681">
        <v>281.83999999999997</v>
      </c>
      <c r="AJ681">
        <v>488</v>
      </c>
      <c r="AK681">
        <v>0</v>
      </c>
      <c r="AL681">
        <v>0</v>
      </c>
      <c r="AM681">
        <v>0</v>
      </c>
      <c r="AN681" t="s">
        <v>135</v>
      </c>
      <c r="AO681" t="s">
        <v>135</v>
      </c>
      <c r="AP681" t="s">
        <v>136</v>
      </c>
      <c r="AQ681" t="s">
        <v>137</v>
      </c>
      <c r="AR681" t="s">
        <v>138</v>
      </c>
      <c r="AS681" t="s">
        <v>139</v>
      </c>
      <c r="AT681" t="s">
        <v>140</v>
      </c>
      <c r="AU681">
        <v>106</v>
      </c>
      <c r="AV681">
        <v>10</v>
      </c>
      <c r="AW681">
        <v>1</v>
      </c>
      <c r="AX681" s="2">
        <v>45828</v>
      </c>
      <c r="AY681" t="s">
        <v>151</v>
      </c>
      <c r="AZ681" s="2">
        <v>46024</v>
      </c>
      <c r="BA681">
        <v>0</v>
      </c>
      <c r="BB681">
        <v>0</v>
      </c>
      <c r="BC681">
        <v>0</v>
      </c>
      <c r="BD681">
        <v>700</v>
      </c>
      <c r="BE681">
        <v>70</v>
      </c>
      <c r="BF681">
        <v>9</v>
      </c>
      <c r="BG681" s="2">
        <v>45536</v>
      </c>
      <c r="BH681" t="s">
        <v>142</v>
      </c>
      <c r="BI681" s="2">
        <v>46026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281.83999999999997</v>
      </c>
      <c r="BQ681">
        <v>281.83999999999997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215.35</v>
      </c>
      <c r="CC681" t="s">
        <v>143</v>
      </c>
    </row>
    <row r="682" spans="1:81" x14ac:dyDescent="0.25">
      <c r="A682">
        <v>345</v>
      </c>
      <c r="B682">
        <v>2</v>
      </c>
      <c r="C682">
        <v>1063</v>
      </c>
      <c r="D682" t="s">
        <v>3899</v>
      </c>
      <c r="E682" t="s">
        <v>121</v>
      </c>
      <c r="F682" t="s">
        <v>3900</v>
      </c>
      <c r="G682" t="s">
        <v>3901</v>
      </c>
      <c r="H682" t="s">
        <v>3902</v>
      </c>
      <c r="I682" t="s">
        <v>3903</v>
      </c>
      <c r="J682" t="s">
        <v>3080</v>
      </c>
      <c r="K682" t="s">
        <v>336</v>
      </c>
      <c r="L682" t="s">
        <v>128</v>
      </c>
      <c r="M682" t="s">
        <v>337</v>
      </c>
      <c r="N682" t="s">
        <v>3904</v>
      </c>
      <c r="O682" t="s">
        <v>131</v>
      </c>
      <c r="P682">
        <v>0</v>
      </c>
      <c r="Q682" t="s">
        <v>125</v>
      </c>
      <c r="R682">
        <v>6</v>
      </c>
      <c r="S682">
        <v>39</v>
      </c>
      <c r="T682" t="s">
        <v>132</v>
      </c>
      <c r="U682" t="s">
        <v>133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134</v>
      </c>
      <c r="AE682" t="s">
        <v>134</v>
      </c>
      <c r="AF682" s="2">
        <v>45518</v>
      </c>
      <c r="AG682" s="2">
        <v>46014</v>
      </c>
      <c r="AH682" s="1">
        <v>1172.31</v>
      </c>
      <c r="AI682" s="1">
        <v>2251</v>
      </c>
      <c r="AJ682" s="1">
        <v>12895.48</v>
      </c>
      <c r="AK682">
        <v>0</v>
      </c>
      <c r="AL682">
        <v>0</v>
      </c>
      <c r="AM682">
        <v>0</v>
      </c>
      <c r="AN682" t="s">
        <v>135</v>
      </c>
      <c r="AO682" t="s">
        <v>135</v>
      </c>
      <c r="AP682" t="s">
        <v>136</v>
      </c>
      <c r="AQ682" t="s">
        <v>137</v>
      </c>
      <c r="AR682" t="s">
        <v>138</v>
      </c>
      <c r="AS682" t="s">
        <v>139</v>
      </c>
      <c r="AT682" t="s">
        <v>140</v>
      </c>
      <c r="AU682">
        <v>100</v>
      </c>
      <c r="AV682">
        <v>10</v>
      </c>
      <c r="AW682">
        <v>1</v>
      </c>
      <c r="AX682" s="2">
        <v>45859</v>
      </c>
      <c r="AY682" t="s">
        <v>141</v>
      </c>
      <c r="AZ682" s="2">
        <v>46027</v>
      </c>
      <c r="BA682">
        <v>0</v>
      </c>
      <c r="BB682">
        <v>0</v>
      </c>
      <c r="BC682">
        <v>0</v>
      </c>
      <c r="BD682">
        <v>700</v>
      </c>
      <c r="BE682">
        <v>70</v>
      </c>
      <c r="BF682">
        <v>9</v>
      </c>
      <c r="BG682" s="2">
        <v>45866</v>
      </c>
      <c r="BH682" t="s">
        <v>141</v>
      </c>
      <c r="BI682" s="2">
        <v>46034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 s="1">
        <v>3648.27</v>
      </c>
      <c r="BQ682" s="1">
        <v>3648.27</v>
      </c>
      <c r="BR682">
        <v>0</v>
      </c>
      <c r="BS682">
        <v>0</v>
      </c>
      <c r="BT682">
        <v>0</v>
      </c>
      <c r="BU682">
        <v>0</v>
      </c>
      <c r="BV682" s="1">
        <v>3688.68</v>
      </c>
      <c r="BW682" s="1">
        <v>3688.68</v>
      </c>
      <c r="BX682">
        <v>0</v>
      </c>
      <c r="BY682">
        <v>0</v>
      </c>
      <c r="BZ682">
        <v>0</v>
      </c>
      <c r="CA682">
        <v>0</v>
      </c>
      <c r="CB682" s="1">
        <v>4683.68</v>
      </c>
      <c r="CC682" t="s">
        <v>143</v>
      </c>
    </row>
    <row r="683" spans="1:81" x14ac:dyDescent="0.25">
      <c r="A683">
        <v>345</v>
      </c>
      <c r="B683">
        <v>2</v>
      </c>
      <c r="C683">
        <v>1067</v>
      </c>
      <c r="D683" t="s">
        <v>3905</v>
      </c>
      <c r="E683" t="s">
        <v>121</v>
      </c>
      <c r="F683" t="s">
        <v>3906</v>
      </c>
      <c r="G683" t="s">
        <v>3907</v>
      </c>
      <c r="H683" t="s">
        <v>3908</v>
      </c>
      <c r="I683" t="s">
        <v>3909</v>
      </c>
      <c r="J683" t="s">
        <v>1263</v>
      </c>
      <c r="K683" t="s">
        <v>466</v>
      </c>
      <c r="L683" t="s">
        <v>128</v>
      </c>
      <c r="M683" t="s">
        <v>467</v>
      </c>
      <c r="N683" t="s">
        <v>3910</v>
      </c>
      <c r="O683" t="s">
        <v>167</v>
      </c>
      <c r="P683">
        <v>0</v>
      </c>
      <c r="Q683" t="s">
        <v>125</v>
      </c>
      <c r="R683">
        <v>6</v>
      </c>
      <c r="S683">
        <v>36</v>
      </c>
      <c r="T683" t="s">
        <v>132</v>
      </c>
      <c r="U683" t="s">
        <v>133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234</v>
      </c>
      <c r="AE683" t="s">
        <v>134</v>
      </c>
      <c r="AF683" s="2">
        <v>45518</v>
      </c>
      <c r="AG683" s="2">
        <v>46021</v>
      </c>
      <c r="AH683" s="1">
        <v>1159.94</v>
      </c>
      <c r="AI683" s="1">
        <v>3082.71</v>
      </c>
      <c r="AJ683" s="1">
        <v>13919.29</v>
      </c>
      <c r="AK683">
        <v>0</v>
      </c>
      <c r="AL683">
        <v>0</v>
      </c>
      <c r="AM683">
        <v>0</v>
      </c>
      <c r="AN683" t="s">
        <v>135</v>
      </c>
      <c r="AO683" t="s">
        <v>135</v>
      </c>
      <c r="AP683" t="s">
        <v>136</v>
      </c>
      <c r="AQ683" t="s">
        <v>137</v>
      </c>
      <c r="AR683" t="s">
        <v>138</v>
      </c>
      <c r="AS683" t="s">
        <v>139</v>
      </c>
      <c r="AT683" t="s">
        <v>140</v>
      </c>
      <c r="AU683">
        <v>106</v>
      </c>
      <c r="AV683">
        <v>10</v>
      </c>
      <c r="AW683">
        <v>1</v>
      </c>
      <c r="AX683" s="2">
        <v>45841</v>
      </c>
      <c r="AY683" t="s">
        <v>308</v>
      </c>
      <c r="AZ683" s="2">
        <v>46023</v>
      </c>
      <c r="BA683">
        <v>0</v>
      </c>
      <c r="BB683">
        <v>0</v>
      </c>
      <c r="BC683">
        <v>0</v>
      </c>
      <c r="BD683">
        <v>700</v>
      </c>
      <c r="BE683">
        <v>70</v>
      </c>
      <c r="BF683">
        <v>9</v>
      </c>
      <c r="BG683" s="2">
        <v>45536</v>
      </c>
      <c r="BH683" t="s">
        <v>142</v>
      </c>
      <c r="BI683" s="2">
        <v>46026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 s="1">
        <v>4007.51</v>
      </c>
      <c r="BQ683" s="1">
        <v>4007.51</v>
      </c>
      <c r="BR683">
        <v>0</v>
      </c>
      <c r="BS683">
        <v>0</v>
      </c>
      <c r="BT683">
        <v>0</v>
      </c>
      <c r="BU683">
        <v>0</v>
      </c>
      <c r="BV683" s="1">
        <v>6342.55</v>
      </c>
      <c r="BW683" s="1">
        <v>6342.55</v>
      </c>
      <c r="BX683">
        <v>0</v>
      </c>
      <c r="BY683">
        <v>0</v>
      </c>
      <c r="BZ683">
        <v>0</v>
      </c>
      <c r="CA683">
        <v>0</v>
      </c>
      <c r="CB683" s="1">
        <v>3719.69</v>
      </c>
      <c r="CC683" t="s">
        <v>161</v>
      </c>
    </row>
    <row r="684" spans="1:81" x14ac:dyDescent="0.25">
      <c r="A684">
        <v>345</v>
      </c>
      <c r="B684">
        <v>2</v>
      </c>
      <c r="C684">
        <v>1068</v>
      </c>
      <c r="D684" t="s">
        <v>3911</v>
      </c>
      <c r="E684" t="s">
        <v>121</v>
      </c>
      <c r="F684" t="s">
        <v>3912</v>
      </c>
      <c r="G684" t="s">
        <v>3912</v>
      </c>
      <c r="H684" t="s">
        <v>3913</v>
      </c>
      <c r="I684" t="s">
        <v>125</v>
      </c>
      <c r="J684" t="s">
        <v>126</v>
      </c>
      <c r="K684" t="s">
        <v>1853</v>
      </c>
      <c r="L684" t="s">
        <v>128</v>
      </c>
      <c r="M684" t="s">
        <v>1854</v>
      </c>
      <c r="N684" t="s">
        <v>3914</v>
      </c>
      <c r="O684" t="s">
        <v>149</v>
      </c>
      <c r="P684">
        <v>0</v>
      </c>
      <c r="Q684" t="s">
        <v>125</v>
      </c>
      <c r="R684">
        <v>3</v>
      </c>
      <c r="S684">
        <v>85</v>
      </c>
      <c r="T684" t="s">
        <v>132</v>
      </c>
      <c r="U684" t="s">
        <v>133</v>
      </c>
      <c r="V684" s="1">
        <v>1000</v>
      </c>
      <c r="W684">
        <v>0</v>
      </c>
      <c r="X684" s="1">
        <v>1000</v>
      </c>
      <c r="Y684">
        <v>7</v>
      </c>
      <c r="Z684">
        <v>0</v>
      </c>
      <c r="AA684">
        <v>0</v>
      </c>
      <c r="AB684">
        <v>0</v>
      </c>
      <c r="AC684">
        <v>0</v>
      </c>
      <c r="AD684" t="s">
        <v>134</v>
      </c>
      <c r="AE684" t="s">
        <v>134</v>
      </c>
      <c r="AF684" s="2">
        <v>45518</v>
      </c>
      <c r="AG684" s="2">
        <v>46010</v>
      </c>
      <c r="AH684">
        <v>269.95</v>
      </c>
      <c r="AI684">
        <v>309.77</v>
      </c>
      <c r="AJ684" s="1">
        <v>1889.66</v>
      </c>
      <c r="AK684">
        <v>0</v>
      </c>
      <c r="AL684">
        <v>0</v>
      </c>
      <c r="AM684">
        <v>0</v>
      </c>
      <c r="AN684" t="s">
        <v>135</v>
      </c>
      <c r="AO684" t="s">
        <v>135</v>
      </c>
      <c r="AP684" t="s">
        <v>136</v>
      </c>
      <c r="AQ684" t="s">
        <v>137</v>
      </c>
      <c r="AR684" t="s">
        <v>138</v>
      </c>
      <c r="AS684" t="s">
        <v>150</v>
      </c>
      <c r="AT684" t="s">
        <v>140</v>
      </c>
      <c r="AU684">
        <v>106</v>
      </c>
      <c r="AV684">
        <v>10</v>
      </c>
      <c r="AW684">
        <v>1</v>
      </c>
      <c r="AX684" s="2">
        <v>45917</v>
      </c>
      <c r="AY684" t="s">
        <v>168</v>
      </c>
      <c r="AZ684" s="2">
        <v>46022</v>
      </c>
      <c r="BA684">
        <v>0</v>
      </c>
      <c r="BB684">
        <v>0</v>
      </c>
      <c r="BC684">
        <v>0</v>
      </c>
      <c r="BD684">
        <v>700</v>
      </c>
      <c r="BE684">
        <v>70</v>
      </c>
      <c r="BF684">
        <v>9</v>
      </c>
      <c r="BG684" s="2">
        <v>45536</v>
      </c>
      <c r="BH684" t="s">
        <v>142</v>
      </c>
      <c r="BI684" s="2">
        <v>46026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791.49</v>
      </c>
      <c r="BQ684">
        <v>791.49</v>
      </c>
      <c r="BR684">
        <v>0</v>
      </c>
      <c r="BS684">
        <v>0</v>
      </c>
      <c r="BT684">
        <v>0</v>
      </c>
      <c r="BU684">
        <v>0</v>
      </c>
      <c r="BV684">
        <v>572.57000000000005</v>
      </c>
      <c r="BW684">
        <v>572.57000000000005</v>
      </c>
      <c r="BX684">
        <v>0</v>
      </c>
      <c r="BY684">
        <v>0</v>
      </c>
      <c r="BZ684">
        <v>0</v>
      </c>
      <c r="CA684">
        <v>0</v>
      </c>
      <c r="CB684">
        <v>439.03</v>
      </c>
      <c r="CC684" t="s">
        <v>152</v>
      </c>
    </row>
    <row r="685" spans="1:81" x14ac:dyDescent="0.25">
      <c r="A685">
        <v>345</v>
      </c>
      <c r="B685">
        <v>2</v>
      </c>
      <c r="C685">
        <v>1069</v>
      </c>
      <c r="D685" t="s">
        <v>3915</v>
      </c>
      <c r="E685" t="s">
        <v>121</v>
      </c>
      <c r="F685" t="s">
        <v>3916</v>
      </c>
      <c r="G685" t="s">
        <v>3917</v>
      </c>
      <c r="H685" t="s">
        <v>3918</v>
      </c>
      <c r="I685" t="s">
        <v>3919</v>
      </c>
      <c r="J685" t="s">
        <v>1263</v>
      </c>
      <c r="K685" t="s">
        <v>466</v>
      </c>
      <c r="L685" t="s">
        <v>128</v>
      </c>
      <c r="M685" t="s">
        <v>467</v>
      </c>
      <c r="N685" t="s">
        <v>3920</v>
      </c>
      <c r="O685" t="s">
        <v>167</v>
      </c>
      <c r="P685">
        <v>0</v>
      </c>
      <c r="Q685" t="s">
        <v>125</v>
      </c>
      <c r="R685">
        <v>4</v>
      </c>
      <c r="S685">
        <v>79</v>
      </c>
      <c r="T685" t="s">
        <v>132</v>
      </c>
      <c r="U685" t="s">
        <v>133</v>
      </c>
      <c r="V685" s="1">
        <v>5000</v>
      </c>
      <c r="W685">
        <v>0</v>
      </c>
      <c r="X685" s="1">
        <v>5000</v>
      </c>
      <c r="Y685">
        <v>7</v>
      </c>
      <c r="Z685">
        <v>0</v>
      </c>
      <c r="AA685">
        <v>7</v>
      </c>
      <c r="AB685">
        <v>0</v>
      </c>
      <c r="AC685">
        <v>0</v>
      </c>
      <c r="AD685" t="s">
        <v>134</v>
      </c>
      <c r="AE685" t="s">
        <v>134</v>
      </c>
      <c r="AF685" s="2">
        <v>45518</v>
      </c>
      <c r="AG685" s="2">
        <v>46010</v>
      </c>
      <c r="AH685">
        <v>450.33</v>
      </c>
      <c r="AI685">
        <v>556.41999999999996</v>
      </c>
      <c r="AJ685" s="1">
        <v>2702.02</v>
      </c>
      <c r="AK685">
        <v>0</v>
      </c>
      <c r="AL685">
        <v>0</v>
      </c>
      <c r="AM685">
        <v>0</v>
      </c>
      <c r="AN685" t="s">
        <v>135</v>
      </c>
      <c r="AO685" t="s">
        <v>135</v>
      </c>
      <c r="AP685" t="s">
        <v>136</v>
      </c>
      <c r="AQ685" t="s">
        <v>137</v>
      </c>
      <c r="AR685" t="s">
        <v>138</v>
      </c>
      <c r="AS685" t="s">
        <v>150</v>
      </c>
      <c r="AT685" t="s">
        <v>140</v>
      </c>
      <c r="AU685">
        <v>500</v>
      </c>
      <c r="AV685">
        <v>10</v>
      </c>
      <c r="AW685">
        <v>1</v>
      </c>
      <c r="AX685" s="2">
        <v>45862</v>
      </c>
      <c r="AY685" t="s">
        <v>308</v>
      </c>
      <c r="AZ685" s="2">
        <v>46023</v>
      </c>
      <c r="BA685">
        <v>0</v>
      </c>
      <c r="BB685">
        <v>0</v>
      </c>
      <c r="BC685">
        <v>0</v>
      </c>
      <c r="BD685">
        <v>999</v>
      </c>
      <c r="BE685">
        <v>99</v>
      </c>
      <c r="BF685">
        <v>9</v>
      </c>
      <c r="BG685" t="s">
        <v>135</v>
      </c>
      <c r="BH685" t="s">
        <v>250</v>
      </c>
      <c r="BI685" t="s">
        <v>135</v>
      </c>
      <c r="BJ685">
        <v>0</v>
      </c>
      <c r="BK685">
        <v>0</v>
      </c>
      <c r="BL685">
        <v>0</v>
      </c>
      <c r="BM685">
        <v>7</v>
      </c>
      <c r="BN685">
        <v>7</v>
      </c>
      <c r="BO685">
        <v>915.6</v>
      </c>
      <c r="BP685">
        <v>0</v>
      </c>
      <c r="BQ685">
        <v>915.6</v>
      </c>
      <c r="BR685">
        <v>487.29</v>
      </c>
      <c r="BS685">
        <v>7</v>
      </c>
      <c r="BT685">
        <v>7</v>
      </c>
      <c r="BU685">
        <v>952.56</v>
      </c>
      <c r="BV685">
        <v>0</v>
      </c>
      <c r="BW685">
        <v>952.56</v>
      </c>
      <c r="BX685">
        <v>0</v>
      </c>
      <c r="BY685">
        <v>0</v>
      </c>
      <c r="BZ685">
        <v>0</v>
      </c>
      <c r="CA685">
        <v>0</v>
      </c>
      <c r="CB685">
        <v>850.98</v>
      </c>
      <c r="CC685" t="s">
        <v>161</v>
      </c>
    </row>
    <row r="686" spans="1:81" x14ac:dyDescent="0.25">
      <c r="A686">
        <v>345</v>
      </c>
      <c r="B686">
        <v>2</v>
      </c>
      <c r="C686">
        <v>1070</v>
      </c>
      <c r="D686" t="s">
        <v>3921</v>
      </c>
      <c r="E686" t="s">
        <v>121</v>
      </c>
      <c r="F686" t="s">
        <v>3922</v>
      </c>
      <c r="G686" t="s">
        <v>3923</v>
      </c>
      <c r="H686" t="s">
        <v>3924</v>
      </c>
      <c r="I686" t="s">
        <v>3925</v>
      </c>
      <c r="J686" t="s">
        <v>1263</v>
      </c>
      <c r="K686" t="s">
        <v>466</v>
      </c>
      <c r="L686" t="s">
        <v>128</v>
      </c>
      <c r="M686" t="s">
        <v>3926</v>
      </c>
      <c r="N686" t="s">
        <v>3927</v>
      </c>
      <c r="O686" t="s">
        <v>167</v>
      </c>
      <c r="P686">
        <v>0</v>
      </c>
      <c r="Q686" t="s">
        <v>125</v>
      </c>
      <c r="R686">
        <v>6</v>
      </c>
      <c r="S686">
        <v>35</v>
      </c>
      <c r="T686" t="s">
        <v>132</v>
      </c>
      <c r="U686" t="s">
        <v>133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134</v>
      </c>
      <c r="AE686" t="s">
        <v>134</v>
      </c>
      <c r="AF686" s="2">
        <v>45518</v>
      </c>
      <c r="AG686" s="2">
        <v>45929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t="s">
        <v>135</v>
      </c>
      <c r="AO686" t="s">
        <v>135</v>
      </c>
      <c r="AP686" t="s">
        <v>136</v>
      </c>
      <c r="AQ686" t="s">
        <v>137</v>
      </c>
      <c r="AR686" t="s">
        <v>138</v>
      </c>
      <c r="AS686" t="s">
        <v>139</v>
      </c>
      <c r="AT686" t="s">
        <v>140</v>
      </c>
      <c r="AU686">
        <v>106</v>
      </c>
      <c r="AV686">
        <v>10</v>
      </c>
      <c r="AW686">
        <v>1</v>
      </c>
      <c r="AX686" s="2">
        <v>45814</v>
      </c>
      <c r="AY686" t="s">
        <v>151</v>
      </c>
      <c r="AZ686" s="2">
        <v>46024</v>
      </c>
      <c r="BA686">
        <v>0</v>
      </c>
      <c r="BB686">
        <v>0</v>
      </c>
      <c r="BC686">
        <v>0</v>
      </c>
      <c r="BD686">
        <v>700</v>
      </c>
      <c r="BE686">
        <v>70</v>
      </c>
      <c r="BF686">
        <v>9</v>
      </c>
      <c r="BG686" s="2">
        <v>45536</v>
      </c>
      <c r="BH686" t="s">
        <v>142</v>
      </c>
      <c r="BI686" s="2">
        <v>46026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102.01</v>
      </c>
      <c r="CC686" t="s">
        <v>161</v>
      </c>
    </row>
    <row r="687" spans="1:81" x14ac:dyDescent="0.25">
      <c r="A687">
        <v>345</v>
      </c>
      <c r="B687">
        <v>2</v>
      </c>
      <c r="C687">
        <v>1071</v>
      </c>
      <c r="D687" t="s">
        <v>3928</v>
      </c>
      <c r="E687" t="s">
        <v>121</v>
      </c>
      <c r="F687" t="s">
        <v>3929</v>
      </c>
      <c r="G687" t="s">
        <v>3930</v>
      </c>
      <c r="H687" t="s">
        <v>3931</v>
      </c>
      <c r="I687" t="s">
        <v>3932</v>
      </c>
      <c r="J687" t="s">
        <v>3074</v>
      </c>
      <c r="K687" t="s">
        <v>1853</v>
      </c>
      <c r="L687" t="s">
        <v>128</v>
      </c>
      <c r="M687" t="s">
        <v>1854</v>
      </c>
      <c r="N687" t="s">
        <v>3933</v>
      </c>
      <c r="O687" t="s">
        <v>159</v>
      </c>
      <c r="P687">
        <v>0</v>
      </c>
      <c r="Q687" t="s">
        <v>125</v>
      </c>
      <c r="R687">
        <v>6</v>
      </c>
      <c r="S687">
        <v>39</v>
      </c>
      <c r="T687" t="s">
        <v>132</v>
      </c>
      <c r="U687" t="s">
        <v>133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134</v>
      </c>
      <c r="AE687" t="s">
        <v>134</v>
      </c>
      <c r="AF687" s="2">
        <v>45518</v>
      </c>
      <c r="AG687" s="2">
        <v>45958</v>
      </c>
      <c r="AH687">
        <v>585.62</v>
      </c>
      <c r="AI687">
        <v>648.23</v>
      </c>
      <c r="AJ687" s="1">
        <v>1171.25</v>
      </c>
      <c r="AK687">
        <v>0</v>
      </c>
      <c r="AL687">
        <v>0</v>
      </c>
      <c r="AM687">
        <v>0</v>
      </c>
      <c r="AN687" t="s">
        <v>135</v>
      </c>
      <c r="AO687" t="s">
        <v>135</v>
      </c>
      <c r="AP687" t="s">
        <v>136</v>
      </c>
      <c r="AQ687" t="s">
        <v>137</v>
      </c>
      <c r="AR687" t="s">
        <v>138</v>
      </c>
      <c r="AS687" t="s">
        <v>150</v>
      </c>
      <c r="AT687" t="s">
        <v>140</v>
      </c>
      <c r="AU687">
        <v>106</v>
      </c>
      <c r="AV687">
        <v>10</v>
      </c>
      <c r="AW687">
        <v>1</v>
      </c>
      <c r="AX687" s="2">
        <v>45838</v>
      </c>
      <c r="AY687" t="s">
        <v>141</v>
      </c>
      <c r="AZ687" s="2">
        <v>46027</v>
      </c>
      <c r="BA687">
        <v>0</v>
      </c>
      <c r="BB687">
        <v>0</v>
      </c>
      <c r="BC687">
        <v>0</v>
      </c>
      <c r="BD687">
        <v>700</v>
      </c>
      <c r="BE687">
        <v>70</v>
      </c>
      <c r="BF687">
        <v>9</v>
      </c>
      <c r="BG687" s="2">
        <v>45536</v>
      </c>
      <c r="BH687" t="s">
        <v>142</v>
      </c>
      <c r="BI687" s="2">
        <v>46026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714.07</v>
      </c>
      <c r="CC687" t="s">
        <v>161</v>
      </c>
    </row>
    <row r="688" spans="1:81" x14ac:dyDescent="0.25">
      <c r="A688">
        <v>345</v>
      </c>
      <c r="B688">
        <v>2</v>
      </c>
      <c r="C688">
        <v>1073</v>
      </c>
      <c r="D688" t="s">
        <v>3934</v>
      </c>
      <c r="E688" t="s">
        <v>121</v>
      </c>
      <c r="F688" t="s">
        <v>3935</v>
      </c>
      <c r="G688" t="s">
        <v>3936</v>
      </c>
      <c r="H688" t="s">
        <v>3700</v>
      </c>
      <c r="I688" t="s">
        <v>3937</v>
      </c>
      <c r="J688" t="s">
        <v>3074</v>
      </c>
      <c r="K688" t="s">
        <v>1853</v>
      </c>
      <c r="L688" t="s">
        <v>128</v>
      </c>
      <c r="M688" t="s">
        <v>1854</v>
      </c>
      <c r="N688" t="s">
        <v>3938</v>
      </c>
      <c r="O688" t="s">
        <v>167</v>
      </c>
      <c r="P688">
        <v>0</v>
      </c>
      <c r="Q688" t="s">
        <v>125</v>
      </c>
      <c r="R688">
        <v>3</v>
      </c>
      <c r="S688">
        <v>86</v>
      </c>
      <c r="T688" t="s">
        <v>132</v>
      </c>
      <c r="U688" t="s">
        <v>133</v>
      </c>
      <c r="V688">
        <v>819</v>
      </c>
      <c r="W688">
        <v>0</v>
      </c>
      <c r="X688">
        <v>819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134</v>
      </c>
      <c r="AE688" t="s">
        <v>134</v>
      </c>
      <c r="AF688" s="2">
        <v>45518</v>
      </c>
      <c r="AG688" s="2">
        <v>46017</v>
      </c>
      <c r="AH688">
        <v>448.72</v>
      </c>
      <c r="AI688">
        <v>614.45000000000005</v>
      </c>
      <c r="AJ688" s="1">
        <v>4487.25</v>
      </c>
      <c r="AK688">
        <v>0</v>
      </c>
      <c r="AL688">
        <v>0</v>
      </c>
      <c r="AM688">
        <v>0</v>
      </c>
      <c r="AN688" t="s">
        <v>135</v>
      </c>
      <c r="AO688" t="s">
        <v>135</v>
      </c>
      <c r="AP688" t="s">
        <v>136</v>
      </c>
      <c r="AQ688" t="s">
        <v>137</v>
      </c>
      <c r="AR688" t="s">
        <v>138</v>
      </c>
      <c r="AS688" t="s">
        <v>139</v>
      </c>
      <c r="AT688" t="s">
        <v>140</v>
      </c>
      <c r="AU688">
        <v>106</v>
      </c>
      <c r="AV688">
        <v>10</v>
      </c>
      <c r="AW688">
        <v>1</v>
      </c>
      <c r="AX688" s="2">
        <v>45854</v>
      </c>
      <c r="AY688" t="s">
        <v>168</v>
      </c>
      <c r="AZ688" s="2">
        <v>46022</v>
      </c>
      <c r="BA688">
        <v>0</v>
      </c>
      <c r="BB688">
        <v>0</v>
      </c>
      <c r="BC688">
        <v>0</v>
      </c>
      <c r="BD688">
        <v>700</v>
      </c>
      <c r="BE688">
        <v>70</v>
      </c>
      <c r="BF688">
        <v>9</v>
      </c>
      <c r="BG688" s="2">
        <v>45536</v>
      </c>
      <c r="BH688" t="s">
        <v>142</v>
      </c>
      <c r="BI688" s="2">
        <v>46026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s="1">
        <v>1337.1</v>
      </c>
      <c r="BQ688" s="1">
        <v>1337.1</v>
      </c>
      <c r="BR688">
        <v>0</v>
      </c>
      <c r="BS688">
        <v>0</v>
      </c>
      <c r="BT688">
        <v>0</v>
      </c>
      <c r="BU688">
        <v>0</v>
      </c>
      <c r="BV688" s="1">
        <v>1127.68</v>
      </c>
      <c r="BW688" s="1">
        <v>1598.91</v>
      </c>
      <c r="BX688">
        <v>0</v>
      </c>
      <c r="BY688">
        <v>0</v>
      </c>
      <c r="BZ688">
        <v>0</v>
      </c>
      <c r="CA688">
        <v>0</v>
      </c>
      <c r="CB688" s="1">
        <v>1378.94</v>
      </c>
      <c r="CC688" t="s">
        <v>161</v>
      </c>
    </row>
    <row r="689" spans="1:81" x14ac:dyDescent="0.25">
      <c r="A689">
        <v>345</v>
      </c>
      <c r="B689">
        <v>2</v>
      </c>
      <c r="C689">
        <v>1075</v>
      </c>
      <c r="D689" t="s">
        <v>3939</v>
      </c>
      <c r="E689" t="s">
        <v>121</v>
      </c>
      <c r="F689" t="s">
        <v>3940</v>
      </c>
      <c r="G689" t="s">
        <v>3941</v>
      </c>
      <c r="H689" t="s">
        <v>3942</v>
      </c>
      <c r="I689" t="s">
        <v>3943</v>
      </c>
      <c r="J689" t="s">
        <v>126</v>
      </c>
      <c r="K689" t="s">
        <v>1853</v>
      </c>
      <c r="L689" t="s">
        <v>128</v>
      </c>
      <c r="M689" t="s">
        <v>1854</v>
      </c>
      <c r="N689" t="s">
        <v>3944</v>
      </c>
      <c r="O689" t="s">
        <v>167</v>
      </c>
      <c r="P689">
        <v>0</v>
      </c>
      <c r="Q689" t="s">
        <v>125</v>
      </c>
      <c r="R689">
        <v>5</v>
      </c>
      <c r="S689">
        <v>72</v>
      </c>
      <c r="T689" t="s">
        <v>132</v>
      </c>
      <c r="U689" t="s">
        <v>133</v>
      </c>
      <c r="V689" s="1">
        <v>20000</v>
      </c>
      <c r="W689">
        <v>0</v>
      </c>
      <c r="X689" s="1">
        <v>20000</v>
      </c>
      <c r="Y689">
        <v>7</v>
      </c>
      <c r="Z689">
        <v>0</v>
      </c>
      <c r="AA689">
        <v>7</v>
      </c>
      <c r="AB689">
        <v>1</v>
      </c>
      <c r="AC689">
        <v>26</v>
      </c>
      <c r="AD689" t="s">
        <v>234</v>
      </c>
      <c r="AE689" t="s">
        <v>134</v>
      </c>
      <c r="AF689" s="2">
        <v>45518</v>
      </c>
      <c r="AG689" s="2">
        <v>45973</v>
      </c>
      <c r="AH689" s="1">
        <v>9760.58</v>
      </c>
      <c r="AI689" s="1">
        <v>13516.88</v>
      </c>
      <c r="AJ689" s="1">
        <v>58563.53</v>
      </c>
      <c r="AK689">
        <v>0</v>
      </c>
      <c r="AL689">
        <v>0</v>
      </c>
      <c r="AM689">
        <v>0</v>
      </c>
      <c r="AN689" t="s">
        <v>135</v>
      </c>
      <c r="AO689" t="s">
        <v>135</v>
      </c>
      <c r="AP689" t="s">
        <v>136</v>
      </c>
      <c r="AQ689" t="s">
        <v>137</v>
      </c>
      <c r="AR689" t="s">
        <v>138</v>
      </c>
      <c r="AS689" t="s">
        <v>150</v>
      </c>
      <c r="AT689" t="s">
        <v>140</v>
      </c>
      <c r="AU689">
        <v>500</v>
      </c>
      <c r="AV689">
        <v>10</v>
      </c>
      <c r="AW689">
        <v>1</v>
      </c>
      <c r="AX689" s="2">
        <v>45824</v>
      </c>
      <c r="AY689" t="s">
        <v>141</v>
      </c>
      <c r="AZ689" s="2">
        <v>46027</v>
      </c>
      <c r="BA689">
        <v>0</v>
      </c>
      <c r="BB689">
        <v>0</v>
      </c>
      <c r="BC689">
        <v>0</v>
      </c>
      <c r="BD689">
        <v>700</v>
      </c>
      <c r="BE689">
        <v>70</v>
      </c>
      <c r="BF689">
        <v>9</v>
      </c>
      <c r="BG689" s="2">
        <v>45536</v>
      </c>
      <c r="BH689" t="s">
        <v>142</v>
      </c>
      <c r="BI689" s="2">
        <v>46026</v>
      </c>
      <c r="BJ689">
        <v>0</v>
      </c>
      <c r="BK689">
        <v>0</v>
      </c>
      <c r="BL689">
        <v>0</v>
      </c>
      <c r="BM689">
        <v>7</v>
      </c>
      <c r="BN689">
        <v>7</v>
      </c>
      <c r="BO689" s="1">
        <v>19994.64</v>
      </c>
      <c r="BP689">
        <v>0</v>
      </c>
      <c r="BQ689" s="1">
        <v>19994.64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s="1">
        <v>32776.5</v>
      </c>
      <c r="CC689" t="s">
        <v>161</v>
      </c>
    </row>
    <row r="690" spans="1:81" x14ac:dyDescent="0.25">
      <c r="A690">
        <v>345</v>
      </c>
      <c r="B690">
        <v>2</v>
      </c>
      <c r="C690">
        <v>1077</v>
      </c>
      <c r="D690" t="s">
        <v>3945</v>
      </c>
      <c r="E690" t="s">
        <v>121</v>
      </c>
      <c r="F690" t="s">
        <v>3946</v>
      </c>
      <c r="G690" t="s">
        <v>3947</v>
      </c>
      <c r="H690" t="s">
        <v>3948</v>
      </c>
      <c r="I690" t="s">
        <v>125</v>
      </c>
      <c r="J690" t="s">
        <v>3113</v>
      </c>
      <c r="K690" t="s">
        <v>1853</v>
      </c>
      <c r="L690" t="s">
        <v>128</v>
      </c>
      <c r="M690" t="s">
        <v>1854</v>
      </c>
      <c r="N690" t="s">
        <v>3949</v>
      </c>
      <c r="O690" t="s">
        <v>167</v>
      </c>
      <c r="P690">
        <v>0</v>
      </c>
      <c r="Q690" t="s">
        <v>125</v>
      </c>
      <c r="R690">
        <v>6</v>
      </c>
      <c r="S690">
        <v>26</v>
      </c>
      <c r="T690" t="s">
        <v>132</v>
      </c>
      <c r="U690" t="s">
        <v>133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5</v>
      </c>
      <c r="AB690">
        <v>0</v>
      </c>
      <c r="AC690">
        <v>9</v>
      </c>
      <c r="AD690" t="s">
        <v>134</v>
      </c>
      <c r="AE690" t="s">
        <v>134</v>
      </c>
      <c r="AF690" s="2">
        <v>45518</v>
      </c>
      <c r="AG690" s="2">
        <v>46010</v>
      </c>
      <c r="AH690" s="1">
        <v>2945.55</v>
      </c>
      <c r="AI690" s="1">
        <v>4795.09</v>
      </c>
      <c r="AJ690" s="1">
        <v>11782.2</v>
      </c>
      <c r="AK690">
        <v>0</v>
      </c>
      <c r="AL690">
        <v>0</v>
      </c>
      <c r="AM690">
        <v>0</v>
      </c>
      <c r="AN690" t="s">
        <v>135</v>
      </c>
      <c r="AO690" t="s">
        <v>135</v>
      </c>
      <c r="AP690" t="s">
        <v>136</v>
      </c>
      <c r="AQ690" t="s">
        <v>137</v>
      </c>
      <c r="AR690" t="s">
        <v>138</v>
      </c>
      <c r="AS690" t="s">
        <v>150</v>
      </c>
      <c r="AT690" t="s">
        <v>140</v>
      </c>
      <c r="AU690">
        <v>500</v>
      </c>
      <c r="AV690">
        <v>10</v>
      </c>
      <c r="AW690">
        <v>1</v>
      </c>
      <c r="AX690" s="2">
        <v>45813</v>
      </c>
      <c r="AY690" t="s">
        <v>308</v>
      </c>
      <c r="AZ690" s="2">
        <v>46023</v>
      </c>
      <c r="BA690">
        <v>0</v>
      </c>
      <c r="BB690">
        <v>0</v>
      </c>
      <c r="BC690">
        <v>0</v>
      </c>
      <c r="BD690">
        <v>700</v>
      </c>
      <c r="BE690">
        <v>70</v>
      </c>
      <c r="BF690">
        <v>9</v>
      </c>
      <c r="BG690" s="2">
        <v>45536</v>
      </c>
      <c r="BH690" t="s">
        <v>142</v>
      </c>
      <c r="BI690" s="2">
        <v>46026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228.14</v>
      </c>
      <c r="BW690">
        <v>228.14</v>
      </c>
      <c r="BX690">
        <v>0</v>
      </c>
      <c r="BY690">
        <v>0</v>
      </c>
      <c r="BZ690">
        <v>0</v>
      </c>
      <c r="CA690">
        <v>0</v>
      </c>
      <c r="CB690" s="1">
        <v>4214.21</v>
      </c>
      <c r="CC690" t="s">
        <v>161</v>
      </c>
    </row>
    <row r="691" spans="1:81" x14ac:dyDescent="0.25">
      <c r="A691">
        <v>345</v>
      </c>
      <c r="B691">
        <v>2</v>
      </c>
      <c r="C691">
        <v>1078</v>
      </c>
      <c r="D691" t="s">
        <v>3950</v>
      </c>
      <c r="E691" t="s">
        <v>121</v>
      </c>
      <c r="F691" t="s">
        <v>3951</v>
      </c>
      <c r="G691" t="s">
        <v>3952</v>
      </c>
      <c r="H691" t="s">
        <v>3953</v>
      </c>
      <c r="I691" t="s">
        <v>3954</v>
      </c>
      <c r="J691" t="s">
        <v>3074</v>
      </c>
      <c r="K691" t="s">
        <v>1853</v>
      </c>
      <c r="L691" t="s">
        <v>128</v>
      </c>
      <c r="M691" t="s">
        <v>1854</v>
      </c>
      <c r="N691" t="s">
        <v>3955</v>
      </c>
      <c r="O691" t="s">
        <v>131</v>
      </c>
      <c r="P691">
        <v>0</v>
      </c>
      <c r="Q691" t="s">
        <v>125</v>
      </c>
      <c r="R691">
        <v>6</v>
      </c>
      <c r="S691">
        <v>43</v>
      </c>
      <c r="T691" t="s">
        <v>132</v>
      </c>
      <c r="U691" t="s">
        <v>133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134</v>
      </c>
      <c r="AE691" t="s">
        <v>134</v>
      </c>
      <c r="AF691" s="2">
        <v>45518</v>
      </c>
      <c r="AG691" s="2">
        <v>45966</v>
      </c>
      <c r="AH691">
        <v>812.85</v>
      </c>
      <c r="AI691" s="1">
        <v>1424.61</v>
      </c>
      <c r="AJ691" s="1">
        <v>3251.43</v>
      </c>
      <c r="AK691">
        <v>0</v>
      </c>
      <c r="AL691">
        <v>0</v>
      </c>
      <c r="AM691">
        <v>0</v>
      </c>
      <c r="AN691" t="s">
        <v>135</v>
      </c>
      <c r="AO691" t="s">
        <v>135</v>
      </c>
      <c r="AP691" t="s">
        <v>136</v>
      </c>
      <c r="AQ691" t="s">
        <v>137</v>
      </c>
      <c r="AR691" t="s">
        <v>138</v>
      </c>
      <c r="AS691" t="s">
        <v>150</v>
      </c>
      <c r="AT691" t="s">
        <v>140</v>
      </c>
      <c r="AU691">
        <v>106</v>
      </c>
      <c r="AV691">
        <v>10</v>
      </c>
      <c r="AW691">
        <v>1</v>
      </c>
      <c r="AX691" s="2">
        <v>45608</v>
      </c>
      <c r="AY691" t="s">
        <v>377</v>
      </c>
      <c r="AZ691" s="2">
        <v>46028</v>
      </c>
      <c r="BA691">
        <v>0</v>
      </c>
      <c r="BB691">
        <v>0</v>
      </c>
      <c r="BC691">
        <v>0</v>
      </c>
      <c r="BD691">
        <v>700</v>
      </c>
      <c r="BE691">
        <v>70</v>
      </c>
      <c r="BF691">
        <v>9</v>
      </c>
      <c r="BG691" s="2">
        <v>45536</v>
      </c>
      <c r="BH691" t="s">
        <v>142</v>
      </c>
      <c r="BI691" s="2">
        <v>46026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793.44</v>
      </c>
      <c r="BQ691">
        <v>793.44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s="1">
        <v>1314.19</v>
      </c>
      <c r="CC691" t="s">
        <v>143</v>
      </c>
    </row>
    <row r="692" spans="1:81" x14ac:dyDescent="0.25">
      <c r="A692">
        <v>345</v>
      </c>
      <c r="B692">
        <v>2</v>
      </c>
      <c r="C692">
        <v>1080</v>
      </c>
      <c r="D692" t="s">
        <v>3956</v>
      </c>
      <c r="E692" t="s">
        <v>121</v>
      </c>
      <c r="F692" t="s">
        <v>3957</v>
      </c>
      <c r="G692" t="s">
        <v>3958</v>
      </c>
      <c r="H692" t="s">
        <v>3959</v>
      </c>
      <c r="I692" t="s">
        <v>3960</v>
      </c>
      <c r="J692" t="s">
        <v>3074</v>
      </c>
      <c r="K692" t="s">
        <v>1853</v>
      </c>
      <c r="L692" t="s">
        <v>128</v>
      </c>
      <c r="M692" t="s">
        <v>1854</v>
      </c>
      <c r="N692" t="s">
        <v>3961</v>
      </c>
      <c r="O692" t="s">
        <v>167</v>
      </c>
      <c r="P692">
        <v>0</v>
      </c>
      <c r="Q692" t="s">
        <v>125</v>
      </c>
      <c r="R692">
        <v>6</v>
      </c>
      <c r="S692">
        <v>37</v>
      </c>
      <c r="T692" t="s">
        <v>132</v>
      </c>
      <c r="U692" t="s">
        <v>133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234</v>
      </c>
      <c r="AE692" t="s">
        <v>134</v>
      </c>
      <c r="AF692" s="2">
        <v>45518</v>
      </c>
      <c r="AG692" s="2">
        <v>46010</v>
      </c>
      <c r="AH692" s="1">
        <v>1556.26</v>
      </c>
      <c r="AI692" s="1">
        <v>2597.56</v>
      </c>
      <c r="AJ692" s="1">
        <v>12450.15</v>
      </c>
      <c r="AK692">
        <v>0</v>
      </c>
      <c r="AL692">
        <v>0</v>
      </c>
      <c r="AM692">
        <v>0</v>
      </c>
      <c r="AN692" t="s">
        <v>135</v>
      </c>
      <c r="AO692" t="s">
        <v>135</v>
      </c>
      <c r="AP692" t="s">
        <v>136</v>
      </c>
      <c r="AQ692" t="s">
        <v>137</v>
      </c>
      <c r="AR692" t="s">
        <v>138</v>
      </c>
      <c r="AS692" t="s">
        <v>139</v>
      </c>
      <c r="AT692" t="s">
        <v>140</v>
      </c>
      <c r="AU692">
        <v>106</v>
      </c>
      <c r="AV692">
        <v>10</v>
      </c>
      <c r="AW692">
        <v>1</v>
      </c>
      <c r="AX692" s="2">
        <v>45813</v>
      </c>
      <c r="AY692" t="s">
        <v>308</v>
      </c>
      <c r="AZ692" s="2">
        <v>46023</v>
      </c>
      <c r="BA692">
        <v>0</v>
      </c>
      <c r="BB692">
        <v>0</v>
      </c>
      <c r="BC692">
        <v>0</v>
      </c>
      <c r="BD692">
        <v>700</v>
      </c>
      <c r="BE692">
        <v>70</v>
      </c>
      <c r="BF692">
        <v>9</v>
      </c>
      <c r="BG692" s="2">
        <v>45536</v>
      </c>
      <c r="BH692" t="s">
        <v>142</v>
      </c>
      <c r="BI692" s="2">
        <v>46026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s="1">
        <v>3597.87</v>
      </c>
      <c r="BQ692" s="1">
        <v>3597.87</v>
      </c>
      <c r="BR692">
        <v>0</v>
      </c>
      <c r="BS692">
        <v>0</v>
      </c>
      <c r="BT692">
        <v>0</v>
      </c>
      <c r="BU692">
        <v>0</v>
      </c>
      <c r="BV692" s="1">
        <v>2326.7800000000002</v>
      </c>
      <c r="BW692" s="1">
        <v>2326.7800000000002</v>
      </c>
      <c r="BX692">
        <v>0</v>
      </c>
      <c r="BY692">
        <v>0</v>
      </c>
      <c r="BZ692">
        <v>0</v>
      </c>
      <c r="CA692">
        <v>0</v>
      </c>
      <c r="CB692" s="1">
        <v>5729.73</v>
      </c>
      <c r="CC692" t="s">
        <v>161</v>
      </c>
    </row>
    <row r="693" spans="1:81" x14ac:dyDescent="0.25">
      <c r="A693">
        <v>345</v>
      </c>
      <c r="B693">
        <v>2</v>
      </c>
      <c r="C693">
        <v>1082</v>
      </c>
      <c r="D693" t="s">
        <v>3962</v>
      </c>
      <c r="E693" t="s">
        <v>121</v>
      </c>
      <c r="F693" t="s">
        <v>3963</v>
      </c>
      <c r="G693" t="s">
        <v>3964</v>
      </c>
      <c r="H693" t="s">
        <v>3965</v>
      </c>
      <c r="I693" t="s">
        <v>3966</v>
      </c>
      <c r="J693" t="s">
        <v>1263</v>
      </c>
      <c r="K693" t="s">
        <v>466</v>
      </c>
      <c r="L693" t="s">
        <v>128</v>
      </c>
      <c r="M693" t="s">
        <v>467</v>
      </c>
      <c r="N693" t="s">
        <v>3967</v>
      </c>
      <c r="O693" t="s">
        <v>167</v>
      </c>
      <c r="P693">
        <v>0</v>
      </c>
      <c r="Q693" t="s">
        <v>125</v>
      </c>
      <c r="R693">
        <v>6</v>
      </c>
      <c r="S693">
        <v>38</v>
      </c>
      <c r="T693" t="s">
        <v>132</v>
      </c>
      <c r="U693" t="s">
        <v>133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134</v>
      </c>
      <c r="AE693" t="s">
        <v>134</v>
      </c>
      <c r="AF693" s="2">
        <v>45518</v>
      </c>
      <c r="AG693" s="2">
        <v>46020</v>
      </c>
      <c r="AH693">
        <v>879.23</v>
      </c>
      <c r="AI693" s="1">
        <v>1434.15</v>
      </c>
      <c r="AJ693" s="1">
        <v>7913.1</v>
      </c>
      <c r="AK693">
        <v>0</v>
      </c>
      <c r="AL693">
        <v>0</v>
      </c>
      <c r="AM693">
        <v>0</v>
      </c>
      <c r="AN693" t="s">
        <v>135</v>
      </c>
      <c r="AO693" t="s">
        <v>135</v>
      </c>
      <c r="AP693" t="s">
        <v>136</v>
      </c>
      <c r="AQ693" t="s">
        <v>137</v>
      </c>
      <c r="AR693" t="s">
        <v>138</v>
      </c>
      <c r="AS693" t="s">
        <v>150</v>
      </c>
      <c r="AT693" t="s">
        <v>140</v>
      </c>
      <c r="AU693">
        <v>106</v>
      </c>
      <c r="AV693">
        <v>10</v>
      </c>
      <c r="AW693">
        <v>1</v>
      </c>
      <c r="AX693" s="2">
        <v>45920</v>
      </c>
      <c r="AY693" t="s">
        <v>160</v>
      </c>
      <c r="AZ693" s="2">
        <v>46025</v>
      </c>
      <c r="BA693">
        <v>0</v>
      </c>
      <c r="BB693">
        <v>0</v>
      </c>
      <c r="BC693">
        <v>0</v>
      </c>
      <c r="BD693">
        <v>700</v>
      </c>
      <c r="BE693">
        <v>70</v>
      </c>
      <c r="BF693">
        <v>9</v>
      </c>
      <c r="BG693" s="2">
        <v>45536</v>
      </c>
      <c r="BH693" t="s">
        <v>142</v>
      </c>
      <c r="BI693" s="2">
        <v>46026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s="1">
        <v>1603.16</v>
      </c>
      <c r="BQ693" s="1">
        <v>1603.16</v>
      </c>
      <c r="BR693">
        <v>0</v>
      </c>
      <c r="BS693">
        <v>0</v>
      </c>
      <c r="BT693">
        <v>0</v>
      </c>
      <c r="BU693">
        <v>0</v>
      </c>
      <c r="BV693" s="1">
        <v>3274.19</v>
      </c>
      <c r="BW693" s="1">
        <v>3274.19</v>
      </c>
      <c r="BX693">
        <v>0</v>
      </c>
      <c r="BY693">
        <v>0</v>
      </c>
      <c r="BZ693">
        <v>0</v>
      </c>
      <c r="CA693">
        <v>0</v>
      </c>
      <c r="CB693" s="1">
        <v>1811.96</v>
      </c>
      <c r="CC693" t="s">
        <v>161</v>
      </c>
    </row>
    <row r="694" spans="1:81" x14ac:dyDescent="0.25">
      <c r="A694">
        <v>345</v>
      </c>
      <c r="B694">
        <v>2</v>
      </c>
      <c r="C694">
        <v>1083</v>
      </c>
      <c r="D694" t="s">
        <v>3968</v>
      </c>
      <c r="E694" t="s">
        <v>121</v>
      </c>
      <c r="F694" t="s">
        <v>3969</v>
      </c>
      <c r="G694" t="s">
        <v>3970</v>
      </c>
      <c r="H694" t="s">
        <v>3971</v>
      </c>
      <c r="I694" t="s">
        <v>3972</v>
      </c>
      <c r="J694" t="s">
        <v>3080</v>
      </c>
      <c r="K694" t="s">
        <v>466</v>
      </c>
      <c r="L694" t="s">
        <v>128</v>
      </c>
      <c r="M694" t="s">
        <v>337</v>
      </c>
      <c r="N694" t="s">
        <v>3973</v>
      </c>
      <c r="O694" t="s">
        <v>131</v>
      </c>
      <c r="P694">
        <v>0</v>
      </c>
      <c r="Q694" t="s">
        <v>125</v>
      </c>
      <c r="R694">
        <v>6</v>
      </c>
      <c r="S694">
        <v>42</v>
      </c>
      <c r="T694" t="s">
        <v>132</v>
      </c>
      <c r="U694" t="s">
        <v>133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134</v>
      </c>
      <c r="AE694" t="s">
        <v>134</v>
      </c>
      <c r="AF694" s="2">
        <v>45518</v>
      </c>
      <c r="AG694" s="2">
        <v>46008</v>
      </c>
      <c r="AH694">
        <v>201.02</v>
      </c>
      <c r="AI694">
        <v>289.92</v>
      </c>
      <c r="AJ694" s="1">
        <v>1206.1400000000001</v>
      </c>
      <c r="AK694">
        <v>0</v>
      </c>
      <c r="AL694">
        <v>0</v>
      </c>
      <c r="AM694">
        <v>0</v>
      </c>
      <c r="AN694" t="s">
        <v>135</v>
      </c>
      <c r="AO694" t="s">
        <v>135</v>
      </c>
      <c r="AP694" t="s">
        <v>136</v>
      </c>
      <c r="AQ694" t="s">
        <v>137</v>
      </c>
      <c r="AR694" t="s">
        <v>138</v>
      </c>
      <c r="AS694" t="s">
        <v>150</v>
      </c>
      <c r="AT694" t="s">
        <v>140</v>
      </c>
      <c r="AU694">
        <v>100</v>
      </c>
      <c r="AV694">
        <v>10</v>
      </c>
      <c r="AW694">
        <v>1</v>
      </c>
      <c r="AX694" s="2">
        <v>45811</v>
      </c>
      <c r="AY694" t="s">
        <v>377</v>
      </c>
      <c r="AZ694" s="2">
        <v>46028</v>
      </c>
      <c r="BA694">
        <v>0</v>
      </c>
      <c r="BB694">
        <v>0</v>
      </c>
      <c r="BC694">
        <v>0</v>
      </c>
      <c r="BD694">
        <v>700</v>
      </c>
      <c r="BE694">
        <v>70</v>
      </c>
      <c r="BF694">
        <v>9</v>
      </c>
      <c r="BG694" s="2">
        <v>45536</v>
      </c>
      <c r="BH694" t="s">
        <v>142</v>
      </c>
      <c r="BI694" s="2">
        <v>46026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392.9</v>
      </c>
      <c r="BQ694">
        <v>392.9</v>
      </c>
      <c r="BR694">
        <v>0</v>
      </c>
      <c r="BS694">
        <v>0</v>
      </c>
      <c r="BT694">
        <v>0</v>
      </c>
      <c r="BU694">
        <v>0</v>
      </c>
      <c r="BV694">
        <v>176.86</v>
      </c>
      <c r="BW694">
        <v>176.86</v>
      </c>
      <c r="BX694">
        <v>0</v>
      </c>
      <c r="BY694">
        <v>0</v>
      </c>
      <c r="BZ694">
        <v>0</v>
      </c>
      <c r="CA694">
        <v>0</v>
      </c>
      <c r="CB694">
        <v>736.15</v>
      </c>
      <c r="CC694" t="s">
        <v>143</v>
      </c>
    </row>
    <row r="695" spans="1:81" x14ac:dyDescent="0.25">
      <c r="A695">
        <v>345</v>
      </c>
      <c r="B695">
        <v>2</v>
      </c>
      <c r="C695">
        <v>1084</v>
      </c>
      <c r="D695" t="s">
        <v>3974</v>
      </c>
      <c r="E695" t="s">
        <v>121</v>
      </c>
      <c r="F695" t="s">
        <v>3975</v>
      </c>
      <c r="G695" t="s">
        <v>3976</v>
      </c>
      <c r="H695" t="s">
        <v>3977</v>
      </c>
      <c r="I695" t="s">
        <v>3978</v>
      </c>
      <c r="J695" t="s">
        <v>3107</v>
      </c>
      <c r="K695" t="s">
        <v>336</v>
      </c>
      <c r="L695" t="s">
        <v>128</v>
      </c>
      <c r="M695" t="s">
        <v>337</v>
      </c>
      <c r="N695" t="s">
        <v>3979</v>
      </c>
      <c r="O695" t="s">
        <v>201</v>
      </c>
      <c r="P695">
        <v>0</v>
      </c>
      <c r="Q695" t="s">
        <v>125</v>
      </c>
      <c r="R695">
        <v>3</v>
      </c>
      <c r="S695">
        <v>84</v>
      </c>
      <c r="T695" t="s">
        <v>132</v>
      </c>
      <c r="U695" t="s">
        <v>133</v>
      </c>
      <c r="V695" s="1">
        <v>5000</v>
      </c>
      <c r="W695">
        <v>0</v>
      </c>
      <c r="X695" s="1">
        <v>5000</v>
      </c>
      <c r="Y695">
        <v>7</v>
      </c>
      <c r="Z695">
        <v>0</v>
      </c>
      <c r="AA695">
        <v>0</v>
      </c>
      <c r="AB695">
        <v>0</v>
      </c>
      <c r="AC695">
        <v>0</v>
      </c>
      <c r="AD695" t="s">
        <v>234</v>
      </c>
      <c r="AE695" t="s">
        <v>134</v>
      </c>
      <c r="AF695" s="2">
        <v>45518</v>
      </c>
      <c r="AG695" s="2">
        <v>45994</v>
      </c>
      <c r="AH695">
        <v>76.27</v>
      </c>
      <c r="AI695">
        <v>76.27</v>
      </c>
      <c r="AJ695">
        <v>76.27</v>
      </c>
      <c r="AK695">
        <v>0</v>
      </c>
      <c r="AL695">
        <v>0</v>
      </c>
      <c r="AM695">
        <v>0</v>
      </c>
      <c r="AN695" t="s">
        <v>135</v>
      </c>
      <c r="AO695" t="s">
        <v>135</v>
      </c>
      <c r="AP695" t="s">
        <v>136</v>
      </c>
      <c r="AQ695" t="s">
        <v>137</v>
      </c>
      <c r="AR695" t="s">
        <v>138</v>
      </c>
      <c r="AS695" t="s">
        <v>139</v>
      </c>
      <c r="AT695" t="s">
        <v>140</v>
      </c>
      <c r="AU695">
        <v>100</v>
      </c>
      <c r="AV695">
        <v>10</v>
      </c>
      <c r="AW695">
        <v>1</v>
      </c>
      <c r="AX695" s="2">
        <v>45846</v>
      </c>
      <c r="AY695" t="s">
        <v>377</v>
      </c>
      <c r="AZ695" s="2">
        <v>46028</v>
      </c>
      <c r="BA695">
        <v>0</v>
      </c>
      <c r="BB695">
        <v>0</v>
      </c>
      <c r="BC695">
        <v>0</v>
      </c>
      <c r="BD695">
        <v>700</v>
      </c>
      <c r="BE695">
        <v>70</v>
      </c>
      <c r="BF695">
        <v>9</v>
      </c>
      <c r="BG695" s="2">
        <v>45536</v>
      </c>
      <c r="BH695" t="s">
        <v>142</v>
      </c>
      <c r="BI695" s="2">
        <v>46026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76.27</v>
      </c>
      <c r="BW695">
        <v>76.27</v>
      </c>
      <c r="BX695">
        <v>0</v>
      </c>
      <c r="BY695">
        <v>0</v>
      </c>
      <c r="BZ695">
        <v>0</v>
      </c>
      <c r="CA695">
        <v>0</v>
      </c>
      <c r="CB695">
        <v>407.19</v>
      </c>
      <c r="CC695" t="s">
        <v>161</v>
      </c>
    </row>
    <row r="696" spans="1:81" x14ac:dyDescent="0.25">
      <c r="A696">
        <v>345</v>
      </c>
      <c r="B696">
        <v>2</v>
      </c>
      <c r="C696">
        <v>1085</v>
      </c>
      <c r="D696" t="s">
        <v>3980</v>
      </c>
      <c r="E696" t="s">
        <v>121</v>
      </c>
      <c r="F696" t="s">
        <v>3981</v>
      </c>
      <c r="G696" t="s">
        <v>3982</v>
      </c>
      <c r="H696" t="s">
        <v>3983</v>
      </c>
      <c r="I696" t="s">
        <v>3984</v>
      </c>
      <c r="J696" t="s">
        <v>3891</v>
      </c>
      <c r="K696" t="s">
        <v>466</v>
      </c>
      <c r="L696" t="s">
        <v>128</v>
      </c>
      <c r="M696" t="s">
        <v>467</v>
      </c>
      <c r="N696" t="s">
        <v>3985</v>
      </c>
      <c r="O696" t="s">
        <v>131</v>
      </c>
      <c r="P696">
        <v>0</v>
      </c>
      <c r="Q696" t="s">
        <v>125</v>
      </c>
      <c r="R696">
        <v>6</v>
      </c>
      <c r="S696">
        <v>38</v>
      </c>
      <c r="T696" t="s">
        <v>132</v>
      </c>
      <c r="U696" t="s">
        <v>133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134</v>
      </c>
      <c r="AE696" t="s">
        <v>134</v>
      </c>
      <c r="AF696" s="2">
        <v>45518</v>
      </c>
      <c r="AG696" s="2">
        <v>46009</v>
      </c>
      <c r="AH696">
        <v>371.48</v>
      </c>
      <c r="AI696">
        <v>478.38</v>
      </c>
      <c r="AJ696" s="1">
        <v>2971.84</v>
      </c>
      <c r="AK696">
        <v>0</v>
      </c>
      <c r="AL696">
        <v>0</v>
      </c>
      <c r="AM696">
        <v>0</v>
      </c>
      <c r="AN696" t="s">
        <v>135</v>
      </c>
      <c r="AO696" t="s">
        <v>135</v>
      </c>
      <c r="AP696" t="s">
        <v>136</v>
      </c>
      <c r="AQ696" t="s">
        <v>137</v>
      </c>
      <c r="AR696" t="s">
        <v>138</v>
      </c>
      <c r="AS696" t="s">
        <v>139</v>
      </c>
      <c r="AT696" t="s">
        <v>140</v>
      </c>
      <c r="AU696">
        <v>100</v>
      </c>
      <c r="AV696">
        <v>10</v>
      </c>
      <c r="AW696">
        <v>1</v>
      </c>
      <c r="AX696" s="2">
        <v>45854</v>
      </c>
      <c r="AY696" t="s">
        <v>168</v>
      </c>
      <c r="AZ696" s="2">
        <v>46022</v>
      </c>
      <c r="BA696">
        <v>0</v>
      </c>
      <c r="BB696">
        <v>0</v>
      </c>
      <c r="BC696">
        <v>0</v>
      </c>
      <c r="BD696">
        <v>700</v>
      </c>
      <c r="BE696">
        <v>70</v>
      </c>
      <c r="BF696">
        <v>9</v>
      </c>
      <c r="BG696" s="2">
        <v>45536</v>
      </c>
      <c r="BH696" t="s">
        <v>142</v>
      </c>
      <c r="BI696" s="2">
        <v>46026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701.74</v>
      </c>
      <c r="BQ696">
        <v>701.74</v>
      </c>
      <c r="BR696">
        <v>0</v>
      </c>
      <c r="BS696">
        <v>0</v>
      </c>
      <c r="BT696">
        <v>0</v>
      </c>
      <c r="BU696">
        <v>0</v>
      </c>
      <c r="BV696">
        <v>837.83</v>
      </c>
      <c r="BW696">
        <v>837.83</v>
      </c>
      <c r="BX696">
        <v>0</v>
      </c>
      <c r="BY696">
        <v>0</v>
      </c>
      <c r="BZ696">
        <v>0</v>
      </c>
      <c r="CA696">
        <v>0</v>
      </c>
      <c r="CB696">
        <v>961.12</v>
      </c>
      <c r="CC696" t="s">
        <v>143</v>
      </c>
    </row>
    <row r="697" spans="1:81" x14ac:dyDescent="0.25">
      <c r="A697">
        <v>345</v>
      </c>
      <c r="B697">
        <v>2</v>
      </c>
      <c r="C697">
        <v>1086</v>
      </c>
      <c r="D697" t="s">
        <v>3986</v>
      </c>
      <c r="E697" t="s">
        <v>121</v>
      </c>
      <c r="F697" t="s">
        <v>3987</v>
      </c>
      <c r="G697" t="s">
        <v>3987</v>
      </c>
      <c r="H697" t="s">
        <v>3872</v>
      </c>
      <c r="I697" t="s">
        <v>3988</v>
      </c>
      <c r="J697" t="s">
        <v>3074</v>
      </c>
      <c r="K697" t="s">
        <v>1853</v>
      </c>
      <c r="L697" t="s">
        <v>128</v>
      </c>
      <c r="M697" t="s">
        <v>1854</v>
      </c>
      <c r="N697" t="s">
        <v>3989</v>
      </c>
      <c r="O697" t="s">
        <v>167</v>
      </c>
      <c r="P697">
        <v>0</v>
      </c>
      <c r="Q697" t="s">
        <v>125</v>
      </c>
      <c r="R697">
        <v>6</v>
      </c>
      <c r="S697">
        <v>42</v>
      </c>
      <c r="T697" t="s">
        <v>132</v>
      </c>
      <c r="U697" t="s">
        <v>133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234</v>
      </c>
      <c r="AE697" t="s">
        <v>134</v>
      </c>
      <c r="AF697" s="2">
        <v>45518</v>
      </c>
      <c r="AG697" s="2">
        <v>46021</v>
      </c>
      <c r="AH697" s="1">
        <v>3531.38</v>
      </c>
      <c r="AI697" s="1">
        <v>6727.24</v>
      </c>
      <c r="AJ697" s="1">
        <v>60033.51</v>
      </c>
      <c r="AK697">
        <v>0</v>
      </c>
      <c r="AL697">
        <v>0</v>
      </c>
      <c r="AM697">
        <v>0</v>
      </c>
      <c r="AN697" t="s">
        <v>135</v>
      </c>
      <c r="AO697" t="s">
        <v>135</v>
      </c>
      <c r="AP697" t="s">
        <v>136</v>
      </c>
      <c r="AQ697" t="s">
        <v>137</v>
      </c>
      <c r="AR697" t="s">
        <v>138</v>
      </c>
      <c r="AS697" t="s">
        <v>150</v>
      </c>
      <c r="AT697" t="s">
        <v>140</v>
      </c>
      <c r="AU697">
        <v>500</v>
      </c>
      <c r="AV697">
        <v>10</v>
      </c>
      <c r="AW697">
        <v>1</v>
      </c>
      <c r="AX697" s="2">
        <v>45824</v>
      </c>
      <c r="AY697" t="s">
        <v>141</v>
      </c>
      <c r="AZ697" s="2">
        <v>46027</v>
      </c>
      <c r="BA697">
        <v>0</v>
      </c>
      <c r="BB697">
        <v>0</v>
      </c>
      <c r="BC697">
        <v>0</v>
      </c>
      <c r="BD697">
        <v>700</v>
      </c>
      <c r="BE697">
        <v>70</v>
      </c>
      <c r="BF697">
        <v>9</v>
      </c>
      <c r="BG697" s="2">
        <v>45536</v>
      </c>
      <c r="BH697" t="s">
        <v>142</v>
      </c>
      <c r="BI697" s="2">
        <v>46026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s="1">
        <v>16844.91</v>
      </c>
      <c r="BQ697" s="1">
        <v>16844.91</v>
      </c>
      <c r="BR697">
        <v>0</v>
      </c>
      <c r="BS697">
        <v>0</v>
      </c>
      <c r="BT697">
        <v>0</v>
      </c>
      <c r="BU697">
        <v>0</v>
      </c>
      <c r="BV697" s="1">
        <v>24787.23</v>
      </c>
      <c r="BW697" s="1">
        <v>24787.23</v>
      </c>
      <c r="BX697">
        <v>0</v>
      </c>
      <c r="BY697">
        <v>0</v>
      </c>
      <c r="BZ697">
        <v>0</v>
      </c>
      <c r="CA697">
        <v>0</v>
      </c>
      <c r="CB697" s="1">
        <v>16759.8</v>
      </c>
      <c r="CC697" t="s">
        <v>161</v>
      </c>
    </row>
    <row r="698" spans="1:81" x14ac:dyDescent="0.25">
      <c r="A698">
        <v>345</v>
      </c>
      <c r="B698">
        <v>2</v>
      </c>
      <c r="C698">
        <v>1091</v>
      </c>
      <c r="D698" t="s">
        <v>3990</v>
      </c>
      <c r="E698" t="s">
        <v>121</v>
      </c>
      <c r="F698" t="s">
        <v>3991</v>
      </c>
      <c r="G698" t="s">
        <v>3992</v>
      </c>
      <c r="H698" t="s">
        <v>3993</v>
      </c>
      <c r="I698" t="s">
        <v>3994</v>
      </c>
      <c r="J698" t="s">
        <v>1263</v>
      </c>
      <c r="K698" t="s">
        <v>466</v>
      </c>
      <c r="L698" t="s">
        <v>128</v>
      </c>
      <c r="M698" t="s">
        <v>467</v>
      </c>
      <c r="N698" t="s">
        <v>3995</v>
      </c>
      <c r="O698" t="s">
        <v>167</v>
      </c>
      <c r="P698">
        <v>0</v>
      </c>
      <c r="Q698" t="s">
        <v>125</v>
      </c>
      <c r="R698">
        <v>6</v>
      </c>
      <c r="S698">
        <v>32</v>
      </c>
      <c r="T698" t="s">
        <v>132</v>
      </c>
      <c r="U698" t="s">
        <v>133</v>
      </c>
      <c r="V698" s="1">
        <v>1000</v>
      </c>
      <c r="W698">
        <v>0</v>
      </c>
      <c r="X698" s="1">
        <v>1000</v>
      </c>
      <c r="Y698">
        <v>7</v>
      </c>
      <c r="Z698">
        <v>0</v>
      </c>
      <c r="AA698">
        <v>9</v>
      </c>
      <c r="AB698">
        <v>0</v>
      </c>
      <c r="AC698">
        <v>20</v>
      </c>
      <c r="AD698" t="s">
        <v>134</v>
      </c>
      <c r="AE698" t="s">
        <v>134</v>
      </c>
      <c r="AF698" s="2">
        <v>45518</v>
      </c>
      <c r="AG698" s="2">
        <v>46011</v>
      </c>
      <c r="AH698">
        <v>564.1</v>
      </c>
      <c r="AI698">
        <v>881.71</v>
      </c>
      <c r="AJ698" s="1">
        <v>3948.76</v>
      </c>
      <c r="AK698">
        <v>0</v>
      </c>
      <c r="AL698">
        <v>0</v>
      </c>
      <c r="AM698">
        <v>0</v>
      </c>
      <c r="AN698" t="s">
        <v>135</v>
      </c>
      <c r="AO698" t="s">
        <v>135</v>
      </c>
      <c r="AP698" t="s">
        <v>136</v>
      </c>
      <c r="AQ698" t="s">
        <v>137</v>
      </c>
      <c r="AR698" t="s">
        <v>138</v>
      </c>
      <c r="AS698" t="s">
        <v>150</v>
      </c>
      <c r="AT698" t="s">
        <v>140</v>
      </c>
      <c r="AU698">
        <v>106</v>
      </c>
      <c r="AV698">
        <v>10</v>
      </c>
      <c r="AW698">
        <v>1</v>
      </c>
      <c r="AX698" s="2">
        <v>45814</v>
      </c>
      <c r="AY698" t="s">
        <v>151</v>
      </c>
      <c r="AZ698" s="2">
        <v>46024</v>
      </c>
      <c r="BA698">
        <v>0</v>
      </c>
      <c r="BB698">
        <v>0</v>
      </c>
      <c r="BC698">
        <v>0</v>
      </c>
      <c r="BD698">
        <v>700</v>
      </c>
      <c r="BE698">
        <v>70</v>
      </c>
      <c r="BF698">
        <v>9</v>
      </c>
      <c r="BG698" s="2">
        <v>45536</v>
      </c>
      <c r="BH698" t="s">
        <v>142</v>
      </c>
      <c r="BI698" s="2">
        <v>46026</v>
      </c>
      <c r="BJ698">
        <v>0</v>
      </c>
      <c r="BK698">
        <v>0</v>
      </c>
      <c r="BL698">
        <v>0</v>
      </c>
      <c r="BM698">
        <v>8.27</v>
      </c>
      <c r="BN698">
        <v>8.27</v>
      </c>
      <c r="BO698" s="1">
        <v>1434.81</v>
      </c>
      <c r="BP698">
        <v>0</v>
      </c>
      <c r="BQ698" s="1">
        <v>1434.81</v>
      </c>
      <c r="BR698">
        <v>460.35</v>
      </c>
      <c r="BS698">
        <v>9</v>
      </c>
      <c r="BT698">
        <v>9</v>
      </c>
      <c r="BU698" s="1">
        <v>1291.1400000000001</v>
      </c>
      <c r="BV698">
        <v>0</v>
      </c>
      <c r="BW698" s="1">
        <v>1291.1400000000001</v>
      </c>
      <c r="BX698">
        <v>0</v>
      </c>
      <c r="BY698">
        <v>0</v>
      </c>
      <c r="BZ698">
        <v>0</v>
      </c>
      <c r="CA698">
        <v>0</v>
      </c>
      <c r="CB698" s="1">
        <v>1337.93</v>
      </c>
      <c r="CC698" t="s">
        <v>161</v>
      </c>
    </row>
    <row r="699" spans="1:81" x14ac:dyDescent="0.25">
      <c r="A699">
        <v>345</v>
      </c>
      <c r="B699">
        <v>2</v>
      </c>
      <c r="C699">
        <v>1097</v>
      </c>
      <c r="D699" t="s">
        <v>3996</v>
      </c>
      <c r="E699" t="s">
        <v>121</v>
      </c>
      <c r="F699" t="s">
        <v>3997</v>
      </c>
      <c r="G699" t="s">
        <v>3998</v>
      </c>
      <c r="H699" t="s">
        <v>3999</v>
      </c>
      <c r="I699" t="s">
        <v>4000</v>
      </c>
      <c r="J699" t="s">
        <v>1263</v>
      </c>
      <c r="K699" t="s">
        <v>466</v>
      </c>
      <c r="L699" t="s">
        <v>128</v>
      </c>
      <c r="M699" t="s">
        <v>467</v>
      </c>
      <c r="N699" t="s">
        <v>4001</v>
      </c>
      <c r="O699" t="s">
        <v>159</v>
      </c>
      <c r="P699">
        <v>0</v>
      </c>
      <c r="Q699" t="s">
        <v>125</v>
      </c>
      <c r="R699">
        <v>5</v>
      </c>
      <c r="S699">
        <v>67</v>
      </c>
      <c r="T699" t="s">
        <v>132</v>
      </c>
      <c r="U699" t="s">
        <v>133</v>
      </c>
      <c r="V699">
        <v>749</v>
      </c>
      <c r="W699">
        <v>0</v>
      </c>
      <c r="X699">
        <v>749</v>
      </c>
      <c r="Y699">
        <v>7</v>
      </c>
      <c r="Z699">
        <v>0</v>
      </c>
      <c r="AA699">
        <v>7</v>
      </c>
      <c r="AB699">
        <v>4</v>
      </c>
      <c r="AC699">
        <v>59</v>
      </c>
      <c r="AD699" t="s">
        <v>234</v>
      </c>
      <c r="AE699" t="s">
        <v>134</v>
      </c>
      <c r="AF699" s="2">
        <v>45518</v>
      </c>
      <c r="AG699" s="2">
        <v>46008</v>
      </c>
      <c r="AH699" s="1">
        <v>1069.97</v>
      </c>
      <c r="AI699" s="1">
        <v>1869.46</v>
      </c>
      <c r="AJ699" s="1">
        <v>7489.85</v>
      </c>
      <c r="AK699">
        <v>0</v>
      </c>
      <c r="AL699">
        <v>0</v>
      </c>
      <c r="AM699">
        <v>0</v>
      </c>
      <c r="AN699" t="s">
        <v>135</v>
      </c>
      <c r="AO699" t="s">
        <v>135</v>
      </c>
      <c r="AP699" t="s">
        <v>136</v>
      </c>
      <c r="AQ699" t="s">
        <v>137</v>
      </c>
      <c r="AR699" t="s">
        <v>138</v>
      </c>
      <c r="AS699" t="s">
        <v>150</v>
      </c>
      <c r="AT699" t="s">
        <v>140</v>
      </c>
      <c r="AU699">
        <v>500</v>
      </c>
      <c r="AV699">
        <v>10</v>
      </c>
      <c r="AW699">
        <v>1</v>
      </c>
      <c r="AX699" s="2">
        <v>45846</v>
      </c>
      <c r="AY699" t="s">
        <v>377</v>
      </c>
      <c r="AZ699" s="2">
        <v>46028</v>
      </c>
      <c r="BA699">
        <v>0</v>
      </c>
      <c r="BB699">
        <v>0</v>
      </c>
      <c r="BC699">
        <v>0</v>
      </c>
      <c r="BD699">
        <v>700</v>
      </c>
      <c r="BE699">
        <v>70</v>
      </c>
      <c r="BF699">
        <v>9</v>
      </c>
      <c r="BG699" s="2">
        <v>45536</v>
      </c>
      <c r="BH699" t="s">
        <v>142</v>
      </c>
      <c r="BI699" s="2">
        <v>46026</v>
      </c>
      <c r="BJ699">
        <v>0</v>
      </c>
      <c r="BK699">
        <v>0</v>
      </c>
      <c r="BL699">
        <v>0</v>
      </c>
      <c r="BM699">
        <v>7</v>
      </c>
      <c r="BN699">
        <v>7</v>
      </c>
      <c r="BO699" s="1">
        <v>2397.59</v>
      </c>
      <c r="BP699">
        <v>0</v>
      </c>
      <c r="BQ699" s="1">
        <v>2397.59</v>
      </c>
      <c r="BR699">
        <v>937.21</v>
      </c>
      <c r="BS699">
        <v>7</v>
      </c>
      <c r="BT699">
        <v>4.28</v>
      </c>
      <c r="BU699" s="1">
        <v>1778.86</v>
      </c>
      <c r="BV699" s="1">
        <v>1128.6300000000001</v>
      </c>
      <c r="BW699" s="1">
        <v>2907.49</v>
      </c>
      <c r="BX699">
        <v>0</v>
      </c>
      <c r="BY699">
        <v>0</v>
      </c>
      <c r="BZ699">
        <v>0</v>
      </c>
      <c r="CA699">
        <v>0</v>
      </c>
      <c r="CB699" s="1">
        <v>1943.09</v>
      </c>
      <c r="CC699" t="s">
        <v>161</v>
      </c>
    </row>
    <row r="700" spans="1:81" x14ac:dyDescent="0.25">
      <c r="A700">
        <v>345</v>
      </c>
      <c r="B700">
        <v>2</v>
      </c>
      <c r="C700">
        <v>1100</v>
      </c>
      <c r="D700" t="s">
        <v>4002</v>
      </c>
      <c r="E700" t="s">
        <v>121</v>
      </c>
      <c r="F700" t="s">
        <v>4003</v>
      </c>
      <c r="G700" t="s">
        <v>4004</v>
      </c>
      <c r="H700" t="s">
        <v>4005</v>
      </c>
      <c r="I700" t="s">
        <v>125</v>
      </c>
      <c r="J700" t="s">
        <v>3074</v>
      </c>
      <c r="K700" t="s">
        <v>1853</v>
      </c>
      <c r="L700" t="s">
        <v>128</v>
      </c>
      <c r="M700" t="s">
        <v>1854</v>
      </c>
      <c r="N700" t="s">
        <v>4006</v>
      </c>
      <c r="O700" t="s">
        <v>131</v>
      </c>
      <c r="P700">
        <v>0</v>
      </c>
      <c r="Q700" t="s">
        <v>125</v>
      </c>
      <c r="R700">
        <v>4</v>
      </c>
      <c r="S700">
        <v>80</v>
      </c>
      <c r="T700" t="s">
        <v>132</v>
      </c>
      <c r="U700" t="s">
        <v>133</v>
      </c>
      <c r="V700" s="1">
        <v>50000</v>
      </c>
      <c r="W700">
        <v>0</v>
      </c>
      <c r="X700" s="1">
        <v>50000</v>
      </c>
      <c r="Y700">
        <v>7</v>
      </c>
      <c r="Z700">
        <v>0</v>
      </c>
      <c r="AA700">
        <v>3</v>
      </c>
      <c r="AB700">
        <v>0</v>
      </c>
      <c r="AC700">
        <v>7</v>
      </c>
      <c r="AD700" t="s">
        <v>134</v>
      </c>
      <c r="AE700" t="s">
        <v>134</v>
      </c>
      <c r="AF700" s="2">
        <v>45518</v>
      </c>
      <c r="AG700" s="2">
        <v>46013</v>
      </c>
      <c r="AH700" s="1">
        <v>12596.71</v>
      </c>
      <c r="AI700" s="1">
        <v>38133.31</v>
      </c>
      <c r="AJ700" s="1">
        <v>88177.03</v>
      </c>
      <c r="AK700">
        <v>0</v>
      </c>
      <c r="AL700">
        <v>0</v>
      </c>
      <c r="AM700">
        <v>0</v>
      </c>
      <c r="AN700" t="s">
        <v>135</v>
      </c>
      <c r="AO700" t="s">
        <v>135</v>
      </c>
      <c r="AP700" t="s">
        <v>136</v>
      </c>
      <c r="AQ700" t="s">
        <v>137</v>
      </c>
      <c r="AR700" t="s">
        <v>138</v>
      </c>
      <c r="AS700" t="s">
        <v>150</v>
      </c>
      <c r="AT700" t="s">
        <v>140</v>
      </c>
      <c r="AU700">
        <v>500</v>
      </c>
      <c r="AV700">
        <v>10</v>
      </c>
      <c r="AW700">
        <v>1</v>
      </c>
      <c r="AX700" s="2">
        <v>45607</v>
      </c>
      <c r="AY700" t="s">
        <v>141</v>
      </c>
      <c r="AZ700" s="2">
        <v>46027</v>
      </c>
      <c r="BA700">
        <v>0</v>
      </c>
      <c r="BB700">
        <v>0</v>
      </c>
      <c r="BC700">
        <v>0</v>
      </c>
      <c r="BD700">
        <v>700</v>
      </c>
      <c r="BE700">
        <v>70</v>
      </c>
      <c r="BF700">
        <v>9</v>
      </c>
      <c r="BG700" s="2">
        <v>45536</v>
      </c>
      <c r="BH700" t="s">
        <v>142</v>
      </c>
      <c r="BI700" s="2">
        <v>46026</v>
      </c>
      <c r="BJ700">
        <v>0</v>
      </c>
      <c r="BK700">
        <v>0</v>
      </c>
      <c r="BL700">
        <v>0</v>
      </c>
      <c r="BM700">
        <v>2</v>
      </c>
      <c r="BN700">
        <v>2</v>
      </c>
      <c r="BO700" s="1">
        <v>18343.96</v>
      </c>
      <c r="BP700">
        <v>0</v>
      </c>
      <c r="BQ700" s="1">
        <v>18343.96</v>
      </c>
      <c r="BR700">
        <v>0</v>
      </c>
      <c r="BS700">
        <v>2</v>
      </c>
      <c r="BT700">
        <v>2</v>
      </c>
      <c r="BU700" s="1">
        <v>55964.75</v>
      </c>
      <c r="BV700">
        <v>0</v>
      </c>
      <c r="BW700" s="1">
        <v>55964.75</v>
      </c>
      <c r="BX700">
        <v>0</v>
      </c>
      <c r="BY700">
        <v>0</v>
      </c>
      <c r="BZ700">
        <v>0</v>
      </c>
      <c r="CA700">
        <v>0</v>
      </c>
      <c r="CB700" s="1">
        <v>26589.200000000001</v>
      </c>
      <c r="CC700" t="s">
        <v>143</v>
      </c>
    </row>
    <row r="701" spans="1:81" x14ac:dyDescent="0.25">
      <c r="A701">
        <v>345</v>
      </c>
      <c r="B701">
        <v>2</v>
      </c>
      <c r="C701">
        <v>1101</v>
      </c>
      <c r="D701" t="s">
        <v>4007</v>
      </c>
      <c r="E701" t="s">
        <v>121</v>
      </c>
      <c r="F701" t="s">
        <v>4003</v>
      </c>
      <c r="G701" t="s">
        <v>4008</v>
      </c>
      <c r="H701" t="s">
        <v>4009</v>
      </c>
      <c r="I701" t="s">
        <v>4010</v>
      </c>
      <c r="J701" t="s">
        <v>126</v>
      </c>
      <c r="K701" t="s">
        <v>1853</v>
      </c>
      <c r="L701" t="s">
        <v>128</v>
      </c>
      <c r="M701" t="s">
        <v>1854</v>
      </c>
      <c r="N701" t="s">
        <v>4011</v>
      </c>
      <c r="O701" t="s">
        <v>131</v>
      </c>
      <c r="P701">
        <v>0</v>
      </c>
      <c r="Q701" t="s">
        <v>125</v>
      </c>
      <c r="R701">
        <v>3</v>
      </c>
      <c r="S701">
        <v>85</v>
      </c>
      <c r="T701" t="s">
        <v>132</v>
      </c>
      <c r="U701" t="s">
        <v>133</v>
      </c>
      <c r="V701" s="1">
        <v>46600</v>
      </c>
      <c r="W701">
        <v>0</v>
      </c>
      <c r="X701" s="1">
        <v>46600</v>
      </c>
      <c r="Y701">
        <v>7</v>
      </c>
      <c r="Z701">
        <v>0</v>
      </c>
      <c r="AA701">
        <v>4</v>
      </c>
      <c r="AB701">
        <v>0</v>
      </c>
      <c r="AC701">
        <v>0</v>
      </c>
      <c r="AD701" t="s">
        <v>134</v>
      </c>
      <c r="AE701" t="s">
        <v>134</v>
      </c>
      <c r="AF701" s="2">
        <v>45518</v>
      </c>
      <c r="AG701" s="2">
        <v>46010</v>
      </c>
      <c r="AH701" s="1">
        <v>6441.08</v>
      </c>
      <c r="AI701" s="1">
        <v>14490.33</v>
      </c>
      <c r="AJ701" s="1">
        <v>32205.439999999999</v>
      </c>
      <c r="AK701">
        <v>0</v>
      </c>
      <c r="AL701">
        <v>0</v>
      </c>
      <c r="AM701">
        <v>0</v>
      </c>
      <c r="AN701" t="s">
        <v>135</v>
      </c>
      <c r="AO701" t="s">
        <v>135</v>
      </c>
      <c r="AP701" t="s">
        <v>136</v>
      </c>
      <c r="AQ701" t="s">
        <v>137</v>
      </c>
      <c r="AR701" t="s">
        <v>138</v>
      </c>
      <c r="AS701" t="s">
        <v>150</v>
      </c>
      <c r="AT701" t="s">
        <v>140</v>
      </c>
      <c r="AU701">
        <v>500</v>
      </c>
      <c r="AV701">
        <v>10</v>
      </c>
      <c r="AW701">
        <v>1</v>
      </c>
      <c r="AX701" s="2">
        <v>45838</v>
      </c>
      <c r="AY701" t="s">
        <v>141</v>
      </c>
      <c r="AZ701" s="2">
        <v>46027</v>
      </c>
      <c r="BA701">
        <v>0</v>
      </c>
      <c r="BB701">
        <v>0</v>
      </c>
      <c r="BC701">
        <v>0</v>
      </c>
      <c r="BD701">
        <v>700</v>
      </c>
      <c r="BE701">
        <v>70</v>
      </c>
      <c r="BF701">
        <v>9</v>
      </c>
      <c r="BG701" s="2">
        <v>45536</v>
      </c>
      <c r="BH701" t="s">
        <v>142</v>
      </c>
      <c r="BI701" s="2">
        <v>46026</v>
      </c>
      <c r="BJ701">
        <v>0</v>
      </c>
      <c r="BK701">
        <v>0</v>
      </c>
      <c r="BL701">
        <v>0</v>
      </c>
      <c r="BM701">
        <v>2.5099999999999998</v>
      </c>
      <c r="BN701">
        <v>2.5099999999999998</v>
      </c>
      <c r="BO701" s="1">
        <v>7059.67</v>
      </c>
      <c r="BP701">
        <v>0</v>
      </c>
      <c r="BQ701" s="1">
        <v>7059.67</v>
      </c>
      <c r="BR701">
        <v>0</v>
      </c>
      <c r="BS701">
        <v>4</v>
      </c>
      <c r="BT701">
        <v>4</v>
      </c>
      <c r="BU701" s="1">
        <v>14490.33</v>
      </c>
      <c r="BV701">
        <v>0</v>
      </c>
      <c r="BW701" s="1">
        <v>14490.33</v>
      </c>
      <c r="BX701">
        <v>0</v>
      </c>
      <c r="BY701">
        <v>0</v>
      </c>
      <c r="BZ701">
        <v>0</v>
      </c>
      <c r="CA701">
        <v>0</v>
      </c>
      <c r="CB701" s="1">
        <v>13353.69</v>
      </c>
      <c r="CC701" t="s">
        <v>143</v>
      </c>
    </row>
    <row r="702" spans="1:81" x14ac:dyDescent="0.25">
      <c r="A702">
        <v>345</v>
      </c>
      <c r="B702">
        <v>2</v>
      </c>
      <c r="C702">
        <v>1102</v>
      </c>
      <c r="D702" t="s">
        <v>4012</v>
      </c>
      <c r="E702" t="s">
        <v>121</v>
      </c>
      <c r="F702" t="s">
        <v>4003</v>
      </c>
      <c r="G702" t="s">
        <v>4004</v>
      </c>
      <c r="H702" t="s">
        <v>4013</v>
      </c>
      <c r="I702" t="s">
        <v>4014</v>
      </c>
      <c r="J702" t="s">
        <v>3074</v>
      </c>
      <c r="K702" t="s">
        <v>1853</v>
      </c>
      <c r="L702" t="s">
        <v>128</v>
      </c>
      <c r="M702" t="s">
        <v>1854</v>
      </c>
      <c r="N702" t="s">
        <v>4006</v>
      </c>
      <c r="O702" t="s">
        <v>131</v>
      </c>
      <c r="P702">
        <v>0</v>
      </c>
      <c r="Q702" t="s">
        <v>125</v>
      </c>
      <c r="R702">
        <v>3</v>
      </c>
      <c r="S702">
        <v>85</v>
      </c>
      <c r="T702" t="s">
        <v>132</v>
      </c>
      <c r="U702" t="s">
        <v>133</v>
      </c>
      <c r="V702" s="1">
        <v>43900</v>
      </c>
      <c r="W702">
        <v>0</v>
      </c>
      <c r="X702" s="1">
        <v>43900</v>
      </c>
      <c r="Y702">
        <v>7</v>
      </c>
      <c r="Z702">
        <v>0</v>
      </c>
      <c r="AA702">
        <v>4</v>
      </c>
      <c r="AB702">
        <v>0</v>
      </c>
      <c r="AC702">
        <v>7</v>
      </c>
      <c r="AD702" t="s">
        <v>134</v>
      </c>
      <c r="AE702" t="s">
        <v>134</v>
      </c>
      <c r="AF702" s="2">
        <v>45518</v>
      </c>
      <c r="AG702" s="2">
        <v>46009</v>
      </c>
      <c r="AH702" s="1">
        <v>10133.67</v>
      </c>
      <c r="AI702" s="1">
        <v>25335.61</v>
      </c>
      <c r="AJ702" s="1">
        <v>60802.07</v>
      </c>
      <c r="AK702">
        <v>0</v>
      </c>
      <c r="AL702">
        <v>0</v>
      </c>
      <c r="AM702">
        <v>0</v>
      </c>
      <c r="AN702" t="s">
        <v>135</v>
      </c>
      <c r="AO702" t="s">
        <v>135</v>
      </c>
      <c r="AP702" t="s">
        <v>136</v>
      </c>
      <c r="AQ702" t="s">
        <v>137</v>
      </c>
      <c r="AR702" t="s">
        <v>138</v>
      </c>
      <c r="AS702" t="s">
        <v>150</v>
      </c>
      <c r="AT702" t="s">
        <v>140</v>
      </c>
      <c r="AU702">
        <v>500</v>
      </c>
      <c r="AV702">
        <v>10</v>
      </c>
      <c r="AW702">
        <v>1</v>
      </c>
      <c r="AX702" s="2">
        <v>45838</v>
      </c>
      <c r="AY702" t="s">
        <v>141</v>
      </c>
      <c r="AZ702" s="2">
        <v>46027</v>
      </c>
      <c r="BA702">
        <v>0</v>
      </c>
      <c r="BB702">
        <v>0</v>
      </c>
      <c r="BC702">
        <v>0</v>
      </c>
      <c r="BD702">
        <v>700</v>
      </c>
      <c r="BE702">
        <v>70</v>
      </c>
      <c r="BF702">
        <v>9</v>
      </c>
      <c r="BG702" s="2">
        <v>45536</v>
      </c>
      <c r="BH702" t="s">
        <v>142</v>
      </c>
      <c r="BI702" s="2">
        <v>46026</v>
      </c>
      <c r="BJ702">
        <v>0</v>
      </c>
      <c r="BK702">
        <v>0</v>
      </c>
      <c r="BL702">
        <v>0</v>
      </c>
      <c r="BM702">
        <v>2.34</v>
      </c>
      <c r="BN702">
        <v>2.34</v>
      </c>
      <c r="BO702" s="1">
        <v>13963.12</v>
      </c>
      <c r="BP702">
        <v>0</v>
      </c>
      <c r="BQ702" s="1">
        <v>13963.12</v>
      </c>
      <c r="BR702">
        <v>0</v>
      </c>
      <c r="BS702">
        <v>4</v>
      </c>
      <c r="BT702">
        <v>4</v>
      </c>
      <c r="BU702" s="1">
        <v>36842.19</v>
      </c>
      <c r="BV702">
        <v>0</v>
      </c>
      <c r="BW702" s="1">
        <v>36842.19</v>
      </c>
      <c r="BX702">
        <v>0</v>
      </c>
      <c r="BY702">
        <v>0</v>
      </c>
      <c r="BZ702">
        <v>0</v>
      </c>
      <c r="CA702">
        <v>0</v>
      </c>
      <c r="CB702" s="1">
        <v>21388.16</v>
      </c>
      <c r="CC702" t="s">
        <v>143</v>
      </c>
    </row>
    <row r="703" spans="1:81" x14ac:dyDescent="0.25">
      <c r="A703">
        <v>345</v>
      </c>
      <c r="B703">
        <v>2</v>
      </c>
      <c r="C703">
        <v>1103</v>
      </c>
      <c r="D703" t="s">
        <v>4015</v>
      </c>
      <c r="E703" t="s">
        <v>121</v>
      </c>
      <c r="F703" t="s">
        <v>4016</v>
      </c>
      <c r="G703" t="s">
        <v>4017</v>
      </c>
      <c r="H703" t="s">
        <v>4018</v>
      </c>
      <c r="I703" t="s">
        <v>4019</v>
      </c>
      <c r="J703" t="s">
        <v>3074</v>
      </c>
      <c r="K703" t="s">
        <v>1853</v>
      </c>
      <c r="L703" t="s">
        <v>128</v>
      </c>
      <c r="M703" t="s">
        <v>1854</v>
      </c>
      <c r="N703" t="s">
        <v>4020</v>
      </c>
      <c r="O703" t="s">
        <v>167</v>
      </c>
      <c r="P703">
        <v>0</v>
      </c>
      <c r="Q703" t="s">
        <v>125</v>
      </c>
      <c r="R703">
        <v>3</v>
      </c>
      <c r="S703">
        <v>84</v>
      </c>
      <c r="T703" t="s">
        <v>132</v>
      </c>
      <c r="U703" t="s">
        <v>133</v>
      </c>
      <c r="V703">
        <v>709</v>
      </c>
      <c r="W703">
        <v>0</v>
      </c>
      <c r="X703">
        <v>709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134</v>
      </c>
      <c r="AE703" t="s">
        <v>134</v>
      </c>
      <c r="AF703" s="2">
        <v>45518</v>
      </c>
      <c r="AG703" s="2">
        <v>46015</v>
      </c>
      <c r="AH703">
        <v>438.94</v>
      </c>
      <c r="AI703">
        <v>683.1</v>
      </c>
      <c r="AJ703" s="1">
        <v>3511.55</v>
      </c>
      <c r="AK703">
        <v>0</v>
      </c>
      <c r="AL703">
        <v>0</v>
      </c>
      <c r="AM703">
        <v>0</v>
      </c>
      <c r="AN703" t="s">
        <v>135</v>
      </c>
      <c r="AO703" t="s">
        <v>135</v>
      </c>
      <c r="AP703" t="s">
        <v>136</v>
      </c>
      <c r="AQ703" t="s">
        <v>137</v>
      </c>
      <c r="AR703" t="s">
        <v>138</v>
      </c>
      <c r="AS703" t="s">
        <v>150</v>
      </c>
      <c r="AT703" t="s">
        <v>140</v>
      </c>
      <c r="AU703">
        <v>106</v>
      </c>
      <c r="AV703">
        <v>10</v>
      </c>
      <c r="AW703">
        <v>1</v>
      </c>
      <c r="AX703" s="2">
        <v>45608</v>
      </c>
      <c r="AY703" t="s">
        <v>377</v>
      </c>
      <c r="AZ703" s="2">
        <v>46028</v>
      </c>
      <c r="BA703">
        <v>0</v>
      </c>
      <c r="BB703">
        <v>0</v>
      </c>
      <c r="BC703">
        <v>0</v>
      </c>
      <c r="BD703">
        <v>700</v>
      </c>
      <c r="BE703">
        <v>70</v>
      </c>
      <c r="BF703">
        <v>9</v>
      </c>
      <c r="BG703" s="2">
        <v>45536</v>
      </c>
      <c r="BH703" t="s">
        <v>142</v>
      </c>
      <c r="BI703" s="2">
        <v>46026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807.84</v>
      </c>
      <c r="BQ703" s="1">
        <v>1179.68</v>
      </c>
      <c r="BR703">
        <v>0</v>
      </c>
      <c r="BS703">
        <v>0</v>
      </c>
      <c r="BT703">
        <v>0</v>
      </c>
      <c r="BU703">
        <v>0</v>
      </c>
      <c r="BV703" s="1">
        <v>1162.0899999999999</v>
      </c>
      <c r="BW703" s="1">
        <v>1162.0899999999999</v>
      </c>
      <c r="BX703">
        <v>0</v>
      </c>
      <c r="BY703">
        <v>0</v>
      </c>
      <c r="BZ703">
        <v>0</v>
      </c>
      <c r="CA703">
        <v>0</v>
      </c>
      <c r="CB703" s="1">
        <v>1075.56</v>
      </c>
      <c r="CC703" t="s">
        <v>161</v>
      </c>
    </row>
    <row r="704" spans="1:81" x14ac:dyDescent="0.25">
      <c r="A704">
        <v>345</v>
      </c>
      <c r="B704">
        <v>2</v>
      </c>
      <c r="C704">
        <v>1105</v>
      </c>
      <c r="D704" t="s">
        <v>4021</v>
      </c>
      <c r="E704" t="s">
        <v>121</v>
      </c>
      <c r="F704" t="s">
        <v>4022</v>
      </c>
      <c r="G704" t="s">
        <v>4023</v>
      </c>
      <c r="H704" t="s">
        <v>4024</v>
      </c>
      <c r="I704" t="s">
        <v>4025</v>
      </c>
      <c r="J704" t="s">
        <v>1465</v>
      </c>
      <c r="K704" t="s">
        <v>466</v>
      </c>
      <c r="L704" t="s">
        <v>128</v>
      </c>
      <c r="M704" t="s">
        <v>467</v>
      </c>
      <c r="N704" t="s">
        <v>4026</v>
      </c>
      <c r="O704" t="s">
        <v>195</v>
      </c>
      <c r="P704">
        <v>0</v>
      </c>
      <c r="Q704" t="s">
        <v>125</v>
      </c>
      <c r="R704">
        <v>6</v>
      </c>
      <c r="S704">
        <v>41</v>
      </c>
      <c r="T704" t="s">
        <v>132</v>
      </c>
      <c r="U704" t="s">
        <v>133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134</v>
      </c>
      <c r="AE704" t="s">
        <v>134</v>
      </c>
      <c r="AF704" s="2">
        <v>45518</v>
      </c>
      <c r="AG704" s="2">
        <v>46009</v>
      </c>
      <c r="AH704">
        <v>340.38</v>
      </c>
      <c r="AI704">
        <v>729.13</v>
      </c>
      <c r="AJ704" s="1">
        <v>2042.32</v>
      </c>
      <c r="AK704">
        <v>0</v>
      </c>
      <c r="AL704">
        <v>0</v>
      </c>
      <c r="AM704">
        <v>0</v>
      </c>
      <c r="AN704" t="s">
        <v>135</v>
      </c>
      <c r="AO704" t="s">
        <v>135</v>
      </c>
      <c r="AP704" t="s">
        <v>136</v>
      </c>
      <c r="AQ704" t="s">
        <v>137</v>
      </c>
      <c r="AR704" t="s">
        <v>138</v>
      </c>
      <c r="AS704" t="s">
        <v>150</v>
      </c>
      <c r="AT704" t="s">
        <v>140</v>
      </c>
      <c r="AU704">
        <v>100</v>
      </c>
      <c r="AV704">
        <v>10</v>
      </c>
      <c r="AW704">
        <v>1</v>
      </c>
      <c r="AX704" s="2">
        <v>45812</v>
      </c>
      <c r="AY704" t="s">
        <v>168</v>
      </c>
      <c r="AZ704" s="2">
        <v>46022</v>
      </c>
      <c r="BA704">
        <v>0</v>
      </c>
      <c r="BB704">
        <v>0</v>
      </c>
      <c r="BC704">
        <v>0</v>
      </c>
      <c r="BD704">
        <v>700</v>
      </c>
      <c r="BE704">
        <v>70</v>
      </c>
      <c r="BF704">
        <v>9</v>
      </c>
      <c r="BG704" s="2">
        <v>45536</v>
      </c>
      <c r="BH704" t="s">
        <v>142</v>
      </c>
      <c r="BI704" s="2">
        <v>46026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869.04</v>
      </c>
      <c r="BQ704">
        <v>869.04</v>
      </c>
      <c r="BR704">
        <v>0</v>
      </c>
      <c r="BS704">
        <v>0</v>
      </c>
      <c r="BT704">
        <v>0</v>
      </c>
      <c r="BU704">
        <v>0</v>
      </c>
      <c r="BV704">
        <v>729.13</v>
      </c>
      <c r="BW704">
        <v>729.13</v>
      </c>
      <c r="BX704">
        <v>0</v>
      </c>
      <c r="BY704">
        <v>0</v>
      </c>
      <c r="BZ704">
        <v>0</v>
      </c>
      <c r="CA704">
        <v>0</v>
      </c>
      <c r="CB704" s="1">
        <v>1035.54</v>
      </c>
      <c r="CC704" t="s">
        <v>161</v>
      </c>
    </row>
    <row r="705" spans="1:81" x14ac:dyDescent="0.25">
      <c r="A705">
        <v>345</v>
      </c>
      <c r="B705">
        <v>2</v>
      </c>
      <c r="C705">
        <v>1107</v>
      </c>
      <c r="D705" t="s">
        <v>4027</v>
      </c>
      <c r="E705" t="s">
        <v>121</v>
      </c>
      <c r="F705" t="s">
        <v>4028</v>
      </c>
      <c r="G705" t="s">
        <v>4029</v>
      </c>
      <c r="H705" t="s">
        <v>3896</v>
      </c>
      <c r="I705" t="s">
        <v>4030</v>
      </c>
      <c r="J705" t="s">
        <v>1263</v>
      </c>
      <c r="K705" t="s">
        <v>466</v>
      </c>
      <c r="L705" t="s">
        <v>128</v>
      </c>
      <c r="M705" t="s">
        <v>467</v>
      </c>
      <c r="N705" t="s">
        <v>4031</v>
      </c>
      <c r="O705" t="s">
        <v>195</v>
      </c>
      <c r="P705">
        <v>0</v>
      </c>
      <c r="Q705" t="s">
        <v>125</v>
      </c>
      <c r="R705">
        <v>6</v>
      </c>
      <c r="S705">
        <v>41</v>
      </c>
      <c r="T705" t="s">
        <v>132</v>
      </c>
      <c r="U705" t="s">
        <v>133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134</v>
      </c>
      <c r="AE705" t="s">
        <v>134</v>
      </c>
      <c r="AF705" s="2">
        <v>45518</v>
      </c>
      <c r="AG705" s="2">
        <v>46017</v>
      </c>
      <c r="AH705">
        <v>311.87</v>
      </c>
      <c r="AI705">
        <v>515.28</v>
      </c>
      <c r="AJ705" s="1">
        <v>3742.54</v>
      </c>
      <c r="AK705">
        <v>0</v>
      </c>
      <c r="AL705">
        <v>0</v>
      </c>
      <c r="AM705">
        <v>0</v>
      </c>
      <c r="AN705" t="s">
        <v>135</v>
      </c>
      <c r="AO705" t="s">
        <v>135</v>
      </c>
      <c r="AP705" t="s">
        <v>136</v>
      </c>
      <c r="AQ705" t="s">
        <v>137</v>
      </c>
      <c r="AR705" t="s">
        <v>138</v>
      </c>
      <c r="AS705" t="s">
        <v>150</v>
      </c>
      <c r="AT705" t="s">
        <v>140</v>
      </c>
      <c r="AU705">
        <v>106</v>
      </c>
      <c r="AV705">
        <v>10</v>
      </c>
      <c r="AW705">
        <v>1</v>
      </c>
      <c r="AX705" s="2">
        <v>45841</v>
      </c>
      <c r="AY705" t="s">
        <v>308</v>
      </c>
      <c r="AZ705" s="2">
        <v>46023</v>
      </c>
      <c r="BA705">
        <v>0</v>
      </c>
      <c r="BB705">
        <v>0</v>
      </c>
      <c r="BC705">
        <v>0</v>
      </c>
      <c r="BD705">
        <v>700</v>
      </c>
      <c r="BE705">
        <v>70</v>
      </c>
      <c r="BF705">
        <v>9</v>
      </c>
      <c r="BG705" s="2">
        <v>45536</v>
      </c>
      <c r="BH705" t="s">
        <v>142</v>
      </c>
      <c r="BI705" s="2">
        <v>46026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 s="1">
        <v>1038.48</v>
      </c>
      <c r="BQ705" s="1">
        <v>1038.48</v>
      </c>
      <c r="BR705">
        <v>0</v>
      </c>
      <c r="BS705">
        <v>0</v>
      </c>
      <c r="BT705">
        <v>0</v>
      </c>
      <c r="BU705">
        <v>0</v>
      </c>
      <c r="BV705" s="1">
        <v>1328.46</v>
      </c>
      <c r="BW705" s="1">
        <v>1328.46</v>
      </c>
      <c r="BX705">
        <v>0</v>
      </c>
      <c r="BY705">
        <v>0</v>
      </c>
      <c r="BZ705">
        <v>0</v>
      </c>
      <c r="CA705">
        <v>0</v>
      </c>
      <c r="CB705">
        <v>883.42</v>
      </c>
      <c r="CC705" t="s">
        <v>161</v>
      </c>
    </row>
    <row r="706" spans="1:81" x14ac:dyDescent="0.25">
      <c r="A706">
        <v>345</v>
      </c>
      <c r="B706">
        <v>2</v>
      </c>
      <c r="C706">
        <v>1108</v>
      </c>
      <c r="D706" t="s">
        <v>4032</v>
      </c>
      <c r="E706" t="s">
        <v>121</v>
      </c>
      <c r="F706" t="s">
        <v>4033</v>
      </c>
      <c r="G706" t="s">
        <v>4034</v>
      </c>
      <c r="H706" t="s">
        <v>4035</v>
      </c>
      <c r="I706" t="s">
        <v>4036</v>
      </c>
      <c r="J706" t="s">
        <v>3074</v>
      </c>
      <c r="K706" t="s">
        <v>1853</v>
      </c>
      <c r="L706" t="s">
        <v>128</v>
      </c>
      <c r="M706" t="s">
        <v>1854</v>
      </c>
      <c r="N706" t="s">
        <v>4037</v>
      </c>
      <c r="O706" t="s">
        <v>131</v>
      </c>
      <c r="P706">
        <v>0</v>
      </c>
      <c r="Q706" t="s">
        <v>125</v>
      </c>
      <c r="R706">
        <v>6</v>
      </c>
      <c r="S706">
        <v>44</v>
      </c>
      <c r="T706" t="s">
        <v>132</v>
      </c>
      <c r="U706" t="s">
        <v>133</v>
      </c>
      <c r="V706" s="1">
        <v>5600</v>
      </c>
      <c r="W706" s="1">
        <v>5529.22</v>
      </c>
      <c r="X706">
        <v>70.78</v>
      </c>
      <c r="Y706">
        <v>7</v>
      </c>
      <c r="Z706">
        <v>0</v>
      </c>
      <c r="AA706">
        <v>9</v>
      </c>
      <c r="AB706">
        <v>0</v>
      </c>
      <c r="AC706">
        <v>0</v>
      </c>
      <c r="AD706" t="s">
        <v>134</v>
      </c>
      <c r="AE706" t="s">
        <v>134</v>
      </c>
      <c r="AF706" s="2">
        <v>45518</v>
      </c>
      <c r="AG706" s="2">
        <v>46018</v>
      </c>
      <c r="AH706" s="1">
        <v>3188.73</v>
      </c>
      <c r="AI706" s="1">
        <v>5529.22</v>
      </c>
      <c r="AJ706" s="1">
        <v>41453.53</v>
      </c>
      <c r="AK706">
        <v>0</v>
      </c>
      <c r="AL706" s="1">
        <v>5529.22</v>
      </c>
      <c r="AM706">
        <v>38.64</v>
      </c>
      <c r="AN706" t="s">
        <v>135</v>
      </c>
      <c r="AO706" t="s">
        <v>135</v>
      </c>
      <c r="AP706" t="s">
        <v>136</v>
      </c>
      <c r="AQ706" t="s">
        <v>137</v>
      </c>
      <c r="AR706" t="s">
        <v>138</v>
      </c>
      <c r="AS706" t="s">
        <v>150</v>
      </c>
      <c r="AT706" t="s">
        <v>140</v>
      </c>
      <c r="AU706">
        <v>106</v>
      </c>
      <c r="AV706">
        <v>10</v>
      </c>
      <c r="AW706">
        <v>1</v>
      </c>
      <c r="AX706" s="2">
        <v>45813</v>
      </c>
      <c r="AY706" t="s">
        <v>308</v>
      </c>
      <c r="AZ706" s="2">
        <v>46023</v>
      </c>
      <c r="BA706">
        <v>0</v>
      </c>
      <c r="BB706">
        <v>0</v>
      </c>
      <c r="BC706">
        <v>0</v>
      </c>
      <c r="BD706">
        <v>700</v>
      </c>
      <c r="BE706">
        <v>70</v>
      </c>
      <c r="BF706">
        <v>9</v>
      </c>
      <c r="BG706" s="2">
        <v>45536</v>
      </c>
      <c r="BH706" t="s">
        <v>142</v>
      </c>
      <c r="BI706" s="2">
        <v>46026</v>
      </c>
      <c r="BJ706">
        <v>0</v>
      </c>
      <c r="BK706">
        <v>0</v>
      </c>
      <c r="BL706">
        <v>0</v>
      </c>
      <c r="BM706">
        <v>7.43</v>
      </c>
      <c r="BN706">
        <v>7.41</v>
      </c>
      <c r="BO706" s="1">
        <v>10772.25</v>
      </c>
      <c r="BP706">
        <v>28.69</v>
      </c>
      <c r="BQ706" s="1">
        <v>10800.94</v>
      </c>
      <c r="BR706" s="1">
        <v>2136.58</v>
      </c>
      <c r="BS706">
        <v>5.83</v>
      </c>
      <c r="BT706">
        <v>5.83</v>
      </c>
      <c r="BU706" s="1">
        <v>16526.05</v>
      </c>
      <c r="BV706">
        <v>0</v>
      </c>
      <c r="BW706" s="1">
        <v>16526.05</v>
      </c>
      <c r="BX706" s="1">
        <v>5529.22</v>
      </c>
      <c r="BY706">
        <v>33.46</v>
      </c>
      <c r="BZ706">
        <v>0</v>
      </c>
      <c r="CA706">
        <v>0</v>
      </c>
      <c r="CB706" s="1">
        <v>11920.67</v>
      </c>
      <c r="CC706" t="s">
        <v>143</v>
      </c>
    </row>
    <row r="707" spans="1:81" x14ac:dyDescent="0.25">
      <c r="A707">
        <v>345</v>
      </c>
      <c r="B707">
        <v>2</v>
      </c>
      <c r="C707">
        <v>1109</v>
      </c>
      <c r="D707" t="s">
        <v>4038</v>
      </c>
      <c r="E707" t="s">
        <v>121</v>
      </c>
      <c r="F707" t="s">
        <v>4039</v>
      </c>
      <c r="G707" t="s">
        <v>4040</v>
      </c>
      <c r="H707" t="s">
        <v>4041</v>
      </c>
      <c r="I707" t="s">
        <v>4042</v>
      </c>
      <c r="J707" t="s">
        <v>1465</v>
      </c>
      <c r="K707" t="s">
        <v>466</v>
      </c>
      <c r="L707" t="s">
        <v>128</v>
      </c>
      <c r="M707" t="s">
        <v>467</v>
      </c>
      <c r="N707" t="s">
        <v>4043</v>
      </c>
      <c r="O707" t="s">
        <v>131</v>
      </c>
      <c r="P707">
        <v>0</v>
      </c>
      <c r="Q707" t="s">
        <v>125</v>
      </c>
      <c r="R707">
        <v>3</v>
      </c>
      <c r="S707">
        <v>86</v>
      </c>
      <c r="T707" t="s">
        <v>132</v>
      </c>
      <c r="U707" t="s">
        <v>133</v>
      </c>
      <c r="V707" s="1">
        <v>3600</v>
      </c>
      <c r="W707">
        <v>0</v>
      </c>
      <c r="X707" s="1">
        <v>3600</v>
      </c>
      <c r="Y707">
        <v>7</v>
      </c>
      <c r="Z707">
        <v>0</v>
      </c>
      <c r="AA707">
        <v>0</v>
      </c>
      <c r="AB707">
        <v>0</v>
      </c>
      <c r="AC707">
        <v>0</v>
      </c>
      <c r="AD707" t="s">
        <v>234</v>
      </c>
      <c r="AE707" t="s">
        <v>134</v>
      </c>
      <c r="AF707" s="2">
        <v>45518</v>
      </c>
      <c r="AG707" s="2">
        <v>46017</v>
      </c>
      <c r="AH707" s="1">
        <v>1781.42</v>
      </c>
      <c r="AI707" s="1">
        <v>2196.86</v>
      </c>
      <c r="AJ707" s="1">
        <v>23158.48</v>
      </c>
      <c r="AK707">
        <v>0</v>
      </c>
      <c r="AL707">
        <v>0</v>
      </c>
      <c r="AM707">
        <v>0</v>
      </c>
      <c r="AN707" t="s">
        <v>135</v>
      </c>
      <c r="AO707" t="s">
        <v>135</v>
      </c>
      <c r="AP707" t="s">
        <v>136</v>
      </c>
      <c r="AQ707" t="s">
        <v>137</v>
      </c>
      <c r="AR707" t="s">
        <v>138</v>
      </c>
      <c r="AS707" t="s">
        <v>150</v>
      </c>
      <c r="AT707" t="s">
        <v>140</v>
      </c>
      <c r="AU707">
        <v>100</v>
      </c>
      <c r="AV707">
        <v>10</v>
      </c>
      <c r="AW707">
        <v>1</v>
      </c>
      <c r="AX707" s="2">
        <v>45812</v>
      </c>
      <c r="AY707" t="s">
        <v>168</v>
      </c>
      <c r="AZ707" s="2">
        <v>46022</v>
      </c>
      <c r="BA707">
        <v>0</v>
      </c>
      <c r="BB707">
        <v>0</v>
      </c>
      <c r="BC707">
        <v>0</v>
      </c>
      <c r="BD707">
        <v>700</v>
      </c>
      <c r="BE707">
        <v>70</v>
      </c>
      <c r="BF707">
        <v>9</v>
      </c>
      <c r="BG707" s="2">
        <v>45809</v>
      </c>
      <c r="BH707" t="s">
        <v>142</v>
      </c>
      <c r="BI707" s="2">
        <v>46026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 s="1">
        <v>7514.02</v>
      </c>
      <c r="BQ707" s="1">
        <v>7514.02</v>
      </c>
      <c r="BR707">
        <v>0</v>
      </c>
      <c r="BS707">
        <v>0</v>
      </c>
      <c r="BT707">
        <v>0</v>
      </c>
      <c r="BU707">
        <v>0</v>
      </c>
      <c r="BV707" s="1">
        <v>6591.01</v>
      </c>
      <c r="BW707" s="1">
        <v>6591.01</v>
      </c>
      <c r="BX707">
        <v>0</v>
      </c>
      <c r="BY707">
        <v>0</v>
      </c>
      <c r="BZ707">
        <v>0</v>
      </c>
      <c r="CA707">
        <v>0</v>
      </c>
      <c r="CB707" s="1">
        <v>7708.71</v>
      </c>
      <c r="CC707" t="s">
        <v>143</v>
      </c>
    </row>
    <row r="708" spans="1:81" x14ac:dyDescent="0.25">
      <c r="A708">
        <v>345</v>
      </c>
      <c r="B708">
        <v>2</v>
      </c>
      <c r="C708">
        <v>1110</v>
      </c>
      <c r="D708" t="s">
        <v>4044</v>
      </c>
      <c r="E708" t="s">
        <v>121</v>
      </c>
      <c r="F708" t="s">
        <v>4045</v>
      </c>
      <c r="G708" t="s">
        <v>4046</v>
      </c>
      <c r="H708" t="s">
        <v>4047</v>
      </c>
      <c r="I708" t="s">
        <v>4048</v>
      </c>
      <c r="J708" t="s">
        <v>3080</v>
      </c>
      <c r="K708" t="s">
        <v>336</v>
      </c>
      <c r="L708" t="s">
        <v>128</v>
      </c>
      <c r="M708" t="s">
        <v>337</v>
      </c>
      <c r="N708" t="s">
        <v>4049</v>
      </c>
      <c r="O708" t="s">
        <v>131</v>
      </c>
      <c r="P708">
        <v>0</v>
      </c>
      <c r="Q708" t="s">
        <v>125</v>
      </c>
      <c r="R708">
        <v>6</v>
      </c>
      <c r="S708">
        <v>41</v>
      </c>
      <c r="T708" t="s">
        <v>132</v>
      </c>
      <c r="U708" t="s">
        <v>133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134</v>
      </c>
      <c r="AE708" t="s">
        <v>134</v>
      </c>
      <c r="AF708" s="2">
        <v>45518</v>
      </c>
      <c r="AG708" s="2">
        <v>46017</v>
      </c>
      <c r="AH708">
        <v>325.89</v>
      </c>
      <c r="AI708">
        <v>501.6</v>
      </c>
      <c r="AJ708" s="1">
        <v>1955.35</v>
      </c>
      <c r="AK708">
        <v>0</v>
      </c>
      <c r="AL708">
        <v>0</v>
      </c>
      <c r="AM708">
        <v>0</v>
      </c>
      <c r="AN708" t="s">
        <v>135</v>
      </c>
      <c r="AO708" t="s">
        <v>135</v>
      </c>
      <c r="AP708" t="s">
        <v>136</v>
      </c>
      <c r="AQ708" t="s">
        <v>137</v>
      </c>
      <c r="AR708" t="s">
        <v>138</v>
      </c>
      <c r="AS708" t="s">
        <v>150</v>
      </c>
      <c r="AT708" t="s">
        <v>140</v>
      </c>
      <c r="AU708">
        <v>100</v>
      </c>
      <c r="AV708">
        <v>10</v>
      </c>
      <c r="AW708">
        <v>1</v>
      </c>
      <c r="AX708" s="2">
        <v>45860</v>
      </c>
      <c r="AY708" t="s">
        <v>377</v>
      </c>
      <c r="AZ708" s="2">
        <v>46028</v>
      </c>
      <c r="BA708">
        <v>0</v>
      </c>
      <c r="BB708">
        <v>0</v>
      </c>
      <c r="BC708">
        <v>0</v>
      </c>
      <c r="BD708">
        <v>700</v>
      </c>
      <c r="BE708">
        <v>70</v>
      </c>
      <c r="BF708">
        <v>9</v>
      </c>
      <c r="BG708" s="2">
        <v>45536</v>
      </c>
      <c r="BH708" t="s">
        <v>142</v>
      </c>
      <c r="BI708" s="2">
        <v>46026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s="1">
        <v>1042.55</v>
      </c>
      <c r="BQ708" s="1">
        <v>1042.55</v>
      </c>
      <c r="BR708">
        <v>0</v>
      </c>
      <c r="BS708">
        <v>0</v>
      </c>
      <c r="BT708">
        <v>0</v>
      </c>
      <c r="BU708">
        <v>0</v>
      </c>
      <c r="BV708">
        <v>593</v>
      </c>
      <c r="BW708">
        <v>593</v>
      </c>
      <c r="BX708">
        <v>0</v>
      </c>
      <c r="BY708">
        <v>0</v>
      </c>
      <c r="BZ708">
        <v>0</v>
      </c>
      <c r="CA708">
        <v>0</v>
      </c>
      <c r="CB708">
        <v>722.27</v>
      </c>
      <c r="CC708" t="s">
        <v>143</v>
      </c>
    </row>
    <row r="709" spans="1:81" x14ac:dyDescent="0.25">
      <c r="A709">
        <v>345</v>
      </c>
      <c r="B709">
        <v>2</v>
      </c>
      <c r="C709">
        <v>1111</v>
      </c>
      <c r="D709" t="s">
        <v>4050</v>
      </c>
      <c r="E709" t="s">
        <v>121</v>
      </c>
      <c r="F709" t="s">
        <v>4051</v>
      </c>
      <c r="G709" t="s">
        <v>4052</v>
      </c>
      <c r="H709" t="s">
        <v>4053</v>
      </c>
      <c r="I709" t="s">
        <v>4054</v>
      </c>
      <c r="J709" t="s">
        <v>3074</v>
      </c>
      <c r="K709" t="s">
        <v>1853</v>
      </c>
      <c r="L709" t="s">
        <v>128</v>
      </c>
      <c r="M709" t="s">
        <v>1854</v>
      </c>
      <c r="N709" t="s">
        <v>4055</v>
      </c>
      <c r="O709" t="s">
        <v>131</v>
      </c>
      <c r="P709">
        <v>0</v>
      </c>
      <c r="Q709" t="s">
        <v>125</v>
      </c>
      <c r="R709">
        <v>6</v>
      </c>
      <c r="S709">
        <v>40</v>
      </c>
      <c r="T709" t="s">
        <v>132</v>
      </c>
      <c r="U709" t="s">
        <v>133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134</v>
      </c>
      <c r="AE709" t="s">
        <v>134</v>
      </c>
      <c r="AF709" s="2">
        <v>45518</v>
      </c>
      <c r="AG709" s="2">
        <v>46015</v>
      </c>
      <c r="AH709" s="1">
        <v>1024.32</v>
      </c>
      <c r="AI709" s="1">
        <v>1820.37</v>
      </c>
      <c r="AJ709" s="1">
        <v>5121.6000000000004</v>
      </c>
      <c r="AK709">
        <v>0</v>
      </c>
      <c r="AL709">
        <v>0</v>
      </c>
      <c r="AM709">
        <v>0</v>
      </c>
      <c r="AN709" t="s">
        <v>135</v>
      </c>
      <c r="AO709" t="s">
        <v>135</v>
      </c>
      <c r="AP709" t="s">
        <v>136</v>
      </c>
      <c r="AQ709" t="s">
        <v>137</v>
      </c>
      <c r="AR709" t="s">
        <v>138</v>
      </c>
      <c r="AS709" t="s">
        <v>139</v>
      </c>
      <c r="AT709" t="s">
        <v>140</v>
      </c>
      <c r="AU709">
        <v>106</v>
      </c>
      <c r="AV709">
        <v>10</v>
      </c>
      <c r="AW709">
        <v>1</v>
      </c>
      <c r="AX709" s="2">
        <v>45811</v>
      </c>
      <c r="AY709" t="s">
        <v>377</v>
      </c>
      <c r="AZ709" s="2">
        <v>46028</v>
      </c>
      <c r="BA709">
        <v>0</v>
      </c>
      <c r="BB709">
        <v>0</v>
      </c>
      <c r="BC709">
        <v>0</v>
      </c>
      <c r="BD709">
        <v>700</v>
      </c>
      <c r="BE709">
        <v>70</v>
      </c>
      <c r="BF709">
        <v>9</v>
      </c>
      <c r="BG709" s="2">
        <v>45536</v>
      </c>
      <c r="BH709" t="s">
        <v>142</v>
      </c>
      <c r="BI709" s="2">
        <v>46026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s="1">
        <v>2265.94</v>
      </c>
      <c r="BQ709" s="1">
        <v>2265.94</v>
      </c>
      <c r="BR709">
        <v>0</v>
      </c>
      <c r="BS709">
        <v>0</v>
      </c>
      <c r="BT709">
        <v>0</v>
      </c>
      <c r="BU709">
        <v>0</v>
      </c>
      <c r="BV709" s="1">
        <v>1295.1199999999999</v>
      </c>
      <c r="BW709" s="1">
        <v>1295.1199999999999</v>
      </c>
      <c r="BX709">
        <v>0</v>
      </c>
      <c r="BY709">
        <v>0</v>
      </c>
      <c r="BZ709">
        <v>0</v>
      </c>
      <c r="CA709">
        <v>0</v>
      </c>
      <c r="CB709" s="1">
        <v>2430.63</v>
      </c>
      <c r="CC709" t="s">
        <v>143</v>
      </c>
    </row>
    <row r="710" spans="1:81" x14ac:dyDescent="0.25">
      <c r="A710">
        <v>345</v>
      </c>
      <c r="B710">
        <v>2</v>
      </c>
      <c r="C710">
        <v>1112</v>
      </c>
      <c r="D710" t="s">
        <v>4056</v>
      </c>
      <c r="E710" t="s">
        <v>121</v>
      </c>
      <c r="F710" t="s">
        <v>4057</v>
      </c>
      <c r="G710" t="s">
        <v>4058</v>
      </c>
      <c r="H710" t="s">
        <v>4059</v>
      </c>
      <c r="I710" t="s">
        <v>4060</v>
      </c>
      <c r="J710" t="s">
        <v>1263</v>
      </c>
      <c r="K710" t="s">
        <v>466</v>
      </c>
      <c r="L710" t="s">
        <v>128</v>
      </c>
      <c r="M710" t="s">
        <v>467</v>
      </c>
      <c r="N710" t="s">
        <v>4061</v>
      </c>
      <c r="O710" t="s">
        <v>167</v>
      </c>
      <c r="P710">
        <v>0</v>
      </c>
      <c r="Q710" t="s">
        <v>125</v>
      </c>
      <c r="R710">
        <v>6</v>
      </c>
      <c r="S710">
        <v>33</v>
      </c>
      <c r="T710" t="s">
        <v>132</v>
      </c>
      <c r="U710" t="s">
        <v>133</v>
      </c>
      <c r="V710" s="1">
        <v>5000</v>
      </c>
      <c r="W710">
        <v>0</v>
      </c>
      <c r="X710" s="1">
        <v>5000</v>
      </c>
      <c r="Y710">
        <v>7</v>
      </c>
      <c r="Z710">
        <v>0</v>
      </c>
      <c r="AA710">
        <v>7</v>
      </c>
      <c r="AB710">
        <v>0</v>
      </c>
      <c r="AC710">
        <v>14</v>
      </c>
      <c r="AD710" t="s">
        <v>134</v>
      </c>
      <c r="AE710" t="s">
        <v>134</v>
      </c>
      <c r="AF710" s="2">
        <v>45518</v>
      </c>
      <c r="AG710" s="2">
        <v>46010</v>
      </c>
      <c r="AH710">
        <v>257.54000000000002</v>
      </c>
      <c r="AI710">
        <v>347.8</v>
      </c>
      <c r="AJ710" s="1">
        <v>1030.18</v>
      </c>
      <c r="AK710">
        <v>0</v>
      </c>
      <c r="AL710">
        <v>0</v>
      </c>
      <c r="AM710">
        <v>0</v>
      </c>
      <c r="AN710" t="s">
        <v>135</v>
      </c>
      <c r="AO710" t="s">
        <v>135</v>
      </c>
      <c r="AP710" t="s">
        <v>136</v>
      </c>
      <c r="AQ710" t="s">
        <v>137</v>
      </c>
      <c r="AR710" t="s">
        <v>138</v>
      </c>
      <c r="AS710" t="s">
        <v>150</v>
      </c>
      <c r="AT710" t="s">
        <v>140</v>
      </c>
      <c r="AU710">
        <v>106</v>
      </c>
      <c r="AV710">
        <v>10</v>
      </c>
      <c r="AW710">
        <v>1</v>
      </c>
      <c r="AX710" s="2">
        <v>45841</v>
      </c>
      <c r="AY710" t="s">
        <v>308</v>
      </c>
      <c r="AZ710" s="2">
        <v>46023</v>
      </c>
      <c r="BA710">
        <v>0</v>
      </c>
      <c r="BB710">
        <v>0</v>
      </c>
      <c r="BC710">
        <v>0</v>
      </c>
      <c r="BD710">
        <v>700</v>
      </c>
      <c r="BE710">
        <v>70</v>
      </c>
      <c r="BF710">
        <v>9</v>
      </c>
      <c r="BG710" s="2">
        <v>45536</v>
      </c>
      <c r="BH710" t="s">
        <v>142</v>
      </c>
      <c r="BI710" s="2">
        <v>46026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521.70000000000005</v>
      </c>
      <c r="BQ710">
        <v>521.70000000000005</v>
      </c>
      <c r="BR710">
        <v>0</v>
      </c>
      <c r="BS710">
        <v>7</v>
      </c>
      <c r="BT710">
        <v>7</v>
      </c>
      <c r="BU710">
        <v>215.57</v>
      </c>
      <c r="BV710">
        <v>0</v>
      </c>
      <c r="BW710">
        <v>215.57</v>
      </c>
      <c r="BX710">
        <v>0</v>
      </c>
      <c r="BY710">
        <v>0</v>
      </c>
      <c r="BZ710">
        <v>0</v>
      </c>
      <c r="CA710">
        <v>0</v>
      </c>
      <c r="CB710">
        <v>443.85</v>
      </c>
      <c r="CC710" t="s">
        <v>161</v>
      </c>
    </row>
    <row r="711" spans="1:81" x14ac:dyDescent="0.25">
      <c r="A711">
        <v>345</v>
      </c>
      <c r="B711">
        <v>2</v>
      </c>
      <c r="C711">
        <v>1114</v>
      </c>
      <c r="D711" t="s">
        <v>4062</v>
      </c>
      <c r="E711" t="s">
        <v>121</v>
      </c>
      <c r="F711" t="s">
        <v>4063</v>
      </c>
      <c r="G711" t="s">
        <v>4064</v>
      </c>
      <c r="H711" t="s">
        <v>4065</v>
      </c>
      <c r="I711" t="s">
        <v>4066</v>
      </c>
      <c r="J711" t="s">
        <v>1263</v>
      </c>
      <c r="K711" t="s">
        <v>466</v>
      </c>
      <c r="L711" t="s">
        <v>128</v>
      </c>
      <c r="M711" t="s">
        <v>467</v>
      </c>
      <c r="N711" t="s">
        <v>4067</v>
      </c>
      <c r="O711" t="s">
        <v>159</v>
      </c>
      <c r="P711">
        <v>0</v>
      </c>
      <c r="Q711" t="s">
        <v>125</v>
      </c>
      <c r="R711">
        <v>6</v>
      </c>
      <c r="S711">
        <v>37</v>
      </c>
      <c r="T711" t="s">
        <v>132</v>
      </c>
      <c r="U711" t="s">
        <v>133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134</v>
      </c>
      <c r="AE711" t="s">
        <v>134</v>
      </c>
      <c r="AF711" s="2">
        <v>45518</v>
      </c>
      <c r="AG711" s="2">
        <v>45997</v>
      </c>
      <c r="AH711">
        <v>110.26</v>
      </c>
      <c r="AI711">
        <v>151.83000000000001</v>
      </c>
      <c r="AJ711">
        <v>441.04</v>
      </c>
      <c r="AK711">
        <v>0</v>
      </c>
      <c r="AL711">
        <v>0</v>
      </c>
      <c r="AM711">
        <v>0</v>
      </c>
      <c r="AN711" t="s">
        <v>135</v>
      </c>
      <c r="AO711" t="s">
        <v>135</v>
      </c>
      <c r="AP711" t="s">
        <v>136</v>
      </c>
      <c r="AQ711" t="s">
        <v>137</v>
      </c>
      <c r="AR711" t="s">
        <v>138</v>
      </c>
      <c r="AS711" t="s">
        <v>139</v>
      </c>
      <c r="AT711" t="s">
        <v>140</v>
      </c>
      <c r="AU711">
        <v>106</v>
      </c>
      <c r="AV711">
        <v>10</v>
      </c>
      <c r="AW711">
        <v>1</v>
      </c>
      <c r="AX711" s="2">
        <v>45828</v>
      </c>
      <c r="AY711" t="s">
        <v>151</v>
      </c>
      <c r="AZ711" s="2">
        <v>46024</v>
      </c>
      <c r="BA711">
        <v>0</v>
      </c>
      <c r="BB711">
        <v>0</v>
      </c>
      <c r="BC711">
        <v>0</v>
      </c>
      <c r="BD711">
        <v>700</v>
      </c>
      <c r="BE711">
        <v>70</v>
      </c>
      <c r="BF711">
        <v>9</v>
      </c>
      <c r="BG711" s="2">
        <v>45536</v>
      </c>
      <c r="BH711" t="s">
        <v>142</v>
      </c>
      <c r="BI711" s="2">
        <v>46026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252.51</v>
      </c>
      <c r="BQ711">
        <v>252.51</v>
      </c>
      <c r="BR711">
        <v>0</v>
      </c>
      <c r="BS711">
        <v>0</v>
      </c>
      <c r="BT711">
        <v>0</v>
      </c>
      <c r="BU711">
        <v>0</v>
      </c>
      <c r="BV711">
        <v>42.63</v>
      </c>
      <c r="BW711">
        <v>42.63</v>
      </c>
      <c r="BX711">
        <v>0</v>
      </c>
      <c r="BY711">
        <v>0</v>
      </c>
      <c r="BZ711">
        <v>0</v>
      </c>
      <c r="CA711">
        <v>0</v>
      </c>
      <c r="CB711">
        <v>275.61</v>
      </c>
      <c r="CC711" t="s">
        <v>161</v>
      </c>
    </row>
    <row r="712" spans="1:81" x14ac:dyDescent="0.25">
      <c r="A712">
        <v>345</v>
      </c>
      <c r="B712">
        <v>2</v>
      </c>
      <c r="C712">
        <v>1115</v>
      </c>
      <c r="D712" t="s">
        <v>4068</v>
      </c>
      <c r="E712" t="s">
        <v>121</v>
      </c>
      <c r="F712" t="s">
        <v>4069</v>
      </c>
      <c r="G712" t="s">
        <v>4070</v>
      </c>
      <c r="H712" t="s">
        <v>4071</v>
      </c>
      <c r="I712" t="s">
        <v>4072</v>
      </c>
      <c r="J712" t="s">
        <v>3074</v>
      </c>
      <c r="K712" t="s">
        <v>1853</v>
      </c>
      <c r="L712" t="s">
        <v>128</v>
      </c>
      <c r="M712" t="s">
        <v>1854</v>
      </c>
      <c r="N712" t="s">
        <v>4073</v>
      </c>
      <c r="O712" t="s">
        <v>167</v>
      </c>
      <c r="P712">
        <v>0</v>
      </c>
      <c r="Q712" t="s">
        <v>125</v>
      </c>
      <c r="R712">
        <v>4</v>
      </c>
      <c r="S712">
        <v>81</v>
      </c>
      <c r="T712" t="s">
        <v>132</v>
      </c>
      <c r="U712" t="s">
        <v>133</v>
      </c>
      <c r="V712" s="1">
        <v>5000</v>
      </c>
      <c r="W712">
        <v>0</v>
      </c>
      <c r="X712" s="1">
        <v>5000</v>
      </c>
      <c r="Y712">
        <v>7</v>
      </c>
      <c r="Z712">
        <v>0</v>
      </c>
      <c r="AA712">
        <v>0</v>
      </c>
      <c r="AB712">
        <v>0</v>
      </c>
      <c r="AC712">
        <v>0</v>
      </c>
      <c r="AD712" t="s">
        <v>134</v>
      </c>
      <c r="AE712" t="s">
        <v>134</v>
      </c>
      <c r="AF712" s="2">
        <v>45518</v>
      </c>
      <c r="AG712" s="2">
        <v>46000</v>
      </c>
      <c r="AH712">
        <v>320.26</v>
      </c>
      <c r="AI712">
        <v>398.8</v>
      </c>
      <c r="AJ712">
        <v>960.79</v>
      </c>
      <c r="AK712">
        <v>0</v>
      </c>
      <c r="AL712">
        <v>0</v>
      </c>
      <c r="AM712">
        <v>0</v>
      </c>
      <c r="AN712" t="s">
        <v>135</v>
      </c>
      <c r="AO712" t="s">
        <v>135</v>
      </c>
      <c r="AP712" t="s">
        <v>136</v>
      </c>
      <c r="AQ712" t="s">
        <v>137</v>
      </c>
      <c r="AR712" t="s">
        <v>138</v>
      </c>
      <c r="AS712" t="s">
        <v>139</v>
      </c>
      <c r="AT712" t="s">
        <v>140</v>
      </c>
      <c r="AU712">
        <v>106</v>
      </c>
      <c r="AV712">
        <v>10</v>
      </c>
      <c r="AW712">
        <v>1</v>
      </c>
      <c r="AX712" s="2">
        <v>45859</v>
      </c>
      <c r="AY712" t="s">
        <v>141</v>
      </c>
      <c r="AZ712" s="2">
        <v>46027</v>
      </c>
      <c r="BA712">
        <v>0</v>
      </c>
      <c r="BB712">
        <v>0</v>
      </c>
      <c r="BC712">
        <v>0</v>
      </c>
      <c r="BD712">
        <v>700</v>
      </c>
      <c r="BE712">
        <v>70</v>
      </c>
      <c r="BF712">
        <v>9</v>
      </c>
      <c r="BG712" s="2">
        <v>45536</v>
      </c>
      <c r="BH712" t="s">
        <v>142</v>
      </c>
      <c r="BI712" s="2">
        <v>46026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327.75</v>
      </c>
      <c r="BW712">
        <v>327.75</v>
      </c>
      <c r="BX712">
        <v>0</v>
      </c>
      <c r="BY712">
        <v>0</v>
      </c>
      <c r="BZ712">
        <v>0</v>
      </c>
      <c r="CA712">
        <v>0</v>
      </c>
      <c r="CB712">
        <v>348.08</v>
      </c>
      <c r="CC712" t="s">
        <v>161</v>
      </c>
    </row>
    <row r="713" spans="1:81" x14ac:dyDescent="0.25">
      <c r="A713">
        <v>345</v>
      </c>
      <c r="B713">
        <v>2</v>
      </c>
      <c r="C713">
        <v>1116</v>
      </c>
      <c r="D713" t="s">
        <v>4074</v>
      </c>
      <c r="E713" t="s">
        <v>121</v>
      </c>
      <c r="F713" t="s">
        <v>4075</v>
      </c>
      <c r="G713" t="s">
        <v>4076</v>
      </c>
      <c r="H713" t="s">
        <v>4077</v>
      </c>
      <c r="I713" t="s">
        <v>4078</v>
      </c>
      <c r="J713" t="s">
        <v>1263</v>
      </c>
      <c r="K713" t="s">
        <v>466</v>
      </c>
      <c r="L713" t="s">
        <v>128</v>
      </c>
      <c r="M713" t="s">
        <v>467</v>
      </c>
      <c r="N713" t="s">
        <v>4079</v>
      </c>
      <c r="O713" t="s">
        <v>167</v>
      </c>
      <c r="P713">
        <v>0</v>
      </c>
      <c r="Q713" t="s">
        <v>125</v>
      </c>
      <c r="R713">
        <v>6</v>
      </c>
      <c r="S713">
        <v>35</v>
      </c>
      <c r="T713" t="s">
        <v>132</v>
      </c>
      <c r="U713" t="s">
        <v>133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134</v>
      </c>
      <c r="AE713" t="s">
        <v>134</v>
      </c>
      <c r="AF713" s="2">
        <v>45518</v>
      </c>
      <c r="AG713" s="2">
        <v>46011</v>
      </c>
      <c r="AH713">
        <v>364.41</v>
      </c>
      <c r="AI713">
        <v>677.8</v>
      </c>
      <c r="AJ713" s="1">
        <v>2186.4899999999998</v>
      </c>
      <c r="AK713">
        <v>0</v>
      </c>
      <c r="AL713">
        <v>0</v>
      </c>
      <c r="AM713">
        <v>0</v>
      </c>
      <c r="AN713" t="s">
        <v>135</v>
      </c>
      <c r="AO713" t="s">
        <v>135</v>
      </c>
      <c r="AP713" t="s">
        <v>136</v>
      </c>
      <c r="AQ713" t="s">
        <v>137</v>
      </c>
      <c r="AR713" t="s">
        <v>138</v>
      </c>
      <c r="AS713" t="s">
        <v>139</v>
      </c>
      <c r="AT713" t="s">
        <v>140</v>
      </c>
      <c r="AU713">
        <v>106</v>
      </c>
      <c r="AV713">
        <v>10</v>
      </c>
      <c r="AW713">
        <v>1</v>
      </c>
      <c r="AX713" s="2">
        <v>45814</v>
      </c>
      <c r="AY713" t="s">
        <v>151</v>
      </c>
      <c r="AZ713" s="2">
        <v>46024</v>
      </c>
      <c r="BA713">
        <v>0</v>
      </c>
      <c r="BB713">
        <v>0</v>
      </c>
      <c r="BC713">
        <v>0</v>
      </c>
      <c r="BD713">
        <v>700</v>
      </c>
      <c r="BE713">
        <v>70</v>
      </c>
      <c r="BF713">
        <v>9</v>
      </c>
      <c r="BG713" s="2">
        <v>45536</v>
      </c>
      <c r="BH713" t="s">
        <v>142</v>
      </c>
      <c r="BI713" s="2">
        <v>46026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912.66</v>
      </c>
      <c r="BQ713">
        <v>912.66</v>
      </c>
      <c r="BR713">
        <v>0</v>
      </c>
      <c r="BS713">
        <v>0</v>
      </c>
      <c r="BT713">
        <v>0</v>
      </c>
      <c r="BU713">
        <v>0</v>
      </c>
      <c r="BV713">
        <v>851.7</v>
      </c>
      <c r="BW713">
        <v>851.7</v>
      </c>
      <c r="BX713">
        <v>0</v>
      </c>
      <c r="BY713">
        <v>0</v>
      </c>
      <c r="BZ713">
        <v>0</v>
      </c>
      <c r="CA713">
        <v>0</v>
      </c>
      <c r="CB713">
        <v>857.1</v>
      </c>
      <c r="CC713" t="s">
        <v>161</v>
      </c>
    </row>
    <row r="714" spans="1:81" x14ac:dyDescent="0.25">
      <c r="A714">
        <v>345</v>
      </c>
      <c r="B714">
        <v>2</v>
      </c>
      <c r="C714">
        <v>1119</v>
      </c>
      <c r="D714" t="s">
        <v>4080</v>
      </c>
      <c r="E714" t="s">
        <v>121</v>
      </c>
      <c r="F714" t="s">
        <v>4081</v>
      </c>
      <c r="G714" t="s">
        <v>4082</v>
      </c>
      <c r="H714" t="s">
        <v>4083</v>
      </c>
      <c r="I714" t="s">
        <v>3210</v>
      </c>
      <c r="J714" t="s">
        <v>3174</v>
      </c>
      <c r="K714" t="s">
        <v>1853</v>
      </c>
      <c r="L714" t="s">
        <v>128</v>
      </c>
      <c r="M714" t="s">
        <v>1854</v>
      </c>
      <c r="N714" t="s">
        <v>4084</v>
      </c>
      <c r="O714" t="s">
        <v>619</v>
      </c>
      <c r="P714">
        <v>0</v>
      </c>
      <c r="Q714" t="s">
        <v>125</v>
      </c>
      <c r="R714">
        <v>3</v>
      </c>
      <c r="S714">
        <v>83</v>
      </c>
      <c r="T714" t="s">
        <v>132</v>
      </c>
      <c r="U714" t="s">
        <v>133</v>
      </c>
      <c r="V714" s="1">
        <v>2800</v>
      </c>
      <c r="W714">
        <v>0</v>
      </c>
      <c r="X714" s="1">
        <v>2800</v>
      </c>
      <c r="Y714">
        <v>7</v>
      </c>
      <c r="Z714">
        <v>0</v>
      </c>
      <c r="AA714">
        <v>7</v>
      </c>
      <c r="AB714">
        <v>1</v>
      </c>
      <c r="AC714">
        <v>11</v>
      </c>
      <c r="AD714" t="s">
        <v>234</v>
      </c>
      <c r="AE714" t="s">
        <v>134</v>
      </c>
      <c r="AF714" s="2">
        <v>45518</v>
      </c>
      <c r="AG714" s="2">
        <v>46018</v>
      </c>
      <c r="AH714" s="1">
        <v>2063.65</v>
      </c>
      <c r="AI714" s="1">
        <v>5236.32</v>
      </c>
      <c r="AJ714" s="1">
        <v>22700.19</v>
      </c>
      <c r="AK714">
        <v>0</v>
      </c>
      <c r="AL714">
        <v>0</v>
      </c>
      <c r="AM714">
        <v>0</v>
      </c>
      <c r="AN714" t="s">
        <v>135</v>
      </c>
      <c r="AO714" t="s">
        <v>135</v>
      </c>
      <c r="AP714" t="s">
        <v>136</v>
      </c>
      <c r="AQ714" t="s">
        <v>137</v>
      </c>
      <c r="AR714" t="s">
        <v>138</v>
      </c>
      <c r="AS714" t="s">
        <v>150</v>
      </c>
      <c r="AT714" t="s">
        <v>140</v>
      </c>
      <c r="AU714">
        <v>106</v>
      </c>
      <c r="AV714">
        <v>10</v>
      </c>
      <c r="AW714">
        <v>1</v>
      </c>
      <c r="AX714" s="2">
        <v>45812</v>
      </c>
      <c r="AY714" t="s">
        <v>168</v>
      </c>
      <c r="AZ714" s="2">
        <v>46022</v>
      </c>
      <c r="BA714">
        <v>0</v>
      </c>
      <c r="BB714">
        <v>0</v>
      </c>
      <c r="BC714">
        <v>0</v>
      </c>
      <c r="BD714">
        <v>700</v>
      </c>
      <c r="BE714">
        <v>70</v>
      </c>
      <c r="BF714">
        <v>9</v>
      </c>
      <c r="BG714" s="2">
        <v>45809</v>
      </c>
      <c r="BH714" t="s">
        <v>142</v>
      </c>
      <c r="BI714" s="2">
        <v>46026</v>
      </c>
      <c r="BJ714">
        <v>0</v>
      </c>
      <c r="BK714">
        <v>0</v>
      </c>
      <c r="BL714">
        <v>0</v>
      </c>
      <c r="BM714">
        <v>7</v>
      </c>
      <c r="BN714">
        <v>2.4500000000000002</v>
      </c>
      <c r="BO714" s="1">
        <v>2523.46</v>
      </c>
      <c r="BP714" s="1">
        <v>4680.7299999999996</v>
      </c>
      <c r="BQ714" s="1">
        <v>7204.19</v>
      </c>
      <c r="BR714">
        <v>0</v>
      </c>
      <c r="BS714">
        <v>7</v>
      </c>
      <c r="BT714">
        <v>3.3</v>
      </c>
      <c r="BU714" s="1">
        <v>5333.67</v>
      </c>
      <c r="BV714" s="1">
        <v>5989.46</v>
      </c>
      <c r="BW714" s="1">
        <v>11323.13</v>
      </c>
      <c r="BX714">
        <v>0</v>
      </c>
      <c r="BY714">
        <v>0</v>
      </c>
      <c r="BZ714">
        <v>0</v>
      </c>
      <c r="CA714">
        <v>0</v>
      </c>
      <c r="CB714" s="1">
        <v>5064.74</v>
      </c>
      <c r="CC714" t="s">
        <v>143</v>
      </c>
    </row>
    <row r="715" spans="1:81" x14ac:dyDescent="0.25">
      <c r="A715">
        <v>345</v>
      </c>
      <c r="B715">
        <v>2</v>
      </c>
      <c r="C715">
        <v>1124</v>
      </c>
      <c r="D715" t="s">
        <v>4085</v>
      </c>
      <c r="E715" t="s">
        <v>121</v>
      </c>
      <c r="F715" t="s">
        <v>4086</v>
      </c>
      <c r="G715" t="s">
        <v>4086</v>
      </c>
      <c r="H715" t="s">
        <v>4087</v>
      </c>
      <c r="I715" t="s">
        <v>4088</v>
      </c>
      <c r="J715" t="s">
        <v>3074</v>
      </c>
      <c r="K715" t="s">
        <v>1853</v>
      </c>
      <c r="L715" t="s">
        <v>128</v>
      </c>
      <c r="M715" t="s">
        <v>1854</v>
      </c>
      <c r="N715" t="s">
        <v>4089</v>
      </c>
      <c r="O715" t="s">
        <v>167</v>
      </c>
      <c r="P715">
        <v>0</v>
      </c>
      <c r="Q715" t="s">
        <v>125</v>
      </c>
      <c r="R715">
        <v>6</v>
      </c>
      <c r="S715">
        <v>35</v>
      </c>
      <c r="T715" t="s">
        <v>132</v>
      </c>
      <c r="U715" t="s">
        <v>133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134</v>
      </c>
      <c r="AE715" t="s">
        <v>134</v>
      </c>
      <c r="AF715" s="2">
        <v>45518</v>
      </c>
      <c r="AG715" s="2">
        <v>45932</v>
      </c>
      <c r="AH715">
        <v>183.33</v>
      </c>
      <c r="AI715">
        <v>183.33</v>
      </c>
      <c r="AJ715">
        <v>183.33</v>
      </c>
      <c r="AK715">
        <v>0</v>
      </c>
      <c r="AL715">
        <v>0</v>
      </c>
      <c r="AM715">
        <v>0</v>
      </c>
      <c r="AN715" t="s">
        <v>135</v>
      </c>
      <c r="AO715" t="s">
        <v>135</v>
      </c>
      <c r="AP715" t="s">
        <v>136</v>
      </c>
      <c r="AQ715" t="s">
        <v>137</v>
      </c>
      <c r="AR715" t="s">
        <v>138</v>
      </c>
      <c r="AS715" t="s">
        <v>139</v>
      </c>
      <c r="AT715" t="s">
        <v>140</v>
      </c>
      <c r="AU715">
        <v>106</v>
      </c>
      <c r="AV715">
        <v>10</v>
      </c>
      <c r="AW715">
        <v>1</v>
      </c>
      <c r="AX715" s="2">
        <v>45854</v>
      </c>
      <c r="AY715" t="s">
        <v>168</v>
      </c>
      <c r="AZ715" s="2">
        <v>46022</v>
      </c>
      <c r="BA715">
        <v>0</v>
      </c>
      <c r="BB715">
        <v>0</v>
      </c>
      <c r="BC715">
        <v>0</v>
      </c>
      <c r="BD715">
        <v>700</v>
      </c>
      <c r="BE715">
        <v>70</v>
      </c>
      <c r="BF715">
        <v>9</v>
      </c>
      <c r="BG715" s="2">
        <v>45536</v>
      </c>
      <c r="BH715" t="s">
        <v>142</v>
      </c>
      <c r="BI715" s="2">
        <v>46026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61.11</v>
      </c>
      <c r="CC715" t="s">
        <v>161</v>
      </c>
    </row>
    <row r="716" spans="1:81" x14ac:dyDescent="0.25">
      <c r="A716">
        <v>345</v>
      </c>
      <c r="B716">
        <v>2</v>
      </c>
      <c r="C716">
        <v>1125</v>
      </c>
      <c r="D716" t="s">
        <v>4090</v>
      </c>
      <c r="E716" t="s">
        <v>121</v>
      </c>
      <c r="F716" t="s">
        <v>4091</v>
      </c>
      <c r="G716" t="s">
        <v>4092</v>
      </c>
      <c r="H716" t="s">
        <v>4093</v>
      </c>
      <c r="I716" t="s">
        <v>4094</v>
      </c>
      <c r="J716" t="s">
        <v>1263</v>
      </c>
      <c r="K716" t="s">
        <v>466</v>
      </c>
      <c r="L716" t="s">
        <v>128</v>
      </c>
      <c r="M716" t="s">
        <v>467</v>
      </c>
      <c r="N716" t="s">
        <v>4095</v>
      </c>
      <c r="O716" t="s">
        <v>159</v>
      </c>
      <c r="P716">
        <v>0</v>
      </c>
      <c r="Q716" t="s">
        <v>125</v>
      </c>
      <c r="R716">
        <v>6</v>
      </c>
      <c r="S716">
        <v>40</v>
      </c>
      <c r="T716" t="s">
        <v>132</v>
      </c>
      <c r="U716" t="s">
        <v>133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134</v>
      </c>
      <c r="AE716" t="s">
        <v>134</v>
      </c>
      <c r="AF716" s="2">
        <v>45518</v>
      </c>
      <c r="AG716" s="2">
        <v>46020</v>
      </c>
      <c r="AH716">
        <v>212.78</v>
      </c>
      <c r="AI716">
        <v>475.26</v>
      </c>
      <c r="AJ716" s="1">
        <v>2127.87</v>
      </c>
      <c r="AK716">
        <v>0</v>
      </c>
      <c r="AL716">
        <v>0</v>
      </c>
      <c r="AM716">
        <v>0</v>
      </c>
      <c r="AN716" t="s">
        <v>135</v>
      </c>
      <c r="AO716" t="s">
        <v>135</v>
      </c>
      <c r="AP716" t="s">
        <v>136</v>
      </c>
      <c r="AQ716" t="s">
        <v>137</v>
      </c>
      <c r="AR716" t="s">
        <v>138</v>
      </c>
      <c r="AS716" t="s">
        <v>150</v>
      </c>
      <c r="AT716" t="s">
        <v>140</v>
      </c>
      <c r="AU716">
        <v>106</v>
      </c>
      <c r="AV716">
        <v>10</v>
      </c>
      <c r="AW716">
        <v>1</v>
      </c>
      <c r="AX716" s="2">
        <v>45815</v>
      </c>
      <c r="AY716" t="s">
        <v>160</v>
      </c>
      <c r="AZ716" s="2">
        <v>46025</v>
      </c>
      <c r="BA716">
        <v>0</v>
      </c>
      <c r="BB716">
        <v>0</v>
      </c>
      <c r="BC716">
        <v>0</v>
      </c>
      <c r="BD716">
        <v>700</v>
      </c>
      <c r="BE716">
        <v>70</v>
      </c>
      <c r="BF716">
        <v>9</v>
      </c>
      <c r="BG716" s="2">
        <v>45536</v>
      </c>
      <c r="BH716" t="s">
        <v>142</v>
      </c>
      <c r="BI716" s="2">
        <v>46026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885.68</v>
      </c>
      <c r="BQ716">
        <v>885.68</v>
      </c>
      <c r="BR716">
        <v>0</v>
      </c>
      <c r="BS716">
        <v>0</v>
      </c>
      <c r="BT716">
        <v>0</v>
      </c>
      <c r="BU716">
        <v>0</v>
      </c>
      <c r="BV716">
        <v>731.54</v>
      </c>
      <c r="BW716">
        <v>731.54</v>
      </c>
      <c r="BX716">
        <v>0</v>
      </c>
      <c r="BY716">
        <v>0</v>
      </c>
      <c r="BZ716">
        <v>0</v>
      </c>
      <c r="CA716">
        <v>0</v>
      </c>
      <c r="CB716">
        <v>771.74</v>
      </c>
      <c r="CC716" t="s">
        <v>161</v>
      </c>
    </row>
    <row r="717" spans="1:81" x14ac:dyDescent="0.25">
      <c r="A717">
        <v>345</v>
      </c>
      <c r="B717">
        <v>2</v>
      </c>
      <c r="C717">
        <v>1126</v>
      </c>
      <c r="D717" t="s">
        <v>4096</v>
      </c>
      <c r="E717" t="s">
        <v>121</v>
      </c>
      <c r="F717" t="s">
        <v>4097</v>
      </c>
      <c r="G717" t="s">
        <v>4098</v>
      </c>
      <c r="H717" t="s">
        <v>4099</v>
      </c>
      <c r="I717" t="s">
        <v>125</v>
      </c>
      <c r="J717" t="s">
        <v>3080</v>
      </c>
      <c r="K717" t="s">
        <v>336</v>
      </c>
      <c r="L717" t="s">
        <v>128</v>
      </c>
      <c r="M717" t="s">
        <v>337</v>
      </c>
      <c r="N717" t="s">
        <v>4100</v>
      </c>
      <c r="O717" t="s">
        <v>131</v>
      </c>
      <c r="P717">
        <v>0</v>
      </c>
      <c r="Q717" t="s">
        <v>125</v>
      </c>
      <c r="R717">
        <v>6</v>
      </c>
      <c r="S717">
        <v>38</v>
      </c>
      <c r="T717" t="s">
        <v>132</v>
      </c>
      <c r="U717" t="s">
        <v>133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134</v>
      </c>
      <c r="AE717" t="s">
        <v>134</v>
      </c>
      <c r="AF717" s="2">
        <v>45518</v>
      </c>
      <c r="AG717" s="2">
        <v>46017</v>
      </c>
      <c r="AH717">
        <v>774.42</v>
      </c>
      <c r="AI717" s="1">
        <v>1438.24</v>
      </c>
      <c r="AJ717" s="1">
        <v>8518.6299999999992</v>
      </c>
      <c r="AK717">
        <v>0</v>
      </c>
      <c r="AL717">
        <v>0</v>
      </c>
      <c r="AM717">
        <v>0</v>
      </c>
      <c r="AN717" t="s">
        <v>135</v>
      </c>
      <c r="AO717" t="s">
        <v>135</v>
      </c>
      <c r="AP717" t="s">
        <v>136</v>
      </c>
      <c r="AQ717" t="s">
        <v>137</v>
      </c>
      <c r="AR717" t="s">
        <v>138</v>
      </c>
      <c r="AS717" t="s">
        <v>139</v>
      </c>
      <c r="AT717" t="s">
        <v>140</v>
      </c>
      <c r="AU717">
        <v>100</v>
      </c>
      <c r="AV717">
        <v>10</v>
      </c>
      <c r="AW717">
        <v>1</v>
      </c>
      <c r="AX717" s="2">
        <v>45839</v>
      </c>
      <c r="AY717" t="s">
        <v>377</v>
      </c>
      <c r="AZ717" s="2">
        <v>46028</v>
      </c>
      <c r="BA717">
        <v>0</v>
      </c>
      <c r="BB717">
        <v>0</v>
      </c>
      <c r="BC717">
        <v>0</v>
      </c>
      <c r="BD717">
        <v>700</v>
      </c>
      <c r="BE717">
        <v>70</v>
      </c>
      <c r="BF717">
        <v>9</v>
      </c>
      <c r="BG717" s="2">
        <v>45536</v>
      </c>
      <c r="BH717" t="s">
        <v>142</v>
      </c>
      <c r="BI717" s="2">
        <v>46026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s="1">
        <v>4228.32</v>
      </c>
      <c r="BQ717" s="1">
        <v>4228.32</v>
      </c>
      <c r="BR717">
        <v>0</v>
      </c>
      <c r="BS717">
        <v>0</v>
      </c>
      <c r="BT717">
        <v>0</v>
      </c>
      <c r="BU717">
        <v>0</v>
      </c>
      <c r="BV717" s="1">
        <v>2642.93</v>
      </c>
      <c r="BW717" s="1">
        <v>2642.93</v>
      </c>
      <c r="BX717">
        <v>0</v>
      </c>
      <c r="BY717">
        <v>0</v>
      </c>
      <c r="BZ717">
        <v>0</v>
      </c>
      <c r="CA717">
        <v>0</v>
      </c>
      <c r="CB717" s="1">
        <v>2683.66</v>
      </c>
      <c r="CC717" t="s">
        <v>143</v>
      </c>
    </row>
    <row r="718" spans="1:81" x14ac:dyDescent="0.25">
      <c r="A718">
        <v>345</v>
      </c>
      <c r="B718">
        <v>2</v>
      </c>
      <c r="C718">
        <v>1127</v>
      </c>
      <c r="D718" t="s">
        <v>4101</v>
      </c>
      <c r="E718" t="s">
        <v>121</v>
      </c>
      <c r="F718" t="s">
        <v>4102</v>
      </c>
      <c r="G718" t="s">
        <v>4103</v>
      </c>
      <c r="H718" t="s">
        <v>4104</v>
      </c>
      <c r="I718" t="s">
        <v>125</v>
      </c>
      <c r="J718" t="s">
        <v>3295</v>
      </c>
      <c r="K718" t="s">
        <v>336</v>
      </c>
      <c r="L718" t="s">
        <v>128</v>
      </c>
      <c r="M718" t="s">
        <v>337</v>
      </c>
      <c r="N718" t="s">
        <v>4105</v>
      </c>
      <c r="O718" t="s">
        <v>149</v>
      </c>
      <c r="P718">
        <v>0</v>
      </c>
      <c r="Q718" t="s">
        <v>125</v>
      </c>
      <c r="R718">
        <v>6</v>
      </c>
      <c r="S718">
        <v>42</v>
      </c>
      <c r="T718" t="s">
        <v>132</v>
      </c>
      <c r="U718" t="s">
        <v>133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134</v>
      </c>
      <c r="AE718" t="s">
        <v>134</v>
      </c>
      <c r="AF718" s="2">
        <v>45518</v>
      </c>
      <c r="AG718" s="2">
        <v>46021</v>
      </c>
      <c r="AH718" s="1">
        <v>1893.32</v>
      </c>
      <c r="AI718" s="1">
        <v>5537.34</v>
      </c>
      <c r="AJ718" s="1">
        <v>26506.49</v>
      </c>
      <c r="AK718">
        <v>0</v>
      </c>
      <c r="AL718">
        <v>0</v>
      </c>
      <c r="AM718">
        <v>0</v>
      </c>
      <c r="AN718" t="s">
        <v>135</v>
      </c>
      <c r="AO718" t="s">
        <v>135</v>
      </c>
      <c r="AP718" t="s">
        <v>136</v>
      </c>
      <c r="AQ718" t="s">
        <v>137</v>
      </c>
      <c r="AR718" t="s">
        <v>138</v>
      </c>
      <c r="AS718" t="s">
        <v>139</v>
      </c>
      <c r="AT718" t="s">
        <v>140</v>
      </c>
      <c r="AU718">
        <v>100</v>
      </c>
      <c r="AV718">
        <v>10</v>
      </c>
      <c r="AW718">
        <v>1</v>
      </c>
      <c r="AX718" s="2">
        <v>45817</v>
      </c>
      <c r="AY718" t="s">
        <v>141</v>
      </c>
      <c r="AZ718" s="2">
        <v>46027</v>
      </c>
      <c r="BA718">
        <v>0</v>
      </c>
      <c r="BB718">
        <v>0</v>
      </c>
      <c r="BC718">
        <v>0</v>
      </c>
      <c r="BD718">
        <v>700</v>
      </c>
      <c r="BE718">
        <v>70</v>
      </c>
      <c r="BF718">
        <v>9</v>
      </c>
      <c r="BG718" s="2">
        <v>45536</v>
      </c>
      <c r="BH718" t="s">
        <v>142</v>
      </c>
      <c r="BI718" s="2">
        <v>46026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s="1">
        <v>6533.83</v>
      </c>
      <c r="BQ718" s="1">
        <v>6533.83</v>
      </c>
      <c r="BR718">
        <v>0</v>
      </c>
      <c r="BS718">
        <v>0</v>
      </c>
      <c r="BT718">
        <v>0</v>
      </c>
      <c r="BU718">
        <v>0</v>
      </c>
      <c r="BV718" s="1">
        <v>14764.17</v>
      </c>
      <c r="BW718" s="1">
        <v>14764.17</v>
      </c>
      <c r="BX718">
        <v>0</v>
      </c>
      <c r="BY718">
        <v>0</v>
      </c>
      <c r="BZ718">
        <v>0</v>
      </c>
      <c r="CA718">
        <v>0</v>
      </c>
      <c r="CB718" s="1">
        <v>10371.209999999999</v>
      </c>
      <c r="CC718" t="s">
        <v>152</v>
      </c>
    </row>
    <row r="719" spans="1:81" x14ac:dyDescent="0.25">
      <c r="A719">
        <v>345</v>
      </c>
      <c r="B719">
        <v>2</v>
      </c>
      <c r="C719">
        <v>1128</v>
      </c>
      <c r="D719" t="s">
        <v>4106</v>
      </c>
      <c r="E719" t="s">
        <v>121</v>
      </c>
      <c r="F719" t="s">
        <v>4107</v>
      </c>
      <c r="G719" t="s">
        <v>4108</v>
      </c>
      <c r="H719" t="s">
        <v>4109</v>
      </c>
      <c r="I719" t="s">
        <v>3838</v>
      </c>
      <c r="J719" t="s">
        <v>1263</v>
      </c>
      <c r="K719" t="s">
        <v>466</v>
      </c>
      <c r="L719" t="s">
        <v>128</v>
      </c>
      <c r="M719" t="s">
        <v>467</v>
      </c>
      <c r="N719" t="s">
        <v>4110</v>
      </c>
      <c r="O719" t="s">
        <v>131</v>
      </c>
      <c r="P719">
        <v>0</v>
      </c>
      <c r="Q719" t="s">
        <v>125</v>
      </c>
      <c r="R719">
        <v>6</v>
      </c>
      <c r="S719">
        <v>41</v>
      </c>
      <c r="T719" t="s">
        <v>132</v>
      </c>
      <c r="U719" t="s">
        <v>133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134</v>
      </c>
      <c r="AE719" t="s">
        <v>134</v>
      </c>
      <c r="AF719" s="2">
        <v>45518</v>
      </c>
      <c r="AG719" s="2">
        <v>46018</v>
      </c>
      <c r="AH719" s="1">
        <v>1815.36</v>
      </c>
      <c r="AI719" s="1">
        <v>4944.46</v>
      </c>
      <c r="AJ719" s="1">
        <v>19968.96</v>
      </c>
      <c r="AK719">
        <v>0</v>
      </c>
      <c r="AL719">
        <v>0</v>
      </c>
      <c r="AM719">
        <v>0</v>
      </c>
      <c r="AN719" t="s">
        <v>135</v>
      </c>
      <c r="AO719" t="s">
        <v>135</v>
      </c>
      <c r="AP719" t="s">
        <v>136</v>
      </c>
      <c r="AQ719" t="s">
        <v>137</v>
      </c>
      <c r="AR719" t="s">
        <v>138</v>
      </c>
      <c r="AS719" t="s">
        <v>139</v>
      </c>
      <c r="AT719" t="s">
        <v>140</v>
      </c>
      <c r="AU719">
        <v>106</v>
      </c>
      <c r="AV719">
        <v>10</v>
      </c>
      <c r="AW719">
        <v>1</v>
      </c>
      <c r="AX719" s="2">
        <v>45611</v>
      </c>
      <c r="AY719" t="s">
        <v>151</v>
      </c>
      <c r="AZ719" s="2">
        <v>46024</v>
      </c>
      <c r="BA719">
        <v>0</v>
      </c>
      <c r="BB719">
        <v>0</v>
      </c>
      <c r="BC719">
        <v>0</v>
      </c>
      <c r="BD719">
        <v>700</v>
      </c>
      <c r="BE719">
        <v>70</v>
      </c>
      <c r="BF719">
        <v>9</v>
      </c>
      <c r="BG719" s="2">
        <v>45536</v>
      </c>
      <c r="BH719" t="s">
        <v>142</v>
      </c>
      <c r="BI719" s="2">
        <v>46026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s="1">
        <v>8500.18</v>
      </c>
      <c r="BQ719" s="1">
        <v>8500.18</v>
      </c>
      <c r="BR719">
        <v>0</v>
      </c>
      <c r="BS719">
        <v>0</v>
      </c>
      <c r="BT719">
        <v>0</v>
      </c>
      <c r="BU719">
        <v>0</v>
      </c>
      <c r="BV719" s="1">
        <v>5563.23</v>
      </c>
      <c r="BW719" s="1">
        <v>5563.23</v>
      </c>
      <c r="BX719">
        <v>0</v>
      </c>
      <c r="BY719">
        <v>0</v>
      </c>
      <c r="BZ719">
        <v>0</v>
      </c>
      <c r="CA719">
        <v>0</v>
      </c>
      <c r="CB719" s="1">
        <v>7682.81</v>
      </c>
      <c r="CC719" t="s">
        <v>143</v>
      </c>
    </row>
    <row r="720" spans="1:81" x14ac:dyDescent="0.25">
      <c r="A720">
        <v>345</v>
      </c>
      <c r="B720">
        <v>2</v>
      </c>
      <c r="C720">
        <v>1129</v>
      </c>
      <c r="D720" t="s">
        <v>4111</v>
      </c>
      <c r="E720" t="s">
        <v>121</v>
      </c>
      <c r="F720" t="s">
        <v>4112</v>
      </c>
      <c r="G720" t="s">
        <v>4113</v>
      </c>
      <c r="H720" t="s">
        <v>4114</v>
      </c>
      <c r="I720" t="s">
        <v>4115</v>
      </c>
      <c r="J720" t="s">
        <v>3074</v>
      </c>
      <c r="K720" t="s">
        <v>1853</v>
      </c>
      <c r="L720" t="s">
        <v>128</v>
      </c>
      <c r="M720" t="s">
        <v>1854</v>
      </c>
      <c r="N720" t="s">
        <v>4116</v>
      </c>
      <c r="O720" t="s">
        <v>619</v>
      </c>
      <c r="P720">
        <v>0</v>
      </c>
      <c r="Q720" t="s">
        <v>125</v>
      </c>
      <c r="R720">
        <v>6</v>
      </c>
      <c r="S720">
        <v>43</v>
      </c>
      <c r="T720" t="s">
        <v>132</v>
      </c>
      <c r="U720" t="s">
        <v>133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134</v>
      </c>
      <c r="AE720" t="s">
        <v>134</v>
      </c>
      <c r="AF720" s="2">
        <v>45518</v>
      </c>
      <c r="AG720" s="2">
        <v>46017</v>
      </c>
      <c r="AH720" s="1">
        <v>2474.0300000000002</v>
      </c>
      <c r="AI720" s="1">
        <v>4739.34</v>
      </c>
      <c r="AJ720" s="1">
        <v>27214.35</v>
      </c>
      <c r="AK720">
        <v>0</v>
      </c>
      <c r="AL720">
        <v>0</v>
      </c>
      <c r="AM720">
        <v>0</v>
      </c>
      <c r="AN720" t="s">
        <v>135</v>
      </c>
      <c r="AO720" t="s">
        <v>135</v>
      </c>
      <c r="AP720" t="s">
        <v>136</v>
      </c>
      <c r="AQ720" t="s">
        <v>137</v>
      </c>
      <c r="AR720" t="s">
        <v>138</v>
      </c>
      <c r="AS720" t="s">
        <v>150</v>
      </c>
      <c r="AT720" t="s">
        <v>140</v>
      </c>
      <c r="AU720">
        <v>106</v>
      </c>
      <c r="AV720">
        <v>10</v>
      </c>
      <c r="AW720">
        <v>1</v>
      </c>
      <c r="AX720" s="2">
        <v>45812</v>
      </c>
      <c r="AY720" t="s">
        <v>168</v>
      </c>
      <c r="AZ720" s="2">
        <v>46022</v>
      </c>
      <c r="BA720">
        <v>0</v>
      </c>
      <c r="BB720">
        <v>0</v>
      </c>
      <c r="BC720">
        <v>0</v>
      </c>
      <c r="BD720">
        <v>700</v>
      </c>
      <c r="BE720">
        <v>70</v>
      </c>
      <c r="BF720">
        <v>9</v>
      </c>
      <c r="BG720" s="2">
        <v>45536</v>
      </c>
      <c r="BH720" t="s">
        <v>142</v>
      </c>
      <c r="BI720" s="2">
        <v>46026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s="1">
        <v>7886.08</v>
      </c>
      <c r="BQ720" s="1">
        <v>7886.08</v>
      </c>
      <c r="BR720">
        <v>0</v>
      </c>
      <c r="BS720">
        <v>0</v>
      </c>
      <c r="BT720">
        <v>0</v>
      </c>
      <c r="BU720">
        <v>0</v>
      </c>
      <c r="BV720" s="1">
        <v>14699.21</v>
      </c>
      <c r="BW720" s="1">
        <v>14699.21</v>
      </c>
      <c r="BX720">
        <v>0</v>
      </c>
      <c r="BY720">
        <v>0</v>
      </c>
      <c r="BZ720">
        <v>0</v>
      </c>
      <c r="CA720">
        <v>0</v>
      </c>
      <c r="CB720" s="1">
        <v>5863.89</v>
      </c>
      <c r="CC720" t="s">
        <v>143</v>
      </c>
    </row>
    <row r="721" spans="1:81" x14ac:dyDescent="0.25">
      <c r="A721">
        <v>345</v>
      </c>
      <c r="B721">
        <v>2</v>
      </c>
      <c r="C721">
        <v>1130</v>
      </c>
      <c r="D721" t="s">
        <v>4117</v>
      </c>
      <c r="E721" t="s">
        <v>121</v>
      </c>
      <c r="F721" t="s">
        <v>4118</v>
      </c>
      <c r="G721" t="s">
        <v>4119</v>
      </c>
      <c r="H721" t="s">
        <v>4120</v>
      </c>
      <c r="I721" t="s">
        <v>4121</v>
      </c>
      <c r="J721" t="s">
        <v>3074</v>
      </c>
      <c r="K721" t="s">
        <v>1853</v>
      </c>
      <c r="L721" t="s">
        <v>128</v>
      </c>
      <c r="M721" t="s">
        <v>1854</v>
      </c>
      <c r="N721" t="s">
        <v>4122</v>
      </c>
      <c r="O721" t="s">
        <v>167</v>
      </c>
      <c r="P721">
        <v>0</v>
      </c>
      <c r="Q721" t="s">
        <v>125</v>
      </c>
      <c r="R721">
        <v>6</v>
      </c>
      <c r="S721">
        <v>39</v>
      </c>
      <c r="T721" t="s">
        <v>132</v>
      </c>
      <c r="U721" t="s">
        <v>133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134</v>
      </c>
      <c r="AE721" t="s">
        <v>134</v>
      </c>
      <c r="AF721" s="2">
        <v>45518</v>
      </c>
      <c r="AG721" s="2">
        <v>46015</v>
      </c>
      <c r="AH721">
        <v>437.39</v>
      </c>
      <c r="AI721">
        <v>637.08000000000004</v>
      </c>
      <c r="AJ721" s="1">
        <v>3061.74</v>
      </c>
      <c r="AK721">
        <v>0</v>
      </c>
      <c r="AL721">
        <v>0</v>
      </c>
      <c r="AM721">
        <v>0</v>
      </c>
      <c r="AN721" t="s">
        <v>135</v>
      </c>
      <c r="AO721" t="s">
        <v>135</v>
      </c>
      <c r="AP721" t="s">
        <v>136</v>
      </c>
      <c r="AQ721" t="s">
        <v>137</v>
      </c>
      <c r="AR721" t="s">
        <v>138</v>
      </c>
      <c r="AS721" t="s">
        <v>150</v>
      </c>
      <c r="AT721" t="s">
        <v>140</v>
      </c>
      <c r="AU721">
        <v>106</v>
      </c>
      <c r="AV721">
        <v>10</v>
      </c>
      <c r="AW721">
        <v>1</v>
      </c>
      <c r="AX721" s="2">
        <v>45859</v>
      </c>
      <c r="AY721" t="s">
        <v>141</v>
      </c>
      <c r="AZ721" s="2">
        <v>46027</v>
      </c>
      <c r="BA721">
        <v>0</v>
      </c>
      <c r="BB721">
        <v>0</v>
      </c>
      <c r="BC721">
        <v>0</v>
      </c>
      <c r="BD721">
        <v>700</v>
      </c>
      <c r="BE721">
        <v>70</v>
      </c>
      <c r="BF721">
        <v>9</v>
      </c>
      <c r="BG721" s="2">
        <v>45536</v>
      </c>
      <c r="BH721" t="s">
        <v>142</v>
      </c>
      <c r="BI721" s="2">
        <v>46026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894.68</v>
      </c>
      <c r="BQ721">
        <v>894.68</v>
      </c>
      <c r="BR721">
        <v>0</v>
      </c>
      <c r="BS721">
        <v>0</v>
      </c>
      <c r="BT721">
        <v>0</v>
      </c>
      <c r="BU721">
        <v>0</v>
      </c>
      <c r="BV721">
        <v>894.68</v>
      </c>
      <c r="BW721">
        <v>894.68</v>
      </c>
      <c r="BX721">
        <v>0</v>
      </c>
      <c r="BY721">
        <v>0</v>
      </c>
      <c r="BZ721">
        <v>0</v>
      </c>
      <c r="CA721">
        <v>0</v>
      </c>
      <c r="CB721">
        <v>842.63</v>
      </c>
      <c r="CC721" t="s">
        <v>161</v>
      </c>
    </row>
    <row r="722" spans="1:81" x14ac:dyDescent="0.25">
      <c r="A722">
        <v>345</v>
      </c>
      <c r="B722">
        <v>2</v>
      </c>
      <c r="C722">
        <v>1131</v>
      </c>
      <c r="D722" t="s">
        <v>4123</v>
      </c>
      <c r="E722" t="s">
        <v>121</v>
      </c>
      <c r="F722" t="s">
        <v>4124</v>
      </c>
      <c r="G722" t="s">
        <v>4125</v>
      </c>
      <c r="H722" t="s">
        <v>4126</v>
      </c>
      <c r="I722" t="s">
        <v>4127</v>
      </c>
      <c r="J722" t="s">
        <v>1263</v>
      </c>
      <c r="K722" t="s">
        <v>466</v>
      </c>
      <c r="L722" t="s">
        <v>128</v>
      </c>
      <c r="M722" t="s">
        <v>467</v>
      </c>
      <c r="N722" t="s">
        <v>4128</v>
      </c>
      <c r="O722" t="s">
        <v>1146</v>
      </c>
      <c r="P722">
        <v>0</v>
      </c>
      <c r="Q722" t="s">
        <v>125</v>
      </c>
      <c r="R722">
        <v>4</v>
      </c>
      <c r="S722">
        <v>81</v>
      </c>
      <c r="T722" t="s">
        <v>132</v>
      </c>
      <c r="U722" t="s">
        <v>133</v>
      </c>
      <c r="V722" s="1">
        <v>5000</v>
      </c>
      <c r="W722">
        <v>0</v>
      </c>
      <c r="X722" s="1">
        <v>5000</v>
      </c>
      <c r="Y722">
        <v>7</v>
      </c>
      <c r="Z722">
        <v>0</v>
      </c>
      <c r="AA722">
        <v>0</v>
      </c>
      <c r="AB722">
        <v>0</v>
      </c>
      <c r="AC722">
        <v>0</v>
      </c>
      <c r="AD722" t="s">
        <v>134</v>
      </c>
      <c r="AE722" t="s">
        <v>134</v>
      </c>
      <c r="AF722" s="2">
        <v>45518</v>
      </c>
      <c r="AG722" s="2">
        <v>45957</v>
      </c>
      <c r="AH722">
        <v>596.74</v>
      </c>
      <c r="AI722">
        <v>596.74</v>
      </c>
      <c r="AJ722">
        <v>596.74</v>
      </c>
      <c r="AK722">
        <v>0</v>
      </c>
      <c r="AL722">
        <v>0</v>
      </c>
      <c r="AM722">
        <v>0</v>
      </c>
      <c r="AN722" t="s">
        <v>135</v>
      </c>
      <c r="AO722" t="s">
        <v>135</v>
      </c>
      <c r="AP722" t="s">
        <v>136</v>
      </c>
      <c r="AQ722" t="s">
        <v>137</v>
      </c>
      <c r="AR722" t="s">
        <v>138</v>
      </c>
      <c r="AS722" t="s">
        <v>139</v>
      </c>
      <c r="AT722" t="s">
        <v>140</v>
      </c>
      <c r="AU722">
        <v>106</v>
      </c>
      <c r="AV722">
        <v>10</v>
      </c>
      <c r="AW722">
        <v>1</v>
      </c>
      <c r="AX722" s="2">
        <v>45864</v>
      </c>
      <c r="AY722" t="s">
        <v>160</v>
      </c>
      <c r="AZ722" s="2">
        <v>46025</v>
      </c>
      <c r="BA722">
        <v>0</v>
      </c>
      <c r="BB722">
        <v>0</v>
      </c>
      <c r="BC722">
        <v>0</v>
      </c>
      <c r="BD722">
        <v>999</v>
      </c>
      <c r="BE722">
        <v>99</v>
      </c>
      <c r="BF722">
        <v>9</v>
      </c>
      <c r="BG722" t="s">
        <v>135</v>
      </c>
      <c r="BH722" t="s">
        <v>250</v>
      </c>
      <c r="BI722" t="s">
        <v>135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226.5</v>
      </c>
      <c r="CC722" t="s">
        <v>161</v>
      </c>
    </row>
    <row r="723" spans="1:81" x14ac:dyDescent="0.25">
      <c r="A723">
        <v>345</v>
      </c>
      <c r="B723">
        <v>2</v>
      </c>
      <c r="C723">
        <v>1132</v>
      </c>
      <c r="D723" t="s">
        <v>4129</v>
      </c>
      <c r="E723" t="s">
        <v>121</v>
      </c>
      <c r="F723" t="s">
        <v>4130</v>
      </c>
      <c r="G723" t="s">
        <v>4131</v>
      </c>
      <c r="H723" t="s">
        <v>4132</v>
      </c>
      <c r="I723" t="s">
        <v>4133</v>
      </c>
      <c r="J723" t="s">
        <v>3074</v>
      </c>
      <c r="K723" t="s">
        <v>1853</v>
      </c>
      <c r="L723" t="s">
        <v>128</v>
      </c>
      <c r="M723" t="s">
        <v>1854</v>
      </c>
      <c r="N723" t="s">
        <v>4134</v>
      </c>
      <c r="O723" t="s">
        <v>131</v>
      </c>
      <c r="P723">
        <v>0</v>
      </c>
      <c r="Q723" t="s">
        <v>125</v>
      </c>
      <c r="R723">
        <v>6</v>
      </c>
      <c r="S723">
        <v>39</v>
      </c>
      <c r="T723" t="s">
        <v>132</v>
      </c>
      <c r="U723" t="s">
        <v>133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134</v>
      </c>
      <c r="AE723" t="s">
        <v>134</v>
      </c>
      <c r="AF723" s="2">
        <v>45518</v>
      </c>
      <c r="AG723" s="2">
        <v>45933</v>
      </c>
      <c r="AH723">
        <v>331.32</v>
      </c>
      <c r="AI723">
        <v>331.32</v>
      </c>
      <c r="AJ723">
        <v>331.32</v>
      </c>
      <c r="AK723">
        <v>0</v>
      </c>
      <c r="AL723">
        <v>0</v>
      </c>
      <c r="AM723">
        <v>0</v>
      </c>
      <c r="AN723" t="s">
        <v>135</v>
      </c>
      <c r="AO723" t="s">
        <v>135</v>
      </c>
      <c r="AP723" t="s">
        <v>136</v>
      </c>
      <c r="AQ723" t="s">
        <v>137</v>
      </c>
      <c r="AR723" t="s">
        <v>138</v>
      </c>
      <c r="AS723" t="s">
        <v>139</v>
      </c>
      <c r="AT723" t="s">
        <v>140</v>
      </c>
      <c r="AU723">
        <v>106</v>
      </c>
      <c r="AV723">
        <v>10</v>
      </c>
      <c r="AW723">
        <v>1</v>
      </c>
      <c r="AX723" s="2">
        <v>45813</v>
      </c>
      <c r="AY723" t="s">
        <v>308</v>
      </c>
      <c r="AZ723" s="2">
        <v>46023</v>
      </c>
      <c r="BA723">
        <v>0</v>
      </c>
      <c r="BB723">
        <v>0</v>
      </c>
      <c r="BC723">
        <v>0</v>
      </c>
      <c r="BD723">
        <v>700</v>
      </c>
      <c r="BE723">
        <v>70</v>
      </c>
      <c r="BF723">
        <v>9</v>
      </c>
      <c r="BG723" s="2">
        <v>45536</v>
      </c>
      <c r="BH723" t="s">
        <v>142</v>
      </c>
      <c r="BI723" s="2">
        <v>46026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447.32</v>
      </c>
      <c r="CC723" t="s">
        <v>143</v>
      </c>
    </row>
    <row r="724" spans="1:81" x14ac:dyDescent="0.25">
      <c r="A724">
        <v>345</v>
      </c>
      <c r="B724">
        <v>2</v>
      </c>
      <c r="C724">
        <v>1135</v>
      </c>
      <c r="D724" t="s">
        <v>4135</v>
      </c>
      <c r="E724" t="s">
        <v>121</v>
      </c>
      <c r="F724" t="s">
        <v>4136</v>
      </c>
      <c r="G724" t="s">
        <v>4137</v>
      </c>
      <c r="H724" t="s">
        <v>4138</v>
      </c>
      <c r="I724" t="s">
        <v>125</v>
      </c>
      <c r="J724" t="s">
        <v>1671</v>
      </c>
      <c r="K724" t="s">
        <v>466</v>
      </c>
      <c r="L724" t="s">
        <v>128</v>
      </c>
      <c r="M724" t="s">
        <v>467</v>
      </c>
      <c r="N724" t="s">
        <v>1102</v>
      </c>
      <c r="O724" t="s">
        <v>167</v>
      </c>
      <c r="P724">
        <v>0</v>
      </c>
      <c r="Q724" t="s">
        <v>125</v>
      </c>
      <c r="R724">
        <v>6</v>
      </c>
      <c r="S724">
        <v>37</v>
      </c>
      <c r="T724" t="s">
        <v>132</v>
      </c>
      <c r="U724" t="s">
        <v>133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234</v>
      </c>
      <c r="AE724" t="s">
        <v>134</v>
      </c>
      <c r="AF724" s="2">
        <v>45518</v>
      </c>
      <c r="AG724" s="2">
        <v>46018</v>
      </c>
      <c r="AH724" s="1">
        <v>3476.51</v>
      </c>
      <c r="AI724" s="1">
        <v>7668.8</v>
      </c>
      <c r="AJ724" s="1">
        <v>41718.15</v>
      </c>
      <c r="AK724">
        <v>0</v>
      </c>
      <c r="AL724">
        <v>0</v>
      </c>
      <c r="AM724">
        <v>0</v>
      </c>
      <c r="AN724" t="s">
        <v>135</v>
      </c>
      <c r="AO724" t="s">
        <v>135</v>
      </c>
      <c r="AP724" t="s">
        <v>136</v>
      </c>
      <c r="AQ724" t="s">
        <v>137</v>
      </c>
      <c r="AR724" t="s">
        <v>138</v>
      </c>
      <c r="AS724" t="s">
        <v>139</v>
      </c>
      <c r="AT724" t="s">
        <v>140</v>
      </c>
      <c r="AU724">
        <v>105</v>
      </c>
      <c r="AV724">
        <v>10</v>
      </c>
      <c r="AW724">
        <v>1</v>
      </c>
      <c r="AX724" s="2">
        <v>45813</v>
      </c>
      <c r="AY724" t="s">
        <v>308</v>
      </c>
      <c r="AZ724" s="2">
        <v>46023</v>
      </c>
      <c r="BA724">
        <v>0</v>
      </c>
      <c r="BB724">
        <v>0</v>
      </c>
      <c r="BC724">
        <v>0</v>
      </c>
      <c r="BD724">
        <v>700</v>
      </c>
      <c r="BE724">
        <v>70</v>
      </c>
      <c r="BF724">
        <v>9</v>
      </c>
      <c r="BG724" s="2">
        <v>45536</v>
      </c>
      <c r="BH724" t="s">
        <v>142</v>
      </c>
      <c r="BI724" s="2">
        <v>46026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 s="1">
        <v>10189.780000000001</v>
      </c>
      <c r="BQ724" s="1">
        <v>10189.780000000001</v>
      </c>
      <c r="BR724">
        <v>0</v>
      </c>
      <c r="BS724">
        <v>0</v>
      </c>
      <c r="BT724">
        <v>0</v>
      </c>
      <c r="BU724">
        <v>0</v>
      </c>
      <c r="BV724" s="1">
        <v>16334.61</v>
      </c>
      <c r="BW724" s="1">
        <v>16334.61</v>
      </c>
      <c r="BX724">
        <v>0</v>
      </c>
      <c r="BY724">
        <v>0</v>
      </c>
      <c r="BZ724">
        <v>0</v>
      </c>
      <c r="CA724">
        <v>0</v>
      </c>
      <c r="CB724" s="1">
        <v>12828.11</v>
      </c>
      <c r="CC724" t="s">
        <v>161</v>
      </c>
    </row>
    <row r="725" spans="1:81" x14ac:dyDescent="0.25">
      <c r="A725">
        <v>345</v>
      </c>
      <c r="B725">
        <v>2</v>
      </c>
      <c r="C725">
        <v>1138</v>
      </c>
      <c r="D725" t="s">
        <v>4139</v>
      </c>
      <c r="E725" t="s">
        <v>121</v>
      </c>
      <c r="F725" t="s">
        <v>4140</v>
      </c>
      <c r="G725" t="s">
        <v>4141</v>
      </c>
      <c r="H725" t="s">
        <v>4142</v>
      </c>
      <c r="I725" t="s">
        <v>4143</v>
      </c>
      <c r="J725" t="s">
        <v>126</v>
      </c>
      <c r="K725" t="s">
        <v>473</v>
      </c>
      <c r="L725" t="s">
        <v>128</v>
      </c>
      <c r="M725" t="s">
        <v>474</v>
      </c>
      <c r="N725" t="s">
        <v>4144</v>
      </c>
      <c r="O725" t="s">
        <v>149</v>
      </c>
      <c r="P725">
        <v>0</v>
      </c>
      <c r="Q725" t="s">
        <v>125</v>
      </c>
      <c r="R725">
        <v>6</v>
      </c>
      <c r="S725">
        <v>40</v>
      </c>
      <c r="T725" t="s">
        <v>132</v>
      </c>
      <c r="U725" t="s">
        <v>133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134</v>
      </c>
      <c r="AE725" t="s">
        <v>134</v>
      </c>
      <c r="AF725" s="2">
        <v>45518</v>
      </c>
      <c r="AG725" s="2">
        <v>46021</v>
      </c>
      <c r="AH725" s="1">
        <v>4833.75</v>
      </c>
      <c r="AI725" s="1">
        <v>11297.04</v>
      </c>
      <c r="AJ725" s="1">
        <v>38670.06</v>
      </c>
      <c r="AK725">
        <v>0</v>
      </c>
      <c r="AL725">
        <v>0</v>
      </c>
      <c r="AM725">
        <v>0</v>
      </c>
      <c r="AN725" t="s">
        <v>135</v>
      </c>
      <c r="AO725" t="s">
        <v>135</v>
      </c>
      <c r="AP725" t="s">
        <v>136</v>
      </c>
      <c r="AQ725" t="s">
        <v>137</v>
      </c>
      <c r="AR725" t="s">
        <v>138</v>
      </c>
      <c r="AS725" t="s">
        <v>139</v>
      </c>
      <c r="AT725" t="s">
        <v>140</v>
      </c>
      <c r="AU725">
        <v>501</v>
      </c>
      <c r="AV725">
        <v>10</v>
      </c>
      <c r="AW725">
        <v>1</v>
      </c>
      <c r="AX725" s="2">
        <v>45857</v>
      </c>
      <c r="AY725" t="s">
        <v>160</v>
      </c>
      <c r="AZ725" s="2">
        <v>46025</v>
      </c>
      <c r="BA725">
        <v>0</v>
      </c>
      <c r="BB725">
        <v>0</v>
      </c>
      <c r="BC725">
        <v>0</v>
      </c>
      <c r="BD725">
        <v>700</v>
      </c>
      <c r="BE725">
        <v>70</v>
      </c>
      <c r="BF725">
        <v>9</v>
      </c>
      <c r="BG725" s="2">
        <v>45536</v>
      </c>
      <c r="BH725" t="s">
        <v>142</v>
      </c>
      <c r="BI725" s="2">
        <v>46026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 s="1">
        <v>7474.68</v>
      </c>
      <c r="BQ725" s="1">
        <v>7474.68</v>
      </c>
      <c r="BR725">
        <v>0</v>
      </c>
      <c r="BS725">
        <v>0</v>
      </c>
      <c r="BT725">
        <v>0</v>
      </c>
      <c r="BU725">
        <v>0</v>
      </c>
      <c r="BV725" s="1">
        <v>27460.639999999999</v>
      </c>
      <c r="BW725" s="1">
        <v>27460.639999999999</v>
      </c>
      <c r="BX725">
        <v>0</v>
      </c>
      <c r="BY725">
        <v>0</v>
      </c>
      <c r="BZ725">
        <v>0</v>
      </c>
      <c r="CA725">
        <v>0</v>
      </c>
      <c r="CB725" s="1">
        <v>7437.24</v>
      </c>
      <c r="CC725" t="s">
        <v>152</v>
      </c>
    </row>
    <row r="726" spans="1:81" x14ac:dyDescent="0.25">
      <c r="A726">
        <v>345</v>
      </c>
      <c r="B726">
        <v>2</v>
      </c>
      <c r="C726">
        <v>1144</v>
      </c>
      <c r="D726" t="s">
        <v>4145</v>
      </c>
      <c r="E726" t="s">
        <v>121</v>
      </c>
      <c r="F726" t="s">
        <v>4146</v>
      </c>
      <c r="G726" t="s">
        <v>4147</v>
      </c>
      <c r="H726" t="s">
        <v>4148</v>
      </c>
      <c r="I726" t="s">
        <v>4149</v>
      </c>
      <c r="J726" t="s">
        <v>3074</v>
      </c>
      <c r="K726" t="s">
        <v>1853</v>
      </c>
      <c r="L726" t="s">
        <v>128</v>
      </c>
      <c r="M726" t="s">
        <v>1854</v>
      </c>
      <c r="N726" t="s">
        <v>4150</v>
      </c>
      <c r="O726" t="s">
        <v>167</v>
      </c>
      <c r="P726">
        <v>0</v>
      </c>
      <c r="Q726" t="s">
        <v>125</v>
      </c>
      <c r="R726">
        <v>6</v>
      </c>
      <c r="S726">
        <v>41</v>
      </c>
      <c r="T726" t="s">
        <v>132</v>
      </c>
      <c r="U726" t="s">
        <v>133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134</v>
      </c>
      <c r="AE726" t="s">
        <v>134</v>
      </c>
      <c r="AF726" s="2">
        <v>45518</v>
      </c>
      <c r="AG726" s="2">
        <v>46015</v>
      </c>
      <c r="AH726" s="1">
        <v>2109.5100000000002</v>
      </c>
      <c r="AI726" s="1">
        <v>5206.0600000000004</v>
      </c>
      <c r="AJ726" s="1">
        <v>23204.67</v>
      </c>
      <c r="AK726">
        <v>0</v>
      </c>
      <c r="AL726" s="1">
        <v>2160.84</v>
      </c>
      <c r="AM726">
        <v>0</v>
      </c>
      <c r="AN726" t="s">
        <v>135</v>
      </c>
      <c r="AO726" t="s">
        <v>135</v>
      </c>
      <c r="AP726" t="s">
        <v>136</v>
      </c>
      <c r="AQ726" t="s">
        <v>137</v>
      </c>
      <c r="AR726" t="s">
        <v>138</v>
      </c>
      <c r="AS726" t="s">
        <v>150</v>
      </c>
      <c r="AT726" t="s">
        <v>140</v>
      </c>
      <c r="AU726">
        <v>500</v>
      </c>
      <c r="AV726">
        <v>10</v>
      </c>
      <c r="AW726">
        <v>1</v>
      </c>
      <c r="AX726" s="2">
        <v>45537</v>
      </c>
      <c r="AY726" t="s">
        <v>141</v>
      </c>
      <c r="AZ726" s="2">
        <v>46027</v>
      </c>
      <c r="BA726">
        <v>0</v>
      </c>
      <c r="BB726">
        <v>0</v>
      </c>
      <c r="BC726">
        <v>0</v>
      </c>
      <c r="BD726">
        <v>700</v>
      </c>
      <c r="BE726">
        <v>70</v>
      </c>
      <c r="BF726">
        <v>9</v>
      </c>
      <c r="BG726" s="2">
        <v>45536</v>
      </c>
      <c r="BH726" t="s">
        <v>142</v>
      </c>
      <c r="BI726" s="2">
        <v>46026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s="1">
        <v>2288.31</v>
      </c>
      <c r="BQ726" s="1">
        <v>2288.31</v>
      </c>
      <c r="BR726">
        <v>0</v>
      </c>
      <c r="BS726">
        <v>0</v>
      </c>
      <c r="BT726">
        <v>0</v>
      </c>
      <c r="BU726">
        <v>0</v>
      </c>
      <c r="BV726" s="1">
        <v>7505.19</v>
      </c>
      <c r="BW726" s="1">
        <v>7505.19</v>
      </c>
      <c r="BX726">
        <v>0</v>
      </c>
      <c r="BY726">
        <v>0</v>
      </c>
      <c r="BZ726">
        <v>0</v>
      </c>
      <c r="CA726">
        <v>0</v>
      </c>
      <c r="CB726" s="1">
        <v>9519.18</v>
      </c>
      <c r="CC726" t="s">
        <v>161</v>
      </c>
    </row>
    <row r="727" spans="1:81" x14ac:dyDescent="0.25">
      <c r="A727">
        <v>345</v>
      </c>
      <c r="B727">
        <v>2</v>
      </c>
      <c r="C727">
        <v>1145</v>
      </c>
      <c r="D727" t="s">
        <v>4151</v>
      </c>
      <c r="E727" t="s">
        <v>121</v>
      </c>
      <c r="F727" t="s">
        <v>4152</v>
      </c>
      <c r="G727" t="s">
        <v>4153</v>
      </c>
      <c r="H727" t="s">
        <v>4154</v>
      </c>
      <c r="I727" t="s">
        <v>4155</v>
      </c>
      <c r="J727" t="s">
        <v>157</v>
      </c>
      <c r="K727" t="s">
        <v>127</v>
      </c>
      <c r="L727" t="s">
        <v>128</v>
      </c>
      <c r="M727" t="s">
        <v>129</v>
      </c>
      <c r="N727" t="s">
        <v>4156</v>
      </c>
      <c r="O727" t="s">
        <v>131</v>
      </c>
      <c r="P727">
        <v>0</v>
      </c>
      <c r="Q727" t="s">
        <v>125</v>
      </c>
      <c r="R727">
        <v>6</v>
      </c>
      <c r="S727">
        <v>41</v>
      </c>
      <c r="T727" t="s">
        <v>132</v>
      </c>
      <c r="U727" t="s">
        <v>133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134</v>
      </c>
      <c r="AE727" t="s">
        <v>134</v>
      </c>
      <c r="AF727" s="2">
        <v>45518</v>
      </c>
      <c r="AG727" s="2">
        <v>46020</v>
      </c>
      <c r="AH727" s="1">
        <v>1314.72</v>
      </c>
      <c r="AI727" s="1">
        <v>2087.88</v>
      </c>
      <c r="AJ727" s="1">
        <v>15776.69</v>
      </c>
      <c r="AK727">
        <v>0</v>
      </c>
      <c r="AL727">
        <v>0</v>
      </c>
      <c r="AM727">
        <v>0</v>
      </c>
      <c r="AN727" t="s">
        <v>135</v>
      </c>
      <c r="AO727" t="s">
        <v>135</v>
      </c>
      <c r="AP727" t="s">
        <v>136</v>
      </c>
      <c r="AQ727" t="s">
        <v>137</v>
      </c>
      <c r="AR727" t="s">
        <v>138</v>
      </c>
      <c r="AS727" t="s">
        <v>139</v>
      </c>
      <c r="AT727" t="s">
        <v>140</v>
      </c>
      <c r="AU727">
        <v>102</v>
      </c>
      <c r="AV727">
        <v>10</v>
      </c>
      <c r="AW727">
        <v>1</v>
      </c>
      <c r="AX727" s="2">
        <v>45815</v>
      </c>
      <c r="AY727" t="s">
        <v>160</v>
      </c>
      <c r="AZ727" s="2">
        <v>46025</v>
      </c>
      <c r="BA727">
        <v>0</v>
      </c>
      <c r="BB727">
        <v>0</v>
      </c>
      <c r="BC727">
        <v>0</v>
      </c>
      <c r="BD727">
        <v>700</v>
      </c>
      <c r="BE727">
        <v>70</v>
      </c>
      <c r="BF727">
        <v>9</v>
      </c>
      <c r="BG727" s="2">
        <v>45536</v>
      </c>
      <c r="BH727" t="s">
        <v>142</v>
      </c>
      <c r="BI727" s="2">
        <v>46026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s="1">
        <v>4523.1400000000003</v>
      </c>
      <c r="BQ727" s="1">
        <v>4523.1400000000003</v>
      </c>
      <c r="BR727">
        <v>0</v>
      </c>
      <c r="BS727">
        <v>0</v>
      </c>
      <c r="BT727">
        <v>0</v>
      </c>
      <c r="BU727">
        <v>0</v>
      </c>
      <c r="BV727" s="1">
        <v>7288.48</v>
      </c>
      <c r="BW727" s="1">
        <v>7288.48</v>
      </c>
      <c r="BX727">
        <v>0</v>
      </c>
      <c r="BY727">
        <v>0</v>
      </c>
      <c r="BZ727">
        <v>0</v>
      </c>
      <c r="CA727">
        <v>0</v>
      </c>
      <c r="CB727" s="1">
        <v>4702.12</v>
      </c>
      <c r="CC727" t="s">
        <v>143</v>
      </c>
    </row>
    <row r="728" spans="1:81" x14ac:dyDescent="0.25">
      <c r="A728">
        <v>345</v>
      </c>
      <c r="B728">
        <v>2</v>
      </c>
      <c r="C728">
        <v>1147</v>
      </c>
      <c r="D728" t="s">
        <v>4157</v>
      </c>
      <c r="E728" t="s">
        <v>121</v>
      </c>
      <c r="F728" t="s">
        <v>2424</v>
      </c>
      <c r="G728" t="s">
        <v>4158</v>
      </c>
      <c r="H728" t="s">
        <v>4159</v>
      </c>
      <c r="I728" t="s">
        <v>125</v>
      </c>
      <c r="J728" t="s">
        <v>1217</v>
      </c>
      <c r="K728" t="s">
        <v>473</v>
      </c>
      <c r="L728" t="s">
        <v>128</v>
      </c>
      <c r="M728" t="s">
        <v>474</v>
      </c>
      <c r="N728" t="s">
        <v>4160</v>
      </c>
      <c r="O728" t="s">
        <v>149</v>
      </c>
      <c r="P728">
        <v>0</v>
      </c>
      <c r="Q728" t="s">
        <v>125</v>
      </c>
      <c r="R728">
        <v>6</v>
      </c>
      <c r="S728">
        <v>41</v>
      </c>
      <c r="T728" t="s">
        <v>132</v>
      </c>
      <c r="U728" t="s">
        <v>133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134</v>
      </c>
      <c r="AE728" t="s">
        <v>134</v>
      </c>
      <c r="AF728" s="2">
        <v>45518</v>
      </c>
      <c r="AG728" s="2">
        <v>46021</v>
      </c>
      <c r="AH728" s="1">
        <v>4864.46</v>
      </c>
      <c r="AI728" s="1">
        <v>10882.1</v>
      </c>
      <c r="AJ728" s="1">
        <v>58373.63</v>
      </c>
      <c r="AK728" s="1">
        <v>4428.72</v>
      </c>
      <c r="AL728">
        <v>0</v>
      </c>
      <c r="AM728">
        <v>0</v>
      </c>
      <c r="AN728" t="s">
        <v>135</v>
      </c>
      <c r="AO728" t="s">
        <v>135</v>
      </c>
      <c r="AP728" t="s">
        <v>136</v>
      </c>
      <c r="AQ728" t="s">
        <v>137</v>
      </c>
      <c r="AR728" t="s">
        <v>138</v>
      </c>
      <c r="AS728" t="s">
        <v>139</v>
      </c>
      <c r="AT728" t="s">
        <v>140</v>
      </c>
      <c r="AU728">
        <v>105</v>
      </c>
      <c r="AV728">
        <v>10</v>
      </c>
      <c r="AW728">
        <v>1</v>
      </c>
      <c r="AX728" s="2">
        <v>45838</v>
      </c>
      <c r="AY728" t="s">
        <v>141</v>
      </c>
      <c r="AZ728" s="2">
        <v>46027</v>
      </c>
      <c r="BA728">
        <v>0</v>
      </c>
      <c r="BB728">
        <v>0</v>
      </c>
      <c r="BC728">
        <v>0</v>
      </c>
      <c r="BD728">
        <v>700</v>
      </c>
      <c r="BE728">
        <v>70</v>
      </c>
      <c r="BF728">
        <v>9</v>
      </c>
      <c r="BG728" s="2">
        <v>45536</v>
      </c>
      <c r="BH728" t="s">
        <v>142</v>
      </c>
      <c r="BI728" s="2">
        <v>46026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s="1">
        <v>21905.22</v>
      </c>
      <c r="BQ728" s="1">
        <v>21905.22</v>
      </c>
      <c r="BR728">
        <v>0</v>
      </c>
      <c r="BS728">
        <v>0</v>
      </c>
      <c r="BT728">
        <v>0</v>
      </c>
      <c r="BU728">
        <v>0</v>
      </c>
      <c r="BV728" s="1">
        <v>23499.5</v>
      </c>
      <c r="BW728" s="1">
        <v>23499.5</v>
      </c>
      <c r="BX728">
        <v>0</v>
      </c>
      <c r="BY728">
        <v>0</v>
      </c>
      <c r="BZ728">
        <v>0</v>
      </c>
      <c r="CA728">
        <v>0</v>
      </c>
      <c r="CB728" s="1">
        <v>16246.53</v>
      </c>
      <c r="CC728" t="s">
        <v>152</v>
      </c>
    </row>
    <row r="729" spans="1:81" x14ac:dyDescent="0.25">
      <c r="A729">
        <v>345</v>
      </c>
      <c r="B729">
        <v>2</v>
      </c>
      <c r="C729">
        <v>1150</v>
      </c>
      <c r="D729" t="s">
        <v>4161</v>
      </c>
      <c r="E729" t="s">
        <v>121</v>
      </c>
      <c r="F729" t="s">
        <v>4162</v>
      </c>
      <c r="G729" t="s">
        <v>4163</v>
      </c>
      <c r="H729" t="s">
        <v>2979</v>
      </c>
      <c r="I729" t="s">
        <v>125</v>
      </c>
      <c r="J729" t="s">
        <v>825</v>
      </c>
      <c r="K729" t="s">
        <v>336</v>
      </c>
      <c r="L729" t="s">
        <v>128</v>
      </c>
      <c r="M729" t="s">
        <v>337</v>
      </c>
      <c r="N729" t="s">
        <v>4164</v>
      </c>
      <c r="O729" t="s">
        <v>131</v>
      </c>
      <c r="P729">
        <v>0</v>
      </c>
      <c r="Q729" t="s">
        <v>125</v>
      </c>
      <c r="R729">
        <v>6</v>
      </c>
      <c r="S729">
        <v>40</v>
      </c>
      <c r="T729" t="s">
        <v>132</v>
      </c>
      <c r="U729" t="s">
        <v>133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134</v>
      </c>
      <c r="AE729" t="s">
        <v>134</v>
      </c>
      <c r="AF729" s="2">
        <v>45518</v>
      </c>
      <c r="AG729" s="2">
        <v>46021</v>
      </c>
      <c r="AH729">
        <v>495.51</v>
      </c>
      <c r="AI729" s="1">
        <v>1250.82</v>
      </c>
      <c r="AJ729" s="1">
        <v>3964.11</v>
      </c>
      <c r="AK729">
        <v>0</v>
      </c>
      <c r="AL729">
        <v>0</v>
      </c>
      <c r="AM729">
        <v>0</v>
      </c>
      <c r="AN729" t="s">
        <v>135</v>
      </c>
      <c r="AO729" t="s">
        <v>135</v>
      </c>
      <c r="AP729" t="s">
        <v>136</v>
      </c>
      <c r="AQ729" t="s">
        <v>137</v>
      </c>
      <c r="AR729" t="s">
        <v>138</v>
      </c>
      <c r="AS729" t="s">
        <v>139</v>
      </c>
      <c r="AT729" t="s">
        <v>140</v>
      </c>
      <c r="AU729">
        <v>101</v>
      </c>
      <c r="AV729">
        <v>10</v>
      </c>
      <c r="AW729">
        <v>1</v>
      </c>
      <c r="AX729" s="2">
        <v>45852</v>
      </c>
      <c r="AY729" t="s">
        <v>141</v>
      </c>
      <c r="AZ729" s="2">
        <v>46027</v>
      </c>
      <c r="BA729">
        <v>0</v>
      </c>
      <c r="BB729">
        <v>0</v>
      </c>
      <c r="BC729">
        <v>0</v>
      </c>
      <c r="BD729">
        <v>700</v>
      </c>
      <c r="BE729">
        <v>70</v>
      </c>
      <c r="BF729">
        <v>9</v>
      </c>
      <c r="BG729" s="2">
        <v>45536</v>
      </c>
      <c r="BH729" t="s">
        <v>142</v>
      </c>
      <c r="BI729" s="2">
        <v>46026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s="1">
        <v>1438.59</v>
      </c>
      <c r="BQ729" s="1">
        <v>1438.59</v>
      </c>
      <c r="BR729">
        <v>0</v>
      </c>
      <c r="BS729">
        <v>0</v>
      </c>
      <c r="BT729">
        <v>0</v>
      </c>
      <c r="BU729">
        <v>0</v>
      </c>
      <c r="BV729" s="1">
        <v>1454.93</v>
      </c>
      <c r="BW729" s="1">
        <v>1454.93</v>
      </c>
      <c r="BX729">
        <v>0</v>
      </c>
      <c r="BY729">
        <v>0</v>
      </c>
      <c r="BZ729">
        <v>0</v>
      </c>
      <c r="CA729">
        <v>0</v>
      </c>
      <c r="CB729" s="1">
        <v>1243.1400000000001</v>
      </c>
      <c r="CC729" t="s">
        <v>143</v>
      </c>
    </row>
    <row r="730" spans="1:81" x14ac:dyDescent="0.25">
      <c r="A730">
        <v>345</v>
      </c>
      <c r="B730">
        <v>2</v>
      </c>
      <c r="C730">
        <v>1151</v>
      </c>
      <c r="D730" t="s">
        <v>4165</v>
      </c>
      <c r="E730" t="s">
        <v>121</v>
      </c>
      <c r="F730" t="s">
        <v>4166</v>
      </c>
      <c r="G730" t="s">
        <v>4167</v>
      </c>
      <c r="H730" t="s">
        <v>4168</v>
      </c>
      <c r="I730" t="s">
        <v>4169</v>
      </c>
      <c r="J730" t="s">
        <v>126</v>
      </c>
      <c r="K730" t="s">
        <v>127</v>
      </c>
      <c r="L730" t="s">
        <v>128</v>
      </c>
      <c r="M730" t="s">
        <v>129</v>
      </c>
      <c r="N730" t="s">
        <v>4170</v>
      </c>
      <c r="O730" t="s">
        <v>159</v>
      </c>
      <c r="P730">
        <v>0</v>
      </c>
      <c r="Q730" t="s">
        <v>125</v>
      </c>
      <c r="R730">
        <v>6</v>
      </c>
      <c r="S730">
        <v>35</v>
      </c>
      <c r="T730" t="s">
        <v>132</v>
      </c>
      <c r="U730" t="s">
        <v>133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134</v>
      </c>
      <c r="AE730" t="s">
        <v>134</v>
      </c>
      <c r="AF730" s="2">
        <v>45518</v>
      </c>
      <c r="AG730" s="2">
        <v>46021</v>
      </c>
      <c r="AH730">
        <v>340.32</v>
      </c>
      <c r="AI730">
        <v>443.4</v>
      </c>
      <c r="AJ730" s="1">
        <v>1701.6</v>
      </c>
      <c r="AK730">
        <v>0</v>
      </c>
      <c r="AL730">
        <v>0</v>
      </c>
      <c r="AM730">
        <v>0</v>
      </c>
      <c r="AN730" t="s">
        <v>135</v>
      </c>
      <c r="AO730" t="s">
        <v>135</v>
      </c>
      <c r="AP730" t="s">
        <v>136</v>
      </c>
      <c r="AQ730" t="s">
        <v>137</v>
      </c>
      <c r="AR730" t="s">
        <v>138</v>
      </c>
      <c r="AS730" t="s">
        <v>139</v>
      </c>
      <c r="AT730" t="s">
        <v>140</v>
      </c>
      <c r="AU730">
        <v>102</v>
      </c>
      <c r="AV730">
        <v>10</v>
      </c>
      <c r="AW730">
        <v>1</v>
      </c>
      <c r="AX730" s="2">
        <v>45810</v>
      </c>
      <c r="AY730" t="s">
        <v>141</v>
      </c>
      <c r="AZ730" s="2">
        <v>46027</v>
      </c>
      <c r="BA730">
        <v>0</v>
      </c>
      <c r="BB730">
        <v>0</v>
      </c>
      <c r="BC730">
        <v>0</v>
      </c>
      <c r="BD730">
        <v>700</v>
      </c>
      <c r="BE730">
        <v>70</v>
      </c>
      <c r="BF730">
        <v>9</v>
      </c>
      <c r="BG730" s="2">
        <v>45536</v>
      </c>
      <c r="BH730" t="s">
        <v>142</v>
      </c>
      <c r="BI730" s="2">
        <v>46026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324.8</v>
      </c>
      <c r="BQ730">
        <v>324.8</v>
      </c>
      <c r="BR730">
        <v>0</v>
      </c>
      <c r="BS730">
        <v>0</v>
      </c>
      <c r="BT730">
        <v>0</v>
      </c>
      <c r="BU730">
        <v>0</v>
      </c>
      <c r="BV730" s="1">
        <v>1060</v>
      </c>
      <c r="BW730" s="1">
        <v>1060</v>
      </c>
      <c r="BX730">
        <v>0</v>
      </c>
      <c r="BY730">
        <v>0</v>
      </c>
      <c r="BZ730">
        <v>0</v>
      </c>
      <c r="CA730">
        <v>0</v>
      </c>
      <c r="CB730">
        <v>368.66</v>
      </c>
      <c r="CC730" t="s">
        <v>161</v>
      </c>
    </row>
    <row r="731" spans="1:81" x14ac:dyDescent="0.25">
      <c r="A731">
        <v>345</v>
      </c>
      <c r="B731">
        <v>2</v>
      </c>
      <c r="C731">
        <v>1152</v>
      </c>
      <c r="D731" t="s">
        <v>4171</v>
      </c>
      <c r="E731" t="s">
        <v>121</v>
      </c>
      <c r="F731" t="s">
        <v>4172</v>
      </c>
      <c r="G731" t="s">
        <v>4173</v>
      </c>
      <c r="H731" t="s">
        <v>4174</v>
      </c>
      <c r="I731" t="s">
        <v>2902</v>
      </c>
      <c r="J731" t="s">
        <v>565</v>
      </c>
      <c r="K731" t="s">
        <v>336</v>
      </c>
      <c r="L731" t="s">
        <v>128</v>
      </c>
      <c r="M731" t="s">
        <v>337</v>
      </c>
      <c r="N731" t="s">
        <v>4175</v>
      </c>
      <c r="O731" t="s">
        <v>149</v>
      </c>
      <c r="P731">
        <v>0</v>
      </c>
      <c r="Q731" t="s">
        <v>125</v>
      </c>
      <c r="R731">
        <v>3</v>
      </c>
      <c r="S731">
        <v>88</v>
      </c>
      <c r="T731" t="s">
        <v>132</v>
      </c>
      <c r="U731" t="s">
        <v>133</v>
      </c>
      <c r="V731" s="1">
        <v>3500</v>
      </c>
      <c r="W731">
        <v>0</v>
      </c>
      <c r="X731" s="1">
        <v>3500</v>
      </c>
      <c r="Y731">
        <v>7</v>
      </c>
      <c r="Z731">
        <v>0</v>
      </c>
      <c r="AA731">
        <v>0</v>
      </c>
      <c r="AB731">
        <v>0</v>
      </c>
      <c r="AC731">
        <v>0</v>
      </c>
      <c r="AD731" t="s">
        <v>134</v>
      </c>
      <c r="AE731" t="s">
        <v>134</v>
      </c>
      <c r="AF731" s="2">
        <v>45518</v>
      </c>
      <c r="AG731" s="2">
        <v>46014</v>
      </c>
      <c r="AH731" s="1">
        <v>1861.6</v>
      </c>
      <c r="AI731" s="1">
        <v>2819.86</v>
      </c>
      <c r="AJ731" s="1">
        <v>24200.92</v>
      </c>
      <c r="AK731">
        <v>0</v>
      </c>
      <c r="AL731" s="1">
        <v>1919.53</v>
      </c>
      <c r="AM731">
        <v>0</v>
      </c>
      <c r="AN731" t="s">
        <v>135</v>
      </c>
      <c r="AO731" t="s">
        <v>135</v>
      </c>
      <c r="AP731" t="s">
        <v>136</v>
      </c>
      <c r="AQ731" t="s">
        <v>137</v>
      </c>
      <c r="AR731" t="s">
        <v>138</v>
      </c>
      <c r="AS731" t="s">
        <v>139</v>
      </c>
      <c r="AT731" t="s">
        <v>140</v>
      </c>
      <c r="AU731">
        <v>104</v>
      </c>
      <c r="AV731">
        <v>10</v>
      </c>
      <c r="AW731">
        <v>1</v>
      </c>
      <c r="AX731" s="2">
        <v>45873</v>
      </c>
      <c r="AY731" t="s">
        <v>141</v>
      </c>
      <c r="AZ731" s="2">
        <v>46027</v>
      </c>
      <c r="BA731">
        <v>0</v>
      </c>
      <c r="BB731">
        <v>0</v>
      </c>
      <c r="BC731">
        <v>0</v>
      </c>
      <c r="BD731">
        <v>999</v>
      </c>
      <c r="BE731">
        <v>99</v>
      </c>
      <c r="BF731">
        <v>9</v>
      </c>
      <c r="BG731" t="s">
        <v>135</v>
      </c>
      <c r="BH731" t="s">
        <v>250</v>
      </c>
      <c r="BI731" t="s">
        <v>135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s="1">
        <v>6702.1</v>
      </c>
      <c r="BQ731" s="1">
        <v>6702.1</v>
      </c>
      <c r="BR731">
        <v>0</v>
      </c>
      <c r="BS731">
        <v>0</v>
      </c>
      <c r="BT731">
        <v>0</v>
      </c>
      <c r="BU731">
        <v>0</v>
      </c>
      <c r="BV731" s="1">
        <v>9686.64</v>
      </c>
      <c r="BW731" s="1">
        <v>9686.64</v>
      </c>
      <c r="BX731">
        <v>0</v>
      </c>
      <c r="BY731">
        <v>0</v>
      </c>
      <c r="BZ731">
        <v>0</v>
      </c>
      <c r="CA731">
        <v>0</v>
      </c>
      <c r="CB731" s="1">
        <v>7424.9</v>
      </c>
      <c r="CC731" t="s">
        <v>152</v>
      </c>
    </row>
    <row r="732" spans="1:81" x14ac:dyDescent="0.25">
      <c r="A732">
        <v>345</v>
      </c>
      <c r="B732">
        <v>2</v>
      </c>
      <c r="C732">
        <v>1155</v>
      </c>
      <c r="D732" t="s">
        <v>4176</v>
      </c>
      <c r="E732" t="s">
        <v>121</v>
      </c>
      <c r="F732" t="s">
        <v>4177</v>
      </c>
      <c r="G732" t="s">
        <v>4178</v>
      </c>
      <c r="H732" t="s">
        <v>4179</v>
      </c>
      <c r="I732" t="s">
        <v>2902</v>
      </c>
      <c r="J732" t="s">
        <v>1622</v>
      </c>
      <c r="K732" t="s">
        <v>336</v>
      </c>
      <c r="L732" t="s">
        <v>128</v>
      </c>
      <c r="M732" t="s">
        <v>337</v>
      </c>
      <c r="N732" t="s">
        <v>4180</v>
      </c>
      <c r="O732" t="s">
        <v>195</v>
      </c>
      <c r="P732">
        <v>0</v>
      </c>
      <c r="Q732" t="s">
        <v>125</v>
      </c>
      <c r="R732">
        <v>6</v>
      </c>
      <c r="S732">
        <v>38</v>
      </c>
      <c r="T732" t="s">
        <v>132</v>
      </c>
      <c r="U732" t="s">
        <v>133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134</v>
      </c>
      <c r="AE732" t="s">
        <v>134</v>
      </c>
      <c r="AF732" s="2">
        <v>45518</v>
      </c>
      <c r="AG732" s="2">
        <v>46020</v>
      </c>
      <c r="AH732" s="1">
        <v>1575.69</v>
      </c>
      <c r="AI732" s="1">
        <v>4935.6000000000004</v>
      </c>
      <c r="AJ732" s="1">
        <v>11029.86</v>
      </c>
      <c r="AK732">
        <v>0</v>
      </c>
      <c r="AL732">
        <v>0</v>
      </c>
      <c r="AM732">
        <v>0</v>
      </c>
      <c r="AN732" t="s">
        <v>135</v>
      </c>
      <c r="AO732" t="s">
        <v>135</v>
      </c>
      <c r="AP732" t="s">
        <v>136</v>
      </c>
      <c r="AQ732" t="s">
        <v>137</v>
      </c>
      <c r="AR732" t="s">
        <v>138</v>
      </c>
      <c r="AS732" t="s">
        <v>139</v>
      </c>
      <c r="AT732" t="s">
        <v>140</v>
      </c>
      <c r="AU732">
        <v>101</v>
      </c>
      <c r="AV732">
        <v>10</v>
      </c>
      <c r="AW732">
        <v>1</v>
      </c>
      <c r="AX732" s="2">
        <v>45535</v>
      </c>
      <c r="AY732" t="s">
        <v>160</v>
      </c>
      <c r="AZ732" s="2">
        <v>46025</v>
      </c>
      <c r="BA732">
        <v>0</v>
      </c>
      <c r="BB732">
        <v>0</v>
      </c>
      <c r="BC732">
        <v>0</v>
      </c>
      <c r="BD732">
        <v>700</v>
      </c>
      <c r="BE732">
        <v>70</v>
      </c>
      <c r="BF732">
        <v>9</v>
      </c>
      <c r="BG732" s="2">
        <v>45536</v>
      </c>
      <c r="BH732" t="s">
        <v>142</v>
      </c>
      <c r="BI732" s="2">
        <v>46026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222.39</v>
      </c>
      <c r="BQ732">
        <v>222.39</v>
      </c>
      <c r="BR732">
        <v>0</v>
      </c>
      <c r="BS732">
        <v>0</v>
      </c>
      <c r="BT732">
        <v>0</v>
      </c>
      <c r="BU732">
        <v>0</v>
      </c>
      <c r="BV732" s="1">
        <v>1986.12</v>
      </c>
      <c r="BW732" s="1">
        <v>1986.12</v>
      </c>
      <c r="BX732">
        <v>0</v>
      </c>
      <c r="BY732">
        <v>0</v>
      </c>
      <c r="BZ732">
        <v>0</v>
      </c>
      <c r="CA732">
        <v>0</v>
      </c>
      <c r="CB732" s="1">
        <v>4455.3599999999997</v>
      </c>
      <c r="CC732" t="s">
        <v>161</v>
      </c>
    </row>
    <row r="733" spans="1:81" x14ac:dyDescent="0.25">
      <c r="A733">
        <v>345</v>
      </c>
      <c r="B733">
        <v>2</v>
      </c>
      <c r="C733">
        <v>1156</v>
      </c>
      <c r="D733" t="s">
        <v>4181</v>
      </c>
      <c r="E733" t="s">
        <v>121</v>
      </c>
      <c r="F733" t="s">
        <v>4182</v>
      </c>
      <c r="G733" t="s">
        <v>4182</v>
      </c>
      <c r="H733" t="s">
        <v>4183</v>
      </c>
      <c r="I733" t="s">
        <v>125</v>
      </c>
      <c r="J733" t="s">
        <v>3074</v>
      </c>
      <c r="K733" t="s">
        <v>1853</v>
      </c>
      <c r="L733" t="s">
        <v>128</v>
      </c>
      <c r="M733" t="s">
        <v>1854</v>
      </c>
      <c r="N733" t="s">
        <v>4184</v>
      </c>
      <c r="O733" t="s">
        <v>167</v>
      </c>
      <c r="P733">
        <v>0</v>
      </c>
      <c r="Q733" t="s">
        <v>125</v>
      </c>
      <c r="R733">
        <v>4</v>
      </c>
      <c r="S733">
        <v>79</v>
      </c>
      <c r="T733" t="s">
        <v>132</v>
      </c>
      <c r="U733" t="s">
        <v>133</v>
      </c>
      <c r="V733" s="1">
        <v>1500</v>
      </c>
      <c r="W733">
        <v>0</v>
      </c>
      <c r="X733" s="1">
        <v>1500</v>
      </c>
      <c r="Y733">
        <v>7</v>
      </c>
      <c r="Z733">
        <v>0</v>
      </c>
      <c r="AA733">
        <v>7</v>
      </c>
      <c r="AB733">
        <v>0</v>
      </c>
      <c r="AC733">
        <v>0</v>
      </c>
      <c r="AD733" t="s">
        <v>134</v>
      </c>
      <c r="AE733" t="s">
        <v>134</v>
      </c>
      <c r="AF733" s="2">
        <v>45518</v>
      </c>
      <c r="AG733" s="2">
        <v>45989</v>
      </c>
      <c r="AH733">
        <v>738.31</v>
      </c>
      <c r="AI733">
        <v>798.93</v>
      </c>
      <c r="AJ733" s="1">
        <v>1476.63</v>
      </c>
      <c r="AK733">
        <v>0</v>
      </c>
      <c r="AL733">
        <v>0</v>
      </c>
      <c r="AM733">
        <v>0</v>
      </c>
      <c r="AN733" t="s">
        <v>135</v>
      </c>
      <c r="AO733" t="s">
        <v>135</v>
      </c>
      <c r="AP733" t="s">
        <v>136</v>
      </c>
      <c r="AQ733" t="s">
        <v>137</v>
      </c>
      <c r="AR733" t="s">
        <v>138</v>
      </c>
      <c r="AS733" t="s">
        <v>150</v>
      </c>
      <c r="AT733" t="s">
        <v>140</v>
      </c>
      <c r="AU733">
        <v>106</v>
      </c>
      <c r="AV733">
        <v>10</v>
      </c>
      <c r="AW733">
        <v>1</v>
      </c>
      <c r="AX733" s="2">
        <v>45869</v>
      </c>
      <c r="AY733" t="s">
        <v>308</v>
      </c>
      <c r="AZ733" s="2">
        <v>46023</v>
      </c>
      <c r="BA733">
        <v>0</v>
      </c>
      <c r="BB733">
        <v>0</v>
      </c>
      <c r="BC733">
        <v>0</v>
      </c>
      <c r="BD733">
        <v>999</v>
      </c>
      <c r="BE733">
        <v>99</v>
      </c>
      <c r="BF733">
        <v>9</v>
      </c>
      <c r="BG733" t="s">
        <v>135</v>
      </c>
      <c r="BH733" t="s">
        <v>250</v>
      </c>
      <c r="BI733" t="s">
        <v>135</v>
      </c>
      <c r="BJ733">
        <v>0</v>
      </c>
      <c r="BK733">
        <v>0</v>
      </c>
      <c r="BL733">
        <v>0</v>
      </c>
      <c r="BM733">
        <v>7</v>
      </c>
      <c r="BN733">
        <v>7</v>
      </c>
      <c r="BO733">
        <v>677.7</v>
      </c>
      <c r="BP733">
        <v>0</v>
      </c>
      <c r="BQ733">
        <v>677.7</v>
      </c>
      <c r="BR733">
        <v>677.7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492.21</v>
      </c>
      <c r="CC733" t="s">
        <v>161</v>
      </c>
    </row>
    <row r="734" spans="1:81" x14ac:dyDescent="0.25">
      <c r="A734">
        <v>345</v>
      </c>
      <c r="B734">
        <v>2</v>
      </c>
      <c r="C734">
        <v>1159</v>
      </c>
      <c r="D734" t="s">
        <v>4185</v>
      </c>
      <c r="E734" t="s">
        <v>121</v>
      </c>
      <c r="F734" t="s">
        <v>4186</v>
      </c>
      <c r="G734" t="s">
        <v>4187</v>
      </c>
      <c r="H734" t="s">
        <v>4188</v>
      </c>
      <c r="I734" t="s">
        <v>4189</v>
      </c>
      <c r="J734" t="s">
        <v>3074</v>
      </c>
      <c r="K734" t="s">
        <v>1853</v>
      </c>
      <c r="L734" t="s">
        <v>128</v>
      </c>
      <c r="M734" t="s">
        <v>1854</v>
      </c>
      <c r="N734" t="s">
        <v>4190</v>
      </c>
      <c r="O734" t="s">
        <v>159</v>
      </c>
      <c r="P734">
        <v>0</v>
      </c>
      <c r="Q734" t="s">
        <v>125</v>
      </c>
      <c r="R734">
        <v>5</v>
      </c>
      <c r="S734">
        <v>59</v>
      </c>
      <c r="T734" t="s">
        <v>132</v>
      </c>
      <c r="U734" t="s">
        <v>133</v>
      </c>
      <c r="V734">
        <v>863</v>
      </c>
      <c r="W734">
        <v>0</v>
      </c>
      <c r="X734">
        <v>863</v>
      </c>
      <c r="Y734">
        <v>7</v>
      </c>
      <c r="Z734">
        <v>0</v>
      </c>
      <c r="AA734">
        <v>7</v>
      </c>
      <c r="AB734">
        <v>8</v>
      </c>
      <c r="AC734">
        <v>89</v>
      </c>
      <c r="AD734" t="s">
        <v>134</v>
      </c>
      <c r="AE734" t="s">
        <v>134</v>
      </c>
      <c r="AF734" s="2">
        <v>45518</v>
      </c>
      <c r="AG734" s="2">
        <v>46000</v>
      </c>
      <c r="AH734" s="1">
        <v>1292.95</v>
      </c>
      <c r="AI734" s="1">
        <v>2124.83</v>
      </c>
      <c r="AJ734" s="1">
        <v>3878.85</v>
      </c>
      <c r="AK734">
        <v>0</v>
      </c>
      <c r="AL734">
        <v>0</v>
      </c>
      <c r="AM734">
        <v>0</v>
      </c>
      <c r="AN734" t="s">
        <v>135</v>
      </c>
      <c r="AO734" t="s">
        <v>135</v>
      </c>
      <c r="AP734" t="s">
        <v>136</v>
      </c>
      <c r="AQ734" t="s">
        <v>137</v>
      </c>
      <c r="AR734" t="s">
        <v>138</v>
      </c>
      <c r="AS734" t="s">
        <v>139</v>
      </c>
      <c r="AT734" t="s">
        <v>140</v>
      </c>
      <c r="AU734">
        <v>106</v>
      </c>
      <c r="AV734">
        <v>10</v>
      </c>
      <c r="AW734">
        <v>1</v>
      </c>
      <c r="AX734" s="2">
        <v>45859</v>
      </c>
      <c r="AY734" t="s">
        <v>141</v>
      </c>
      <c r="AZ734" s="2">
        <v>46027</v>
      </c>
      <c r="BA734">
        <v>0</v>
      </c>
      <c r="BB734">
        <v>0</v>
      </c>
      <c r="BC734">
        <v>0</v>
      </c>
      <c r="BD734">
        <v>700</v>
      </c>
      <c r="BE734">
        <v>70</v>
      </c>
      <c r="BF734">
        <v>9</v>
      </c>
      <c r="BG734" s="2">
        <v>45809</v>
      </c>
      <c r="BH734" t="s">
        <v>142</v>
      </c>
      <c r="BI734" s="2">
        <v>46026</v>
      </c>
      <c r="BJ734">
        <v>0</v>
      </c>
      <c r="BK734">
        <v>0</v>
      </c>
      <c r="BL734">
        <v>0</v>
      </c>
      <c r="BM734">
        <v>7</v>
      </c>
      <c r="BN734">
        <v>7</v>
      </c>
      <c r="BO734">
        <v>974.95</v>
      </c>
      <c r="BP734">
        <v>0</v>
      </c>
      <c r="BQ734">
        <v>974.95</v>
      </c>
      <c r="BR734">
        <v>0</v>
      </c>
      <c r="BS734">
        <v>7</v>
      </c>
      <c r="BT734">
        <v>7</v>
      </c>
      <c r="BU734">
        <v>779.07</v>
      </c>
      <c r="BV734">
        <v>0</v>
      </c>
      <c r="BW734">
        <v>779.07</v>
      </c>
      <c r="BX734">
        <v>0</v>
      </c>
      <c r="BY734">
        <v>0</v>
      </c>
      <c r="BZ734">
        <v>0</v>
      </c>
      <c r="CA734">
        <v>0</v>
      </c>
      <c r="CB734" s="1">
        <v>1278.8499999999999</v>
      </c>
      <c r="CC734" t="s">
        <v>161</v>
      </c>
    </row>
    <row r="735" spans="1:81" x14ac:dyDescent="0.25">
      <c r="A735">
        <v>345</v>
      </c>
      <c r="B735">
        <v>2</v>
      </c>
      <c r="C735">
        <v>1163</v>
      </c>
      <c r="D735" t="s">
        <v>4191</v>
      </c>
      <c r="E735" t="s">
        <v>121</v>
      </c>
      <c r="F735" t="s">
        <v>4192</v>
      </c>
      <c r="G735" t="s">
        <v>4193</v>
      </c>
      <c r="H735" t="s">
        <v>4194</v>
      </c>
      <c r="I735" t="s">
        <v>125</v>
      </c>
      <c r="J735" t="s">
        <v>2340</v>
      </c>
      <c r="K735" t="s">
        <v>336</v>
      </c>
      <c r="L735" t="s">
        <v>128</v>
      </c>
      <c r="M735" t="s">
        <v>337</v>
      </c>
      <c r="N735" t="s">
        <v>4195</v>
      </c>
      <c r="O735" t="s">
        <v>149</v>
      </c>
      <c r="P735">
        <v>0</v>
      </c>
      <c r="Q735" t="s">
        <v>125</v>
      </c>
      <c r="R735">
        <v>6</v>
      </c>
      <c r="S735">
        <v>42</v>
      </c>
      <c r="T735" t="s">
        <v>132</v>
      </c>
      <c r="U735" t="s">
        <v>133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134</v>
      </c>
      <c r="AE735" t="s">
        <v>134</v>
      </c>
      <c r="AF735" s="2">
        <v>45518</v>
      </c>
      <c r="AG735" s="2">
        <v>46014</v>
      </c>
      <c r="AH735" s="1">
        <v>3527.8</v>
      </c>
      <c r="AI735" s="1">
        <v>5945.27</v>
      </c>
      <c r="AJ735" s="1">
        <v>42333.599999999999</v>
      </c>
      <c r="AK735">
        <v>0</v>
      </c>
      <c r="AL735" s="1">
        <v>3887.54</v>
      </c>
      <c r="AM735">
        <v>0</v>
      </c>
      <c r="AN735" t="s">
        <v>135</v>
      </c>
      <c r="AO735" t="s">
        <v>135</v>
      </c>
      <c r="AP735" t="s">
        <v>136</v>
      </c>
      <c r="AQ735" t="s">
        <v>137</v>
      </c>
      <c r="AR735" t="s">
        <v>138</v>
      </c>
      <c r="AS735" t="s">
        <v>139</v>
      </c>
      <c r="AT735" t="s">
        <v>140</v>
      </c>
      <c r="AU735">
        <v>100</v>
      </c>
      <c r="AV735">
        <v>10</v>
      </c>
      <c r="AW735">
        <v>1</v>
      </c>
      <c r="AX735" s="2">
        <v>45859</v>
      </c>
      <c r="AY735" t="s">
        <v>141</v>
      </c>
      <c r="AZ735" s="2">
        <v>46027</v>
      </c>
      <c r="BA735">
        <v>0</v>
      </c>
      <c r="BB735">
        <v>0</v>
      </c>
      <c r="BC735">
        <v>0</v>
      </c>
      <c r="BD735">
        <v>700</v>
      </c>
      <c r="BE735">
        <v>70</v>
      </c>
      <c r="BF735">
        <v>9</v>
      </c>
      <c r="BG735" s="2">
        <v>45536</v>
      </c>
      <c r="BH735" t="s">
        <v>142</v>
      </c>
      <c r="BI735" s="2">
        <v>46026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s="1">
        <v>4114.82</v>
      </c>
      <c r="BQ735" s="1">
        <v>4114.82</v>
      </c>
      <c r="BR735">
        <v>0</v>
      </c>
      <c r="BS735">
        <v>0</v>
      </c>
      <c r="BT735">
        <v>0</v>
      </c>
      <c r="BU735">
        <v>0</v>
      </c>
      <c r="BV735" s="1">
        <v>20864.39</v>
      </c>
      <c r="BW735" s="1">
        <v>20864.39</v>
      </c>
      <c r="BX735">
        <v>0</v>
      </c>
      <c r="BY735">
        <v>0</v>
      </c>
      <c r="BZ735">
        <v>0</v>
      </c>
      <c r="CA735">
        <v>0</v>
      </c>
      <c r="CB735" s="1">
        <v>14437.53</v>
      </c>
      <c r="CC735" t="s">
        <v>152</v>
      </c>
    </row>
    <row r="736" spans="1:81" x14ac:dyDescent="0.25">
      <c r="A736">
        <v>345</v>
      </c>
      <c r="B736">
        <v>2</v>
      </c>
      <c r="C736">
        <v>1165</v>
      </c>
      <c r="D736" t="s">
        <v>4196</v>
      </c>
      <c r="E736" t="s">
        <v>121</v>
      </c>
      <c r="F736" t="s">
        <v>4197</v>
      </c>
      <c r="G736" t="s">
        <v>4198</v>
      </c>
      <c r="H736" t="s">
        <v>4199</v>
      </c>
      <c r="I736" t="s">
        <v>4200</v>
      </c>
      <c r="J736" t="s">
        <v>206</v>
      </c>
      <c r="K736" t="s">
        <v>127</v>
      </c>
      <c r="L736" t="s">
        <v>128</v>
      </c>
      <c r="M736" t="s">
        <v>129</v>
      </c>
      <c r="N736" t="s">
        <v>4201</v>
      </c>
      <c r="O736" t="s">
        <v>131</v>
      </c>
      <c r="P736">
        <v>0</v>
      </c>
      <c r="Q736" t="s">
        <v>125</v>
      </c>
      <c r="R736">
        <v>6</v>
      </c>
      <c r="S736">
        <v>41</v>
      </c>
      <c r="T736" t="s">
        <v>132</v>
      </c>
      <c r="U736" t="s">
        <v>133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134</v>
      </c>
      <c r="AE736" t="s">
        <v>134</v>
      </c>
      <c r="AF736" s="2">
        <v>45518</v>
      </c>
      <c r="AG736" s="2">
        <v>46021</v>
      </c>
      <c r="AH736" s="1">
        <v>1249.97</v>
      </c>
      <c r="AI736" s="1">
        <v>2921.96</v>
      </c>
      <c r="AJ736" s="1">
        <v>13749.69</v>
      </c>
      <c r="AK736">
        <v>0</v>
      </c>
      <c r="AL736">
        <v>0</v>
      </c>
      <c r="AM736">
        <v>0</v>
      </c>
      <c r="AN736" t="s">
        <v>135</v>
      </c>
      <c r="AO736" t="s">
        <v>135</v>
      </c>
      <c r="AP736" t="s">
        <v>136</v>
      </c>
      <c r="AQ736" t="s">
        <v>137</v>
      </c>
      <c r="AR736" t="s">
        <v>138</v>
      </c>
      <c r="AS736" t="s">
        <v>139</v>
      </c>
      <c r="AT736" t="s">
        <v>140</v>
      </c>
      <c r="AU736">
        <v>102</v>
      </c>
      <c r="AV736">
        <v>10</v>
      </c>
      <c r="AW736">
        <v>1</v>
      </c>
      <c r="AX736" s="2">
        <v>45537</v>
      </c>
      <c r="AY736" t="s">
        <v>141</v>
      </c>
      <c r="AZ736" s="2">
        <v>46027</v>
      </c>
      <c r="BA736">
        <v>0</v>
      </c>
      <c r="BB736">
        <v>0</v>
      </c>
      <c r="BC736">
        <v>0</v>
      </c>
      <c r="BD736">
        <v>700</v>
      </c>
      <c r="BE736">
        <v>70</v>
      </c>
      <c r="BF736">
        <v>9</v>
      </c>
      <c r="BG736" s="2">
        <v>45536</v>
      </c>
      <c r="BH736" t="s">
        <v>142</v>
      </c>
      <c r="BI736" s="2">
        <v>46026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s="1">
        <v>4200.3</v>
      </c>
      <c r="BQ736" s="1">
        <v>4200.3</v>
      </c>
      <c r="BR736">
        <v>0</v>
      </c>
      <c r="BS736">
        <v>0</v>
      </c>
      <c r="BT736">
        <v>0</v>
      </c>
      <c r="BU736">
        <v>0</v>
      </c>
      <c r="BV736" s="1">
        <v>6699.39</v>
      </c>
      <c r="BW736" s="1">
        <v>6699.39</v>
      </c>
      <c r="BX736">
        <v>0</v>
      </c>
      <c r="BY736">
        <v>0</v>
      </c>
      <c r="BZ736">
        <v>0</v>
      </c>
      <c r="CA736">
        <v>0</v>
      </c>
      <c r="CB736" s="1">
        <v>3128.67</v>
      </c>
      <c r="CC736" t="s">
        <v>143</v>
      </c>
    </row>
    <row r="737" spans="1:81" x14ac:dyDescent="0.25">
      <c r="A737">
        <v>345</v>
      </c>
      <c r="B737">
        <v>2</v>
      </c>
      <c r="C737">
        <v>1167</v>
      </c>
      <c r="D737" t="s">
        <v>4202</v>
      </c>
      <c r="E737" t="s">
        <v>121</v>
      </c>
      <c r="F737" t="s">
        <v>4203</v>
      </c>
      <c r="G737" t="s">
        <v>4204</v>
      </c>
      <c r="H737" t="s">
        <v>4205</v>
      </c>
      <c r="I737" t="s">
        <v>125</v>
      </c>
      <c r="J737" t="s">
        <v>1762</v>
      </c>
      <c r="K737" t="s">
        <v>466</v>
      </c>
      <c r="L737" t="s">
        <v>128</v>
      </c>
      <c r="M737" t="s">
        <v>467</v>
      </c>
      <c r="N737" t="s">
        <v>4206</v>
      </c>
      <c r="O737" t="s">
        <v>149</v>
      </c>
      <c r="P737">
        <v>0</v>
      </c>
      <c r="Q737" t="s">
        <v>125</v>
      </c>
      <c r="R737">
        <v>6</v>
      </c>
      <c r="S737">
        <v>40</v>
      </c>
      <c r="T737" t="s">
        <v>132</v>
      </c>
      <c r="U737" t="s">
        <v>133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134</v>
      </c>
      <c r="AE737" t="s">
        <v>134</v>
      </c>
      <c r="AF737" s="2">
        <v>45518</v>
      </c>
      <c r="AG737" s="2">
        <v>46014</v>
      </c>
      <c r="AH737" s="1">
        <v>1435.79</v>
      </c>
      <c r="AI737" s="1">
        <v>2613.9899999999998</v>
      </c>
      <c r="AJ737" s="1">
        <v>17229.57</v>
      </c>
      <c r="AK737">
        <v>0</v>
      </c>
      <c r="AL737" s="1">
        <v>2613.9899999999998</v>
      </c>
      <c r="AM737">
        <v>0</v>
      </c>
      <c r="AN737" t="s">
        <v>135</v>
      </c>
      <c r="AO737" t="s">
        <v>135</v>
      </c>
      <c r="AP737" t="s">
        <v>136</v>
      </c>
      <c r="AQ737" t="s">
        <v>137</v>
      </c>
      <c r="AR737" t="s">
        <v>138</v>
      </c>
      <c r="AS737" t="s">
        <v>139</v>
      </c>
      <c r="AT737" t="s">
        <v>140</v>
      </c>
      <c r="AU737">
        <v>105</v>
      </c>
      <c r="AV737">
        <v>10</v>
      </c>
      <c r="AW737">
        <v>1</v>
      </c>
      <c r="AX737" s="2">
        <v>45810</v>
      </c>
      <c r="AY737" t="s">
        <v>141</v>
      </c>
      <c r="AZ737" s="2">
        <v>46027</v>
      </c>
      <c r="BA737">
        <v>0</v>
      </c>
      <c r="BB737">
        <v>0</v>
      </c>
      <c r="BC737">
        <v>0</v>
      </c>
      <c r="BD737">
        <v>700</v>
      </c>
      <c r="BE737">
        <v>70</v>
      </c>
      <c r="BF737">
        <v>9</v>
      </c>
      <c r="BG737" s="2">
        <v>45536</v>
      </c>
      <c r="BH737" t="s">
        <v>142</v>
      </c>
      <c r="BI737" s="2">
        <v>46026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s="1">
        <v>4817.41</v>
      </c>
      <c r="BQ737" s="1">
        <v>4817.41</v>
      </c>
      <c r="BR737">
        <v>0</v>
      </c>
      <c r="BS737">
        <v>0</v>
      </c>
      <c r="BT737">
        <v>0</v>
      </c>
      <c r="BU737">
        <v>0</v>
      </c>
      <c r="BV737" s="1">
        <v>9228.83</v>
      </c>
      <c r="BW737" s="1">
        <v>9228.83</v>
      </c>
      <c r="BX737">
        <v>0</v>
      </c>
      <c r="BY737">
        <v>0</v>
      </c>
      <c r="BZ737">
        <v>0</v>
      </c>
      <c r="CA737">
        <v>0</v>
      </c>
      <c r="CB737" s="1">
        <v>3748.82</v>
      </c>
      <c r="CC737" t="s">
        <v>152</v>
      </c>
    </row>
    <row r="738" spans="1:81" x14ac:dyDescent="0.25">
      <c r="A738">
        <v>345</v>
      </c>
      <c r="B738">
        <v>2</v>
      </c>
      <c r="C738">
        <v>1168</v>
      </c>
      <c r="D738" t="s">
        <v>4207</v>
      </c>
      <c r="E738" t="s">
        <v>121</v>
      </c>
      <c r="F738" t="s">
        <v>4208</v>
      </c>
      <c r="G738" t="s">
        <v>4209</v>
      </c>
      <c r="H738" t="s">
        <v>4210</v>
      </c>
      <c r="I738" t="s">
        <v>125</v>
      </c>
      <c r="J738" t="s">
        <v>642</v>
      </c>
      <c r="K738" t="s">
        <v>336</v>
      </c>
      <c r="L738" t="s">
        <v>128</v>
      </c>
      <c r="M738" t="s">
        <v>337</v>
      </c>
      <c r="N738" t="s">
        <v>4211</v>
      </c>
      <c r="O738" t="s">
        <v>131</v>
      </c>
      <c r="P738">
        <v>0</v>
      </c>
      <c r="Q738" t="s">
        <v>125</v>
      </c>
      <c r="R738">
        <v>6</v>
      </c>
      <c r="S738">
        <v>41</v>
      </c>
      <c r="T738" t="s">
        <v>132</v>
      </c>
      <c r="U738" t="s">
        <v>133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134</v>
      </c>
      <c r="AE738" t="s">
        <v>134</v>
      </c>
      <c r="AF738" s="2">
        <v>45518</v>
      </c>
      <c r="AG738" s="2">
        <v>46020</v>
      </c>
      <c r="AH738" s="1">
        <v>1089.19</v>
      </c>
      <c r="AI738" s="1">
        <v>3345.92</v>
      </c>
      <c r="AJ738" s="1">
        <v>8713.57</v>
      </c>
      <c r="AK738">
        <v>0</v>
      </c>
      <c r="AL738">
        <v>0</v>
      </c>
      <c r="AM738">
        <v>0</v>
      </c>
      <c r="AN738" t="s">
        <v>135</v>
      </c>
      <c r="AO738" t="s">
        <v>135</v>
      </c>
      <c r="AP738" t="s">
        <v>136</v>
      </c>
      <c r="AQ738" t="s">
        <v>137</v>
      </c>
      <c r="AR738" t="s">
        <v>138</v>
      </c>
      <c r="AS738" t="s">
        <v>139</v>
      </c>
      <c r="AT738" t="s">
        <v>140</v>
      </c>
      <c r="AU738">
        <v>101</v>
      </c>
      <c r="AV738">
        <v>10</v>
      </c>
      <c r="AW738">
        <v>1</v>
      </c>
      <c r="AX738" s="2">
        <v>45842</v>
      </c>
      <c r="AY738" t="s">
        <v>151</v>
      </c>
      <c r="AZ738" s="2">
        <v>46024</v>
      </c>
      <c r="BA738">
        <v>0</v>
      </c>
      <c r="BB738">
        <v>0</v>
      </c>
      <c r="BC738">
        <v>0</v>
      </c>
      <c r="BD738">
        <v>700</v>
      </c>
      <c r="BE738">
        <v>70</v>
      </c>
      <c r="BF738">
        <v>9</v>
      </c>
      <c r="BG738" s="2">
        <v>45536</v>
      </c>
      <c r="BH738" t="s">
        <v>142</v>
      </c>
      <c r="BI738" s="2">
        <v>46026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 s="1">
        <v>7072.46</v>
      </c>
      <c r="BQ738" s="1">
        <v>7072.46</v>
      </c>
      <c r="BR738">
        <v>0</v>
      </c>
      <c r="BS738">
        <v>0</v>
      </c>
      <c r="BT738">
        <v>0</v>
      </c>
      <c r="BU738">
        <v>0</v>
      </c>
      <c r="BV738" s="1">
        <v>1447.93</v>
      </c>
      <c r="BW738" s="1">
        <v>1447.93</v>
      </c>
      <c r="BX738">
        <v>0</v>
      </c>
      <c r="BY738">
        <v>0</v>
      </c>
      <c r="BZ738">
        <v>0</v>
      </c>
      <c r="CA738">
        <v>0</v>
      </c>
      <c r="CB738" s="1">
        <v>3506.75</v>
      </c>
      <c r="CC738" t="s">
        <v>143</v>
      </c>
    </row>
    <row r="739" spans="1:81" x14ac:dyDescent="0.25">
      <c r="A739">
        <v>345</v>
      </c>
      <c r="B739">
        <v>2</v>
      </c>
      <c r="C739">
        <v>1169</v>
      </c>
      <c r="D739" t="s">
        <v>4212</v>
      </c>
      <c r="E739" t="s">
        <v>121</v>
      </c>
      <c r="F739" t="s">
        <v>4213</v>
      </c>
      <c r="G739" t="s">
        <v>4214</v>
      </c>
      <c r="H739" t="s">
        <v>4215</v>
      </c>
      <c r="I739" t="s">
        <v>4216</v>
      </c>
      <c r="J739" t="s">
        <v>173</v>
      </c>
      <c r="K739" t="s">
        <v>127</v>
      </c>
      <c r="L739" t="s">
        <v>128</v>
      </c>
      <c r="M739" t="s">
        <v>129</v>
      </c>
      <c r="N739" t="s">
        <v>4217</v>
      </c>
      <c r="O739" t="s">
        <v>131</v>
      </c>
      <c r="P739">
        <v>0</v>
      </c>
      <c r="Q739" t="s">
        <v>125</v>
      </c>
      <c r="R739">
        <v>6</v>
      </c>
      <c r="S739">
        <v>40</v>
      </c>
      <c r="T739" t="s">
        <v>132</v>
      </c>
      <c r="U739" t="s">
        <v>133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134</v>
      </c>
      <c r="AE739" t="s">
        <v>134</v>
      </c>
      <c r="AF739" s="2">
        <v>45518</v>
      </c>
      <c r="AG739" s="2">
        <v>46020</v>
      </c>
      <c r="AH739">
        <v>765.32</v>
      </c>
      <c r="AI739" s="1">
        <v>1482.91</v>
      </c>
      <c r="AJ739" s="1">
        <v>7653.25</v>
      </c>
      <c r="AK739">
        <v>0</v>
      </c>
      <c r="AL739">
        <v>0</v>
      </c>
      <c r="AM739">
        <v>0</v>
      </c>
      <c r="AN739" t="s">
        <v>135</v>
      </c>
      <c r="AO739" t="s">
        <v>135</v>
      </c>
      <c r="AP739" t="s">
        <v>136</v>
      </c>
      <c r="AQ739" t="s">
        <v>137</v>
      </c>
      <c r="AR739" t="s">
        <v>138</v>
      </c>
      <c r="AS739" t="s">
        <v>139</v>
      </c>
      <c r="AT739" t="s">
        <v>140</v>
      </c>
      <c r="AU739">
        <v>102</v>
      </c>
      <c r="AV739">
        <v>10</v>
      </c>
      <c r="AW739">
        <v>1</v>
      </c>
      <c r="AX739" s="2">
        <v>45815</v>
      </c>
      <c r="AY739" t="s">
        <v>160</v>
      </c>
      <c r="AZ739" s="2">
        <v>46025</v>
      </c>
      <c r="BA739">
        <v>0</v>
      </c>
      <c r="BB739">
        <v>0</v>
      </c>
      <c r="BC739">
        <v>0</v>
      </c>
      <c r="BD739">
        <v>700</v>
      </c>
      <c r="BE739">
        <v>70</v>
      </c>
      <c r="BF739">
        <v>9</v>
      </c>
      <c r="BG739" s="2">
        <v>45536</v>
      </c>
      <c r="BH739" t="s">
        <v>142</v>
      </c>
      <c r="BI739" s="2">
        <v>46026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s="1">
        <v>2439.59</v>
      </c>
      <c r="BQ739" s="1">
        <v>2439.59</v>
      </c>
      <c r="BR739">
        <v>0</v>
      </c>
      <c r="BS739">
        <v>0</v>
      </c>
      <c r="BT739">
        <v>0</v>
      </c>
      <c r="BU739">
        <v>0</v>
      </c>
      <c r="BV739" s="1">
        <v>4329.92</v>
      </c>
      <c r="BW739" s="1">
        <v>4329.92</v>
      </c>
      <c r="BX739">
        <v>0</v>
      </c>
      <c r="BY739">
        <v>0</v>
      </c>
      <c r="BZ739">
        <v>0</v>
      </c>
      <c r="CA739">
        <v>0</v>
      </c>
      <c r="CB739" s="1">
        <v>1557.92</v>
      </c>
      <c r="CC739" t="s">
        <v>143</v>
      </c>
    </row>
    <row r="740" spans="1:81" x14ac:dyDescent="0.25">
      <c r="A740">
        <v>345</v>
      </c>
      <c r="B740">
        <v>2</v>
      </c>
      <c r="C740">
        <v>1170</v>
      </c>
      <c r="D740" t="s">
        <v>4218</v>
      </c>
      <c r="E740" t="s">
        <v>121</v>
      </c>
      <c r="F740" t="s">
        <v>4219</v>
      </c>
      <c r="G740" t="s">
        <v>4220</v>
      </c>
      <c r="H740" t="s">
        <v>4221</v>
      </c>
      <c r="I740" t="s">
        <v>1601</v>
      </c>
      <c r="J740" t="s">
        <v>126</v>
      </c>
      <c r="K740" t="s">
        <v>127</v>
      </c>
      <c r="L740" t="s">
        <v>128</v>
      </c>
      <c r="M740" t="s">
        <v>129</v>
      </c>
      <c r="N740" t="s">
        <v>4222</v>
      </c>
      <c r="O740" t="s">
        <v>131</v>
      </c>
      <c r="P740">
        <v>0</v>
      </c>
      <c r="Q740" t="s">
        <v>125</v>
      </c>
      <c r="R740">
        <v>3</v>
      </c>
      <c r="S740">
        <v>89</v>
      </c>
      <c r="T740" t="s">
        <v>132</v>
      </c>
      <c r="U740" t="s">
        <v>133</v>
      </c>
      <c r="V740" s="1">
        <v>2500</v>
      </c>
      <c r="W740">
        <v>0</v>
      </c>
      <c r="X740" s="1">
        <v>2500</v>
      </c>
      <c r="Y740">
        <v>7</v>
      </c>
      <c r="Z740">
        <v>0</v>
      </c>
      <c r="AA740">
        <v>0</v>
      </c>
      <c r="AB740">
        <v>0</v>
      </c>
      <c r="AC740">
        <v>0</v>
      </c>
      <c r="AD740" t="s">
        <v>134</v>
      </c>
      <c r="AE740" t="s">
        <v>134</v>
      </c>
      <c r="AF740" s="2">
        <v>45518</v>
      </c>
      <c r="AG740" s="2">
        <v>46009</v>
      </c>
      <c r="AH740" s="1">
        <v>1688.93</v>
      </c>
      <c r="AI740" s="1">
        <v>4551.72</v>
      </c>
      <c r="AJ740" s="1">
        <v>20267.22</v>
      </c>
      <c r="AK740">
        <v>0</v>
      </c>
      <c r="AL740">
        <v>0</v>
      </c>
      <c r="AM740">
        <v>0</v>
      </c>
      <c r="AN740" t="s">
        <v>135</v>
      </c>
      <c r="AO740" t="s">
        <v>135</v>
      </c>
      <c r="AP740" t="s">
        <v>136</v>
      </c>
      <c r="AQ740" t="s">
        <v>137</v>
      </c>
      <c r="AR740" t="s">
        <v>138</v>
      </c>
      <c r="AS740" t="s">
        <v>139</v>
      </c>
      <c r="AT740" t="s">
        <v>140</v>
      </c>
      <c r="AU740">
        <v>102</v>
      </c>
      <c r="AV740">
        <v>10</v>
      </c>
      <c r="AW740">
        <v>1</v>
      </c>
      <c r="AX740" s="2">
        <v>45847</v>
      </c>
      <c r="AY740" t="s">
        <v>168</v>
      </c>
      <c r="AZ740" s="2">
        <v>46022</v>
      </c>
      <c r="BA740">
        <v>0</v>
      </c>
      <c r="BB740">
        <v>0</v>
      </c>
      <c r="BC740">
        <v>0</v>
      </c>
      <c r="BD740">
        <v>700</v>
      </c>
      <c r="BE740">
        <v>70</v>
      </c>
      <c r="BF740">
        <v>9</v>
      </c>
      <c r="BG740" s="2">
        <v>45536</v>
      </c>
      <c r="BH740" t="s">
        <v>142</v>
      </c>
      <c r="BI740" s="2">
        <v>46026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s="1">
        <v>7484.05</v>
      </c>
      <c r="BQ740" s="1">
        <v>7484.05</v>
      </c>
      <c r="BR740">
        <v>0</v>
      </c>
      <c r="BS740">
        <v>0</v>
      </c>
      <c r="BT740">
        <v>0</v>
      </c>
      <c r="BU740">
        <v>0</v>
      </c>
      <c r="BV740" s="1">
        <v>6331.91</v>
      </c>
      <c r="BW740" s="1">
        <v>6331.91</v>
      </c>
      <c r="BX740">
        <v>0</v>
      </c>
      <c r="BY740">
        <v>0</v>
      </c>
      <c r="BZ740">
        <v>0</v>
      </c>
      <c r="CA740">
        <v>0</v>
      </c>
      <c r="CB740" s="1">
        <v>4952.6000000000004</v>
      </c>
      <c r="CC740" t="s">
        <v>143</v>
      </c>
    </row>
    <row r="741" spans="1:81" x14ac:dyDescent="0.25">
      <c r="A741">
        <v>345</v>
      </c>
      <c r="B741">
        <v>2</v>
      </c>
      <c r="C741">
        <v>1174</v>
      </c>
      <c r="D741" t="s">
        <v>4223</v>
      </c>
      <c r="E741" t="s">
        <v>121</v>
      </c>
      <c r="F741" t="s">
        <v>4224</v>
      </c>
      <c r="G741" t="s">
        <v>4225</v>
      </c>
      <c r="H741" t="s">
        <v>4226</v>
      </c>
      <c r="I741" t="s">
        <v>125</v>
      </c>
      <c r="J741" t="s">
        <v>1091</v>
      </c>
      <c r="K741" t="s">
        <v>466</v>
      </c>
      <c r="L741" t="s">
        <v>128</v>
      </c>
      <c r="M741" t="s">
        <v>467</v>
      </c>
      <c r="N741" t="s">
        <v>4227</v>
      </c>
      <c r="O741" t="s">
        <v>167</v>
      </c>
      <c r="P741">
        <v>0</v>
      </c>
      <c r="Q741" t="s">
        <v>125</v>
      </c>
      <c r="R741">
        <v>6</v>
      </c>
      <c r="S741">
        <v>38</v>
      </c>
      <c r="T741" t="s">
        <v>132</v>
      </c>
      <c r="U741" t="s">
        <v>133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134</v>
      </c>
      <c r="AE741" t="s">
        <v>134</v>
      </c>
      <c r="AF741" s="2">
        <v>45518</v>
      </c>
      <c r="AG741" s="2">
        <v>46015</v>
      </c>
      <c r="AH741" s="1">
        <v>2588.27</v>
      </c>
      <c r="AI741" s="1">
        <v>5388.19</v>
      </c>
      <c r="AJ741" s="1">
        <v>33647.58</v>
      </c>
      <c r="AK741">
        <v>0</v>
      </c>
      <c r="AL741">
        <v>0</v>
      </c>
      <c r="AM741">
        <v>0</v>
      </c>
      <c r="AN741" t="s">
        <v>135</v>
      </c>
      <c r="AO741" t="s">
        <v>135</v>
      </c>
      <c r="AP741" t="s">
        <v>136</v>
      </c>
      <c r="AQ741" t="s">
        <v>137</v>
      </c>
      <c r="AR741" t="s">
        <v>138</v>
      </c>
      <c r="AS741" t="s">
        <v>139</v>
      </c>
      <c r="AT741" t="s">
        <v>140</v>
      </c>
      <c r="AU741">
        <v>105</v>
      </c>
      <c r="AV741">
        <v>10</v>
      </c>
      <c r="AW741">
        <v>1</v>
      </c>
      <c r="AX741" s="2">
        <v>45846</v>
      </c>
      <c r="AY741" t="s">
        <v>377</v>
      </c>
      <c r="AZ741" s="2">
        <v>46028</v>
      </c>
      <c r="BA741">
        <v>0</v>
      </c>
      <c r="BB741">
        <v>0</v>
      </c>
      <c r="BC741">
        <v>0</v>
      </c>
      <c r="BD741">
        <v>700</v>
      </c>
      <c r="BE741">
        <v>70</v>
      </c>
      <c r="BF741">
        <v>9</v>
      </c>
      <c r="BG741" s="2">
        <v>45536</v>
      </c>
      <c r="BH741" t="s">
        <v>142</v>
      </c>
      <c r="BI741" s="2">
        <v>46026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s="1">
        <v>15891.34</v>
      </c>
      <c r="BQ741" s="1">
        <v>15891.34</v>
      </c>
      <c r="BR741">
        <v>0</v>
      </c>
      <c r="BS741">
        <v>0</v>
      </c>
      <c r="BT741">
        <v>0</v>
      </c>
      <c r="BU741">
        <v>0</v>
      </c>
      <c r="BV741" s="1">
        <v>8298.7999999999993</v>
      </c>
      <c r="BW741" s="1">
        <v>8298.7999999999993</v>
      </c>
      <c r="BX741">
        <v>0</v>
      </c>
      <c r="BY741">
        <v>0</v>
      </c>
      <c r="BZ741">
        <v>0</v>
      </c>
      <c r="CA741">
        <v>0</v>
      </c>
      <c r="CB741" s="1">
        <v>12648.42</v>
      </c>
      <c r="CC741" t="s">
        <v>161</v>
      </c>
    </row>
    <row r="742" spans="1:81" x14ac:dyDescent="0.25">
      <c r="A742">
        <v>345</v>
      </c>
      <c r="B742">
        <v>2</v>
      </c>
      <c r="C742">
        <v>1175</v>
      </c>
      <c r="D742" t="s">
        <v>4228</v>
      </c>
      <c r="E742" t="s">
        <v>121</v>
      </c>
      <c r="F742" t="s">
        <v>4229</v>
      </c>
      <c r="G742" t="s">
        <v>4230</v>
      </c>
      <c r="H742" t="s">
        <v>4231</v>
      </c>
      <c r="I742" t="s">
        <v>3838</v>
      </c>
      <c r="J742" t="s">
        <v>3174</v>
      </c>
      <c r="K742" t="s">
        <v>1853</v>
      </c>
      <c r="L742" t="s">
        <v>128</v>
      </c>
      <c r="M742" t="s">
        <v>1854</v>
      </c>
      <c r="N742" t="s">
        <v>2504</v>
      </c>
      <c r="O742" t="s">
        <v>167</v>
      </c>
      <c r="P742">
        <v>0</v>
      </c>
      <c r="Q742" t="s">
        <v>125</v>
      </c>
      <c r="R742">
        <v>6</v>
      </c>
      <c r="S742">
        <v>33</v>
      </c>
      <c r="T742" t="s">
        <v>132</v>
      </c>
      <c r="U742" t="s">
        <v>133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134</v>
      </c>
      <c r="AE742" t="s">
        <v>134</v>
      </c>
      <c r="AF742" s="2">
        <v>45518</v>
      </c>
      <c r="AG742" s="2">
        <v>46007</v>
      </c>
      <c r="AH742">
        <v>224.18</v>
      </c>
      <c r="AI742">
        <v>358.36</v>
      </c>
      <c r="AJ742">
        <v>672.55</v>
      </c>
      <c r="AK742">
        <v>0</v>
      </c>
      <c r="AL742">
        <v>0</v>
      </c>
      <c r="AM742">
        <v>0</v>
      </c>
      <c r="AN742" t="s">
        <v>135</v>
      </c>
      <c r="AO742" t="s">
        <v>135</v>
      </c>
      <c r="AP742" t="s">
        <v>136</v>
      </c>
      <c r="AQ742" t="s">
        <v>137</v>
      </c>
      <c r="AR742" t="s">
        <v>138</v>
      </c>
      <c r="AS742" t="s">
        <v>139</v>
      </c>
      <c r="AT742" t="s">
        <v>140</v>
      </c>
      <c r="AU742">
        <v>106</v>
      </c>
      <c r="AV742">
        <v>10</v>
      </c>
      <c r="AW742">
        <v>1</v>
      </c>
      <c r="AX742" s="2">
        <v>45810</v>
      </c>
      <c r="AY742" t="s">
        <v>141</v>
      </c>
      <c r="AZ742" s="2">
        <v>46027</v>
      </c>
      <c r="BA742">
        <v>0</v>
      </c>
      <c r="BB742">
        <v>0</v>
      </c>
      <c r="BC742">
        <v>0</v>
      </c>
      <c r="BD742">
        <v>700</v>
      </c>
      <c r="BE742">
        <v>70</v>
      </c>
      <c r="BF742">
        <v>9</v>
      </c>
      <c r="BG742" s="2">
        <v>45536</v>
      </c>
      <c r="BH742" t="s">
        <v>142</v>
      </c>
      <c r="BI742" s="2">
        <v>46026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314.19</v>
      </c>
      <c r="BW742">
        <v>314.19</v>
      </c>
      <c r="BX742">
        <v>0</v>
      </c>
      <c r="BY742">
        <v>0</v>
      </c>
      <c r="BZ742">
        <v>0</v>
      </c>
      <c r="CA742">
        <v>0</v>
      </c>
      <c r="CB742">
        <v>783.38</v>
      </c>
      <c r="CC742" t="s">
        <v>161</v>
      </c>
    </row>
    <row r="743" spans="1:81" x14ac:dyDescent="0.25">
      <c r="A743">
        <v>345</v>
      </c>
      <c r="B743">
        <v>2</v>
      </c>
      <c r="C743">
        <v>1176</v>
      </c>
      <c r="D743" t="s">
        <v>4232</v>
      </c>
      <c r="E743" t="s">
        <v>121</v>
      </c>
      <c r="F743" t="s">
        <v>4233</v>
      </c>
      <c r="G743" t="s">
        <v>4234</v>
      </c>
      <c r="H743" t="s">
        <v>4235</v>
      </c>
      <c r="I743" t="s">
        <v>3838</v>
      </c>
      <c r="J743" t="s">
        <v>1263</v>
      </c>
      <c r="K743" t="s">
        <v>466</v>
      </c>
      <c r="L743" t="s">
        <v>128</v>
      </c>
      <c r="M743" t="s">
        <v>467</v>
      </c>
      <c r="N743" t="s">
        <v>4236</v>
      </c>
      <c r="O743" t="s">
        <v>131</v>
      </c>
      <c r="P743">
        <v>0</v>
      </c>
      <c r="Q743" t="s">
        <v>125</v>
      </c>
      <c r="R743">
        <v>2</v>
      </c>
      <c r="S743">
        <v>90</v>
      </c>
      <c r="T743" t="s">
        <v>132</v>
      </c>
      <c r="U743" t="s">
        <v>133</v>
      </c>
      <c r="V743">
        <v>381</v>
      </c>
      <c r="W743">
        <v>0</v>
      </c>
      <c r="X743">
        <v>381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134</v>
      </c>
      <c r="AE743" t="s">
        <v>134</v>
      </c>
      <c r="AF743" s="2">
        <v>45518</v>
      </c>
      <c r="AG743" s="2">
        <v>46018</v>
      </c>
      <c r="AH743">
        <v>152.38999999999999</v>
      </c>
      <c r="AI743">
        <v>258.5</v>
      </c>
      <c r="AJ743" s="1">
        <v>1371.51</v>
      </c>
      <c r="AK743">
        <v>0</v>
      </c>
      <c r="AL743">
        <v>0</v>
      </c>
      <c r="AM743">
        <v>0</v>
      </c>
      <c r="AN743" t="s">
        <v>135</v>
      </c>
      <c r="AO743" t="s">
        <v>135</v>
      </c>
      <c r="AP743" t="s">
        <v>136</v>
      </c>
      <c r="AQ743" t="s">
        <v>137</v>
      </c>
      <c r="AR743" t="s">
        <v>138</v>
      </c>
      <c r="AS743" t="s">
        <v>139</v>
      </c>
      <c r="AT743" t="s">
        <v>140</v>
      </c>
      <c r="AU743">
        <v>106</v>
      </c>
      <c r="AV743">
        <v>10</v>
      </c>
      <c r="AW743">
        <v>1</v>
      </c>
      <c r="AX743" s="2">
        <v>45828</v>
      </c>
      <c r="AY743" t="s">
        <v>151</v>
      </c>
      <c r="AZ743" s="2">
        <v>46024</v>
      </c>
      <c r="BA743">
        <v>0</v>
      </c>
      <c r="BB743">
        <v>0</v>
      </c>
      <c r="BC743">
        <v>0</v>
      </c>
      <c r="BD743">
        <v>700</v>
      </c>
      <c r="BE743">
        <v>70</v>
      </c>
      <c r="BF743">
        <v>9</v>
      </c>
      <c r="BG743" s="2">
        <v>45536</v>
      </c>
      <c r="BH743" t="s">
        <v>142</v>
      </c>
      <c r="BI743" s="2">
        <v>46026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288.37</v>
      </c>
      <c r="BQ743">
        <v>667.56</v>
      </c>
      <c r="BR743">
        <v>0</v>
      </c>
      <c r="BS743">
        <v>0</v>
      </c>
      <c r="BT743">
        <v>0</v>
      </c>
      <c r="BU743">
        <v>0</v>
      </c>
      <c r="BV743">
        <v>196.26</v>
      </c>
      <c r="BW743">
        <v>454.76</v>
      </c>
      <c r="BX743">
        <v>0</v>
      </c>
      <c r="BY743">
        <v>0</v>
      </c>
      <c r="BZ743">
        <v>0</v>
      </c>
      <c r="CA743">
        <v>0</v>
      </c>
      <c r="CB743">
        <v>553.59</v>
      </c>
      <c r="CC743" t="s">
        <v>143</v>
      </c>
    </row>
    <row r="744" spans="1:81" x14ac:dyDescent="0.25">
      <c r="A744">
        <v>345</v>
      </c>
      <c r="B744">
        <v>2</v>
      </c>
      <c r="C744">
        <v>1181</v>
      </c>
      <c r="D744" t="s">
        <v>4237</v>
      </c>
      <c r="E744" t="s">
        <v>121</v>
      </c>
      <c r="F744" t="s">
        <v>4238</v>
      </c>
      <c r="G744" t="s">
        <v>4239</v>
      </c>
      <c r="H744" t="s">
        <v>4240</v>
      </c>
      <c r="I744" t="s">
        <v>4241</v>
      </c>
      <c r="J744" t="s">
        <v>364</v>
      </c>
      <c r="K744" t="s">
        <v>127</v>
      </c>
      <c r="L744" t="s">
        <v>128</v>
      </c>
      <c r="M744" t="s">
        <v>129</v>
      </c>
      <c r="N744" t="s">
        <v>4242</v>
      </c>
      <c r="O744" t="s">
        <v>131</v>
      </c>
      <c r="P744">
        <v>0</v>
      </c>
      <c r="Q744" t="s">
        <v>125</v>
      </c>
      <c r="R744">
        <v>6</v>
      </c>
      <c r="S744">
        <v>40</v>
      </c>
      <c r="T744" t="s">
        <v>132</v>
      </c>
      <c r="U744" t="s">
        <v>133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134</v>
      </c>
      <c r="AE744" t="s">
        <v>134</v>
      </c>
      <c r="AF744" s="2">
        <v>45518</v>
      </c>
      <c r="AG744" s="2">
        <v>46011</v>
      </c>
      <c r="AH744">
        <v>223.92</v>
      </c>
      <c r="AI744">
        <v>432.08</v>
      </c>
      <c r="AJ744" s="1">
        <v>1791.41</v>
      </c>
      <c r="AK744">
        <v>0</v>
      </c>
      <c r="AL744">
        <v>0</v>
      </c>
      <c r="AM744">
        <v>0</v>
      </c>
      <c r="AN744" t="s">
        <v>135</v>
      </c>
      <c r="AO744" t="s">
        <v>135</v>
      </c>
      <c r="AP744" t="s">
        <v>136</v>
      </c>
      <c r="AQ744" t="s">
        <v>137</v>
      </c>
      <c r="AR744" t="s">
        <v>138</v>
      </c>
      <c r="AS744" t="s">
        <v>139</v>
      </c>
      <c r="AT744" t="s">
        <v>140</v>
      </c>
      <c r="AU744">
        <v>102</v>
      </c>
      <c r="AV744">
        <v>10</v>
      </c>
      <c r="AW744">
        <v>1</v>
      </c>
      <c r="AX744" s="2">
        <v>45848</v>
      </c>
      <c r="AY744" t="s">
        <v>308</v>
      </c>
      <c r="AZ744" s="2">
        <v>46023</v>
      </c>
      <c r="BA744">
        <v>0</v>
      </c>
      <c r="BB744">
        <v>0</v>
      </c>
      <c r="BC744">
        <v>0</v>
      </c>
      <c r="BD744">
        <v>700</v>
      </c>
      <c r="BE744">
        <v>70</v>
      </c>
      <c r="BF744">
        <v>9</v>
      </c>
      <c r="BG744" s="2">
        <v>45536</v>
      </c>
      <c r="BH744" t="s">
        <v>142</v>
      </c>
      <c r="BI744" s="2">
        <v>46026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s="1">
        <v>1051.8900000000001</v>
      </c>
      <c r="BQ744" s="1">
        <v>1051.8900000000001</v>
      </c>
      <c r="BR744">
        <v>0</v>
      </c>
      <c r="BS744">
        <v>0</v>
      </c>
      <c r="BT744">
        <v>0</v>
      </c>
      <c r="BU744">
        <v>0</v>
      </c>
      <c r="BV744">
        <v>307.44</v>
      </c>
      <c r="BW744">
        <v>307.44</v>
      </c>
      <c r="BX744">
        <v>0</v>
      </c>
      <c r="BY744">
        <v>0</v>
      </c>
      <c r="BZ744">
        <v>0</v>
      </c>
      <c r="CA744">
        <v>0</v>
      </c>
      <c r="CB744">
        <v>608.71</v>
      </c>
      <c r="CC744" t="s">
        <v>143</v>
      </c>
    </row>
    <row r="745" spans="1:81" x14ac:dyDescent="0.25">
      <c r="A745">
        <v>345</v>
      </c>
      <c r="B745">
        <v>2</v>
      </c>
      <c r="C745">
        <v>2003</v>
      </c>
      <c r="D745" t="s">
        <v>4243</v>
      </c>
      <c r="E745" t="s">
        <v>121</v>
      </c>
      <c r="F745" t="s">
        <v>4244</v>
      </c>
      <c r="G745" t="s">
        <v>4245</v>
      </c>
      <c r="H745" t="s">
        <v>4246</v>
      </c>
      <c r="I745" t="s">
        <v>125</v>
      </c>
      <c r="J745" t="s">
        <v>4247</v>
      </c>
      <c r="K745" t="s">
        <v>4248</v>
      </c>
      <c r="L745" t="s">
        <v>128</v>
      </c>
      <c r="M745" t="s">
        <v>1325</v>
      </c>
      <c r="N745" t="s">
        <v>4249</v>
      </c>
      <c r="O745" t="s">
        <v>167</v>
      </c>
      <c r="P745">
        <v>0</v>
      </c>
      <c r="Q745" t="s">
        <v>125</v>
      </c>
      <c r="R745">
        <v>6</v>
      </c>
      <c r="S745">
        <v>36</v>
      </c>
      <c r="T745" t="s">
        <v>132</v>
      </c>
      <c r="U745" t="s">
        <v>133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134</v>
      </c>
      <c r="AE745" t="s">
        <v>134</v>
      </c>
      <c r="AF745" s="2">
        <v>45518</v>
      </c>
      <c r="AG745" s="2">
        <v>46018</v>
      </c>
      <c r="AH745">
        <v>426.4</v>
      </c>
      <c r="AI745">
        <v>992.09</v>
      </c>
      <c r="AJ745" s="1">
        <v>3837.63</v>
      </c>
      <c r="AK745">
        <v>0</v>
      </c>
      <c r="AL745">
        <v>0</v>
      </c>
      <c r="AM745">
        <v>0</v>
      </c>
      <c r="AN745" t="s">
        <v>135</v>
      </c>
      <c r="AO745" t="s">
        <v>135</v>
      </c>
      <c r="AP745" t="s">
        <v>136</v>
      </c>
      <c r="AQ745" t="s">
        <v>137</v>
      </c>
      <c r="AR745" t="s">
        <v>138</v>
      </c>
      <c r="AS745" t="s">
        <v>139</v>
      </c>
      <c r="AT745" t="s">
        <v>140</v>
      </c>
      <c r="AU745">
        <v>104</v>
      </c>
      <c r="AV745">
        <v>10</v>
      </c>
      <c r="AW745">
        <v>1</v>
      </c>
      <c r="AX745" s="2">
        <v>45813</v>
      </c>
      <c r="AY745" t="s">
        <v>308</v>
      </c>
      <c r="AZ745" s="2">
        <v>46023</v>
      </c>
      <c r="BA745">
        <v>0</v>
      </c>
      <c r="BB745">
        <v>0</v>
      </c>
      <c r="BC745">
        <v>0</v>
      </c>
      <c r="BD745">
        <v>700</v>
      </c>
      <c r="BE745">
        <v>70</v>
      </c>
      <c r="BF745">
        <v>9</v>
      </c>
      <c r="BG745" s="2">
        <v>45536</v>
      </c>
      <c r="BH745" t="s">
        <v>142</v>
      </c>
      <c r="BI745" s="2">
        <v>46026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s="1">
        <v>1371.35</v>
      </c>
      <c r="BQ745" s="1">
        <v>1371.35</v>
      </c>
      <c r="BR745">
        <v>0</v>
      </c>
      <c r="BS745">
        <v>0</v>
      </c>
      <c r="BT745">
        <v>0</v>
      </c>
      <c r="BU745">
        <v>0</v>
      </c>
      <c r="BV745">
        <v>699.16</v>
      </c>
      <c r="BW745">
        <v>699.16</v>
      </c>
      <c r="BX745">
        <v>0</v>
      </c>
      <c r="BY745">
        <v>0</v>
      </c>
      <c r="BZ745">
        <v>0</v>
      </c>
      <c r="CA745">
        <v>0</v>
      </c>
      <c r="CB745" s="1">
        <v>1419.79</v>
      </c>
      <c r="CC745" t="s">
        <v>161</v>
      </c>
    </row>
    <row r="746" spans="1:81" x14ac:dyDescent="0.25">
      <c r="A746">
        <v>345</v>
      </c>
      <c r="B746">
        <v>2</v>
      </c>
      <c r="C746">
        <v>2005</v>
      </c>
      <c r="D746" t="s">
        <v>4250</v>
      </c>
      <c r="E746" t="s">
        <v>121</v>
      </c>
      <c r="F746" t="s">
        <v>4251</v>
      </c>
      <c r="G746" t="s">
        <v>4252</v>
      </c>
      <c r="H746" t="s">
        <v>4253</v>
      </c>
      <c r="I746" t="s">
        <v>125</v>
      </c>
      <c r="J746" t="s">
        <v>4254</v>
      </c>
      <c r="K746" t="s">
        <v>4248</v>
      </c>
      <c r="L746" t="s">
        <v>128</v>
      </c>
      <c r="M746" t="s">
        <v>1325</v>
      </c>
      <c r="N746" t="s">
        <v>4255</v>
      </c>
      <c r="O746" t="s">
        <v>201</v>
      </c>
      <c r="P746">
        <v>0</v>
      </c>
      <c r="Q746" t="s">
        <v>125</v>
      </c>
      <c r="R746">
        <v>6</v>
      </c>
      <c r="S746">
        <v>41</v>
      </c>
      <c r="T746" t="s">
        <v>132</v>
      </c>
      <c r="U746" t="s">
        <v>133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134</v>
      </c>
      <c r="AE746" t="s">
        <v>134</v>
      </c>
      <c r="AF746" s="2">
        <v>45518</v>
      </c>
      <c r="AG746" s="2">
        <v>46017</v>
      </c>
      <c r="AH746" s="1">
        <v>7984.55</v>
      </c>
      <c r="AI746" s="1">
        <v>13273.56</v>
      </c>
      <c r="AJ746" s="1">
        <v>103799.26</v>
      </c>
      <c r="AK746">
        <v>0</v>
      </c>
      <c r="AL746" s="1">
        <v>11251.21</v>
      </c>
      <c r="AM746">
        <v>0</v>
      </c>
      <c r="AN746" t="s">
        <v>135</v>
      </c>
      <c r="AO746" t="s">
        <v>135</v>
      </c>
      <c r="AP746" t="s">
        <v>136</v>
      </c>
      <c r="AQ746" t="s">
        <v>137</v>
      </c>
      <c r="AR746" t="s">
        <v>138</v>
      </c>
      <c r="AS746" t="s">
        <v>139</v>
      </c>
      <c r="AT746" t="s">
        <v>140</v>
      </c>
      <c r="AU746">
        <v>104</v>
      </c>
      <c r="AV746">
        <v>10</v>
      </c>
      <c r="AW746">
        <v>1</v>
      </c>
      <c r="AX746" s="2">
        <v>45839</v>
      </c>
      <c r="AY746" t="s">
        <v>377</v>
      </c>
      <c r="AZ746" s="2">
        <v>46028</v>
      </c>
      <c r="BA746">
        <v>0</v>
      </c>
      <c r="BB746">
        <v>0</v>
      </c>
      <c r="BC746">
        <v>0</v>
      </c>
      <c r="BD746">
        <v>700</v>
      </c>
      <c r="BE746">
        <v>70</v>
      </c>
      <c r="BF746">
        <v>9</v>
      </c>
      <c r="BG746" s="2">
        <v>45536</v>
      </c>
      <c r="BH746" t="s">
        <v>142</v>
      </c>
      <c r="BI746" s="2">
        <v>46026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s="1">
        <v>25717.5</v>
      </c>
      <c r="BQ746" s="1">
        <v>25717.5</v>
      </c>
      <c r="BR746">
        <v>0</v>
      </c>
      <c r="BS746">
        <v>0</v>
      </c>
      <c r="BT746">
        <v>0</v>
      </c>
      <c r="BU746">
        <v>0</v>
      </c>
      <c r="BV746" s="1">
        <v>51405.74</v>
      </c>
      <c r="BW746" s="1">
        <v>51405.74</v>
      </c>
      <c r="BX746">
        <v>0</v>
      </c>
      <c r="BY746">
        <v>0</v>
      </c>
      <c r="BZ746">
        <v>0</v>
      </c>
      <c r="CA746">
        <v>0</v>
      </c>
      <c r="CB746" s="1">
        <v>31687.14</v>
      </c>
      <c r="CC746" t="s">
        <v>143</v>
      </c>
    </row>
    <row r="747" spans="1:81" x14ac:dyDescent="0.25">
      <c r="A747">
        <v>345</v>
      </c>
      <c r="B747">
        <v>2</v>
      </c>
      <c r="C747">
        <v>2006</v>
      </c>
      <c r="D747" t="s">
        <v>4256</v>
      </c>
      <c r="E747" t="s">
        <v>121</v>
      </c>
      <c r="F747" t="s">
        <v>4257</v>
      </c>
      <c r="G747" t="s">
        <v>4258</v>
      </c>
      <c r="H747" t="s">
        <v>4259</v>
      </c>
      <c r="I747" t="s">
        <v>125</v>
      </c>
      <c r="J747" t="s">
        <v>4260</v>
      </c>
      <c r="K747" t="s">
        <v>4248</v>
      </c>
      <c r="L747" t="s">
        <v>128</v>
      </c>
      <c r="M747" t="s">
        <v>1325</v>
      </c>
      <c r="N747" t="s">
        <v>4261</v>
      </c>
      <c r="O747" t="s">
        <v>167</v>
      </c>
      <c r="P747">
        <v>0</v>
      </c>
      <c r="Q747" t="s">
        <v>125</v>
      </c>
      <c r="R747">
        <v>6</v>
      </c>
      <c r="S747">
        <v>35</v>
      </c>
      <c r="T747" t="s">
        <v>132</v>
      </c>
      <c r="U747" t="s">
        <v>133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134</v>
      </c>
      <c r="AE747" t="s">
        <v>134</v>
      </c>
      <c r="AF747" s="2">
        <v>45518</v>
      </c>
      <c r="AG747" s="2">
        <v>46017</v>
      </c>
      <c r="AH747" s="1">
        <v>1309.93</v>
      </c>
      <c r="AI747" s="1">
        <v>2024.23</v>
      </c>
      <c r="AJ747" s="1">
        <v>5239.7299999999996</v>
      </c>
      <c r="AK747">
        <v>0</v>
      </c>
      <c r="AL747">
        <v>0</v>
      </c>
      <c r="AM747">
        <v>0</v>
      </c>
      <c r="AN747" t="s">
        <v>135</v>
      </c>
      <c r="AO747" t="s">
        <v>135</v>
      </c>
      <c r="AP747" t="s">
        <v>136</v>
      </c>
      <c r="AQ747" t="s">
        <v>137</v>
      </c>
      <c r="AR747" t="s">
        <v>138</v>
      </c>
      <c r="AS747" t="s">
        <v>139</v>
      </c>
      <c r="AT747" t="s">
        <v>140</v>
      </c>
      <c r="AU747">
        <v>104</v>
      </c>
      <c r="AV747">
        <v>10</v>
      </c>
      <c r="AW747">
        <v>1</v>
      </c>
      <c r="AX747" s="2">
        <v>45839</v>
      </c>
      <c r="AY747" t="s">
        <v>377</v>
      </c>
      <c r="AZ747" s="2">
        <v>46028</v>
      </c>
      <c r="BA747">
        <v>0</v>
      </c>
      <c r="BB747">
        <v>0</v>
      </c>
      <c r="BC747">
        <v>0</v>
      </c>
      <c r="BD747">
        <v>700</v>
      </c>
      <c r="BE747">
        <v>70</v>
      </c>
      <c r="BF747">
        <v>9</v>
      </c>
      <c r="BG747" s="2">
        <v>45536</v>
      </c>
      <c r="BH747" t="s">
        <v>142</v>
      </c>
      <c r="BI747" s="2">
        <v>46026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s="1">
        <v>2024.23</v>
      </c>
      <c r="BQ747" s="1">
        <v>2024.23</v>
      </c>
      <c r="BR747">
        <v>0</v>
      </c>
      <c r="BS747">
        <v>0</v>
      </c>
      <c r="BT747">
        <v>0</v>
      </c>
      <c r="BU747">
        <v>0</v>
      </c>
      <c r="BV747" s="1">
        <v>2509.9499999999998</v>
      </c>
      <c r="BW747" s="1">
        <v>2509.9499999999998</v>
      </c>
      <c r="BX747">
        <v>0</v>
      </c>
      <c r="BY747">
        <v>0</v>
      </c>
      <c r="BZ747">
        <v>0</v>
      </c>
      <c r="CA747">
        <v>0</v>
      </c>
      <c r="CB747" s="1">
        <v>1738.13</v>
      </c>
      <c r="CC747" t="s">
        <v>161</v>
      </c>
    </row>
    <row r="748" spans="1:81" x14ac:dyDescent="0.25">
      <c r="A748">
        <v>345</v>
      </c>
      <c r="B748">
        <v>2</v>
      </c>
      <c r="C748">
        <v>2007</v>
      </c>
      <c r="D748" t="s">
        <v>4262</v>
      </c>
      <c r="E748" t="s">
        <v>121</v>
      </c>
      <c r="F748" t="s">
        <v>4263</v>
      </c>
      <c r="G748" t="s">
        <v>4264</v>
      </c>
      <c r="H748" t="s">
        <v>4265</v>
      </c>
      <c r="I748" t="s">
        <v>125</v>
      </c>
      <c r="J748" t="s">
        <v>126</v>
      </c>
      <c r="K748" t="s">
        <v>4248</v>
      </c>
      <c r="L748" t="s">
        <v>128</v>
      </c>
      <c r="M748" t="s">
        <v>1325</v>
      </c>
      <c r="N748" t="s">
        <v>4266</v>
      </c>
      <c r="O748" t="s">
        <v>1146</v>
      </c>
      <c r="P748">
        <v>0</v>
      </c>
      <c r="Q748" t="s">
        <v>125</v>
      </c>
      <c r="R748">
        <v>6</v>
      </c>
      <c r="S748">
        <v>36</v>
      </c>
      <c r="T748" t="s">
        <v>132</v>
      </c>
      <c r="U748" t="s">
        <v>133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134</v>
      </c>
      <c r="AE748" t="s">
        <v>134</v>
      </c>
      <c r="AF748" s="2">
        <v>45518</v>
      </c>
      <c r="AG748" s="2">
        <v>46011</v>
      </c>
      <c r="AH748" s="1">
        <v>6324.75</v>
      </c>
      <c r="AI748" s="1">
        <v>15082.37</v>
      </c>
      <c r="AJ748" s="1">
        <v>31623.77</v>
      </c>
      <c r="AK748">
        <v>0</v>
      </c>
      <c r="AL748">
        <v>0</v>
      </c>
      <c r="AM748">
        <v>0</v>
      </c>
      <c r="AN748" t="s">
        <v>135</v>
      </c>
      <c r="AO748" t="s">
        <v>135</v>
      </c>
      <c r="AP748" t="s">
        <v>136</v>
      </c>
      <c r="AQ748" t="s">
        <v>137</v>
      </c>
      <c r="AR748" t="s">
        <v>138</v>
      </c>
      <c r="AS748" t="s">
        <v>139</v>
      </c>
      <c r="AT748" t="s">
        <v>140</v>
      </c>
      <c r="AU748">
        <v>501</v>
      </c>
      <c r="AV748">
        <v>10</v>
      </c>
      <c r="AW748">
        <v>1</v>
      </c>
      <c r="AX748" s="2">
        <v>45848</v>
      </c>
      <c r="AY748" t="s">
        <v>308</v>
      </c>
      <c r="AZ748" s="2">
        <v>46023</v>
      </c>
      <c r="BA748">
        <v>0</v>
      </c>
      <c r="BB748">
        <v>0</v>
      </c>
      <c r="BC748">
        <v>0</v>
      </c>
      <c r="BD748">
        <v>700</v>
      </c>
      <c r="BE748">
        <v>70</v>
      </c>
      <c r="BF748">
        <v>9</v>
      </c>
      <c r="BG748" s="2">
        <v>45536</v>
      </c>
      <c r="BH748" t="s">
        <v>142</v>
      </c>
      <c r="BI748" s="2">
        <v>46026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s="1">
        <v>10094.65</v>
      </c>
      <c r="BQ748" s="1">
        <v>10094.65</v>
      </c>
      <c r="BR748">
        <v>0</v>
      </c>
      <c r="BS748">
        <v>0</v>
      </c>
      <c r="BT748">
        <v>0</v>
      </c>
      <c r="BU748">
        <v>0</v>
      </c>
      <c r="BV748" s="1">
        <v>15082.37</v>
      </c>
      <c r="BW748" s="1">
        <v>15082.37</v>
      </c>
      <c r="BX748">
        <v>0</v>
      </c>
      <c r="BY748">
        <v>0</v>
      </c>
      <c r="BZ748">
        <v>0</v>
      </c>
      <c r="CA748">
        <v>0</v>
      </c>
      <c r="CB748" s="1">
        <v>5893.32</v>
      </c>
      <c r="CC748" t="s">
        <v>161</v>
      </c>
    </row>
    <row r="749" spans="1:81" x14ac:dyDescent="0.25">
      <c r="A749">
        <v>345</v>
      </c>
      <c r="B749">
        <v>2</v>
      </c>
      <c r="C749">
        <v>2014</v>
      </c>
      <c r="D749" t="s">
        <v>4267</v>
      </c>
      <c r="E749" t="s">
        <v>121</v>
      </c>
      <c r="F749" t="s">
        <v>4268</v>
      </c>
      <c r="G749" t="s">
        <v>4269</v>
      </c>
      <c r="H749" t="s">
        <v>4270</v>
      </c>
      <c r="I749" t="s">
        <v>125</v>
      </c>
      <c r="J749" t="s">
        <v>4271</v>
      </c>
      <c r="K749" t="s">
        <v>4248</v>
      </c>
      <c r="L749" t="s">
        <v>128</v>
      </c>
      <c r="M749" t="s">
        <v>1325</v>
      </c>
      <c r="N749" t="s">
        <v>4272</v>
      </c>
      <c r="O749" t="s">
        <v>131</v>
      </c>
      <c r="P749">
        <v>0</v>
      </c>
      <c r="Q749" t="s">
        <v>125</v>
      </c>
      <c r="R749">
        <v>6</v>
      </c>
      <c r="S749">
        <v>38</v>
      </c>
      <c r="T749" t="s">
        <v>132</v>
      </c>
      <c r="U749" t="s">
        <v>133</v>
      </c>
      <c r="V749" s="1">
        <v>1700</v>
      </c>
      <c r="W749">
        <v>0</v>
      </c>
      <c r="X749" s="1">
        <v>1700</v>
      </c>
      <c r="Y749">
        <v>7</v>
      </c>
      <c r="Z749">
        <v>0</v>
      </c>
      <c r="AA749">
        <v>0</v>
      </c>
      <c r="AB749">
        <v>0</v>
      </c>
      <c r="AC749">
        <v>0</v>
      </c>
      <c r="AD749" t="s">
        <v>134</v>
      </c>
      <c r="AE749" t="s">
        <v>134</v>
      </c>
      <c r="AF749" s="2">
        <v>45518</v>
      </c>
      <c r="AG749" s="2">
        <v>45980</v>
      </c>
      <c r="AH749" s="1">
        <v>1015.88</v>
      </c>
      <c r="AI749" s="1">
        <v>2698.98</v>
      </c>
      <c r="AJ749" s="1">
        <v>6095.29</v>
      </c>
      <c r="AK749">
        <v>0</v>
      </c>
      <c r="AL749">
        <v>0</v>
      </c>
      <c r="AM749">
        <v>0</v>
      </c>
      <c r="AN749" t="s">
        <v>135</v>
      </c>
      <c r="AO749" t="s">
        <v>135</v>
      </c>
      <c r="AP749" t="s">
        <v>136</v>
      </c>
      <c r="AQ749" t="s">
        <v>137</v>
      </c>
      <c r="AR749" t="s">
        <v>138</v>
      </c>
      <c r="AS749" t="s">
        <v>139</v>
      </c>
      <c r="AT749" t="s">
        <v>140</v>
      </c>
      <c r="AU749">
        <v>104</v>
      </c>
      <c r="AV749">
        <v>10</v>
      </c>
      <c r="AW749">
        <v>1</v>
      </c>
      <c r="AX749" s="2">
        <v>45839</v>
      </c>
      <c r="AY749" t="s">
        <v>377</v>
      </c>
      <c r="AZ749" s="2">
        <v>46028</v>
      </c>
      <c r="BA749">
        <v>0</v>
      </c>
      <c r="BB749">
        <v>0</v>
      </c>
      <c r="BC749">
        <v>0</v>
      </c>
      <c r="BD749">
        <v>700</v>
      </c>
      <c r="BE749">
        <v>70</v>
      </c>
      <c r="BF749">
        <v>9</v>
      </c>
      <c r="BG749" s="2">
        <v>45536</v>
      </c>
      <c r="BH749" t="s">
        <v>142</v>
      </c>
      <c r="BI749" s="2">
        <v>46026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 s="1">
        <v>1239.8599999999999</v>
      </c>
      <c r="BQ749" s="1">
        <v>1239.8599999999999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 s="1">
        <v>2422.85</v>
      </c>
      <c r="CC749" t="s">
        <v>143</v>
      </c>
    </row>
    <row r="750" spans="1:81" x14ac:dyDescent="0.25">
      <c r="A750">
        <v>345</v>
      </c>
      <c r="B750">
        <v>2</v>
      </c>
      <c r="C750">
        <v>2022</v>
      </c>
      <c r="D750" t="s">
        <v>4273</v>
      </c>
      <c r="E750" t="s">
        <v>121</v>
      </c>
      <c r="F750" t="s">
        <v>4274</v>
      </c>
      <c r="G750" t="s">
        <v>4275</v>
      </c>
      <c r="H750" t="s">
        <v>4276</v>
      </c>
      <c r="I750" t="s">
        <v>125</v>
      </c>
      <c r="J750" t="s">
        <v>4260</v>
      </c>
      <c r="K750" t="s">
        <v>4248</v>
      </c>
      <c r="L750" t="s">
        <v>128</v>
      </c>
      <c r="M750" t="s">
        <v>1325</v>
      </c>
      <c r="N750" t="s">
        <v>4277</v>
      </c>
      <c r="O750" t="s">
        <v>201</v>
      </c>
      <c r="P750">
        <v>0</v>
      </c>
      <c r="Q750" t="s">
        <v>125</v>
      </c>
      <c r="R750">
        <v>6</v>
      </c>
      <c r="S750">
        <v>38</v>
      </c>
      <c r="T750" t="s">
        <v>132</v>
      </c>
      <c r="U750" t="s">
        <v>133</v>
      </c>
      <c r="V750" s="1">
        <v>1100</v>
      </c>
      <c r="W750">
        <v>542.54999999999995</v>
      </c>
      <c r="X750">
        <v>557.45000000000005</v>
      </c>
      <c r="Y750">
        <v>7</v>
      </c>
      <c r="Z750">
        <v>0</v>
      </c>
      <c r="AA750">
        <v>7</v>
      </c>
      <c r="AB750">
        <v>0</v>
      </c>
      <c r="AC750">
        <v>0</v>
      </c>
      <c r="AD750" t="s">
        <v>134</v>
      </c>
      <c r="AE750" t="s">
        <v>134</v>
      </c>
      <c r="AF750" s="2">
        <v>45518</v>
      </c>
      <c r="AG750" s="2">
        <v>46001</v>
      </c>
      <c r="AH750">
        <v>382.74</v>
      </c>
      <c r="AI750">
        <v>542.54999999999995</v>
      </c>
      <c r="AJ750" s="1">
        <v>1913.74</v>
      </c>
      <c r="AK750">
        <v>0</v>
      </c>
      <c r="AL750">
        <v>542.54999999999995</v>
      </c>
      <c r="AM750">
        <v>0</v>
      </c>
      <c r="AN750" t="s">
        <v>135</v>
      </c>
      <c r="AO750" t="s">
        <v>135</v>
      </c>
      <c r="AP750" t="s">
        <v>136</v>
      </c>
      <c r="AQ750" t="s">
        <v>137</v>
      </c>
      <c r="AR750" t="s">
        <v>138</v>
      </c>
      <c r="AS750" t="s">
        <v>150</v>
      </c>
      <c r="AT750" t="s">
        <v>140</v>
      </c>
      <c r="AU750">
        <v>104</v>
      </c>
      <c r="AV750">
        <v>10</v>
      </c>
      <c r="AW750">
        <v>1</v>
      </c>
      <c r="AX750" s="2">
        <v>45531</v>
      </c>
      <c r="AY750" t="s">
        <v>377</v>
      </c>
      <c r="AZ750" s="2">
        <v>46028</v>
      </c>
      <c r="BA750">
        <v>0</v>
      </c>
      <c r="BB750">
        <v>0</v>
      </c>
      <c r="BC750">
        <v>0</v>
      </c>
      <c r="BD750">
        <v>700</v>
      </c>
      <c r="BE750">
        <v>70</v>
      </c>
      <c r="BF750">
        <v>9</v>
      </c>
      <c r="BG750" s="2">
        <v>45536</v>
      </c>
      <c r="BH750" t="s">
        <v>142</v>
      </c>
      <c r="BI750" s="2">
        <v>46026</v>
      </c>
      <c r="BJ750">
        <v>0</v>
      </c>
      <c r="BK750">
        <v>0</v>
      </c>
      <c r="BL750">
        <v>0</v>
      </c>
      <c r="BM750">
        <v>7</v>
      </c>
      <c r="BN750">
        <v>4.1100000000000003</v>
      </c>
      <c r="BO750">
        <v>361.96</v>
      </c>
      <c r="BP750">
        <v>254.49</v>
      </c>
      <c r="BQ750">
        <v>616.45000000000005</v>
      </c>
      <c r="BR750">
        <v>0</v>
      </c>
      <c r="BS750">
        <v>7</v>
      </c>
      <c r="BT750">
        <v>7</v>
      </c>
      <c r="BU750">
        <v>886.8</v>
      </c>
      <c r="BV750">
        <v>0</v>
      </c>
      <c r="BW750">
        <v>886.8</v>
      </c>
      <c r="BX750">
        <v>542.54999999999995</v>
      </c>
      <c r="BY750">
        <v>61.18</v>
      </c>
      <c r="BZ750">
        <v>0</v>
      </c>
      <c r="CA750">
        <v>0</v>
      </c>
      <c r="CB750">
        <v>420.43</v>
      </c>
      <c r="CC750" t="s">
        <v>143</v>
      </c>
    </row>
    <row r="751" spans="1:81" x14ac:dyDescent="0.25">
      <c r="A751">
        <v>345</v>
      </c>
      <c r="B751">
        <v>2</v>
      </c>
      <c r="C751">
        <v>2024</v>
      </c>
      <c r="D751" t="s">
        <v>4278</v>
      </c>
      <c r="E751" t="s">
        <v>121</v>
      </c>
      <c r="F751" t="s">
        <v>4279</v>
      </c>
      <c r="G751" t="s">
        <v>4280</v>
      </c>
      <c r="H751" t="s">
        <v>4281</v>
      </c>
      <c r="I751" t="s">
        <v>125</v>
      </c>
      <c r="J751" t="s">
        <v>4247</v>
      </c>
      <c r="K751" t="s">
        <v>4248</v>
      </c>
      <c r="L751" t="s">
        <v>128</v>
      </c>
      <c r="M751" t="s">
        <v>1325</v>
      </c>
      <c r="N751" t="s">
        <v>4282</v>
      </c>
      <c r="O751" t="s">
        <v>159</v>
      </c>
      <c r="P751">
        <v>0</v>
      </c>
      <c r="Q751" t="s">
        <v>125</v>
      </c>
      <c r="R751">
        <v>6</v>
      </c>
      <c r="S751">
        <v>29</v>
      </c>
      <c r="T751" t="s">
        <v>132</v>
      </c>
      <c r="U751" t="s">
        <v>133</v>
      </c>
      <c r="V751" s="1">
        <v>1000</v>
      </c>
      <c r="W751">
        <v>0</v>
      </c>
      <c r="X751" s="1">
        <v>1000</v>
      </c>
      <c r="Y751">
        <v>7</v>
      </c>
      <c r="Z751">
        <v>0</v>
      </c>
      <c r="AA751">
        <v>9</v>
      </c>
      <c r="AB751">
        <v>2</v>
      </c>
      <c r="AC751">
        <v>60</v>
      </c>
      <c r="AD751" t="s">
        <v>134</v>
      </c>
      <c r="AE751" t="s">
        <v>134</v>
      </c>
      <c r="AF751" s="2">
        <v>45518</v>
      </c>
      <c r="AG751" s="2">
        <v>45976</v>
      </c>
      <c r="AH751" s="1">
        <v>1215.9000000000001</v>
      </c>
      <c r="AI751" s="1">
        <v>1215.9000000000001</v>
      </c>
      <c r="AJ751" s="1">
        <v>1215.9000000000001</v>
      </c>
      <c r="AK751">
        <v>0</v>
      </c>
      <c r="AL751">
        <v>0</v>
      </c>
      <c r="AM751">
        <v>0</v>
      </c>
      <c r="AN751" t="s">
        <v>135</v>
      </c>
      <c r="AO751" t="s">
        <v>135</v>
      </c>
      <c r="AP751" t="s">
        <v>136</v>
      </c>
      <c r="AQ751" t="s">
        <v>137</v>
      </c>
      <c r="AR751" t="s">
        <v>138</v>
      </c>
      <c r="AS751" t="s">
        <v>150</v>
      </c>
      <c r="AT751" t="s">
        <v>140</v>
      </c>
      <c r="AU751">
        <v>104</v>
      </c>
      <c r="AV751">
        <v>10</v>
      </c>
      <c r="AW751">
        <v>1</v>
      </c>
      <c r="AX751" s="2">
        <v>45855</v>
      </c>
      <c r="AY751" t="s">
        <v>308</v>
      </c>
      <c r="AZ751" s="2">
        <v>46023</v>
      </c>
      <c r="BA751">
        <v>0</v>
      </c>
      <c r="BB751">
        <v>0</v>
      </c>
      <c r="BC751">
        <v>0</v>
      </c>
      <c r="BD751">
        <v>700</v>
      </c>
      <c r="BE751">
        <v>70</v>
      </c>
      <c r="BF751">
        <v>9</v>
      </c>
      <c r="BG751" s="2">
        <v>45536</v>
      </c>
      <c r="BH751" t="s">
        <v>142</v>
      </c>
      <c r="BI751" s="2">
        <v>46026</v>
      </c>
      <c r="BJ751">
        <v>0</v>
      </c>
      <c r="BK751">
        <v>0</v>
      </c>
      <c r="BL751">
        <v>0</v>
      </c>
      <c r="BM751">
        <v>9</v>
      </c>
      <c r="BN751">
        <v>5.57</v>
      </c>
      <c r="BO751">
        <v>752.64</v>
      </c>
      <c r="BP751">
        <v>463.26</v>
      </c>
      <c r="BQ751" s="1">
        <v>1215.9000000000001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405.3</v>
      </c>
      <c r="CC751" t="s">
        <v>161</v>
      </c>
    </row>
    <row r="752" spans="1:81" x14ac:dyDescent="0.25">
      <c r="A752">
        <v>345</v>
      </c>
      <c r="B752">
        <v>2</v>
      </c>
      <c r="C752">
        <v>2025</v>
      </c>
      <c r="D752" t="s">
        <v>4283</v>
      </c>
      <c r="E752" t="s">
        <v>121</v>
      </c>
      <c r="F752" t="s">
        <v>4284</v>
      </c>
      <c r="G752" t="s">
        <v>4285</v>
      </c>
      <c r="H752" t="s">
        <v>4286</v>
      </c>
      <c r="I752" t="s">
        <v>125</v>
      </c>
      <c r="J752" t="s">
        <v>126</v>
      </c>
      <c r="K752" t="s">
        <v>4248</v>
      </c>
      <c r="L752" t="s">
        <v>128</v>
      </c>
      <c r="M752" t="s">
        <v>1325</v>
      </c>
      <c r="N752" t="s">
        <v>4287</v>
      </c>
      <c r="O752" t="s">
        <v>131</v>
      </c>
      <c r="P752">
        <v>0</v>
      </c>
      <c r="Q752" t="s">
        <v>125</v>
      </c>
      <c r="R752">
        <v>6</v>
      </c>
      <c r="S752">
        <v>38</v>
      </c>
      <c r="T752" t="s">
        <v>132</v>
      </c>
      <c r="U752" t="s">
        <v>133</v>
      </c>
      <c r="V752" s="1">
        <v>2200</v>
      </c>
      <c r="W752">
        <v>728.52</v>
      </c>
      <c r="X752" s="1">
        <v>1471.48</v>
      </c>
      <c r="Y752">
        <v>7</v>
      </c>
      <c r="Z752">
        <v>0</v>
      </c>
      <c r="AA752">
        <v>9</v>
      </c>
      <c r="AB752">
        <v>0</v>
      </c>
      <c r="AC752">
        <v>21</v>
      </c>
      <c r="AD752" t="s">
        <v>134</v>
      </c>
      <c r="AE752" t="s">
        <v>134</v>
      </c>
      <c r="AF752" s="2">
        <v>45518</v>
      </c>
      <c r="AG752" s="2">
        <v>46018</v>
      </c>
      <c r="AH752" s="1">
        <v>2008.02</v>
      </c>
      <c r="AI752" s="1">
        <v>2785.02</v>
      </c>
      <c r="AJ752" s="1">
        <v>8032.11</v>
      </c>
      <c r="AK752">
        <v>0</v>
      </c>
      <c r="AL752">
        <v>728.52</v>
      </c>
      <c r="AM752">
        <v>177.59</v>
      </c>
      <c r="AN752" t="s">
        <v>135</v>
      </c>
      <c r="AO752" t="s">
        <v>135</v>
      </c>
      <c r="AP752" t="s">
        <v>136</v>
      </c>
      <c r="AQ752" t="s">
        <v>137</v>
      </c>
      <c r="AR752" t="s">
        <v>138</v>
      </c>
      <c r="AS752" t="s">
        <v>150</v>
      </c>
      <c r="AT752" t="s">
        <v>140</v>
      </c>
      <c r="AU752">
        <v>104</v>
      </c>
      <c r="AV752">
        <v>10</v>
      </c>
      <c r="AW752">
        <v>1</v>
      </c>
      <c r="AX752" s="2">
        <v>45631</v>
      </c>
      <c r="AY752" t="s">
        <v>308</v>
      </c>
      <c r="AZ752" s="2">
        <v>46023</v>
      </c>
      <c r="BA752">
        <v>0</v>
      </c>
      <c r="BB752">
        <v>0</v>
      </c>
      <c r="BC752">
        <v>0</v>
      </c>
      <c r="BD752">
        <v>700</v>
      </c>
      <c r="BE752">
        <v>70</v>
      </c>
      <c r="BF752">
        <v>9</v>
      </c>
      <c r="BG752" s="2">
        <v>45536</v>
      </c>
      <c r="BH752" t="s">
        <v>142</v>
      </c>
      <c r="BI752" s="2">
        <v>46026</v>
      </c>
      <c r="BJ752">
        <v>0</v>
      </c>
      <c r="BK752">
        <v>0</v>
      </c>
      <c r="BL752">
        <v>0</v>
      </c>
      <c r="BM752">
        <v>7</v>
      </c>
      <c r="BN752">
        <v>3.59</v>
      </c>
      <c r="BO752" s="1">
        <v>1293.81</v>
      </c>
      <c r="BP752" s="1">
        <v>1227.04</v>
      </c>
      <c r="BQ752" s="1">
        <v>2520.85</v>
      </c>
      <c r="BR752" s="1">
        <v>1293.81</v>
      </c>
      <c r="BS752">
        <v>9</v>
      </c>
      <c r="BT752">
        <v>2.35</v>
      </c>
      <c r="BU752">
        <v>728.52</v>
      </c>
      <c r="BV752" s="1">
        <v>2056.5</v>
      </c>
      <c r="BW752" s="1">
        <v>2785.02</v>
      </c>
      <c r="BX752">
        <v>728.52</v>
      </c>
      <c r="BY752">
        <v>100</v>
      </c>
      <c r="BZ752">
        <v>0</v>
      </c>
      <c r="CA752">
        <v>0</v>
      </c>
      <c r="CB752" s="1">
        <v>2856.82</v>
      </c>
      <c r="CC752" t="s">
        <v>143</v>
      </c>
    </row>
    <row r="753" spans="1:81" x14ac:dyDescent="0.25">
      <c r="A753">
        <v>345</v>
      </c>
      <c r="B753">
        <v>2</v>
      </c>
      <c r="C753">
        <v>2029</v>
      </c>
      <c r="D753" t="s">
        <v>4288</v>
      </c>
      <c r="E753" t="s">
        <v>121</v>
      </c>
      <c r="F753" t="s">
        <v>4289</v>
      </c>
      <c r="G753" t="s">
        <v>4290</v>
      </c>
      <c r="H753" t="s">
        <v>4291</v>
      </c>
      <c r="I753" t="s">
        <v>125</v>
      </c>
      <c r="J753" t="s">
        <v>4247</v>
      </c>
      <c r="K753" t="s">
        <v>4248</v>
      </c>
      <c r="L753" t="s">
        <v>128</v>
      </c>
      <c r="M753" t="s">
        <v>1325</v>
      </c>
      <c r="N753" t="s">
        <v>4292</v>
      </c>
      <c r="O753" t="s">
        <v>201</v>
      </c>
      <c r="P753">
        <v>0</v>
      </c>
      <c r="Q753" t="s">
        <v>125</v>
      </c>
      <c r="R753">
        <v>6</v>
      </c>
      <c r="S753">
        <v>38</v>
      </c>
      <c r="T753" t="s">
        <v>132</v>
      </c>
      <c r="U753" t="s">
        <v>133</v>
      </c>
      <c r="V753" s="1">
        <v>1000</v>
      </c>
      <c r="W753">
        <v>0</v>
      </c>
      <c r="X753" s="1">
        <v>1000</v>
      </c>
      <c r="Y753">
        <v>7</v>
      </c>
      <c r="Z753">
        <v>0</v>
      </c>
      <c r="AA753">
        <v>9</v>
      </c>
      <c r="AB753">
        <v>0</v>
      </c>
      <c r="AC753">
        <v>0</v>
      </c>
      <c r="AD753" t="s">
        <v>134</v>
      </c>
      <c r="AE753" t="s">
        <v>134</v>
      </c>
      <c r="AF753" s="2">
        <v>45518</v>
      </c>
      <c r="AG753" s="2">
        <v>46011</v>
      </c>
      <c r="AH753">
        <v>445.19</v>
      </c>
      <c r="AI753">
        <v>794.94</v>
      </c>
      <c r="AJ753" s="1">
        <v>2671.14</v>
      </c>
      <c r="AK753">
        <v>0</v>
      </c>
      <c r="AL753">
        <v>0</v>
      </c>
      <c r="AM753">
        <v>0</v>
      </c>
      <c r="AN753" t="s">
        <v>135</v>
      </c>
      <c r="AO753" t="s">
        <v>135</v>
      </c>
      <c r="AP753" t="s">
        <v>136</v>
      </c>
      <c r="AQ753" t="s">
        <v>137</v>
      </c>
      <c r="AR753" t="s">
        <v>138</v>
      </c>
      <c r="AS753" t="s">
        <v>150</v>
      </c>
      <c r="AT753" t="s">
        <v>140</v>
      </c>
      <c r="AU753">
        <v>104</v>
      </c>
      <c r="AV753">
        <v>10</v>
      </c>
      <c r="AW753">
        <v>1</v>
      </c>
      <c r="AX753" s="2">
        <v>45813</v>
      </c>
      <c r="AY753" t="s">
        <v>308</v>
      </c>
      <c r="AZ753" s="2">
        <v>46023</v>
      </c>
      <c r="BA753">
        <v>0</v>
      </c>
      <c r="BB753">
        <v>0</v>
      </c>
      <c r="BC753">
        <v>0</v>
      </c>
      <c r="BD753">
        <v>700</v>
      </c>
      <c r="BE753">
        <v>70</v>
      </c>
      <c r="BF753">
        <v>9</v>
      </c>
      <c r="BG753" s="2">
        <v>45536</v>
      </c>
      <c r="BH753" t="s">
        <v>142</v>
      </c>
      <c r="BI753" s="2">
        <v>46026</v>
      </c>
      <c r="BJ753">
        <v>0</v>
      </c>
      <c r="BK753">
        <v>0</v>
      </c>
      <c r="BL753">
        <v>0</v>
      </c>
      <c r="BM753">
        <v>3.98</v>
      </c>
      <c r="BN753">
        <v>3.98</v>
      </c>
      <c r="BO753">
        <v>853.64</v>
      </c>
      <c r="BP753">
        <v>0</v>
      </c>
      <c r="BQ753">
        <v>853.64</v>
      </c>
      <c r="BR753">
        <v>0</v>
      </c>
      <c r="BS753">
        <v>3</v>
      </c>
      <c r="BT753">
        <v>3</v>
      </c>
      <c r="BU753" s="1">
        <v>1210.93</v>
      </c>
      <c r="BV753">
        <v>0</v>
      </c>
      <c r="BW753" s="1">
        <v>1210.93</v>
      </c>
      <c r="BX753">
        <v>0</v>
      </c>
      <c r="BY753">
        <v>0</v>
      </c>
      <c r="BZ753">
        <v>0</v>
      </c>
      <c r="CA753">
        <v>0</v>
      </c>
      <c r="CB753">
        <v>715.65</v>
      </c>
      <c r="CC753" t="s">
        <v>143</v>
      </c>
    </row>
    <row r="754" spans="1:81" x14ac:dyDescent="0.25">
      <c r="A754">
        <v>345</v>
      </c>
      <c r="B754">
        <v>2</v>
      </c>
      <c r="C754">
        <v>2032</v>
      </c>
      <c r="D754" t="s">
        <v>4293</v>
      </c>
      <c r="E754" t="s">
        <v>121</v>
      </c>
      <c r="F754" t="s">
        <v>4294</v>
      </c>
      <c r="G754" t="s">
        <v>4295</v>
      </c>
      <c r="H754" t="s">
        <v>4296</v>
      </c>
      <c r="I754" t="s">
        <v>125</v>
      </c>
      <c r="J754" t="s">
        <v>4297</v>
      </c>
      <c r="K754" t="s">
        <v>4248</v>
      </c>
      <c r="L754" t="s">
        <v>128</v>
      </c>
      <c r="M754" t="s">
        <v>1325</v>
      </c>
      <c r="N754" t="s">
        <v>4298</v>
      </c>
      <c r="O754" t="s">
        <v>201</v>
      </c>
      <c r="P754">
        <v>0</v>
      </c>
      <c r="Q754" t="s">
        <v>125</v>
      </c>
      <c r="R754">
        <v>6</v>
      </c>
      <c r="S754">
        <v>35</v>
      </c>
      <c r="T754" t="s">
        <v>132</v>
      </c>
      <c r="U754" t="s">
        <v>133</v>
      </c>
      <c r="V754" s="1">
        <v>3500</v>
      </c>
      <c r="W754">
        <v>0</v>
      </c>
      <c r="X754" s="1">
        <v>3500</v>
      </c>
      <c r="Y754">
        <v>7</v>
      </c>
      <c r="Z754">
        <v>0</v>
      </c>
      <c r="AA754">
        <v>0</v>
      </c>
      <c r="AB754">
        <v>0</v>
      </c>
      <c r="AC754">
        <v>0</v>
      </c>
      <c r="AD754" t="s">
        <v>134</v>
      </c>
      <c r="AE754" t="s">
        <v>134</v>
      </c>
      <c r="AF754" s="2">
        <v>45518</v>
      </c>
      <c r="AG754" s="2">
        <v>46008</v>
      </c>
      <c r="AH754" s="1">
        <v>1501.15</v>
      </c>
      <c r="AI754" s="1">
        <v>2971.65</v>
      </c>
      <c r="AJ754" s="1">
        <v>10508.08</v>
      </c>
      <c r="AK754">
        <v>0</v>
      </c>
      <c r="AL754" s="1">
        <v>2971.65</v>
      </c>
      <c r="AM754">
        <v>0</v>
      </c>
      <c r="AN754" t="s">
        <v>135</v>
      </c>
      <c r="AO754" t="s">
        <v>135</v>
      </c>
      <c r="AP754" t="s">
        <v>136</v>
      </c>
      <c r="AQ754" t="s">
        <v>137</v>
      </c>
      <c r="AR754" t="s">
        <v>138</v>
      </c>
      <c r="AS754" t="s">
        <v>139</v>
      </c>
      <c r="AT754" t="s">
        <v>140</v>
      </c>
      <c r="AU754">
        <v>104</v>
      </c>
      <c r="AV754">
        <v>10</v>
      </c>
      <c r="AW754">
        <v>1</v>
      </c>
      <c r="AX754" s="2">
        <v>45531</v>
      </c>
      <c r="AY754" t="s">
        <v>377</v>
      </c>
      <c r="AZ754" s="2">
        <v>46028</v>
      </c>
      <c r="BA754">
        <v>0</v>
      </c>
      <c r="BB754">
        <v>0</v>
      </c>
      <c r="BC754">
        <v>0</v>
      </c>
      <c r="BD754">
        <v>700</v>
      </c>
      <c r="BE754">
        <v>70</v>
      </c>
      <c r="BF754">
        <v>9</v>
      </c>
      <c r="BG754" s="2">
        <v>45536</v>
      </c>
      <c r="BH754" t="s">
        <v>142</v>
      </c>
      <c r="BI754" s="2">
        <v>46026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 s="1">
        <v>1425.53</v>
      </c>
      <c r="BQ754" s="1">
        <v>1425.53</v>
      </c>
      <c r="BR754">
        <v>0</v>
      </c>
      <c r="BS754">
        <v>0</v>
      </c>
      <c r="BT754">
        <v>0</v>
      </c>
      <c r="BU754">
        <v>0</v>
      </c>
      <c r="BV754" s="1">
        <v>6134.91</v>
      </c>
      <c r="BW754" s="1">
        <v>6134.91</v>
      </c>
      <c r="BX754">
        <v>0</v>
      </c>
      <c r="BY754">
        <v>0</v>
      </c>
      <c r="BZ754">
        <v>0</v>
      </c>
      <c r="CA754">
        <v>0</v>
      </c>
      <c r="CB754" s="1">
        <v>2907.61</v>
      </c>
      <c r="CC754" t="s">
        <v>143</v>
      </c>
    </row>
    <row r="755" spans="1:81" x14ac:dyDescent="0.25">
      <c r="A755">
        <v>345</v>
      </c>
      <c r="B755">
        <v>2</v>
      </c>
      <c r="C755">
        <v>2034</v>
      </c>
      <c r="D755" t="s">
        <v>4299</v>
      </c>
      <c r="E755" t="s">
        <v>121</v>
      </c>
      <c r="F755" t="s">
        <v>4300</v>
      </c>
      <c r="G755" t="s">
        <v>4301</v>
      </c>
      <c r="H755" t="s">
        <v>4302</v>
      </c>
      <c r="I755" t="s">
        <v>125</v>
      </c>
      <c r="J755" t="s">
        <v>126</v>
      </c>
      <c r="K755" t="s">
        <v>4248</v>
      </c>
      <c r="L755" t="s">
        <v>128</v>
      </c>
      <c r="M755" t="s">
        <v>1325</v>
      </c>
      <c r="N755" t="s">
        <v>4303</v>
      </c>
      <c r="O755" t="s">
        <v>201</v>
      </c>
      <c r="P755">
        <v>0</v>
      </c>
      <c r="Q755" t="s">
        <v>125</v>
      </c>
      <c r="R755">
        <v>6</v>
      </c>
      <c r="S755">
        <v>36</v>
      </c>
      <c r="T755" t="s">
        <v>132</v>
      </c>
      <c r="U755" t="s">
        <v>133</v>
      </c>
      <c r="V755" s="1">
        <v>4100</v>
      </c>
      <c r="W755">
        <v>0</v>
      </c>
      <c r="X755" s="1">
        <v>4100</v>
      </c>
      <c r="Y755">
        <v>7</v>
      </c>
      <c r="Z755">
        <v>0</v>
      </c>
      <c r="AA755">
        <v>9</v>
      </c>
      <c r="AB755">
        <v>0</v>
      </c>
      <c r="AC755">
        <v>0</v>
      </c>
      <c r="AD755" t="s">
        <v>134</v>
      </c>
      <c r="AE755" t="s">
        <v>134</v>
      </c>
      <c r="AF755" s="2">
        <v>45518</v>
      </c>
      <c r="AG755" s="2">
        <v>46020</v>
      </c>
      <c r="AH755" s="1">
        <v>1877.6</v>
      </c>
      <c r="AI755" s="1">
        <v>2153.9899999999998</v>
      </c>
      <c r="AJ755" s="1">
        <v>3755.21</v>
      </c>
      <c r="AK755">
        <v>0</v>
      </c>
      <c r="AL755">
        <v>0</v>
      </c>
      <c r="AM755">
        <v>0</v>
      </c>
      <c r="AN755" t="s">
        <v>135</v>
      </c>
      <c r="AO755" t="s">
        <v>135</v>
      </c>
      <c r="AP755" t="s">
        <v>136</v>
      </c>
      <c r="AQ755" t="s">
        <v>137</v>
      </c>
      <c r="AR755" t="s">
        <v>138</v>
      </c>
      <c r="AS755" t="s">
        <v>139</v>
      </c>
      <c r="AT755" t="s">
        <v>140</v>
      </c>
      <c r="AU755">
        <v>104</v>
      </c>
      <c r="AV755">
        <v>10</v>
      </c>
      <c r="AW755">
        <v>1</v>
      </c>
      <c r="AX755" s="2">
        <v>45814</v>
      </c>
      <c r="AY755" t="s">
        <v>151</v>
      </c>
      <c r="AZ755" s="2">
        <v>46024</v>
      </c>
      <c r="BA755">
        <v>0</v>
      </c>
      <c r="BB755">
        <v>0</v>
      </c>
      <c r="BC755">
        <v>0</v>
      </c>
      <c r="BD755">
        <v>700</v>
      </c>
      <c r="BE755">
        <v>70</v>
      </c>
      <c r="BF755">
        <v>9</v>
      </c>
      <c r="BG755" s="2">
        <v>45536</v>
      </c>
      <c r="BH755" t="s">
        <v>142</v>
      </c>
      <c r="BI755" s="2">
        <v>46026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s="1">
        <v>3755.21</v>
      </c>
      <c r="BW755" s="1">
        <v>3755.21</v>
      </c>
      <c r="BX755">
        <v>0</v>
      </c>
      <c r="BY755">
        <v>0</v>
      </c>
      <c r="BZ755">
        <v>0</v>
      </c>
      <c r="CA755">
        <v>0</v>
      </c>
      <c r="CB755">
        <v>378.21</v>
      </c>
      <c r="CC755" t="s">
        <v>143</v>
      </c>
    </row>
    <row r="756" spans="1:81" x14ac:dyDescent="0.25">
      <c r="A756">
        <v>345</v>
      </c>
      <c r="B756">
        <v>2</v>
      </c>
      <c r="C756">
        <v>2040</v>
      </c>
      <c r="D756" t="s">
        <v>4304</v>
      </c>
      <c r="E756" t="s">
        <v>121</v>
      </c>
      <c r="F756" t="s">
        <v>4305</v>
      </c>
      <c r="G756" t="s">
        <v>4306</v>
      </c>
      <c r="H756" t="s">
        <v>4307</v>
      </c>
      <c r="I756" t="s">
        <v>125</v>
      </c>
      <c r="J756" t="s">
        <v>4308</v>
      </c>
      <c r="K756" t="s">
        <v>4248</v>
      </c>
      <c r="L756" t="s">
        <v>128</v>
      </c>
      <c r="M756" t="s">
        <v>1325</v>
      </c>
      <c r="N756" t="s">
        <v>4309</v>
      </c>
      <c r="O756" t="s">
        <v>201</v>
      </c>
      <c r="P756">
        <v>0</v>
      </c>
      <c r="Q756" t="s">
        <v>125</v>
      </c>
      <c r="R756">
        <v>3</v>
      </c>
      <c r="S756">
        <v>88</v>
      </c>
      <c r="T756" t="s">
        <v>132</v>
      </c>
      <c r="U756" t="s">
        <v>133</v>
      </c>
      <c r="V756">
        <v>700</v>
      </c>
      <c r="W756">
        <v>0</v>
      </c>
      <c r="X756">
        <v>700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134</v>
      </c>
      <c r="AE756" t="s">
        <v>134</v>
      </c>
      <c r="AF756" s="2">
        <v>45518</v>
      </c>
      <c r="AG756" s="2">
        <v>46013</v>
      </c>
      <c r="AH756">
        <v>199.4</v>
      </c>
      <c r="AI756">
        <v>199.4</v>
      </c>
      <c r="AJ756">
        <v>199.4</v>
      </c>
      <c r="AK756">
        <v>0</v>
      </c>
      <c r="AL756">
        <v>0</v>
      </c>
      <c r="AM756">
        <v>0</v>
      </c>
      <c r="AN756" t="s">
        <v>135</v>
      </c>
      <c r="AO756" t="s">
        <v>135</v>
      </c>
      <c r="AP756" t="s">
        <v>136</v>
      </c>
      <c r="AQ756" t="s">
        <v>137</v>
      </c>
      <c r="AR756" t="s">
        <v>138</v>
      </c>
      <c r="AS756" t="s">
        <v>139</v>
      </c>
      <c r="AT756" t="s">
        <v>140</v>
      </c>
      <c r="AU756">
        <v>104</v>
      </c>
      <c r="AV756">
        <v>10</v>
      </c>
      <c r="AW756">
        <v>1</v>
      </c>
      <c r="AX756" s="2">
        <v>46010</v>
      </c>
      <c r="AY756" t="s">
        <v>151</v>
      </c>
      <c r="AZ756" s="2">
        <v>46024</v>
      </c>
      <c r="BA756">
        <v>0</v>
      </c>
      <c r="BB756">
        <v>0</v>
      </c>
      <c r="BC756">
        <v>0</v>
      </c>
      <c r="BD756">
        <v>999</v>
      </c>
      <c r="BE756">
        <v>99</v>
      </c>
      <c r="BF756">
        <v>9</v>
      </c>
      <c r="BG756" t="s">
        <v>135</v>
      </c>
      <c r="BH756" t="s">
        <v>250</v>
      </c>
      <c r="BI756" t="s">
        <v>135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199.4</v>
      </c>
      <c r="BW756">
        <v>199.4</v>
      </c>
      <c r="BX756">
        <v>0</v>
      </c>
      <c r="BY756">
        <v>0</v>
      </c>
      <c r="BZ756">
        <v>0</v>
      </c>
      <c r="CA756">
        <v>0</v>
      </c>
      <c r="CB756">
        <v>0</v>
      </c>
      <c r="CC756" t="s">
        <v>339</v>
      </c>
    </row>
    <row r="757" spans="1:81" x14ac:dyDescent="0.25">
      <c r="A757">
        <v>345</v>
      </c>
      <c r="B757">
        <v>2</v>
      </c>
      <c r="C757">
        <v>2043</v>
      </c>
      <c r="D757" t="s">
        <v>4310</v>
      </c>
      <c r="E757" t="s">
        <v>121</v>
      </c>
      <c r="F757" t="s">
        <v>4311</v>
      </c>
      <c r="G757" t="s">
        <v>4312</v>
      </c>
      <c r="H757" t="s">
        <v>4313</v>
      </c>
      <c r="I757" t="s">
        <v>125</v>
      </c>
      <c r="J757" t="s">
        <v>4254</v>
      </c>
      <c r="K757" t="s">
        <v>4248</v>
      </c>
      <c r="L757" t="s">
        <v>128</v>
      </c>
      <c r="M757" t="s">
        <v>1325</v>
      </c>
      <c r="N757" t="s">
        <v>4314</v>
      </c>
      <c r="O757" t="s">
        <v>3115</v>
      </c>
      <c r="P757">
        <v>0</v>
      </c>
      <c r="Q757" t="s">
        <v>125</v>
      </c>
      <c r="R757">
        <v>3</v>
      </c>
      <c r="S757">
        <v>85</v>
      </c>
      <c r="T757" t="s">
        <v>132</v>
      </c>
      <c r="U757" t="s">
        <v>133</v>
      </c>
      <c r="V757" s="1">
        <v>2400</v>
      </c>
      <c r="W757" s="1">
        <v>1486.09</v>
      </c>
      <c r="X757">
        <v>913.91</v>
      </c>
      <c r="Y757">
        <v>7</v>
      </c>
      <c r="Z757">
        <v>0</v>
      </c>
      <c r="AA757">
        <v>7</v>
      </c>
      <c r="AB757">
        <v>0</v>
      </c>
      <c r="AC757">
        <v>0</v>
      </c>
      <c r="AD757" t="s">
        <v>134</v>
      </c>
      <c r="AE757" t="s">
        <v>134</v>
      </c>
      <c r="AF757" s="2">
        <v>45518</v>
      </c>
      <c r="AG757" s="2">
        <v>46017</v>
      </c>
      <c r="AH757" s="1">
        <v>1424.81</v>
      </c>
      <c r="AI757" s="1">
        <v>1536.81</v>
      </c>
      <c r="AJ757" s="1">
        <v>9973.67</v>
      </c>
      <c r="AK757">
        <v>0</v>
      </c>
      <c r="AL757" s="1">
        <v>1486.09</v>
      </c>
      <c r="AM757">
        <v>86.75</v>
      </c>
      <c r="AN757" t="s">
        <v>135</v>
      </c>
      <c r="AO757" t="s">
        <v>135</v>
      </c>
      <c r="AP757" t="s">
        <v>136</v>
      </c>
      <c r="AQ757" t="s">
        <v>137</v>
      </c>
      <c r="AR757" t="s">
        <v>138</v>
      </c>
      <c r="AS757" t="s">
        <v>150</v>
      </c>
      <c r="AT757" t="s">
        <v>140</v>
      </c>
      <c r="AU757">
        <v>104</v>
      </c>
      <c r="AV757">
        <v>10</v>
      </c>
      <c r="AW757">
        <v>1</v>
      </c>
      <c r="AX757" s="2">
        <v>45531</v>
      </c>
      <c r="AY757" t="s">
        <v>377</v>
      </c>
      <c r="AZ757" s="2">
        <v>46028</v>
      </c>
      <c r="BA757">
        <v>0</v>
      </c>
      <c r="BB757">
        <v>0</v>
      </c>
      <c r="BC757">
        <v>0</v>
      </c>
      <c r="BD757">
        <v>700</v>
      </c>
      <c r="BE757">
        <v>70</v>
      </c>
      <c r="BF757">
        <v>9</v>
      </c>
      <c r="BG757" s="2">
        <v>45536</v>
      </c>
      <c r="BH757" t="s">
        <v>142</v>
      </c>
      <c r="BI757" s="2">
        <v>46026</v>
      </c>
      <c r="BJ757">
        <v>0</v>
      </c>
      <c r="BK757">
        <v>0</v>
      </c>
      <c r="BL757">
        <v>0</v>
      </c>
      <c r="BM757">
        <v>7</v>
      </c>
      <c r="BN757">
        <v>7</v>
      </c>
      <c r="BO757" s="1">
        <v>4027.53</v>
      </c>
      <c r="BP757">
        <v>0</v>
      </c>
      <c r="BQ757" s="1">
        <v>4027.53</v>
      </c>
      <c r="BR757" s="1">
        <v>1289.2</v>
      </c>
      <c r="BS757">
        <v>7</v>
      </c>
      <c r="BT757">
        <v>7</v>
      </c>
      <c r="BU757" s="1">
        <v>3022.9</v>
      </c>
      <c r="BV757">
        <v>0</v>
      </c>
      <c r="BW757" s="1">
        <v>3022.9</v>
      </c>
      <c r="BX757" s="1">
        <v>3022.9</v>
      </c>
      <c r="BY757">
        <v>100</v>
      </c>
      <c r="BZ757">
        <v>0</v>
      </c>
      <c r="CA757">
        <v>0</v>
      </c>
      <c r="CB757" s="1">
        <v>2757.73</v>
      </c>
      <c r="CC757" t="s">
        <v>3116</v>
      </c>
    </row>
    <row r="758" spans="1:81" x14ac:dyDescent="0.25">
      <c r="A758">
        <v>345</v>
      </c>
      <c r="B758">
        <v>2</v>
      </c>
      <c r="C758">
        <v>2055</v>
      </c>
      <c r="D758" t="s">
        <v>4315</v>
      </c>
      <c r="E758" t="s">
        <v>121</v>
      </c>
      <c r="F758" t="s">
        <v>4316</v>
      </c>
      <c r="G758" t="s">
        <v>4317</v>
      </c>
      <c r="H758" t="s">
        <v>4318</v>
      </c>
      <c r="I758" t="s">
        <v>125</v>
      </c>
      <c r="J758" t="s">
        <v>126</v>
      </c>
      <c r="K758" t="s">
        <v>4248</v>
      </c>
      <c r="L758" t="s">
        <v>128</v>
      </c>
      <c r="M758" t="s">
        <v>1325</v>
      </c>
      <c r="N758" t="s">
        <v>4319</v>
      </c>
      <c r="O758" t="s">
        <v>131</v>
      </c>
      <c r="P758">
        <v>0</v>
      </c>
      <c r="Q758" t="s">
        <v>125</v>
      </c>
      <c r="R758">
        <v>6</v>
      </c>
      <c r="S758">
        <v>40</v>
      </c>
      <c r="T758" t="s">
        <v>132</v>
      </c>
      <c r="U758" t="s">
        <v>133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134</v>
      </c>
      <c r="AE758" t="s">
        <v>134</v>
      </c>
      <c r="AF758" s="2">
        <v>45518</v>
      </c>
      <c r="AG758" s="2">
        <v>46018</v>
      </c>
      <c r="AH758">
        <v>637.66</v>
      </c>
      <c r="AI758">
        <v>812.2</v>
      </c>
      <c r="AJ758" s="1">
        <v>4463.6400000000003</v>
      </c>
      <c r="AK758">
        <v>0</v>
      </c>
      <c r="AL758">
        <v>0</v>
      </c>
      <c r="AM758">
        <v>0</v>
      </c>
      <c r="AN758" t="s">
        <v>135</v>
      </c>
      <c r="AO758" t="s">
        <v>135</v>
      </c>
      <c r="AP758" t="s">
        <v>136</v>
      </c>
      <c r="AQ758" t="s">
        <v>137</v>
      </c>
      <c r="AR758" t="s">
        <v>138</v>
      </c>
      <c r="AS758" t="s">
        <v>139</v>
      </c>
      <c r="AT758" t="s">
        <v>140</v>
      </c>
      <c r="AU758">
        <v>104</v>
      </c>
      <c r="AV758">
        <v>10</v>
      </c>
      <c r="AW758">
        <v>1</v>
      </c>
      <c r="AX758" s="2">
        <v>45840</v>
      </c>
      <c r="AY758" t="s">
        <v>168</v>
      </c>
      <c r="AZ758" s="2">
        <v>46022</v>
      </c>
      <c r="BA758">
        <v>0</v>
      </c>
      <c r="BB758">
        <v>0</v>
      </c>
      <c r="BC758">
        <v>0</v>
      </c>
      <c r="BD758">
        <v>700</v>
      </c>
      <c r="BE758">
        <v>70</v>
      </c>
      <c r="BF758">
        <v>9</v>
      </c>
      <c r="BG758" s="2">
        <v>45536</v>
      </c>
      <c r="BH758" t="s">
        <v>142</v>
      </c>
      <c r="BI758" s="2">
        <v>46026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s="1">
        <v>1721.39</v>
      </c>
      <c r="BQ758" s="1">
        <v>1721.39</v>
      </c>
      <c r="BR758">
        <v>0</v>
      </c>
      <c r="BS758">
        <v>0</v>
      </c>
      <c r="BT758">
        <v>0</v>
      </c>
      <c r="BU758">
        <v>0</v>
      </c>
      <c r="BV758" s="1">
        <v>1967.14</v>
      </c>
      <c r="BW758" s="1">
        <v>1967.14</v>
      </c>
      <c r="BX758">
        <v>0</v>
      </c>
      <c r="BY758">
        <v>0</v>
      </c>
      <c r="BZ758">
        <v>0</v>
      </c>
      <c r="CA758">
        <v>0</v>
      </c>
      <c r="CB758" s="1">
        <v>1497.44</v>
      </c>
      <c r="CC758" t="s">
        <v>143</v>
      </c>
    </row>
    <row r="759" spans="1:81" x14ac:dyDescent="0.25">
      <c r="A759">
        <v>345</v>
      </c>
      <c r="B759">
        <v>2</v>
      </c>
      <c r="C759">
        <v>2056</v>
      </c>
      <c r="D759" t="s">
        <v>4320</v>
      </c>
      <c r="E759" t="s">
        <v>121</v>
      </c>
      <c r="F759" t="s">
        <v>4321</v>
      </c>
      <c r="G759" t="s">
        <v>4322</v>
      </c>
      <c r="H759" t="s">
        <v>4323</v>
      </c>
      <c r="I759" t="s">
        <v>4324</v>
      </c>
      <c r="J759" t="s">
        <v>4260</v>
      </c>
      <c r="K759" t="s">
        <v>4248</v>
      </c>
      <c r="L759" t="s">
        <v>128</v>
      </c>
      <c r="M759" t="s">
        <v>1325</v>
      </c>
      <c r="N759" t="s">
        <v>4325</v>
      </c>
      <c r="O759" t="s">
        <v>167</v>
      </c>
      <c r="P759">
        <v>0</v>
      </c>
      <c r="Q759" t="s">
        <v>125</v>
      </c>
      <c r="R759">
        <v>6</v>
      </c>
      <c r="S759">
        <v>35</v>
      </c>
      <c r="T759" t="s">
        <v>132</v>
      </c>
      <c r="U759" t="s">
        <v>133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134</v>
      </c>
      <c r="AE759" t="s">
        <v>134</v>
      </c>
      <c r="AF759" s="2">
        <v>45518</v>
      </c>
      <c r="AG759" s="2">
        <v>45968</v>
      </c>
      <c r="AH759">
        <v>621.34</v>
      </c>
      <c r="AI759">
        <v>695.39</v>
      </c>
      <c r="AJ759" s="1">
        <v>1242.68</v>
      </c>
      <c r="AK759">
        <v>0</v>
      </c>
      <c r="AL759">
        <v>0</v>
      </c>
      <c r="AM759">
        <v>0</v>
      </c>
      <c r="AN759" t="s">
        <v>135</v>
      </c>
      <c r="AO759" t="s">
        <v>135</v>
      </c>
      <c r="AP759" t="s">
        <v>136</v>
      </c>
      <c r="AQ759" t="s">
        <v>137</v>
      </c>
      <c r="AR759" t="s">
        <v>138</v>
      </c>
      <c r="AS759" t="s">
        <v>139</v>
      </c>
      <c r="AT759" t="s">
        <v>140</v>
      </c>
      <c r="AU759">
        <v>104</v>
      </c>
      <c r="AV759">
        <v>10</v>
      </c>
      <c r="AW759">
        <v>1</v>
      </c>
      <c r="AX759" s="2">
        <v>45531</v>
      </c>
      <c r="AY759" t="s">
        <v>377</v>
      </c>
      <c r="AZ759" s="2">
        <v>46028</v>
      </c>
      <c r="BA759">
        <v>0</v>
      </c>
      <c r="BB759">
        <v>0</v>
      </c>
      <c r="BC759">
        <v>0</v>
      </c>
      <c r="BD759">
        <v>700</v>
      </c>
      <c r="BE759">
        <v>70</v>
      </c>
      <c r="BF759">
        <v>9</v>
      </c>
      <c r="BG759" s="2">
        <v>45536</v>
      </c>
      <c r="BH759" t="s">
        <v>142</v>
      </c>
      <c r="BI759" s="2">
        <v>46026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547.29</v>
      </c>
      <c r="BQ759">
        <v>547.29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414.22</v>
      </c>
      <c r="CC759" t="s">
        <v>161</v>
      </c>
    </row>
    <row r="760" spans="1:81" x14ac:dyDescent="0.25">
      <c r="A760">
        <v>345</v>
      </c>
      <c r="B760">
        <v>2</v>
      </c>
      <c r="C760">
        <v>2059</v>
      </c>
      <c r="D760" t="s">
        <v>4326</v>
      </c>
      <c r="E760" t="s">
        <v>121</v>
      </c>
      <c r="F760" t="s">
        <v>4327</v>
      </c>
      <c r="G760" t="s">
        <v>4328</v>
      </c>
      <c r="H760" t="s">
        <v>4329</v>
      </c>
      <c r="I760" t="s">
        <v>125</v>
      </c>
      <c r="J760" t="s">
        <v>126</v>
      </c>
      <c r="K760" t="s">
        <v>4248</v>
      </c>
      <c r="L760" t="s">
        <v>128</v>
      </c>
      <c r="M760" t="s">
        <v>1325</v>
      </c>
      <c r="N760" t="s">
        <v>4330</v>
      </c>
      <c r="O760" t="s">
        <v>131</v>
      </c>
      <c r="P760">
        <v>0</v>
      </c>
      <c r="Q760" t="s">
        <v>125</v>
      </c>
      <c r="R760">
        <v>6</v>
      </c>
      <c r="S760">
        <v>37</v>
      </c>
      <c r="T760" t="s">
        <v>132</v>
      </c>
      <c r="U760" t="s">
        <v>133</v>
      </c>
      <c r="V760" s="1">
        <v>1200</v>
      </c>
      <c r="W760">
        <v>567.89</v>
      </c>
      <c r="X760">
        <v>632.11</v>
      </c>
      <c r="Y760">
        <v>7</v>
      </c>
      <c r="Z760">
        <v>0</v>
      </c>
      <c r="AA760">
        <v>9</v>
      </c>
      <c r="AB760">
        <v>0</v>
      </c>
      <c r="AC760">
        <v>0</v>
      </c>
      <c r="AD760" t="s">
        <v>134</v>
      </c>
      <c r="AE760" t="s">
        <v>134</v>
      </c>
      <c r="AF760" s="2">
        <v>45518</v>
      </c>
      <c r="AG760" s="2">
        <v>46020</v>
      </c>
      <c r="AH760">
        <v>501.3</v>
      </c>
      <c r="AI760">
        <v>567.89</v>
      </c>
      <c r="AJ760" s="1">
        <v>2005.23</v>
      </c>
      <c r="AK760">
        <v>0</v>
      </c>
      <c r="AL760">
        <v>567.89</v>
      </c>
      <c r="AM760">
        <v>86.16</v>
      </c>
      <c r="AN760" t="s">
        <v>135</v>
      </c>
      <c r="AO760" t="s">
        <v>135</v>
      </c>
      <c r="AP760" t="s">
        <v>136</v>
      </c>
      <c r="AQ760" t="s">
        <v>137</v>
      </c>
      <c r="AR760" t="s">
        <v>138</v>
      </c>
      <c r="AS760" t="s">
        <v>139</v>
      </c>
      <c r="AT760" t="s">
        <v>140</v>
      </c>
      <c r="AU760">
        <v>104</v>
      </c>
      <c r="AV760">
        <v>10</v>
      </c>
      <c r="AW760">
        <v>1</v>
      </c>
      <c r="AX760" s="2">
        <v>45842</v>
      </c>
      <c r="AY760" t="s">
        <v>151</v>
      </c>
      <c r="AZ760" s="2">
        <v>46024</v>
      </c>
      <c r="BA760">
        <v>0</v>
      </c>
      <c r="BB760">
        <v>0</v>
      </c>
      <c r="BC760">
        <v>0</v>
      </c>
      <c r="BD760">
        <v>700</v>
      </c>
      <c r="BE760">
        <v>70</v>
      </c>
      <c r="BF760">
        <v>9</v>
      </c>
      <c r="BG760" s="2">
        <v>45536</v>
      </c>
      <c r="BH760" t="s">
        <v>142</v>
      </c>
      <c r="BI760" s="2">
        <v>46026</v>
      </c>
      <c r="BJ760">
        <v>0</v>
      </c>
      <c r="BK760">
        <v>0</v>
      </c>
      <c r="BL760">
        <v>0</v>
      </c>
      <c r="BM760">
        <v>8</v>
      </c>
      <c r="BN760">
        <v>8</v>
      </c>
      <c r="BO760">
        <v>975.62</v>
      </c>
      <c r="BP760">
        <v>0</v>
      </c>
      <c r="BQ760">
        <v>975.62</v>
      </c>
      <c r="BR760">
        <v>489.31</v>
      </c>
      <c r="BS760">
        <v>7.9</v>
      </c>
      <c r="BT760">
        <v>7.9</v>
      </c>
      <c r="BU760" s="1">
        <v>1029.6099999999999</v>
      </c>
      <c r="BV760">
        <v>0</v>
      </c>
      <c r="BW760" s="1">
        <v>1029.6099999999999</v>
      </c>
      <c r="BX760">
        <v>567.89</v>
      </c>
      <c r="BY760">
        <v>55.16</v>
      </c>
      <c r="BZ760">
        <v>0</v>
      </c>
      <c r="CA760">
        <v>0</v>
      </c>
      <c r="CB760">
        <v>325.2</v>
      </c>
      <c r="CC760" t="s">
        <v>143</v>
      </c>
    </row>
    <row r="761" spans="1:81" x14ac:dyDescent="0.25">
      <c r="A761">
        <v>345</v>
      </c>
      <c r="B761">
        <v>2</v>
      </c>
      <c r="C761">
        <v>2062</v>
      </c>
      <c r="D761" t="s">
        <v>4331</v>
      </c>
      <c r="E761" t="s">
        <v>121</v>
      </c>
      <c r="F761" t="s">
        <v>4332</v>
      </c>
      <c r="G761" t="s">
        <v>4333</v>
      </c>
      <c r="H761" t="s">
        <v>4334</v>
      </c>
      <c r="I761" t="s">
        <v>4335</v>
      </c>
      <c r="J761" t="s">
        <v>126</v>
      </c>
      <c r="K761" t="s">
        <v>4248</v>
      </c>
      <c r="L761" t="s">
        <v>128</v>
      </c>
      <c r="M761" t="s">
        <v>1325</v>
      </c>
      <c r="N761" t="s">
        <v>4336</v>
      </c>
      <c r="O761" t="s">
        <v>167</v>
      </c>
      <c r="P761">
        <v>0</v>
      </c>
      <c r="Q761" t="s">
        <v>125</v>
      </c>
      <c r="R761">
        <v>6</v>
      </c>
      <c r="S761">
        <v>37</v>
      </c>
      <c r="T761" t="s">
        <v>132</v>
      </c>
      <c r="U761" t="s">
        <v>133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134</v>
      </c>
      <c r="AE761" t="s">
        <v>134</v>
      </c>
      <c r="AF761" s="2">
        <v>45518</v>
      </c>
      <c r="AG761" s="2">
        <v>46020</v>
      </c>
      <c r="AH761">
        <v>549.94000000000005</v>
      </c>
      <c r="AI761">
        <v>656</v>
      </c>
      <c r="AJ761" s="1">
        <v>7149.28</v>
      </c>
      <c r="AK761">
        <v>0</v>
      </c>
      <c r="AL761">
        <v>0</v>
      </c>
      <c r="AM761">
        <v>0</v>
      </c>
      <c r="AN761" t="s">
        <v>135</v>
      </c>
      <c r="AO761" t="s">
        <v>135</v>
      </c>
      <c r="AP761" t="s">
        <v>136</v>
      </c>
      <c r="AQ761" t="s">
        <v>137</v>
      </c>
      <c r="AR761" t="s">
        <v>138</v>
      </c>
      <c r="AS761" t="s">
        <v>139</v>
      </c>
      <c r="AT761" t="s">
        <v>140</v>
      </c>
      <c r="AU761">
        <v>104</v>
      </c>
      <c r="AV761">
        <v>10</v>
      </c>
      <c r="AW761">
        <v>1</v>
      </c>
      <c r="AX761" s="2">
        <v>45814</v>
      </c>
      <c r="AY761" t="s">
        <v>151</v>
      </c>
      <c r="AZ761" s="2">
        <v>46024</v>
      </c>
      <c r="BA761">
        <v>0</v>
      </c>
      <c r="BB761">
        <v>0</v>
      </c>
      <c r="BC761">
        <v>0</v>
      </c>
      <c r="BD761">
        <v>700</v>
      </c>
      <c r="BE761">
        <v>70</v>
      </c>
      <c r="BF761">
        <v>9</v>
      </c>
      <c r="BG761" s="2">
        <v>45536</v>
      </c>
      <c r="BH761" t="s">
        <v>142</v>
      </c>
      <c r="BI761" s="2">
        <v>46026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 s="1">
        <v>2683.86</v>
      </c>
      <c r="BQ761" s="1">
        <v>2683.86</v>
      </c>
      <c r="BR761">
        <v>0</v>
      </c>
      <c r="BS761">
        <v>0</v>
      </c>
      <c r="BT761">
        <v>0</v>
      </c>
      <c r="BU761">
        <v>0</v>
      </c>
      <c r="BV761" s="1">
        <v>2275.5100000000002</v>
      </c>
      <c r="BW761" s="1">
        <v>2275.5100000000002</v>
      </c>
      <c r="BX761">
        <v>0</v>
      </c>
      <c r="BY761">
        <v>0</v>
      </c>
      <c r="BZ761">
        <v>0</v>
      </c>
      <c r="CA761">
        <v>0</v>
      </c>
      <c r="CB761" s="1">
        <v>2264.46</v>
      </c>
      <c r="CC761" t="s">
        <v>161</v>
      </c>
    </row>
    <row r="762" spans="1:81" x14ac:dyDescent="0.25">
      <c r="A762">
        <v>345</v>
      </c>
      <c r="B762">
        <v>2</v>
      </c>
      <c r="C762">
        <v>2063</v>
      </c>
      <c r="D762" t="s">
        <v>4337</v>
      </c>
      <c r="E762" t="s">
        <v>121</v>
      </c>
      <c r="F762" t="s">
        <v>4338</v>
      </c>
      <c r="G762" t="s">
        <v>4339</v>
      </c>
      <c r="H762" t="s">
        <v>4340</v>
      </c>
      <c r="I762" t="s">
        <v>4341</v>
      </c>
      <c r="J762" t="s">
        <v>126</v>
      </c>
      <c r="K762" t="s">
        <v>4248</v>
      </c>
      <c r="L762" t="s">
        <v>128</v>
      </c>
      <c r="M762" t="s">
        <v>1325</v>
      </c>
      <c r="N762" t="s">
        <v>4342</v>
      </c>
      <c r="O762" t="s">
        <v>167</v>
      </c>
      <c r="P762">
        <v>0</v>
      </c>
      <c r="Q762" t="s">
        <v>125</v>
      </c>
      <c r="R762">
        <v>6</v>
      </c>
      <c r="S762">
        <v>33</v>
      </c>
      <c r="T762" t="s">
        <v>132</v>
      </c>
      <c r="U762" t="s">
        <v>133</v>
      </c>
      <c r="V762" s="1">
        <v>1000</v>
      </c>
      <c r="W762">
        <v>0</v>
      </c>
      <c r="X762" s="1">
        <v>1000</v>
      </c>
      <c r="Y762">
        <v>7</v>
      </c>
      <c r="Z762">
        <v>0</v>
      </c>
      <c r="AA762">
        <v>0</v>
      </c>
      <c r="AB762">
        <v>0</v>
      </c>
      <c r="AC762">
        <v>0</v>
      </c>
      <c r="AD762" t="s">
        <v>134</v>
      </c>
      <c r="AE762" t="s">
        <v>134</v>
      </c>
      <c r="AF762" s="2">
        <v>45518</v>
      </c>
      <c r="AG762" s="2">
        <v>46010</v>
      </c>
      <c r="AH762">
        <v>314.73</v>
      </c>
      <c r="AI762">
        <v>401.66</v>
      </c>
      <c r="AJ762">
        <v>629.46</v>
      </c>
      <c r="AK762">
        <v>0</v>
      </c>
      <c r="AL762">
        <v>0</v>
      </c>
      <c r="AM762">
        <v>0</v>
      </c>
      <c r="AN762" t="s">
        <v>135</v>
      </c>
      <c r="AO762" t="s">
        <v>135</v>
      </c>
      <c r="AP762" t="s">
        <v>136</v>
      </c>
      <c r="AQ762" t="s">
        <v>137</v>
      </c>
      <c r="AR762" t="s">
        <v>138</v>
      </c>
      <c r="AS762" t="s">
        <v>139</v>
      </c>
      <c r="AT762" t="s">
        <v>140</v>
      </c>
      <c r="AU762">
        <v>104</v>
      </c>
      <c r="AV762">
        <v>10</v>
      </c>
      <c r="AW762">
        <v>1</v>
      </c>
      <c r="AX762" s="2">
        <v>45854</v>
      </c>
      <c r="AY762" t="s">
        <v>168</v>
      </c>
      <c r="AZ762" s="2">
        <v>46022</v>
      </c>
      <c r="BA762">
        <v>0</v>
      </c>
      <c r="BB762">
        <v>0</v>
      </c>
      <c r="BC762">
        <v>0</v>
      </c>
      <c r="BD762">
        <v>700</v>
      </c>
      <c r="BE762">
        <v>70</v>
      </c>
      <c r="BF762">
        <v>9</v>
      </c>
      <c r="BG762" s="2">
        <v>45536</v>
      </c>
      <c r="BH762" t="s">
        <v>142</v>
      </c>
      <c r="BI762" s="2">
        <v>46026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227.8</v>
      </c>
      <c r="BW762">
        <v>227.8</v>
      </c>
      <c r="BX762">
        <v>0</v>
      </c>
      <c r="BY762">
        <v>0</v>
      </c>
      <c r="BZ762">
        <v>0</v>
      </c>
      <c r="CA762">
        <v>0</v>
      </c>
      <c r="CB762">
        <v>268.32</v>
      </c>
      <c r="CC762" t="s">
        <v>161</v>
      </c>
    </row>
    <row r="763" spans="1:81" x14ac:dyDescent="0.25">
      <c r="A763">
        <v>345</v>
      </c>
      <c r="B763">
        <v>2</v>
      </c>
      <c r="C763">
        <v>2065</v>
      </c>
      <c r="D763" t="s">
        <v>4343</v>
      </c>
      <c r="E763" t="s">
        <v>121</v>
      </c>
      <c r="F763" t="s">
        <v>4344</v>
      </c>
      <c r="G763" t="s">
        <v>4345</v>
      </c>
      <c r="H763" t="s">
        <v>4346</v>
      </c>
      <c r="I763" t="s">
        <v>125</v>
      </c>
      <c r="J763" t="s">
        <v>1217</v>
      </c>
      <c r="K763" t="s">
        <v>127</v>
      </c>
      <c r="L763" t="s">
        <v>128</v>
      </c>
      <c r="M763" t="s">
        <v>129</v>
      </c>
      <c r="N763" t="s">
        <v>4347</v>
      </c>
      <c r="O763" t="s">
        <v>149</v>
      </c>
      <c r="P763">
        <v>0</v>
      </c>
      <c r="Q763" t="s">
        <v>125</v>
      </c>
      <c r="R763">
        <v>6</v>
      </c>
      <c r="S763">
        <v>40</v>
      </c>
      <c r="T763" t="s">
        <v>132</v>
      </c>
      <c r="U763" t="s">
        <v>133</v>
      </c>
      <c r="V763" s="1">
        <v>6400</v>
      </c>
      <c r="W763" s="1">
        <v>4811.55</v>
      </c>
      <c r="X763" s="1">
        <v>1588.45</v>
      </c>
      <c r="Y763">
        <v>7</v>
      </c>
      <c r="Z763">
        <v>0</v>
      </c>
      <c r="AA763">
        <v>7</v>
      </c>
      <c r="AB763">
        <v>0</v>
      </c>
      <c r="AC763">
        <v>0</v>
      </c>
      <c r="AD763" t="s">
        <v>134</v>
      </c>
      <c r="AE763" t="s">
        <v>134</v>
      </c>
      <c r="AF763" s="2">
        <v>45518</v>
      </c>
      <c r="AG763" s="2">
        <v>46017</v>
      </c>
      <c r="AH763" s="1">
        <v>3448.51</v>
      </c>
      <c r="AI763" s="1">
        <v>5728.56</v>
      </c>
      <c r="AJ763" s="1">
        <v>44830.66</v>
      </c>
      <c r="AK763">
        <v>0</v>
      </c>
      <c r="AL763" s="1">
        <v>4811.55</v>
      </c>
      <c r="AM763">
        <v>55.85</v>
      </c>
      <c r="AN763" t="s">
        <v>135</v>
      </c>
      <c r="AO763" t="s">
        <v>135</v>
      </c>
      <c r="AP763" t="s">
        <v>136</v>
      </c>
      <c r="AQ763" t="s">
        <v>137</v>
      </c>
      <c r="AR763" t="s">
        <v>138</v>
      </c>
      <c r="AS763" t="s">
        <v>139</v>
      </c>
      <c r="AT763" t="s">
        <v>140</v>
      </c>
      <c r="AU763">
        <v>104</v>
      </c>
      <c r="AV763">
        <v>10</v>
      </c>
      <c r="AW763">
        <v>1</v>
      </c>
      <c r="AX763" s="2">
        <v>45811</v>
      </c>
      <c r="AY763" t="s">
        <v>377</v>
      </c>
      <c r="AZ763" s="2">
        <v>46028</v>
      </c>
      <c r="BA763">
        <v>0</v>
      </c>
      <c r="BB763">
        <v>0</v>
      </c>
      <c r="BC763">
        <v>0</v>
      </c>
      <c r="BD763">
        <v>700</v>
      </c>
      <c r="BE763">
        <v>70</v>
      </c>
      <c r="BF763">
        <v>9</v>
      </c>
      <c r="BG763" s="2">
        <v>45536</v>
      </c>
      <c r="BH763" t="s">
        <v>142</v>
      </c>
      <c r="BI763" s="2">
        <v>46026</v>
      </c>
      <c r="BJ763">
        <v>0</v>
      </c>
      <c r="BK763">
        <v>0</v>
      </c>
      <c r="BL763">
        <v>0</v>
      </c>
      <c r="BM763">
        <v>5.0199999999999996</v>
      </c>
      <c r="BN763">
        <v>4.2699999999999996</v>
      </c>
      <c r="BO763" s="1">
        <v>11739.5</v>
      </c>
      <c r="BP763" s="1">
        <v>2071.25</v>
      </c>
      <c r="BQ763" s="1">
        <v>13810.75</v>
      </c>
      <c r="BR763" s="1">
        <v>2687.24</v>
      </c>
      <c r="BS763">
        <v>5.4</v>
      </c>
      <c r="BT763">
        <v>5.4</v>
      </c>
      <c r="BU763" s="1">
        <v>14859.26</v>
      </c>
      <c r="BV763">
        <v>0</v>
      </c>
      <c r="BW763" s="1">
        <v>14859.26</v>
      </c>
      <c r="BX763" s="1">
        <v>4811.55</v>
      </c>
      <c r="BY763">
        <v>32.380000000000003</v>
      </c>
      <c r="BZ763">
        <v>0</v>
      </c>
      <c r="CA763">
        <v>0</v>
      </c>
      <c r="CB763" s="1">
        <v>13708.02</v>
      </c>
      <c r="CC763" t="s">
        <v>152</v>
      </c>
    </row>
    <row r="764" spans="1:81" x14ac:dyDescent="0.25">
      <c r="A764">
        <v>345</v>
      </c>
      <c r="B764">
        <v>2</v>
      </c>
      <c r="C764">
        <v>2066</v>
      </c>
      <c r="D764" t="s">
        <v>4348</v>
      </c>
      <c r="E764" t="s">
        <v>121</v>
      </c>
      <c r="F764" t="s">
        <v>4349</v>
      </c>
      <c r="G764" t="s">
        <v>4350</v>
      </c>
      <c r="H764" t="s">
        <v>4351</v>
      </c>
      <c r="I764" t="s">
        <v>125</v>
      </c>
      <c r="J764" t="s">
        <v>4247</v>
      </c>
      <c r="K764" t="s">
        <v>127</v>
      </c>
      <c r="L764" t="s">
        <v>128</v>
      </c>
      <c r="M764" t="s">
        <v>129</v>
      </c>
      <c r="N764" t="s">
        <v>4352</v>
      </c>
      <c r="O764" t="s">
        <v>167</v>
      </c>
      <c r="P764">
        <v>0</v>
      </c>
      <c r="Q764" t="s">
        <v>125</v>
      </c>
      <c r="R764">
        <v>6</v>
      </c>
      <c r="S764">
        <v>35</v>
      </c>
      <c r="T764" t="s">
        <v>132</v>
      </c>
      <c r="U764" t="s">
        <v>133</v>
      </c>
      <c r="V764" s="1">
        <v>1000</v>
      </c>
      <c r="W764">
        <v>0</v>
      </c>
      <c r="X764" s="1">
        <v>1000</v>
      </c>
      <c r="Y764">
        <v>7</v>
      </c>
      <c r="Z764">
        <v>0</v>
      </c>
      <c r="AA764">
        <v>0</v>
      </c>
      <c r="AB764">
        <v>0</v>
      </c>
      <c r="AC764">
        <v>0</v>
      </c>
      <c r="AD764" t="s">
        <v>134</v>
      </c>
      <c r="AE764" t="s">
        <v>134</v>
      </c>
      <c r="AF764" s="2">
        <v>45518</v>
      </c>
      <c r="AG764" s="2">
        <v>46018</v>
      </c>
      <c r="AH764">
        <v>169.56</v>
      </c>
      <c r="AI764">
        <v>302.88</v>
      </c>
      <c r="AJ764" s="1">
        <v>1017.36</v>
      </c>
      <c r="AK764">
        <v>0</v>
      </c>
      <c r="AL764">
        <v>0</v>
      </c>
      <c r="AM764">
        <v>0</v>
      </c>
      <c r="AN764" t="s">
        <v>135</v>
      </c>
      <c r="AO764" t="s">
        <v>135</v>
      </c>
      <c r="AP764" t="s">
        <v>136</v>
      </c>
      <c r="AQ764" t="s">
        <v>137</v>
      </c>
      <c r="AR764" t="s">
        <v>138</v>
      </c>
      <c r="AS764" t="s">
        <v>139</v>
      </c>
      <c r="AT764" t="s">
        <v>140</v>
      </c>
      <c r="AU764">
        <v>104</v>
      </c>
      <c r="AV764">
        <v>10</v>
      </c>
      <c r="AW764">
        <v>1</v>
      </c>
      <c r="AX764" s="2">
        <v>45813</v>
      </c>
      <c r="AY764" t="s">
        <v>308</v>
      </c>
      <c r="AZ764" s="2">
        <v>46023</v>
      </c>
      <c r="BA764">
        <v>0</v>
      </c>
      <c r="BB764">
        <v>0</v>
      </c>
      <c r="BC764">
        <v>0</v>
      </c>
      <c r="BD764">
        <v>700</v>
      </c>
      <c r="BE764">
        <v>70</v>
      </c>
      <c r="BF764">
        <v>9</v>
      </c>
      <c r="BG764" s="2">
        <v>45536</v>
      </c>
      <c r="BH764" t="s">
        <v>142</v>
      </c>
      <c r="BI764" s="2">
        <v>46026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257.27999999999997</v>
      </c>
      <c r="BQ764">
        <v>257.27999999999997</v>
      </c>
      <c r="BR764">
        <v>0</v>
      </c>
      <c r="BS764">
        <v>0</v>
      </c>
      <c r="BT764">
        <v>0</v>
      </c>
      <c r="BU764">
        <v>0</v>
      </c>
      <c r="BV764">
        <v>515.76</v>
      </c>
      <c r="BW764">
        <v>515.76</v>
      </c>
      <c r="BX764">
        <v>0</v>
      </c>
      <c r="BY764">
        <v>0</v>
      </c>
      <c r="BZ764">
        <v>0</v>
      </c>
      <c r="CA764">
        <v>0</v>
      </c>
      <c r="CB764">
        <v>210.01</v>
      </c>
      <c r="CC764" t="s">
        <v>161</v>
      </c>
    </row>
    <row r="765" spans="1:81" x14ac:dyDescent="0.25">
      <c r="A765">
        <v>345</v>
      </c>
      <c r="B765">
        <v>2</v>
      </c>
      <c r="C765">
        <v>2069</v>
      </c>
      <c r="D765" t="s">
        <v>4353</v>
      </c>
      <c r="E765" t="s">
        <v>121</v>
      </c>
      <c r="F765" t="s">
        <v>4354</v>
      </c>
      <c r="G765" t="s">
        <v>4355</v>
      </c>
      <c r="H765" t="s">
        <v>4356</v>
      </c>
      <c r="I765" t="s">
        <v>4357</v>
      </c>
      <c r="J765" t="s">
        <v>4358</v>
      </c>
      <c r="K765" t="s">
        <v>4248</v>
      </c>
      <c r="L765" t="s">
        <v>128</v>
      </c>
      <c r="M765" t="s">
        <v>129</v>
      </c>
      <c r="N765" t="s">
        <v>4359</v>
      </c>
      <c r="O765" t="s">
        <v>3115</v>
      </c>
      <c r="P765">
        <v>0</v>
      </c>
      <c r="Q765" t="s">
        <v>125</v>
      </c>
      <c r="R765">
        <v>3</v>
      </c>
      <c r="S765">
        <v>83</v>
      </c>
      <c r="T765" t="s">
        <v>132</v>
      </c>
      <c r="U765" t="s">
        <v>133</v>
      </c>
      <c r="V765" s="1">
        <v>2700</v>
      </c>
      <c r="W765">
        <v>0</v>
      </c>
      <c r="X765" s="1">
        <v>2700</v>
      </c>
      <c r="Y765">
        <v>7</v>
      </c>
      <c r="Z765">
        <v>0</v>
      </c>
      <c r="AA765">
        <v>3</v>
      </c>
      <c r="AB765">
        <v>0</v>
      </c>
      <c r="AC765">
        <v>0</v>
      </c>
      <c r="AD765" t="s">
        <v>134</v>
      </c>
      <c r="AE765" t="s">
        <v>134</v>
      </c>
      <c r="AF765" s="2">
        <v>45518</v>
      </c>
      <c r="AG765" s="2">
        <v>46003</v>
      </c>
      <c r="AH765" s="1">
        <v>1345.66</v>
      </c>
      <c r="AI765" s="1">
        <v>2113.9699999999998</v>
      </c>
      <c r="AJ765" s="1">
        <v>10765.3</v>
      </c>
      <c r="AK765">
        <v>0</v>
      </c>
      <c r="AL765">
        <v>0</v>
      </c>
      <c r="AM765">
        <v>0</v>
      </c>
      <c r="AN765" t="s">
        <v>135</v>
      </c>
      <c r="AO765" t="s">
        <v>135</v>
      </c>
      <c r="AP765" t="s">
        <v>136</v>
      </c>
      <c r="AQ765" t="s">
        <v>137</v>
      </c>
      <c r="AR765" t="s">
        <v>138</v>
      </c>
      <c r="AS765" t="s">
        <v>150</v>
      </c>
      <c r="AT765" t="s">
        <v>140</v>
      </c>
      <c r="AU765">
        <v>104</v>
      </c>
      <c r="AV765">
        <v>10</v>
      </c>
      <c r="AW765">
        <v>1</v>
      </c>
      <c r="AX765" s="2">
        <v>45820</v>
      </c>
      <c r="AY765" t="s">
        <v>308</v>
      </c>
      <c r="AZ765" s="2">
        <v>46023</v>
      </c>
      <c r="BA765">
        <v>0</v>
      </c>
      <c r="BB765">
        <v>0</v>
      </c>
      <c r="BC765">
        <v>0</v>
      </c>
      <c r="BD765">
        <v>999</v>
      </c>
      <c r="BE765">
        <v>99</v>
      </c>
      <c r="BF765">
        <v>9</v>
      </c>
      <c r="BG765" t="s">
        <v>135</v>
      </c>
      <c r="BH765" t="s">
        <v>250</v>
      </c>
      <c r="BI765" t="s">
        <v>135</v>
      </c>
      <c r="BJ765">
        <v>0</v>
      </c>
      <c r="BK765">
        <v>0</v>
      </c>
      <c r="BL765">
        <v>0</v>
      </c>
      <c r="BM765">
        <v>3</v>
      </c>
      <c r="BN765">
        <v>3</v>
      </c>
      <c r="BO765" s="1">
        <v>4311.3100000000004</v>
      </c>
      <c r="BP765">
        <v>0</v>
      </c>
      <c r="BQ765" s="1">
        <v>4311.3100000000004</v>
      </c>
      <c r="BR765">
        <v>0</v>
      </c>
      <c r="BS765">
        <v>3</v>
      </c>
      <c r="BT765">
        <v>3</v>
      </c>
      <c r="BU765" s="1">
        <v>2210.41</v>
      </c>
      <c r="BV765">
        <v>0</v>
      </c>
      <c r="BW765" s="1">
        <v>2210.41</v>
      </c>
      <c r="BX765">
        <v>0</v>
      </c>
      <c r="BY765">
        <v>0</v>
      </c>
      <c r="BZ765">
        <v>0</v>
      </c>
      <c r="CA765">
        <v>0</v>
      </c>
      <c r="CB765" s="1">
        <v>4150.46</v>
      </c>
      <c r="CC765" t="s">
        <v>3116</v>
      </c>
    </row>
    <row r="766" spans="1:81" x14ac:dyDescent="0.25">
      <c r="A766">
        <v>345</v>
      </c>
      <c r="B766">
        <v>2</v>
      </c>
      <c r="C766">
        <v>2070</v>
      </c>
      <c r="D766" t="s">
        <v>4360</v>
      </c>
      <c r="E766" t="s">
        <v>121</v>
      </c>
      <c r="F766" t="s">
        <v>4361</v>
      </c>
      <c r="G766" t="s">
        <v>4362</v>
      </c>
      <c r="H766" t="s">
        <v>4363</v>
      </c>
      <c r="I766" t="s">
        <v>4364</v>
      </c>
      <c r="J766" t="s">
        <v>4365</v>
      </c>
      <c r="K766" t="s">
        <v>127</v>
      </c>
      <c r="L766" t="s">
        <v>128</v>
      </c>
      <c r="M766" t="s">
        <v>129</v>
      </c>
      <c r="N766" t="s">
        <v>4366</v>
      </c>
      <c r="O766" t="s">
        <v>167</v>
      </c>
      <c r="P766">
        <v>0</v>
      </c>
      <c r="Q766" t="s">
        <v>125</v>
      </c>
      <c r="R766">
        <v>3</v>
      </c>
      <c r="S766">
        <v>85</v>
      </c>
      <c r="T766" t="s">
        <v>132</v>
      </c>
      <c r="U766" t="s">
        <v>133</v>
      </c>
      <c r="V766" s="1">
        <v>1000</v>
      </c>
      <c r="W766">
        <v>692.38</v>
      </c>
      <c r="X766">
        <v>307.62</v>
      </c>
      <c r="Y766">
        <v>0</v>
      </c>
      <c r="Z766">
        <v>0</v>
      </c>
      <c r="AA766">
        <v>7</v>
      </c>
      <c r="AB766">
        <v>9</v>
      </c>
      <c r="AC766">
        <v>0</v>
      </c>
      <c r="AD766" t="s">
        <v>134</v>
      </c>
      <c r="AE766" t="s">
        <v>134</v>
      </c>
      <c r="AF766" s="2">
        <v>45518</v>
      </c>
      <c r="AG766" s="2">
        <v>45982</v>
      </c>
      <c r="AH766">
        <v>439.5</v>
      </c>
      <c r="AI766">
        <v>692.38</v>
      </c>
      <c r="AJ766" s="1">
        <v>1318.52</v>
      </c>
      <c r="AK766">
        <v>692.38</v>
      </c>
      <c r="AL766">
        <v>0</v>
      </c>
      <c r="AM766">
        <v>0</v>
      </c>
      <c r="AN766" t="s">
        <v>135</v>
      </c>
      <c r="AO766" t="s">
        <v>135</v>
      </c>
      <c r="AP766" t="s">
        <v>136</v>
      </c>
      <c r="AQ766" t="s">
        <v>137</v>
      </c>
      <c r="AR766" t="s">
        <v>138</v>
      </c>
      <c r="AS766" t="s">
        <v>139</v>
      </c>
      <c r="AT766" t="s">
        <v>140</v>
      </c>
      <c r="AU766">
        <v>104</v>
      </c>
      <c r="AV766">
        <v>10</v>
      </c>
      <c r="AW766">
        <v>1</v>
      </c>
      <c r="AX766" s="2">
        <v>45890</v>
      </c>
      <c r="AY766" t="s">
        <v>308</v>
      </c>
      <c r="AZ766" s="2">
        <v>46023</v>
      </c>
      <c r="BA766">
        <v>0</v>
      </c>
      <c r="BB766">
        <v>0</v>
      </c>
      <c r="BC766">
        <v>0</v>
      </c>
      <c r="BD766">
        <v>999</v>
      </c>
      <c r="BE766">
        <v>99</v>
      </c>
      <c r="BF766">
        <v>9</v>
      </c>
      <c r="BG766" t="s">
        <v>135</v>
      </c>
      <c r="BH766" t="s">
        <v>250</v>
      </c>
      <c r="BI766" t="s">
        <v>135</v>
      </c>
      <c r="BJ766">
        <v>0</v>
      </c>
      <c r="BK766">
        <v>0</v>
      </c>
      <c r="BL766">
        <v>0</v>
      </c>
      <c r="BM766">
        <v>7</v>
      </c>
      <c r="BN766">
        <v>7</v>
      </c>
      <c r="BO766">
        <v>692.38</v>
      </c>
      <c r="BP766">
        <v>0</v>
      </c>
      <c r="BQ766">
        <v>692.38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686.31</v>
      </c>
      <c r="CC766" t="s">
        <v>161</v>
      </c>
    </row>
    <row r="767" spans="1:81" x14ac:dyDescent="0.25">
      <c r="A767">
        <v>345</v>
      </c>
      <c r="B767">
        <v>2</v>
      </c>
      <c r="C767">
        <v>2073</v>
      </c>
      <c r="D767" t="s">
        <v>4367</v>
      </c>
      <c r="E767" t="s">
        <v>121</v>
      </c>
      <c r="F767" t="s">
        <v>4368</v>
      </c>
      <c r="G767" t="s">
        <v>4369</v>
      </c>
      <c r="H767" t="s">
        <v>4370</v>
      </c>
      <c r="I767" t="s">
        <v>125</v>
      </c>
      <c r="J767" t="s">
        <v>4247</v>
      </c>
      <c r="K767" t="s">
        <v>127</v>
      </c>
      <c r="L767" t="s">
        <v>128</v>
      </c>
      <c r="M767" t="s">
        <v>129</v>
      </c>
      <c r="N767" t="s">
        <v>4371</v>
      </c>
      <c r="O767" t="s">
        <v>131</v>
      </c>
      <c r="P767">
        <v>0</v>
      </c>
      <c r="Q767" t="s">
        <v>125</v>
      </c>
      <c r="R767">
        <v>3</v>
      </c>
      <c r="S767">
        <v>88</v>
      </c>
      <c r="T767" t="s">
        <v>132</v>
      </c>
      <c r="U767" t="s">
        <v>133</v>
      </c>
      <c r="V767" s="1">
        <v>1200</v>
      </c>
      <c r="W767">
        <v>0</v>
      </c>
      <c r="X767" s="1">
        <v>1200</v>
      </c>
      <c r="Y767">
        <v>7</v>
      </c>
      <c r="Z767">
        <v>0</v>
      </c>
      <c r="AA767">
        <v>0</v>
      </c>
      <c r="AB767">
        <v>0</v>
      </c>
      <c r="AC767">
        <v>0</v>
      </c>
      <c r="AD767" t="s">
        <v>134</v>
      </c>
      <c r="AE767" t="s">
        <v>134</v>
      </c>
      <c r="AF767" s="2">
        <v>45518</v>
      </c>
      <c r="AG767" s="2">
        <v>46011</v>
      </c>
      <c r="AH767">
        <v>626.41</v>
      </c>
      <c r="AI767" s="1">
        <v>1051.32</v>
      </c>
      <c r="AJ767" s="1">
        <v>5011.32</v>
      </c>
      <c r="AK767">
        <v>0</v>
      </c>
      <c r="AL767">
        <v>0</v>
      </c>
      <c r="AM767">
        <v>0</v>
      </c>
      <c r="AN767" t="s">
        <v>135</v>
      </c>
      <c r="AO767" t="s">
        <v>135</v>
      </c>
      <c r="AP767" t="s">
        <v>136</v>
      </c>
      <c r="AQ767" t="s">
        <v>137</v>
      </c>
      <c r="AR767" t="s">
        <v>138</v>
      </c>
      <c r="AS767" t="s">
        <v>139</v>
      </c>
      <c r="AT767" t="s">
        <v>140</v>
      </c>
      <c r="AU767">
        <v>104</v>
      </c>
      <c r="AV767">
        <v>10</v>
      </c>
      <c r="AW767">
        <v>1</v>
      </c>
      <c r="AX767" s="2">
        <v>45883</v>
      </c>
      <c r="AY767" t="s">
        <v>308</v>
      </c>
      <c r="AZ767" s="2">
        <v>46023</v>
      </c>
      <c r="BA767">
        <v>0</v>
      </c>
      <c r="BB767">
        <v>0</v>
      </c>
      <c r="BC767">
        <v>0</v>
      </c>
      <c r="BD767">
        <v>999</v>
      </c>
      <c r="BE767">
        <v>99</v>
      </c>
      <c r="BF767">
        <v>9</v>
      </c>
      <c r="BG767" t="s">
        <v>135</v>
      </c>
      <c r="BH767" t="s">
        <v>250</v>
      </c>
      <c r="BI767" t="s">
        <v>135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s="1">
        <v>2305.92</v>
      </c>
      <c r="BQ767" s="1">
        <v>2305.92</v>
      </c>
      <c r="BR767">
        <v>0</v>
      </c>
      <c r="BS767">
        <v>0</v>
      </c>
      <c r="BT767">
        <v>0</v>
      </c>
      <c r="BU767">
        <v>0</v>
      </c>
      <c r="BV767" s="1">
        <v>1663.82</v>
      </c>
      <c r="BW767" s="1">
        <v>1663.82</v>
      </c>
      <c r="BX767">
        <v>0</v>
      </c>
      <c r="BY767">
        <v>0</v>
      </c>
      <c r="BZ767">
        <v>0</v>
      </c>
      <c r="CA767">
        <v>0</v>
      </c>
      <c r="CB767" s="1">
        <v>1450.6</v>
      </c>
      <c r="CC767" t="s">
        <v>143</v>
      </c>
    </row>
    <row r="768" spans="1:81" x14ac:dyDescent="0.25">
      <c r="A768">
        <v>345</v>
      </c>
      <c r="B768">
        <v>2</v>
      </c>
      <c r="C768">
        <v>2091</v>
      </c>
      <c r="D768" t="s">
        <v>4372</v>
      </c>
      <c r="E768" t="s">
        <v>121</v>
      </c>
      <c r="F768" t="s">
        <v>4373</v>
      </c>
      <c r="G768" t="s">
        <v>4374</v>
      </c>
      <c r="H768" t="s">
        <v>4375</v>
      </c>
      <c r="I768" t="s">
        <v>4376</v>
      </c>
      <c r="J768" t="s">
        <v>4254</v>
      </c>
      <c r="K768" t="s">
        <v>4248</v>
      </c>
      <c r="L768" t="s">
        <v>128</v>
      </c>
      <c r="M768" t="s">
        <v>1325</v>
      </c>
      <c r="N768" t="s">
        <v>4377</v>
      </c>
      <c r="O768" t="s">
        <v>167</v>
      </c>
      <c r="P768">
        <v>0</v>
      </c>
      <c r="Q768" t="s">
        <v>125</v>
      </c>
      <c r="R768">
        <v>6</v>
      </c>
      <c r="S768">
        <v>37</v>
      </c>
      <c r="T768" t="s">
        <v>132</v>
      </c>
      <c r="U768" t="s">
        <v>133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134</v>
      </c>
      <c r="AE768" t="s">
        <v>134</v>
      </c>
      <c r="AF768" s="2">
        <v>45518</v>
      </c>
      <c r="AG768" s="2">
        <v>46017</v>
      </c>
      <c r="AH768" s="1">
        <v>5379.9</v>
      </c>
      <c r="AI768" s="1">
        <v>13630</v>
      </c>
      <c r="AJ768" s="1">
        <v>48419.1</v>
      </c>
      <c r="AK768">
        <v>0</v>
      </c>
      <c r="AL768" s="1">
        <v>3204.43</v>
      </c>
      <c r="AM768">
        <v>0</v>
      </c>
      <c r="AN768" t="s">
        <v>135</v>
      </c>
      <c r="AO768" t="s">
        <v>135</v>
      </c>
      <c r="AP768" t="s">
        <v>136</v>
      </c>
      <c r="AQ768" t="s">
        <v>137</v>
      </c>
      <c r="AR768" t="s">
        <v>138</v>
      </c>
      <c r="AS768" t="s">
        <v>139</v>
      </c>
      <c r="AT768" t="s">
        <v>140</v>
      </c>
      <c r="AU768">
        <v>104</v>
      </c>
      <c r="AV768">
        <v>10</v>
      </c>
      <c r="AW768">
        <v>1</v>
      </c>
      <c r="AX768" s="2">
        <v>45531</v>
      </c>
      <c r="AY768" t="s">
        <v>377</v>
      </c>
      <c r="AZ768" s="2">
        <v>46028</v>
      </c>
      <c r="BA768">
        <v>0</v>
      </c>
      <c r="BB768">
        <v>0</v>
      </c>
      <c r="BC768">
        <v>0</v>
      </c>
      <c r="BD768">
        <v>700</v>
      </c>
      <c r="BE768">
        <v>70</v>
      </c>
      <c r="BF768">
        <v>9</v>
      </c>
      <c r="BG768" s="2">
        <v>45536</v>
      </c>
      <c r="BH768" t="s">
        <v>142</v>
      </c>
      <c r="BI768" s="2">
        <v>46026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s="1">
        <v>21401.45</v>
      </c>
      <c r="BQ768" s="1">
        <v>21401.45</v>
      </c>
      <c r="BR768">
        <v>0</v>
      </c>
      <c r="BS768">
        <v>0</v>
      </c>
      <c r="BT768">
        <v>0</v>
      </c>
      <c r="BU768">
        <v>0</v>
      </c>
      <c r="BV768" s="1">
        <v>5679.43</v>
      </c>
      <c r="BW768" s="1">
        <v>5679.43</v>
      </c>
      <c r="BX768">
        <v>0</v>
      </c>
      <c r="BY768">
        <v>0</v>
      </c>
      <c r="BZ768">
        <v>0</v>
      </c>
      <c r="CA768">
        <v>0</v>
      </c>
      <c r="CB768" s="1">
        <v>16555.189999999999</v>
      </c>
      <c r="CC768" t="s">
        <v>161</v>
      </c>
    </row>
    <row r="769" spans="1:81" x14ac:dyDescent="0.25">
      <c r="A769">
        <v>345</v>
      </c>
      <c r="B769">
        <v>2</v>
      </c>
      <c r="C769">
        <v>2092</v>
      </c>
      <c r="D769" t="s">
        <v>4378</v>
      </c>
      <c r="E769" t="s">
        <v>121</v>
      </c>
      <c r="F769" t="s">
        <v>4379</v>
      </c>
      <c r="G769" t="s">
        <v>4380</v>
      </c>
      <c r="H769" t="s">
        <v>4381</v>
      </c>
      <c r="I769" t="s">
        <v>125</v>
      </c>
      <c r="J769" t="s">
        <v>126</v>
      </c>
      <c r="K769" t="s">
        <v>4248</v>
      </c>
      <c r="L769" t="s">
        <v>128</v>
      </c>
      <c r="M769" t="s">
        <v>4382</v>
      </c>
      <c r="N769" t="s">
        <v>4287</v>
      </c>
      <c r="O769" t="s">
        <v>131</v>
      </c>
      <c r="P769">
        <v>0</v>
      </c>
      <c r="Q769" t="s">
        <v>125</v>
      </c>
      <c r="R769">
        <v>6</v>
      </c>
      <c r="S769">
        <v>33</v>
      </c>
      <c r="T769" t="s">
        <v>132</v>
      </c>
      <c r="U769" t="s">
        <v>133</v>
      </c>
      <c r="V769" s="1">
        <v>1000</v>
      </c>
      <c r="W769">
        <v>0</v>
      </c>
      <c r="X769" s="1">
        <v>1000</v>
      </c>
      <c r="Y769">
        <v>7</v>
      </c>
      <c r="Z769">
        <v>0</v>
      </c>
      <c r="AA769">
        <v>7</v>
      </c>
      <c r="AB769">
        <v>1</v>
      </c>
      <c r="AC769">
        <v>29</v>
      </c>
      <c r="AD769" t="s">
        <v>134</v>
      </c>
      <c r="AE769" t="s">
        <v>134</v>
      </c>
      <c r="AF769" s="2">
        <v>45518</v>
      </c>
      <c r="AG769" s="2">
        <v>46004</v>
      </c>
      <c r="AH769" s="1">
        <v>1081.29</v>
      </c>
      <c r="AI769" s="1">
        <v>1388.65</v>
      </c>
      <c r="AJ769" s="1">
        <v>5406.48</v>
      </c>
      <c r="AK769">
        <v>0</v>
      </c>
      <c r="AL769">
        <v>0</v>
      </c>
      <c r="AM769">
        <v>0</v>
      </c>
      <c r="AN769" t="s">
        <v>135</v>
      </c>
      <c r="AO769" t="s">
        <v>135</v>
      </c>
      <c r="AP769" t="s">
        <v>136</v>
      </c>
      <c r="AQ769" t="s">
        <v>137</v>
      </c>
      <c r="AR769" t="s">
        <v>138</v>
      </c>
      <c r="AS769" t="s">
        <v>150</v>
      </c>
      <c r="AT769" t="s">
        <v>140</v>
      </c>
      <c r="AU769">
        <v>104</v>
      </c>
      <c r="AV769">
        <v>10</v>
      </c>
      <c r="AW769">
        <v>1</v>
      </c>
      <c r="AX769" s="2">
        <v>45814</v>
      </c>
      <c r="AY769" t="s">
        <v>151</v>
      </c>
      <c r="AZ769" s="2">
        <v>46024</v>
      </c>
      <c r="BA769">
        <v>0</v>
      </c>
      <c r="BB769">
        <v>0</v>
      </c>
      <c r="BC769">
        <v>0</v>
      </c>
      <c r="BD769">
        <v>700</v>
      </c>
      <c r="BE769">
        <v>70</v>
      </c>
      <c r="BF769">
        <v>9</v>
      </c>
      <c r="BG769" s="2">
        <v>45536</v>
      </c>
      <c r="BH769" t="s">
        <v>142</v>
      </c>
      <c r="BI769" s="2">
        <v>46026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s="1">
        <v>1388.65</v>
      </c>
      <c r="BQ769" s="1">
        <v>1388.65</v>
      </c>
      <c r="BR769">
        <v>0</v>
      </c>
      <c r="BS769">
        <v>0</v>
      </c>
      <c r="BT769">
        <v>0</v>
      </c>
      <c r="BU769">
        <v>0</v>
      </c>
      <c r="BV769" s="1">
        <v>2047.75</v>
      </c>
      <c r="BW769" s="1">
        <v>2047.75</v>
      </c>
      <c r="BX769">
        <v>0</v>
      </c>
      <c r="BY769">
        <v>0</v>
      </c>
      <c r="BZ769">
        <v>0</v>
      </c>
      <c r="CA769">
        <v>0</v>
      </c>
      <c r="CB769" s="1">
        <v>1535.58</v>
      </c>
      <c r="CC769" t="s">
        <v>143</v>
      </c>
    </row>
    <row r="770" spans="1:81" x14ac:dyDescent="0.25">
      <c r="A770">
        <v>345</v>
      </c>
      <c r="B770">
        <v>2</v>
      </c>
      <c r="C770">
        <v>2094</v>
      </c>
      <c r="D770" t="s">
        <v>4383</v>
      </c>
      <c r="E770" t="s">
        <v>121</v>
      </c>
      <c r="F770" t="s">
        <v>4384</v>
      </c>
      <c r="G770" t="s">
        <v>4385</v>
      </c>
      <c r="H770" t="s">
        <v>4386</v>
      </c>
      <c r="I770" t="s">
        <v>4387</v>
      </c>
      <c r="J770" t="s">
        <v>126</v>
      </c>
      <c r="K770" t="s">
        <v>4248</v>
      </c>
      <c r="L770" t="s">
        <v>128</v>
      </c>
      <c r="M770" t="s">
        <v>1325</v>
      </c>
      <c r="N770" t="s">
        <v>4388</v>
      </c>
      <c r="O770" t="s">
        <v>131</v>
      </c>
      <c r="P770">
        <v>0</v>
      </c>
      <c r="Q770" t="s">
        <v>125</v>
      </c>
      <c r="R770">
        <v>6</v>
      </c>
      <c r="S770">
        <v>40</v>
      </c>
      <c r="T770" t="s">
        <v>132</v>
      </c>
      <c r="U770" t="s">
        <v>133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134</v>
      </c>
      <c r="AE770" t="s">
        <v>134</v>
      </c>
      <c r="AF770" s="2">
        <v>45518</v>
      </c>
      <c r="AG770" s="2">
        <v>46018</v>
      </c>
      <c r="AH770">
        <v>700.28</v>
      </c>
      <c r="AI770">
        <v>952.2</v>
      </c>
      <c r="AJ770" s="1">
        <v>9103.74</v>
      </c>
      <c r="AK770">
        <v>0</v>
      </c>
      <c r="AL770">
        <v>0</v>
      </c>
      <c r="AM770">
        <v>0</v>
      </c>
      <c r="AN770" t="s">
        <v>135</v>
      </c>
      <c r="AO770" t="s">
        <v>135</v>
      </c>
      <c r="AP770" t="s">
        <v>136</v>
      </c>
      <c r="AQ770" t="s">
        <v>137</v>
      </c>
      <c r="AR770" t="s">
        <v>138</v>
      </c>
      <c r="AS770" t="s">
        <v>139</v>
      </c>
      <c r="AT770" t="s">
        <v>140</v>
      </c>
      <c r="AU770">
        <v>104</v>
      </c>
      <c r="AV770">
        <v>10</v>
      </c>
      <c r="AW770">
        <v>1</v>
      </c>
      <c r="AX770" s="2">
        <v>45812</v>
      </c>
      <c r="AY770" t="s">
        <v>168</v>
      </c>
      <c r="AZ770" s="2">
        <v>46022</v>
      </c>
      <c r="BA770">
        <v>0</v>
      </c>
      <c r="BB770">
        <v>0</v>
      </c>
      <c r="BC770">
        <v>0</v>
      </c>
      <c r="BD770">
        <v>700</v>
      </c>
      <c r="BE770">
        <v>70</v>
      </c>
      <c r="BF770">
        <v>9</v>
      </c>
      <c r="BG770" s="2">
        <v>45536</v>
      </c>
      <c r="BH770" t="s">
        <v>142</v>
      </c>
      <c r="BI770" s="2">
        <v>46026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s="1">
        <v>2800.73</v>
      </c>
      <c r="BQ770" s="1">
        <v>2800.73</v>
      </c>
      <c r="BR770">
        <v>0</v>
      </c>
      <c r="BS770">
        <v>0</v>
      </c>
      <c r="BT770">
        <v>0</v>
      </c>
      <c r="BU770">
        <v>0</v>
      </c>
      <c r="BV770" s="1">
        <v>2922.6</v>
      </c>
      <c r="BW770" s="1">
        <v>2922.6</v>
      </c>
      <c r="BX770">
        <v>0</v>
      </c>
      <c r="BY770">
        <v>0</v>
      </c>
      <c r="BZ770">
        <v>0</v>
      </c>
      <c r="CA770">
        <v>0</v>
      </c>
      <c r="CB770" s="1">
        <v>2432.23</v>
      </c>
      <c r="CC770" t="s">
        <v>143</v>
      </c>
    </row>
    <row r="771" spans="1:81" x14ac:dyDescent="0.25">
      <c r="A771">
        <v>345</v>
      </c>
      <c r="B771">
        <v>2</v>
      </c>
      <c r="C771">
        <v>2095</v>
      </c>
      <c r="D771" t="s">
        <v>4389</v>
      </c>
      <c r="E771" t="s">
        <v>121</v>
      </c>
      <c r="F771" t="s">
        <v>4390</v>
      </c>
      <c r="G771" t="s">
        <v>4391</v>
      </c>
      <c r="H771" t="s">
        <v>4392</v>
      </c>
      <c r="I771" t="s">
        <v>125</v>
      </c>
      <c r="J771" t="s">
        <v>1217</v>
      </c>
      <c r="K771" t="s">
        <v>4248</v>
      </c>
      <c r="L771" t="s">
        <v>128</v>
      </c>
      <c r="M771" t="s">
        <v>1325</v>
      </c>
      <c r="N771" t="s">
        <v>4393</v>
      </c>
      <c r="O771" t="s">
        <v>149</v>
      </c>
      <c r="P771">
        <v>0</v>
      </c>
      <c r="Q771" t="s">
        <v>125</v>
      </c>
      <c r="R771">
        <v>6</v>
      </c>
      <c r="S771">
        <v>39</v>
      </c>
      <c r="T771" t="s">
        <v>132</v>
      </c>
      <c r="U771" t="s">
        <v>133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134</v>
      </c>
      <c r="AE771" t="s">
        <v>134</v>
      </c>
      <c r="AF771" s="2">
        <v>45518</v>
      </c>
      <c r="AG771" s="2">
        <v>46018</v>
      </c>
      <c r="AH771">
        <v>274.08999999999997</v>
      </c>
      <c r="AI771">
        <v>821.53</v>
      </c>
      <c r="AJ771" s="1">
        <v>1370.46</v>
      </c>
      <c r="AK771">
        <v>0</v>
      </c>
      <c r="AL771">
        <v>0</v>
      </c>
      <c r="AM771">
        <v>0</v>
      </c>
      <c r="AN771" t="s">
        <v>135</v>
      </c>
      <c r="AO771" t="s">
        <v>135</v>
      </c>
      <c r="AP771" t="s">
        <v>136</v>
      </c>
      <c r="AQ771" t="s">
        <v>137</v>
      </c>
      <c r="AR771" t="s">
        <v>138</v>
      </c>
      <c r="AS771" t="s">
        <v>139</v>
      </c>
      <c r="AT771" t="s">
        <v>140</v>
      </c>
      <c r="AU771">
        <v>104</v>
      </c>
      <c r="AV771">
        <v>10</v>
      </c>
      <c r="AW771">
        <v>1</v>
      </c>
      <c r="AX771" s="2">
        <v>45812</v>
      </c>
      <c r="AY771" t="s">
        <v>168</v>
      </c>
      <c r="AZ771" s="2">
        <v>46022</v>
      </c>
      <c r="BA771">
        <v>0</v>
      </c>
      <c r="BB771">
        <v>0</v>
      </c>
      <c r="BC771">
        <v>0</v>
      </c>
      <c r="BD771">
        <v>700</v>
      </c>
      <c r="BE771">
        <v>70</v>
      </c>
      <c r="BF771">
        <v>9</v>
      </c>
      <c r="BG771" s="2">
        <v>45536</v>
      </c>
      <c r="BH771" t="s">
        <v>142</v>
      </c>
      <c r="BI771" s="2">
        <v>46026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s="1">
        <v>1028.8599999999999</v>
      </c>
      <c r="BQ771" s="1">
        <v>1028.8599999999999</v>
      </c>
      <c r="BR771">
        <v>0</v>
      </c>
      <c r="BS771">
        <v>0</v>
      </c>
      <c r="BT771">
        <v>0</v>
      </c>
      <c r="BU771">
        <v>0</v>
      </c>
      <c r="BV771">
        <v>341.6</v>
      </c>
      <c r="BW771">
        <v>341.6</v>
      </c>
      <c r="BX771">
        <v>0</v>
      </c>
      <c r="BY771">
        <v>0</v>
      </c>
      <c r="BZ771">
        <v>0</v>
      </c>
      <c r="CA771">
        <v>0</v>
      </c>
      <c r="CB771">
        <v>342.95</v>
      </c>
      <c r="CC771" t="s">
        <v>152</v>
      </c>
    </row>
    <row r="772" spans="1:81" x14ac:dyDescent="0.25">
      <c r="A772">
        <v>345</v>
      </c>
      <c r="B772">
        <v>2</v>
      </c>
      <c r="C772">
        <v>2099</v>
      </c>
      <c r="D772" t="s">
        <v>4394</v>
      </c>
      <c r="E772" t="s">
        <v>121</v>
      </c>
      <c r="F772" t="s">
        <v>4395</v>
      </c>
      <c r="G772" t="s">
        <v>4396</v>
      </c>
      <c r="H772" t="s">
        <v>4397</v>
      </c>
      <c r="I772" t="s">
        <v>4398</v>
      </c>
      <c r="J772" t="s">
        <v>126</v>
      </c>
      <c r="K772" t="s">
        <v>4248</v>
      </c>
      <c r="L772" t="s">
        <v>128</v>
      </c>
      <c r="M772" t="s">
        <v>1325</v>
      </c>
      <c r="N772" t="s">
        <v>4399</v>
      </c>
      <c r="O772" t="s">
        <v>201</v>
      </c>
      <c r="P772">
        <v>0</v>
      </c>
      <c r="Q772" t="s">
        <v>125</v>
      </c>
      <c r="R772">
        <v>6</v>
      </c>
      <c r="S772">
        <v>40</v>
      </c>
      <c r="T772" t="s">
        <v>132</v>
      </c>
      <c r="U772" t="s">
        <v>133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134</v>
      </c>
      <c r="AE772" t="s">
        <v>134</v>
      </c>
      <c r="AF772" s="2">
        <v>45518</v>
      </c>
      <c r="AG772" s="2">
        <v>46018</v>
      </c>
      <c r="AH772" s="1">
        <v>1666.91</v>
      </c>
      <c r="AI772" s="1">
        <v>2514.7199999999998</v>
      </c>
      <c r="AJ772" s="1">
        <v>15002.25</v>
      </c>
      <c r="AK772">
        <v>0</v>
      </c>
      <c r="AL772">
        <v>0</v>
      </c>
      <c r="AM772">
        <v>0</v>
      </c>
      <c r="AN772" t="s">
        <v>135</v>
      </c>
      <c r="AO772" t="s">
        <v>135</v>
      </c>
      <c r="AP772" t="s">
        <v>136</v>
      </c>
      <c r="AQ772" t="s">
        <v>137</v>
      </c>
      <c r="AR772" t="s">
        <v>138</v>
      </c>
      <c r="AS772" t="s">
        <v>139</v>
      </c>
      <c r="AT772" t="s">
        <v>140</v>
      </c>
      <c r="AU772">
        <v>104</v>
      </c>
      <c r="AV772">
        <v>10</v>
      </c>
      <c r="AW772">
        <v>1</v>
      </c>
      <c r="AX772" s="2">
        <v>45812</v>
      </c>
      <c r="AY772" t="s">
        <v>168</v>
      </c>
      <c r="AZ772" s="2">
        <v>46022</v>
      </c>
      <c r="BA772">
        <v>0</v>
      </c>
      <c r="BB772">
        <v>0</v>
      </c>
      <c r="BC772">
        <v>0</v>
      </c>
      <c r="BD772">
        <v>700</v>
      </c>
      <c r="BE772">
        <v>70</v>
      </c>
      <c r="BF772">
        <v>9</v>
      </c>
      <c r="BG772" s="2">
        <v>45536</v>
      </c>
      <c r="BH772" t="s">
        <v>142</v>
      </c>
      <c r="BI772" s="2">
        <v>46026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s="1">
        <v>1192.78</v>
      </c>
      <c r="BQ772" s="1">
        <v>1192.78</v>
      </c>
      <c r="BR772">
        <v>0</v>
      </c>
      <c r="BS772">
        <v>0</v>
      </c>
      <c r="BT772">
        <v>0</v>
      </c>
      <c r="BU772">
        <v>0</v>
      </c>
      <c r="BV772" s="1">
        <v>7142.24</v>
      </c>
      <c r="BW772" s="1">
        <v>7142.24</v>
      </c>
      <c r="BX772">
        <v>0</v>
      </c>
      <c r="BY772">
        <v>0</v>
      </c>
      <c r="BZ772">
        <v>0</v>
      </c>
      <c r="CA772">
        <v>0</v>
      </c>
      <c r="CB772" s="1">
        <v>4120.5600000000004</v>
      </c>
      <c r="CC772" t="s">
        <v>143</v>
      </c>
    </row>
    <row r="773" spans="1:81" x14ac:dyDescent="0.25">
      <c r="A773">
        <v>345</v>
      </c>
      <c r="B773">
        <v>2</v>
      </c>
      <c r="C773">
        <v>2100</v>
      </c>
      <c r="D773" t="s">
        <v>4400</v>
      </c>
      <c r="E773" t="s">
        <v>121</v>
      </c>
      <c r="F773" t="s">
        <v>4401</v>
      </c>
      <c r="G773" t="s">
        <v>4402</v>
      </c>
      <c r="H773" t="s">
        <v>4403</v>
      </c>
      <c r="I773" t="s">
        <v>4404</v>
      </c>
      <c r="J773" t="s">
        <v>126</v>
      </c>
      <c r="K773" t="s">
        <v>4248</v>
      </c>
      <c r="L773" t="s">
        <v>128</v>
      </c>
      <c r="M773" t="s">
        <v>1325</v>
      </c>
      <c r="N773" t="s">
        <v>4405</v>
      </c>
      <c r="O773" t="s">
        <v>3269</v>
      </c>
      <c r="P773">
        <v>0</v>
      </c>
      <c r="Q773" t="s">
        <v>125</v>
      </c>
      <c r="R773">
        <v>3</v>
      </c>
      <c r="S773">
        <v>85</v>
      </c>
      <c r="T773" t="s">
        <v>132</v>
      </c>
      <c r="U773" t="s">
        <v>133</v>
      </c>
      <c r="V773" s="1">
        <v>51500</v>
      </c>
      <c r="W773">
        <v>0</v>
      </c>
      <c r="X773" s="1">
        <v>51500</v>
      </c>
      <c r="Y773">
        <v>7</v>
      </c>
      <c r="Z773">
        <v>0</v>
      </c>
      <c r="AA773">
        <v>0</v>
      </c>
      <c r="AB773">
        <v>0</v>
      </c>
      <c r="AC773">
        <v>0</v>
      </c>
      <c r="AD773" t="s">
        <v>234</v>
      </c>
      <c r="AE773" t="s">
        <v>134</v>
      </c>
      <c r="AF773" s="2">
        <v>45518</v>
      </c>
      <c r="AG773" s="2">
        <v>46020</v>
      </c>
      <c r="AH773" s="1">
        <v>34446.410000000003</v>
      </c>
      <c r="AI773" s="1">
        <v>101193.39</v>
      </c>
      <c r="AJ773" s="1">
        <v>241124.89</v>
      </c>
      <c r="AK773">
        <v>0</v>
      </c>
      <c r="AL773">
        <v>0</v>
      </c>
      <c r="AM773">
        <v>0</v>
      </c>
      <c r="AN773" t="s">
        <v>135</v>
      </c>
      <c r="AO773" t="s">
        <v>135</v>
      </c>
      <c r="AP773" t="s">
        <v>136</v>
      </c>
      <c r="AQ773" t="s">
        <v>137</v>
      </c>
      <c r="AR773" t="s">
        <v>138</v>
      </c>
      <c r="AS773" t="s">
        <v>150</v>
      </c>
      <c r="AT773" t="s">
        <v>140</v>
      </c>
      <c r="AU773">
        <v>501</v>
      </c>
      <c r="AV773">
        <v>10</v>
      </c>
      <c r="AW773">
        <v>1</v>
      </c>
      <c r="AX773" s="2">
        <v>45855</v>
      </c>
      <c r="AY773" t="s">
        <v>308</v>
      </c>
      <c r="AZ773" s="2">
        <v>46023</v>
      </c>
      <c r="BA773">
        <v>0</v>
      </c>
      <c r="BB773">
        <v>0</v>
      </c>
      <c r="BC773">
        <v>0</v>
      </c>
      <c r="BD773">
        <v>700</v>
      </c>
      <c r="BE773">
        <v>70</v>
      </c>
      <c r="BF773">
        <v>9</v>
      </c>
      <c r="BG773" s="2">
        <v>45536</v>
      </c>
      <c r="BH773" t="s">
        <v>142</v>
      </c>
      <c r="BI773" s="2">
        <v>46026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s="1">
        <v>133525.12</v>
      </c>
      <c r="BW773" s="1">
        <v>133525.12</v>
      </c>
      <c r="BX773">
        <v>0</v>
      </c>
      <c r="BY773">
        <v>0</v>
      </c>
      <c r="BZ773">
        <v>0</v>
      </c>
      <c r="CA773">
        <v>0</v>
      </c>
      <c r="CB773" s="1">
        <v>68574.02</v>
      </c>
      <c r="CC773" t="s">
        <v>339</v>
      </c>
    </row>
    <row r="774" spans="1:81" x14ac:dyDescent="0.25">
      <c r="A774">
        <v>345</v>
      </c>
      <c r="B774">
        <v>2</v>
      </c>
      <c r="C774">
        <v>2106</v>
      </c>
      <c r="D774" t="s">
        <v>4406</v>
      </c>
      <c r="E774" t="s">
        <v>121</v>
      </c>
      <c r="F774" t="s">
        <v>4407</v>
      </c>
      <c r="G774" t="s">
        <v>4408</v>
      </c>
      <c r="H774" t="s">
        <v>4409</v>
      </c>
      <c r="I774" t="s">
        <v>4410</v>
      </c>
      <c r="J774" t="s">
        <v>4254</v>
      </c>
      <c r="K774" t="s">
        <v>4248</v>
      </c>
      <c r="L774" t="s">
        <v>128</v>
      </c>
      <c r="M774" t="s">
        <v>1325</v>
      </c>
      <c r="N774" t="s">
        <v>4411</v>
      </c>
      <c r="O774" t="s">
        <v>201</v>
      </c>
      <c r="P774">
        <v>0</v>
      </c>
      <c r="Q774" t="s">
        <v>125</v>
      </c>
      <c r="R774">
        <v>6</v>
      </c>
      <c r="S774">
        <v>41</v>
      </c>
      <c r="T774" t="s">
        <v>132</v>
      </c>
      <c r="U774" t="s">
        <v>133</v>
      </c>
      <c r="V774" s="1">
        <v>9000</v>
      </c>
      <c r="W774">
        <v>0</v>
      </c>
      <c r="X774" s="1">
        <v>9000</v>
      </c>
      <c r="Y774">
        <v>7</v>
      </c>
      <c r="Z774">
        <v>0</v>
      </c>
      <c r="AA774">
        <v>0</v>
      </c>
      <c r="AB774">
        <v>0</v>
      </c>
      <c r="AC774">
        <v>0</v>
      </c>
      <c r="AD774" t="s">
        <v>134</v>
      </c>
      <c r="AE774" t="s">
        <v>134</v>
      </c>
      <c r="AF774" s="2">
        <v>45518</v>
      </c>
      <c r="AG774" s="2">
        <v>46008</v>
      </c>
      <c r="AH774" s="1">
        <v>3947.04</v>
      </c>
      <c r="AI774" s="1">
        <v>5202.88</v>
      </c>
      <c r="AJ774" s="1">
        <v>15788.19</v>
      </c>
      <c r="AK774">
        <v>0</v>
      </c>
      <c r="AL774">
        <v>0</v>
      </c>
      <c r="AM774">
        <v>0</v>
      </c>
      <c r="AN774" t="s">
        <v>135</v>
      </c>
      <c r="AO774" t="s">
        <v>135</v>
      </c>
      <c r="AP774" t="s">
        <v>136</v>
      </c>
      <c r="AQ774" t="s">
        <v>137</v>
      </c>
      <c r="AR774" t="s">
        <v>138</v>
      </c>
      <c r="AS774" t="s">
        <v>150</v>
      </c>
      <c r="AT774" t="s">
        <v>140</v>
      </c>
      <c r="AU774">
        <v>104</v>
      </c>
      <c r="AV774">
        <v>10</v>
      </c>
      <c r="AW774">
        <v>1</v>
      </c>
      <c r="AX774" s="2">
        <v>45860</v>
      </c>
      <c r="AY774" t="s">
        <v>377</v>
      </c>
      <c r="AZ774" s="2">
        <v>46028</v>
      </c>
      <c r="BA774">
        <v>0</v>
      </c>
      <c r="BB774">
        <v>0</v>
      </c>
      <c r="BC774">
        <v>0</v>
      </c>
      <c r="BD774">
        <v>700</v>
      </c>
      <c r="BE774">
        <v>70</v>
      </c>
      <c r="BF774">
        <v>9</v>
      </c>
      <c r="BG774" s="2">
        <v>45536</v>
      </c>
      <c r="BH774" t="s">
        <v>142</v>
      </c>
      <c r="BI774" s="2">
        <v>46026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s="1">
        <v>2804.15</v>
      </c>
      <c r="BQ774" s="1">
        <v>2804.15</v>
      </c>
      <c r="BR774">
        <v>0</v>
      </c>
      <c r="BS774">
        <v>0</v>
      </c>
      <c r="BT774">
        <v>0</v>
      </c>
      <c r="BU774">
        <v>0</v>
      </c>
      <c r="BV774" s="1">
        <v>5099.5</v>
      </c>
      <c r="BW774" s="1">
        <v>5099.5</v>
      </c>
      <c r="BX774">
        <v>0</v>
      </c>
      <c r="BY774">
        <v>0</v>
      </c>
      <c r="BZ774">
        <v>0</v>
      </c>
      <c r="CA774">
        <v>0</v>
      </c>
      <c r="CB774" s="1">
        <v>5181.22</v>
      </c>
      <c r="CC774" t="s">
        <v>143</v>
      </c>
    </row>
    <row r="775" spans="1:81" x14ac:dyDescent="0.25">
      <c r="A775">
        <v>345</v>
      </c>
      <c r="B775">
        <v>2</v>
      </c>
      <c r="C775">
        <v>2107</v>
      </c>
      <c r="D775" t="s">
        <v>4412</v>
      </c>
      <c r="E775" t="s">
        <v>121</v>
      </c>
      <c r="F775" t="s">
        <v>4413</v>
      </c>
      <c r="G775" t="s">
        <v>4414</v>
      </c>
      <c r="H775" t="s">
        <v>4415</v>
      </c>
      <c r="I775" t="s">
        <v>4416</v>
      </c>
      <c r="J775" t="s">
        <v>4417</v>
      </c>
      <c r="K775" t="s">
        <v>4248</v>
      </c>
      <c r="L775" t="s">
        <v>128</v>
      </c>
      <c r="M775" t="s">
        <v>1325</v>
      </c>
      <c r="N775" t="s">
        <v>4418</v>
      </c>
      <c r="O775" t="s">
        <v>167</v>
      </c>
      <c r="P775">
        <v>0</v>
      </c>
      <c r="Q775" t="s">
        <v>125</v>
      </c>
      <c r="R775">
        <v>6</v>
      </c>
      <c r="S775">
        <v>36</v>
      </c>
      <c r="T775" t="s">
        <v>132</v>
      </c>
      <c r="U775" t="s">
        <v>133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134</v>
      </c>
      <c r="AE775" t="s">
        <v>134</v>
      </c>
      <c r="AF775" s="2">
        <v>45518</v>
      </c>
      <c r="AG775" s="2">
        <v>46017</v>
      </c>
      <c r="AH775">
        <v>895.46</v>
      </c>
      <c r="AI775" s="1">
        <v>1448.01</v>
      </c>
      <c r="AJ775" s="1">
        <v>10745.52</v>
      </c>
      <c r="AK775">
        <v>0</v>
      </c>
      <c r="AL775">
        <v>0</v>
      </c>
      <c r="AM775">
        <v>0</v>
      </c>
      <c r="AN775" t="s">
        <v>135</v>
      </c>
      <c r="AO775" t="s">
        <v>135</v>
      </c>
      <c r="AP775" t="s">
        <v>136</v>
      </c>
      <c r="AQ775" t="s">
        <v>137</v>
      </c>
      <c r="AR775" t="s">
        <v>138</v>
      </c>
      <c r="AS775" t="s">
        <v>139</v>
      </c>
      <c r="AT775" t="s">
        <v>140</v>
      </c>
      <c r="AU775">
        <v>104</v>
      </c>
      <c r="AV775">
        <v>10</v>
      </c>
      <c r="AW775">
        <v>1</v>
      </c>
      <c r="AX775" s="2">
        <v>45860</v>
      </c>
      <c r="AY775" t="s">
        <v>377</v>
      </c>
      <c r="AZ775" s="2">
        <v>46028</v>
      </c>
      <c r="BA775">
        <v>0</v>
      </c>
      <c r="BB775">
        <v>0</v>
      </c>
      <c r="BC775">
        <v>0</v>
      </c>
      <c r="BD775">
        <v>700</v>
      </c>
      <c r="BE775">
        <v>70</v>
      </c>
      <c r="BF775">
        <v>9</v>
      </c>
      <c r="BG775" s="2">
        <v>45536</v>
      </c>
      <c r="BH775" t="s">
        <v>142</v>
      </c>
      <c r="BI775" s="2">
        <v>46026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 s="1">
        <v>2717.78</v>
      </c>
      <c r="BQ775" s="1">
        <v>2717.78</v>
      </c>
      <c r="BR775">
        <v>0</v>
      </c>
      <c r="BS775">
        <v>0</v>
      </c>
      <c r="BT775">
        <v>0</v>
      </c>
      <c r="BU775">
        <v>0</v>
      </c>
      <c r="BV775" s="1">
        <v>4441.8999999999996</v>
      </c>
      <c r="BW775" s="1">
        <v>4441.8999999999996</v>
      </c>
      <c r="BX775">
        <v>0</v>
      </c>
      <c r="BY775">
        <v>0</v>
      </c>
      <c r="BZ775">
        <v>0</v>
      </c>
      <c r="CA775">
        <v>0</v>
      </c>
      <c r="CB775" s="1">
        <v>2978.72</v>
      </c>
      <c r="CC775" t="s">
        <v>161</v>
      </c>
    </row>
    <row r="776" spans="1:81" x14ac:dyDescent="0.25">
      <c r="A776">
        <v>345</v>
      </c>
      <c r="B776">
        <v>2</v>
      </c>
      <c r="C776">
        <v>2111</v>
      </c>
      <c r="D776" t="s">
        <v>4419</v>
      </c>
      <c r="E776" t="s">
        <v>121</v>
      </c>
      <c r="F776" t="s">
        <v>4420</v>
      </c>
      <c r="G776" t="s">
        <v>4421</v>
      </c>
      <c r="H776" t="s">
        <v>4422</v>
      </c>
      <c r="I776" t="s">
        <v>4423</v>
      </c>
      <c r="J776" t="s">
        <v>4424</v>
      </c>
      <c r="K776" t="s">
        <v>4248</v>
      </c>
      <c r="L776" t="s">
        <v>128</v>
      </c>
      <c r="M776" t="s">
        <v>1325</v>
      </c>
      <c r="N776" t="s">
        <v>4425</v>
      </c>
      <c r="O776" t="s">
        <v>201</v>
      </c>
      <c r="P776">
        <v>0</v>
      </c>
      <c r="Q776" t="s">
        <v>125</v>
      </c>
      <c r="R776">
        <v>3</v>
      </c>
      <c r="S776">
        <v>85</v>
      </c>
      <c r="T776" t="s">
        <v>132</v>
      </c>
      <c r="U776" t="s">
        <v>133</v>
      </c>
      <c r="V776" s="1">
        <v>16800</v>
      </c>
      <c r="W776">
        <v>0</v>
      </c>
      <c r="X776" s="1">
        <v>16800</v>
      </c>
      <c r="Y776">
        <v>7</v>
      </c>
      <c r="Z776">
        <v>0</v>
      </c>
      <c r="AA776">
        <v>7</v>
      </c>
      <c r="AB776">
        <v>0</v>
      </c>
      <c r="AC776">
        <v>0</v>
      </c>
      <c r="AD776" t="s">
        <v>134</v>
      </c>
      <c r="AE776" t="s">
        <v>134</v>
      </c>
      <c r="AF776" s="2">
        <v>45518</v>
      </c>
      <c r="AG776" s="2">
        <v>46017</v>
      </c>
      <c r="AH776" s="1">
        <v>9099.33</v>
      </c>
      <c r="AI776" s="1">
        <v>14779.22</v>
      </c>
      <c r="AJ776" s="1">
        <v>63695.360000000001</v>
      </c>
      <c r="AK776">
        <v>0</v>
      </c>
      <c r="AL776">
        <v>0</v>
      </c>
      <c r="AM776">
        <v>0</v>
      </c>
      <c r="AN776" t="s">
        <v>135</v>
      </c>
      <c r="AO776" t="s">
        <v>135</v>
      </c>
      <c r="AP776" t="s">
        <v>136</v>
      </c>
      <c r="AQ776" t="s">
        <v>137</v>
      </c>
      <c r="AR776" t="s">
        <v>138</v>
      </c>
      <c r="AS776" t="s">
        <v>150</v>
      </c>
      <c r="AT776" t="s">
        <v>140</v>
      </c>
      <c r="AU776">
        <v>104</v>
      </c>
      <c r="AV776">
        <v>10</v>
      </c>
      <c r="AW776">
        <v>1</v>
      </c>
      <c r="AX776" s="2">
        <v>45839</v>
      </c>
      <c r="AY776" t="s">
        <v>377</v>
      </c>
      <c r="AZ776" s="2">
        <v>46028</v>
      </c>
      <c r="BA776">
        <v>0</v>
      </c>
      <c r="BB776">
        <v>0</v>
      </c>
      <c r="BC776">
        <v>0</v>
      </c>
      <c r="BD776">
        <v>700</v>
      </c>
      <c r="BE776">
        <v>70</v>
      </c>
      <c r="BF776">
        <v>9</v>
      </c>
      <c r="BG776" s="2">
        <v>45536</v>
      </c>
      <c r="BH776" t="s">
        <v>142</v>
      </c>
      <c r="BI776" s="2">
        <v>46026</v>
      </c>
      <c r="BJ776">
        <v>0</v>
      </c>
      <c r="BK776">
        <v>0</v>
      </c>
      <c r="BL776">
        <v>0</v>
      </c>
      <c r="BM776">
        <v>5.93</v>
      </c>
      <c r="BN776">
        <v>5.93</v>
      </c>
      <c r="BO776" s="1">
        <v>16516.689999999999</v>
      </c>
      <c r="BP776">
        <v>0</v>
      </c>
      <c r="BQ776" s="1">
        <v>16516.689999999999</v>
      </c>
      <c r="BR776">
        <v>0</v>
      </c>
      <c r="BS776">
        <v>0</v>
      </c>
      <c r="BT776">
        <v>0</v>
      </c>
      <c r="BU776">
        <v>0</v>
      </c>
      <c r="BV776" s="1">
        <v>25281.13</v>
      </c>
      <c r="BW776" s="1">
        <v>25281.13</v>
      </c>
      <c r="BX776">
        <v>0</v>
      </c>
      <c r="BY776">
        <v>0</v>
      </c>
      <c r="BZ776">
        <v>0</v>
      </c>
      <c r="CA776">
        <v>0</v>
      </c>
      <c r="CB776" s="1">
        <v>16785.57</v>
      </c>
      <c r="CC776" t="s">
        <v>143</v>
      </c>
    </row>
    <row r="777" spans="1:81" x14ac:dyDescent="0.25">
      <c r="A777">
        <v>345</v>
      </c>
      <c r="B777">
        <v>2</v>
      </c>
      <c r="C777">
        <v>2114</v>
      </c>
      <c r="D777" t="s">
        <v>4426</v>
      </c>
      <c r="E777" t="s">
        <v>121</v>
      </c>
      <c r="F777" t="s">
        <v>4427</v>
      </c>
      <c r="G777" t="s">
        <v>4428</v>
      </c>
      <c r="H777" t="s">
        <v>4429</v>
      </c>
      <c r="I777" t="s">
        <v>4430</v>
      </c>
      <c r="J777" t="s">
        <v>126</v>
      </c>
      <c r="K777" t="s">
        <v>4248</v>
      </c>
      <c r="L777" t="s">
        <v>128</v>
      </c>
      <c r="M777" t="s">
        <v>1325</v>
      </c>
      <c r="N777" t="s">
        <v>4431</v>
      </c>
      <c r="O777" t="s">
        <v>201</v>
      </c>
      <c r="P777">
        <v>0</v>
      </c>
      <c r="Q777" t="s">
        <v>125</v>
      </c>
      <c r="R777">
        <v>3</v>
      </c>
      <c r="S777">
        <v>85</v>
      </c>
      <c r="T777" t="s">
        <v>132</v>
      </c>
      <c r="U777" t="s">
        <v>133</v>
      </c>
      <c r="V777" s="1">
        <v>15400</v>
      </c>
      <c r="W777">
        <v>0</v>
      </c>
      <c r="X777" s="1">
        <v>15400</v>
      </c>
      <c r="Y777">
        <v>7</v>
      </c>
      <c r="Z777">
        <v>0</v>
      </c>
      <c r="AA777">
        <v>3</v>
      </c>
      <c r="AB777">
        <v>0</v>
      </c>
      <c r="AC777">
        <v>0</v>
      </c>
      <c r="AD777" t="s">
        <v>134</v>
      </c>
      <c r="AE777" t="s">
        <v>134</v>
      </c>
      <c r="AF777" s="2">
        <v>45518</v>
      </c>
      <c r="AG777" s="2">
        <v>46003</v>
      </c>
      <c r="AH777" s="1">
        <v>7142.99</v>
      </c>
      <c r="AI777" s="1">
        <v>8036.02</v>
      </c>
      <c r="AJ777" s="1">
        <v>14285.98</v>
      </c>
      <c r="AK777">
        <v>0</v>
      </c>
      <c r="AL777">
        <v>0</v>
      </c>
      <c r="AM777">
        <v>0</v>
      </c>
      <c r="AN777" t="s">
        <v>135</v>
      </c>
      <c r="AO777" t="s">
        <v>135</v>
      </c>
      <c r="AP777" t="s">
        <v>136</v>
      </c>
      <c r="AQ777" t="s">
        <v>137</v>
      </c>
      <c r="AR777" t="s">
        <v>138</v>
      </c>
      <c r="AS777" t="s">
        <v>150</v>
      </c>
      <c r="AT777" t="s">
        <v>140</v>
      </c>
      <c r="AU777">
        <v>501</v>
      </c>
      <c r="AV777">
        <v>10</v>
      </c>
      <c r="AW777">
        <v>1</v>
      </c>
      <c r="AX777" s="2">
        <v>45855</v>
      </c>
      <c r="AY777" t="s">
        <v>308</v>
      </c>
      <c r="AZ777" s="2">
        <v>46023</v>
      </c>
      <c r="BA777">
        <v>0</v>
      </c>
      <c r="BB777">
        <v>0</v>
      </c>
      <c r="BC777">
        <v>0</v>
      </c>
      <c r="BD777">
        <v>700</v>
      </c>
      <c r="BE777">
        <v>70</v>
      </c>
      <c r="BF777">
        <v>9</v>
      </c>
      <c r="BG777" s="2">
        <v>45536</v>
      </c>
      <c r="BH777" t="s">
        <v>142</v>
      </c>
      <c r="BI777" s="2">
        <v>46026</v>
      </c>
      <c r="BJ777">
        <v>0</v>
      </c>
      <c r="BK777">
        <v>0</v>
      </c>
      <c r="BL777">
        <v>0</v>
      </c>
      <c r="BM777">
        <v>2</v>
      </c>
      <c r="BN777">
        <v>2</v>
      </c>
      <c r="BO777" s="1">
        <v>8036.02</v>
      </c>
      <c r="BP777">
        <v>0</v>
      </c>
      <c r="BQ777" s="1">
        <v>8036.02</v>
      </c>
      <c r="BR777">
        <v>0</v>
      </c>
      <c r="BS777">
        <v>3</v>
      </c>
      <c r="BT777">
        <v>3</v>
      </c>
      <c r="BU777" s="1">
        <v>6249.96</v>
      </c>
      <c r="BV777">
        <v>0</v>
      </c>
      <c r="BW777" s="1">
        <v>6249.96</v>
      </c>
      <c r="BX777">
        <v>0</v>
      </c>
      <c r="BY777">
        <v>0</v>
      </c>
      <c r="BZ777">
        <v>0</v>
      </c>
      <c r="CA777">
        <v>0</v>
      </c>
      <c r="CB777" s="1">
        <v>2678.67</v>
      </c>
      <c r="CC777" t="s">
        <v>143</v>
      </c>
    </row>
    <row r="778" spans="1:81" x14ac:dyDescent="0.25">
      <c r="A778">
        <v>345</v>
      </c>
      <c r="B778">
        <v>2</v>
      </c>
      <c r="C778">
        <v>2118</v>
      </c>
      <c r="D778" t="s">
        <v>4432</v>
      </c>
      <c r="E778" t="s">
        <v>121</v>
      </c>
      <c r="F778" t="s">
        <v>4433</v>
      </c>
      <c r="G778" t="s">
        <v>4434</v>
      </c>
      <c r="H778" t="s">
        <v>4435</v>
      </c>
      <c r="I778" t="s">
        <v>4436</v>
      </c>
      <c r="J778" t="s">
        <v>126</v>
      </c>
      <c r="K778" t="s">
        <v>4248</v>
      </c>
      <c r="L778" t="s">
        <v>128</v>
      </c>
      <c r="M778" t="s">
        <v>1325</v>
      </c>
      <c r="N778" t="s">
        <v>4437</v>
      </c>
      <c r="O778" t="s">
        <v>131</v>
      </c>
      <c r="P778">
        <v>0</v>
      </c>
      <c r="Q778" t="s">
        <v>125</v>
      </c>
      <c r="R778">
        <v>6</v>
      </c>
      <c r="S778">
        <v>45</v>
      </c>
      <c r="T778" t="s">
        <v>132</v>
      </c>
      <c r="U778" t="s">
        <v>133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134</v>
      </c>
      <c r="AE778" t="s">
        <v>134</v>
      </c>
      <c r="AF778" s="2">
        <v>45518</v>
      </c>
      <c r="AG778" s="2">
        <v>46018</v>
      </c>
      <c r="AH778" s="1">
        <v>1667.73</v>
      </c>
      <c r="AI778" s="1">
        <v>2674.81</v>
      </c>
      <c r="AJ778" s="1">
        <v>16677.34</v>
      </c>
      <c r="AK778">
        <v>0</v>
      </c>
      <c r="AL778">
        <v>0</v>
      </c>
      <c r="AM778">
        <v>0</v>
      </c>
      <c r="AN778" t="s">
        <v>135</v>
      </c>
      <c r="AO778" t="s">
        <v>135</v>
      </c>
      <c r="AP778" t="s">
        <v>136</v>
      </c>
      <c r="AQ778" t="s">
        <v>137</v>
      </c>
      <c r="AR778" t="s">
        <v>138</v>
      </c>
      <c r="AS778" t="s">
        <v>150</v>
      </c>
      <c r="AT778" t="s">
        <v>140</v>
      </c>
      <c r="AU778">
        <v>104</v>
      </c>
      <c r="AV778">
        <v>10</v>
      </c>
      <c r="AW778">
        <v>1</v>
      </c>
      <c r="AX778" s="2">
        <v>45812</v>
      </c>
      <c r="AY778" t="s">
        <v>168</v>
      </c>
      <c r="AZ778" s="2">
        <v>46022</v>
      </c>
      <c r="BA778">
        <v>0</v>
      </c>
      <c r="BB778">
        <v>0</v>
      </c>
      <c r="BC778">
        <v>0</v>
      </c>
      <c r="BD778">
        <v>700</v>
      </c>
      <c r="BE778">
        <v>70</v>
      </c>
      <c r="BF778">
        <v>9</v>
      </c>
      <c r="BG778" s="2">
        <v>45536</v>
      </c>
      <c r="BH778" t="s">
        <v>142</v>
      </c>
      <c r="BI778" s="2">
        <v>46026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s="1">
        <v>5771.08</v>
      </c>
      <c r="BQ778" s="1">
        <v>5771.08</v>
      </c>
      <c r="BR778">
        <v>0</v>
      </c>
      <c r="BS778">
        <v>0</v>
      </c>
      <c r="BT778">
        <v>0</v>
      </c>
      <c r="BU778">
        <v>0</v>
      </c>
      <c r="BV778" s="1">
        <v>6334.17</v>
      </c>
      <c r="BW778" s="1">
        <v>6334.17</v>
      </c>
      <c r="BX778">
        <v>0</v>
      </c>
      <c r="BY778">
        <v>0</v>
      </c>
      <c r="BZ778">
        <v>0</v>
      </c>
      <c r="CA778">
        <v>0</v>
      </c>
      <c r="CB778" s="1">
        <v>4248</v>
      </c>
      <c r="CC778" t="s">
        <v>143</v>
      </c>
    </row>
    <row r="779" spans="1:81" x14ac:dyDescent="0.25">
      <c r="A779">
        <v>345</v>
      </c>
      <c r="B779">
        <v>2</v>
      </c>
      <c r="C779">
        <v>2121</v>
      </c>
      <c r="D779" t="s">
        <v>4438</v>
      </c>
      <c r="E779" t="s">
        <v>121</v>
      </c>
      <c r="F779" t="s">
        <v>4439</v>
      </c>
      <c r="G779" t="s">
        <v>4440</v>
      </c>
      <c r="H779" t="s">
        <v>4441</v>
      </c>
      <c r="I779" t="s">
        <v>4442</v>
      </c>
      <c r="J779" t="s">
        <v>4424</v>
      </c>
      <c r="K779" t="s">
        <v>4248</v>
      </c>
      <c r="L779" t="s">
        <v>128</v>
      </c>
      <c r="M779" t="s">
        <v>1325</v>
      </c>
      <c r="N779" t="s">
        <v>4443</v>
      </c>
      <c r="O779" t="s">
        <v>149</v>
      </c>
      <c r="P779">
        <v>0</v>
      </c>
      <c r="Q779" t="s">
        <v>125</v>
      </c>
      <c r="R779">
        <v>6</v>
      </c>
      <c r="S779">
        <v>41</v>
      </c>
      <c r="T779" t="s">
        <v>132</v>
      </c>
      <c r="U779" t="s">
        <v>133</v>
      </c>
      <c r="V779" s="1">
        <v>1000</v>
      </c>
      <c r="W779">
        <v>0</v>
      </c>
      <c r="X779" s="1">
        <v>1000</v>
      </c>
      <c r="Y779">
        <v>7</v>
      </c>
      <c r="Z779">
        <v>0</v>
      </c>
      <c r="AA779">
        <v>0</v>
      </c>
      <c r="AB779">
        <v>0</v>
      </c>
      <c r="AC779">
        <v>0</v>
      </c>
      <c r="AD779" t="s">
        <v>134</v>
      </c>
      <c r="AE779" t="s">
        <v>134</v>
      </c>
      <c r="AF779" s="2">
        <v>45518</v>
      </c>
      <c r="AG779" s="2">
        <v>46001</v>
      </c>
      <c r="AH779">
        <v>242.56</v>
      </c>
      <c r="AI779">
        <v>244.4</v>
      </c>
      <c r="AJ779">
        <v>485.13</v>
      </c>
      <c r="AK779">
        <v>0</v>
      </c>
      <c r="AL779">
        <v>0</v>
      </c>
      <c r="AM779">
        <v>0</v>
      </c>
      <c r="AN779" t="s">
        <v>135</v>
      </c>
      <c r="AO779" t="s">
        <v>135</v>
      </c>
      <c r="AP779" t="s">
        <v>136</v>
      </c>
      <c r="AQ779" t="s">
        <v>137</v>
      </c>
      <c r="AR779" t="s">
        <v>138</v>
      </c>
      <c r="AS779" t="s">
        <v>150</v>
      </c>
      <c r="AT779" t="s">
        <v>140</v>
      </c>
      <c r="AU779">
        <v>104</v>
      </c>
      <c r="AV779">
        <v>10</v>
      </c>
      <c r="AW779">
        <v>1</v>
      </c>
      <c r="AX779" s="2">
        <v>45811</v>
      </c>
      <c r="AY779" t="s">
        <v>377</v>
      </c>
      <c r="AZ779" s="2">
        <v>46028</v>
      </c>
      <c r="BA779">
        <v>0</v>
      </c>
      <c r="BB779">
        <v>0</v>
      </c>
      <c r="BC779">
        <v>0</v>
      </c>
      <c r="BD779">
        <v>700</v>
      </c>
      <c r="BE779">
        <v>70</v>
      </c>
      <c r="BF779">
        <v>9</v>
      </c>
      <c r="BG779" s="2">
        <v>45536</v>
      </c>
      <c r="BH779" t="s">
        <v>142</v>
      </c>
      <c r="BI779" s="2">
        <v>46026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240.73</v>
      </c>
      <c r="BQ779">
        <v>240.73</v>
      </c>
      <c r="BR779">
        <v>0</v>
      </c>
      <c r="BS779">
        <v>0</v>
      </c>
      <c r="BT779">
        <v>0</v>
      </c>
      <c r="BU779">
        <v>0</v>
      </c>
      <c r="BV779">
        <v>244.4</v>
      </c>
      <c r="BW779">
        <v>244.4</v>
      </c>
      <c r="BX779">
        <v>0</v>
      </c>
      <c r="BY779">
        <v>0</v>
      </c>
      <c r="BZ779">
        <v>0</v>
      </c>
      <c r="CA779">
        <v>0</v>
      </c>
      <c r="CB779">
        <v>161.71</v>
      </c>
      <c r="CC779" t="s">
        <v>152</v>
      </c>
    </row>
    <row r="780" spans="1:81" x14ac:dyDescent="0.25">
      <c r="A780">
        <v>345</v>
      </c>
      <c r="B780">
        <v>2</v>
      </c>
      <c r="C780">
        <v>2122</v>
      </c>
      <c r="D780" t="s">
        <v>4444</v>
      </c>
      <c r="E780" t="s">
        <v>121</v>
      </c>
      <c r="F780" t="s">
        <v>4445</v>
      </c>
      <c r="G780" t="s">
        <v>4446</v>
      </c>
      <c r="H780" t="s">
        <v>4447</v>
      </c>
      <c r="I780" t="s">
        <v>4448</v>
      </c>
      <c r="J780" t="s">
        <v>4449</v>
      </c>
      <c r="K780" t="s">
        <v>4248</v>
      </c>
      <c r="L780" t="s">
        <v>128</v>
      </c>
      <c r="M780" t="s">
        <v>1325</v>
      </c>
      <c r="N780" t="s">
        <v>4450</v>
      </c>
      <c r="O780" t="s">
        <v>149</v>
      </c>
      <c r="P780">
        <v>0</v>
      </c>
      <c r="Q780" t="s">
        <v>125</v>
      </c>
      <c r="R780">
        <v>6</v>
      </c>
      <c r="S780">
        <v>40</v>
      </c>
      <c r="T780" t="s">
        <v>132</v>
      </c>
      <c r="U780" t="s">
        <v>133</v>
      </c>
      <c r="V780" s="1">
        <v>7200</v>
      </c>
      <c r="W780">
        <v>0</v>
      </c>
      <c r="X780" s="1">
        <v>7200</v>
      </c>
      <c r="Y780">
        <v>7</v>
      </c>
      <c r="Z780">
        <v>0</v>
      </c>
      <c r="AA780">
        <v>5</v>
      </c>
      <c r="AB780">
        <v>0</v>
      </c>
      <c r="AC780">
        <v>0</v>
      </c>
      <c r="AD780" t="s">
        <v>134</v>
      </c>
      <c r="AE780" t="s">
        <v>234</v>
      </c>
      <c r="AF780" s="2">
        <v>45518</v>
      </c>
      <c r="AG780" s="2">
        <v>46021</v>
      </c>
      <c r="AH780" s="1">
        <v>3701.26</v>
      </c>
      <c r="AI780" s="1">
        <v>9105.39</v>
      </c>
      <c r="AJ780" s="1">
        <v>70323.960000000006</v>
      </c>
      <c r="AK780">
        <v>0</v>
      </c>
      <c r="AL780">
        <v>0</v>
      </c>
      <c r="AM780">
        <v>0</v>
      </c>
      <c r="AN780" t="s">
        <v>135</v>
      </c>
      <c r="AO780" t="s">
        <v>135</v>
      </c>
      <c r="AP780" t="s">
        <v>136</v>
      </c>
      <c r="AQ780" t="s">
        <v>137</v>
      </c>
      <c r="AR780" t="s">
        <v>138</v>
      </c>
      <c r="AS780" t="s">
        <v>139</v>
      </c>
      <c r="AT780" t="s">
        <v>140</v>
      </c>
      <c r="AU780">
        <v>104</v>
      </c>
      <c r="AV780">
        <v>10</v>
      </c>
      <c r="AW780">
        <v>1</v>
      </c>
      <c r="AX780" s="2">
        <v>45861</v>
      </c>
      <c r="AY780" t="s">
        <v>168</v>
      </c>
      <c r="AZ780" s="2">
        <v>46022</v>
      </c>
      <c r="BA780">
        <v>0</v>
      </c>
      <c r="BB780">
        <v>0</v>
      </c>
      <c r="BC780">
        <v>0</v>
      </c>
      <c r="BD780">
        <v>700</v>
      </c>
      <c r="BE780">
        <v>70</v>
      </c>
      <c r="BF780">
        <v>9</v>
      </c>
      <c r="BG780" s="2">
        <v>45536</v>
      </c>
      <c r="BH780" t="s">
        <v>142</v>
      </c>
      <c r="BI780" s="2">
        <v>46026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s="1">
        <v>23034.14</v>
      </c>
      <c r="BQ780" s="1">
        <v>23034.14</v>
      </c>
      <c r="BR780">
        <v>0</v>
      </c>
      <c r="BS780">
        <v>0</v>
      </c>
      <c r="BT780">
        <v>0</v>
      </c>
      <c r="BU780">
        <v>0</v>
      </c>
      <c r="BV780" s="1">
        <v>24512.19</v>
      </c>
      <c r="BW780" s="1">
        <v>24512.19</v>
      </c>
      <c r="BX780">
        <v>0</v>
      </c>
      <c r="BY780">
        <v>0</v>
      </c>
      <c r="BZ780">
        <v>0</v>
      </c>
      <c r="CA780">
        <v>0</v>
      </c>
      <c r="CB780" s="1">
        <v>19394.95</v>
      </c>
      <c r="CC780" t="s">
        <v>152</v>
      </c>
    </row>
    <row r="781" spans="1:81" x14ac:dyDescent="0.25">
      <c r="A781">
        <v>345</v>
      </c>
      <c r="B781">
        <v>2</v>
      </c>
      <c r="C781">
        <v>2130</v>
      </c>
      <c r="D781" t="s">
        <v>4451</v>
      </c>
      <c r="E781" t="s">
        <v>121</v>
      </c>
      <c r="F781" t="s">
        <v>4452</v>
      </c>
      <c r="G781" t="s">
        <v>4453</v>
      </c>
      <c r="H781" t="s">
        <v>4454</v>
      </c>
      <c r="I781" t="s">
        <v>4455</v>
      </c>
      <c r="J781" t="s">
        <v>126</v>
      </c>
      <c r="K781" t="s">
        <v>4248</v>
      </c>
      <c r="L781" t="s">
        <v>128</v>
      </c>
      <c r="M781" t="s">
        <v>1325</v>
      </c>
      <c r="N781" t="s">
        <v>4456</v>
      </c>
      <c r="O781" t="s">
        <v>3115</v>
      </c>
      <c r="P781">
        <v>0</v>
      </c>
      <c r="Q781" t="s">
        <v>125</v>
      </c>
      <c r="R781">
        <v>4</v>
      </c>
      <c r="S781">
        <v>78</v>
      </c>
      <c r="T781" t="s">
        <v>132</v>
      </c>
      <c r="U781" t="s">
        <v>133</v>
      </c>
      <c r="V781" s="1">
        <v>1000</v>
      </c>
      <c r="W781">
        <v>0</v>
      </c>
      <c r="X781" s="1">
        <v>1000</v>
      </c>
      <c r="Y781">
        <v>7</v>
      </c>
      <c r="Z781">
        <v>0</v>
      </c>
      <c r="AA781">
        <v>7</v>
      </c>
      <c r="AB781">
        <v>0</v>
      </c>
      <c r="AC781">
        <v>12</v>
      </c>
      <c r="AD781" t="s">
        <v>134</v>
      </c>
      <c r="AE781" t="s">
        <v>134</v>
      </c>
      <c r="AF781" s="2">
        <v>45518</v>
      </c>
      <c r="AG781" s="2">
        <v>46018</v>
      </c>
      <c r="AH781" s="1">
        <v>1177.57</v>
      </c>
      <c r="AI781" s="1">
        <v>1830.24</v>
      </c>
      <c r="AJ781" s="1">
        <v>10598.18</v>
      </c>
      <c r="AK781">
        <v>0</v>
      </c>
      <c r="AL781">
        <v>0</v>
      </c>
      <c r="AM781">
        <v>0</v>
      </c>
      <c r="AN781" t="s">
        <v>135</v>
      </c>
      <c r="AO781" t="s">
        <v>135</v>
      </c>
      <c r="AP781" t="s">
        <v>136</v>
      </c>
      <c r="AQ781" t="s">
        <v>137</v>
      </c>
      <c r="AR781" t="s">
        <v>138</v>
      </c>
      <c r="AS781" t="s">
        <v>150</v>
      </c>
      <c r="AT781" t="s">
        <v>140</v>
      </c>
      <c r="AU781">
        <v>104</v>
      </c>
      <c r="AV781">
        <v>10</v>
      </c>
      <c r="AW781">
        <v>1</v>
      </c>
      <c r="AX781" s="2">
        <v>45827</v>
      </c>
      <c r="AY781" t="s">
        <v>308</v>
      </c>
      <c r="AZ781" s="2">
        <v>46023</v>
      </c>
      <c r="BA781">
        <v>0</v>
      </c>
      <c r="BB781">
        <v>0</v>
      </c>
      <c r="BC781">
        <v>0</v>
      </c>
      <c r="BD781">
        <v>999</v>
      </c>
      <c r="BE781">
        <v>99</v>
      </c>
      <c r="BF781">
        <v>9</v>
      </c>
      <c r="BG781" t="s">
        <v>135</v>
      </c>
      <c r="BH781" t="s">
        <v>250</v>
      </c>
      <c r="BI781" t="s">
        <v>135</v>
      </c>
      <c r="BJ781">
        <v>0</v>
      </c>
      <c r="BK781">
        <v>0</v>
      </c>
      <c r="BL781">
        <v>0</v>
      </c>
      <c r="BM781">
        <v>7</v>
      </c>
      <c r="BN781">
        <v>1.59</v>
      </c>
      <c r="BO781">
        <v>943.01</v>
      </c>
      <c r="BP781" s="1">
        <v>3215.58</v>
      </c>
      <c r="BQ781" s="1">
        <v>4158.59</v>
      </c>
      <c r="BR781">
        <v>0</v>
      </c>
      <c r="BS781">
        <v>0</v>
      </c>
      <c r="BT781">
        <v>0</v>
      </c>
      <c r="BU781">
        <v>0</v>
      </c>
      <c r="BV781" s="1">
        <v>3981.14</v>
      </c>
      <c r="BW781" s="1">
        <v>3981.14</v>
      </c>
      <c r="BX781">
        <v>0</v>
      </c>
      <c r="BY781">
        <v>0</v>
      </c>
      <c r="BZ781">
        <v>0</v>
      </c>
      <c r="CA781">
        <v>0</v>
      </c>
      <c r="CB781" s="1">
        <v>2951.7</v>
      </c>
      <c r="CC781" t="s">
        <v>3116</v>
      </c>
    </row>
    <row r="782" spans="1:81" x14ac:dyDescent="0.25">
      <c r="A782">
        <v>345</v>
      </c>
      <c r="B782">
        <v>2</v>
      </c>
      <c r="C782">
        <v>2132</v>
      </c>
      <c r="D782" t="s">
        <v>4457</v>
      </c>
      <c r="E782" t="s">
        <v>121</v>
      </c>
      <c r="F782" t="s">
        <v>4458</v>
      </c>
      <c r="G782" t="s">
        <v>4459</v>
      </c>
      <c r="H782" t="s">
        <v>4460</v>
      </c>
      <c r="I782" t="s">
        <v>125</v>
      </c>
      <c r="J782" t="s">
        <v>4254</v>
      </c>
      <c r="K782" t="s">
        <v>4248</v>
      </c>
      <c r="L782" t="s">
        <v>128</v>
      </c>
      <c r="M782" t="s">
        <v>1325</v>
      </c>
      <c r="N782" t="s">
        <v>4461</v>
      </c>
      <c r="O782" t="s">
        <v>149</v>
      </c>
      <c r="P782">
        <v>0</v>
      </c>
      <c r="Q782" t="s">
        <v>125</v>
      </c>
      <c r="R782">
        <v>3</v>
      </c>
      <c r="S782">
        <v>85</v>
      </c>
      <c r="T782" t="s">
        <v>132</v>
      </c>
      <c r="U782" t="s">
        <v>133</v>
      </c>
      <c r="V782" s="1">
        <v>9700</v>
      </c>
      <c r="W782" s="1">
        <v>6790.82</v>
      </c>
      <c r="X782" s="1">
        <v>2909.18</v>
      </c>
      <c r="Y782">
        <v>0</v>
      </c>
      <c r="Z782">
        <v>0</v>
      </c>
      <c r="AA782">
        <v>7</v>
      </c>
      <c r="AB782">
        <v>0</v>
      </c>
      <c r="AC782">
        <v>4</v>
      </c>
      <c r="AD782" t="s">
        <v>134</v>
      </c>
      <c r="AE782" t="s">
        <v>134</v>
      </c>
      <c r="AF782" s="2">
        <v>45518</v>
      </c>
      <c r="AG782" s="2">
        <v>46017</v>
      </c>
      <c r="AH782" s="1">
        <v>5670.94</v>
      </c>
      <c r="AI782" s="1">
        <v>9866.82</v>
      </c>
      <c r="AJ782" s="1">
        <v>39696.61</v>
      </c>
      <c r="AK782" s="1">
        <v>6239.84</v>
      </c>
      <c r="AL782">
        <v>550.98</v>
      </c>
      <c r="AM782">
        <v>0</v>
      </c>
      <c r="AN782" t="s">
        <v>135</v>
      </c>
      <c r="AO782" t="s">
        <v>135</v>
      </c>
      <c r="AP782" t="s">
        <v>136</v>
      </c>
      <c r="AQ782" t="s">
        <v>137</v>
      </c>
      <c r="AR782" t="s">
        <v>138</v>
      </c>
      <c r="AS782" t="s">
        <v>150</v>
      </c>
      <c r="AT782" t="s">
        <v>140</v>
      </c>
      <c r="AU782">
        <v>104</v>
      </c>
      <c r="AV782">
        <v>10</v>
      </c>
      <c r="AW782">
        <v>1</v>
      </c>
      <c r="AX782" s="2">
        <v>45531</v>
      </c>
      <c r="AY782" t="s">
        <v>377</v>
      </c>
      <c r="AZ782" s="2">
        <v>46028</v>
      </c>
      <c r="BA782">
        <v>0</v>
      </c>
      <c r="BB782">
        <v>0</v>
      </c>
      <c r="BC782">
        <v>0</v>
      </c>
      <c r="BD782">
        <v>700</v>
      </c>
      <c r="BE782">
        <v>70</v>
      </c>
      <c r="BF782">
        <v>9</v>
      </c>
      <c r="BG782" s="2">
        <v>45536</v>
      </c>
      <c r="BH782" t="s">
        <v>142</v>
      </c>
      <c r="BI782" s="2">
        <v>46026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s="1">
        <v>6291.41</v>
      </c>
      <c r="BQ782" s="1">
        <v>6291.41</v>
      </c>
      <c r="BR782">
        <v>0</v>
      </c>
      <c r="BS782">
        <v>3.63</v>
      </c>
      <c r="BT782">
        <v>1.28</v>
      </c>
      <c r="BU782" s="1">
        <v>7416.14</v>
      </c>
      <c r="BV782" s="1">
        <v>13594.2</v>
      </c>
      <c r="BW782" s="1">
        <v>21010.34</v>
      </c>
      <c r="BX782">
        <v>550.98</v>
      </c>
      <c r="BY782">
        <v>7.43</v>
      </c>
      <c r="BZ782">
        <v>0</v>
      </c>
      <c r="CA782">
        <v>0</v>
      </c>
      <c r="CB782" s="1">
        <v>10993.5</v>
      </c>
      <c r="CC782" t="s">
        <v>152</v>
      </c>
    </row>
    <row r="783" spans="1:81" x14ac:dyDescent="0.25">
      <c r="A783">
        <v>345</v>
      </c>
      <c r="B783">
        <v>2</v>
      </c>
      <c r="C783">
        <v>2146</v>
      </c>
      <c r="D783" t="s">
        <v>4462</v>
      </c>
      <c r="E783" t="s">
        <v>121</v>
      </c>
      <c r="F783" t="s">
        <v>4463</v>
      </c>
      <c r="G783" t="s">
        <v>4464</v>
      </c>
      <c r="H783" t="s">
        <v>4465</v>
      </c>
      <c r="I783" t="s">
        <v>4466</v>
      </c>
      <c r="J783" t="s">
        <v>4247</v>
      </c>
      <c r="K783" t="s">
        <v>4248</v>
      </c>
      <c r="L783" t="s">
        <v>128</v>
      </c>
      <c r="M783" t="s">
        <v>1325</v>
      </c>
      <c r="N783" t="s">
        <v>4467</v>
      </c>
      <c r="O783" t="s">
        <v>195</v>
      </c>
      <c r="P783">
        <v>0</v>
      </c>
      <c r="Q783" t="s">
        <v>125</v>
      </c>
      <c r="R783">
        <v>6</v>
      </c>
      <c r="S783">
        <v>41</v>
      </c>
      <c r="T783" t="s">
        <v>132</v>
      </c>
      <c r="U783" t="s">
        <v>133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134</v>
      </c>
      <c r="AE783" t="s">
        <v>134</v>
      </c>
      <c r="AF783" s="2">
        <v>45518</v>
      </c>
      <c r="AG783" s="2">
        <v>46018</v>
      </c>
      <c r="AH783">
        <v>745.1</v>
      </c>
      <c r="AI783" s="1">
        <v>1080.94</v>
      </c>
      <c r="AJ783" s="1">
        <v>8941.2099999999991</v>
      </c>
      <c r="AK783">
        <v>0</v>
      </c>
      <c r="AL783">
        <v>0</v>
      </c>
      <c r="AM783">
        <v>0</v>
      </c>
      <c r="AN783" t="s">
        <v>135</v>
      </c>
      <c r="AO783" t="s">
        <v>135</v>
      </c>
      <c r="AP783" t="s">
        <v>136</v>
      </c>
      <c r="AQ783" t="s">
        <v>137</v>
      </c>
      <c r="AR783" t="s">
        <v>138</v>
      </c>
      <c r="AS783" t="s">
        <v>150</v>
      </c>
      <c r="AT783" t="s">
        <v>140</v>
      </c>
      <c r="AU783">
        <v>104</v>
      </c>
      <c r="AV783">
        <v>10</v>
      </c>
      <c r="AW783">
        <v>1</v>
      </c>
      <c r="AX783" s="2">
        <v>45813</v>
      </c>
      <c r="AY783" t="s">
        <v>308</v>
      </c>
      <c r="AZ783" s="2">
        <v>46023</v>
      </c>
      <c r="BA783">
        <v>0</v>
      </c>
      <c r="BB783">
        <v>0</v>
      </c>
      <c r="BC783">
        <v>0</v>
      </c>
      <c r="BD783">
        <v>700</v>
      </c>
      <c r="BE783">
        <v>70</v>
      </c>
      <c r="BF783">
        <v>9</v>
      </c>
      <c r="BG783" s="2">
        <v>45536</v>
      </c>
      <c r="BH783" t="s">
        <v>142</v>
      </c>
      <c r="BI783" s="2">
        <v>46026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s="1">
        <v>2504.92</v>
      </c>
      <c r="BQ783" s="1">
        <v>2504.92</v>
      </c>
      <c r="BR783">
        <v>0</v>
      </c>
      <c r="BS783">
        <v>0</v>
      </c>
      <c r="BT783">
        <v>0</v>
      </c>
      <c r="BU783">
        <v>0</v>
      </c>
      <c r="BV783" s="1">
        <v>3181.2</v>
      </c>
      <c r="BW783" s="1">
        <v>3181.2</v>
      </c>
      <c r="BX783">
        <v>0</v>
      </c>
      <c r="BY783">
        <v>0</v>
      </c>
      <c r="BZ783">
        <v>0</v>
      </c>
      <c r="CA783">
        <v>0</v>
      </c>
      <c r="CB783" s="1">
        <v>2663.46</v>
      </c>
      <c r="CC783" t="s">
        <v>161</v>
      </c>
    </row>
    <row r="784" spans="1:81" x14ac:dyDescent="0.25">
      <c r="A784">
        <v>345</v>
      </c>
      <c r="B784">
        <v>2</v>
      </c>
      <c r="C784">
        <v>2147</v>
      </c>
      <c r="D784" t="s">
        <v>4468</v>
      </c>
      <c r="E784" t="s">
        <v>121</v>
      </c>
      <c r="F784" t="s">
        <v>4469</v>
      </c>
      <c r="G784" t="s">
        <v>4470</v>
      </c>
      <c r="H784" t="s">
        <v>4471</v>
      </c>
      <c r="I784" t="s">
        <v>4472</v>
      </c>
      <c r="J784" t="s">
        <v>4247</v>
      </c>
      <c r="K784" t="s">
        <v>4248</v>
      </c>
      <c r="L784" t="s">
        <v>128</v>
      </c>
      <c r="M784" t="s">
        <v>1325</v>
      </c>
      <c r="N784" t="s">
        <v>4473</v>
      </c>
      <c r="O784" t="s">
        <v>167</v>
      </c>
      <c r="P784">
        <v>0</v>
      </c>
      <c r="Q784" t="s">
        <v>125</v>
      </c>
      <c r="R784">
        <v>6</v>
      </c>
      <c r="S784">
        <v>36</v>
      </c>
      <c r="T784" t="s">
        <v>132</v>
      </c>
      <c r="U784" t="s">
        <v>133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134</v>
      </c>
      <c r="AE784" t="s">
        <v>134</v>
      </c>
      <c r="AF784" s="2">
        <v>45518</v>
      </c>
      <c r="AG784" s="2">
        <v>46017</v>
      </c>
      <c r="AH784">
        <v>762.5</v>
      </c>
      <c r="AI784" s="1">
        <v>1282</v>
      </c>
      <c r="AJ784" s="1">
        <v>8387.5300000000007</v>
      </c>
      <c r="AK784">
        <v>0</v>
      </c>
      <c r="AL784" s="1">
        <v>1282</v>
      </c>
      <c r="AM784">
        <v>0</v>
      </c>
      <c r="AN784" t="s">
        <v>135</v>
      </c>
      <c r="AO784" t="s">
        <v>135</v>
      </c>
      <c r="AP784" t="s">
        <v>136</v>
      </c>
      <c r="AQ784" t="s">
        <v>137</v>
      </c>
      <c r="AR784" t="s">
        <v>138</v>
      </c>
      <c r="AS784" t="s">
        <v>139</v>
      </c>
      <c r="AT784" t="s">
        <v>140</v>
      </c>
      <c r="AU784">
        <v>104</v>
      </c>
      <c r="AV784">
        <v>10</v>
      </c>
      <c r="AW784">
        <v>1</v>
      </c>
      <c r="AX784" s="2">
        <v>45811</v>
      </c>
      <c r="AY784" t="s">
        <v>377</v>
      </c>
      <c r="AZ784" s="2">
        <v>46028</v>
      </c>
      <c r="BA784">
        <v>0</v>
      </c>
      <c r="BB784">
        <v>0</v>
      </c>
      <c r="BC784">
        <v>0</v>
      </c>
      <c r="BD784">
        <v>700</v>
      </c>
      <c r="BE784">
        <v>70</v>
      </c>
      <c r="BF784">
        <v>9</v>
      </c>
      <c r="BG784" s="2">
        <v>45536</v>
      </c>
      <c r="BH784" t="s">
        <v>142</v>
      </c>
      <c r="BI784" s="2">
        <v>46026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s="1">
        <v>2150.04</v>
      </c>
      <c r="BQ784" s="1">
        <v>2150.04</v>
      </c>
      <c r="BR784">
        <v>0</v>
      </c>
      <c r="BS784">
        <v>0</v>
      </c>
      <c r="BT784">
        <v>0</v>
      </c>
      <c r="BU784">
        <v>0</v>
      </c>
      <c r="BV784" s="1">
        <v>2724.14</v>
      </c>
      <c r="BW784" s="1">
        <v>2724.14</v>
      </c>
      <c r="BX784">
        <v>0</v>
      </c>
      <c r="BY784">
        <v>0</v>
      </c>
      <c r="BZ784">
        <v>0</v>
      </c>
      <c r="CA784">
        <v>0</v>
      </c>
      <c r="CB784" s="1">
        <v>2095.23</v>
      </c>
      <c r="CC784" t="s">
        <v>161</v>
      </c>
    </row>
    <row r="785" spans="1:81" x14ac:dyDescent="0.25">
      <c r="A785">
        <v>345</v>
      </c>
      <c r="B785">
        <v>2</v>
      </c>
      <c r="C785">
        <v>2151</v>
      </c>
      <c r="D785" t="s">
        <v>4474</v>
      </c>
      <c r="E785" t="s">
        <v>121</v>
      </c>
      <c r="F785" t="s">
        <v>4475</v>
      </c>
      <c r="G785" t="s">
        <v>4476</v>
      </c>
      <c r="H785" t="s">
        <v>4477</v>
      </c>
      <c r="I785" t="s">
        <v>4478</v>
      </c>
      <c r="J785" t="s">
        <v>126</v>
      </c>
      <c r="K785" t="s">
        <v>4248</v>
      </c>
      <c r="L785" t="s">
        <v>128</v>
      </c>
      <c r="M785" t="s">
        <v>1325</v>
      </c>
      <c r="N785" t="s">
        <v>4479</v>
      </c>
      <c r="O785" t="s">
        <v>149</v>
      </c>
      <c r="P785">
        <v>0</v>
      </c>
      <c r="Q785" t="s">
        <v>125</v>
      </c>
      <c r="R785">
        <v>6</v>
      </c>
      <c r="S785">
        <v>40</v>
      </c>
      <c r="T785" t="s">
        <v>132</v>
      </c>
      <c r="U785" t="s">
        <v>133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134</v>
      </c>
      <c r="AE785" t="s">
        <v>134</v>
      </c>
      <c r="AF785" s="2">
        <v>45518</v>
      </c>
      <c r="AG785" s="2">
        <v>46018</v>
      </c>
      <c r="AH785">
        <v>799.18</v>
      </c>
      <c r="AI785" s="1">
        <v>4605.13</v>
      </c>
      <c r="AJ785" s="1">
        <v>8790.98</v>
      </c>
      <c r="AK785">
        <v>0</v>
      </c>
      <c r="AL785">
        <v>0</v>
      </c>
      <c r="AM785">
        <v>0</v>
      </c>
      <c r="AN785" t="s">
        <v>135</v>
      </c>
      <c r="AO785" t="s">
        <v>135</v>
      </c>
      <c r="AP785" t="s">
        <v>136</v>
      </c>
      <c r="AQ785" t="s">
        <v>137</v>
      </c>
      <c r="AR785" t="s">
        <v>138</v>
      </c>
      <c r="AS785" t="s">
        <v>139</v>
      </c>
      <c r="AT785" t="s">
        <v>140</v>
      </c>
      <c r="AU785">
        <v>104</v>
      </c>
      <c r="AV785">
        <v>10</v>
      </c>
      <c r="AW785">
        <v>1</v>
      </c>
      <c r="AX785" s="2">
        <v>45813</v>
      </c>
      <c r="AY785" t="s">
        <v>308</v>
      </c>
      <c r="AZ785" s="2">
        <v>46023</v>
      </c>
      <c r="BA785">
        <v>0</v>
      </c>
      <c r="BB785">
        <v>0</v>
      </c>
      <c r="BC785">
        <v>0</v>
      </c>
      <c r="BD785">
        <v>700</v>
      </c>
      <c r="BE785">
        <v>70</v>
      </c>
      <c r="BF785">
        <v>9</v>
      </c>
      <c r="BG785" s="2">
        <v>45536</v>
      </c>
      <c r="BH785" t="s">
        <v>142</v>
      </c>
      <c r="BI785" s="2">
        <v>46026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s="1">
        <v>2038.34</v>
      </c>
      <c r="BQ785" s="1">
        <v>2038.34</v>
      </c>
      <c r="BR785">
        <v>0</v>
      </c>
      <c r="BS785">
        <v>0</v>
      </c>
      <c r="BT785">
        <v>0</v>
      </c>
      <c r="BU785">
        <v>0</v>
      </c>
      <c r="BV785" s="1">
        <v>1707.15</v>
      </c>
      <c r="BW785" s="1">
        <v>1707.15</v>
      </c>
      <c r="BX785">
        <v>0</v>
      </c>
      <c r="BY785">
        <v>0</v>
      </c>
      <c r="BZ785">
        <v>0</v>
      </c>
      <c r="CA785">
        <v>0</v>
      </c>
      <c r="CB785" s="1">
        <v>2987</v>
      </c>
      <c r="CC785" t="s">
        <v>152</v>
      </c>
    </row>
    <row r="786" spans="1:81" x14ac:dyDescent="0.25">
      <c r="A786">
        <v>345</v>
      </c>
      <c r="B786">
        <v>2</v>
      </c>
      <c r="C786">
        <v>2152</v>
      </c>
      <c r="D786" t="s">
        <v>4480</v>
      </c>
      <c r="E786" t="s">
        <v>121</v>
      </c>
      <c r="F786" t="s">
        <v>4481</v>
      </c>
      <c r="G786" t="s">
        <v>4482</v>
      </c>
      <c r="H786" t="s">
        <v>4483</v>
      </c>
      <c r="I786" t="s">
        <v>125</v>
      </c>
      <c r="J786" t="s">
        <v>126</v>
      </c>
      <c r="K786" t="s">
        <v>4248</v>
      </c>
      <c r="L786" t="s">
        <v>128</v>
      </c>
      <c r="M786" t="s">
        <v>1325</v>
      </c>
      <c r="N786" t="s">
        <v>4484</v>
      </c>
      <c r="O786" t="s">
        <v>201</v>
      </c>
      <c r="P786">
        <v>0</v>
      </c>
      <c r="Q786" t="s">
        <v>125</v>
      </c>
      <c r="R786">
        <v>6</v>
      </c>
      <c r="S786">
        <v>38</v>
      </c>
      <c r="T786" t="s">
        <v>132</v>
      </c>
      <c r="U786" t="s">
        <v>133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134</v>
      </c>
      <c r="AE786" t="s">
        <v>134</v>
      </c>
      <c r="AF786" s="2">
        <v>45518</v>
      </c>
      <c r="AG786" s="2">
        <v>46018</v>
      </c>
      <c r="AH786">
        <v>180.71</v>
      </c>
      <c r="AI786">
        <v>241</v>
      </c>
      <c r="AJ786">
        <v>361.42</v>
      </c>
      <c r="AK786">
        <v>0</v>
      </c>
      <c r="AL786">
        <v>0</v>
      </c>
      <c r="AM786">
        <v>0</v>
      </c>
      <c r="AN786" t="s">
        <v>135</v>
      </c>
      <c r="AO786" t="s">
        <v>135</v>
      </c>
      <c r="AP786" t="s">
        <v>136</v>
      </c>
      <c r="AQ786" t="s">
        <v>137</v>
      </c>
      <c r="AR786" t="s">
        <v>138</v>
      </c>
      <c r="AS786" t="s">
        <v>139</v>
      </c>
      <c r="AT786" t="s">
        <v>140</v>
      </c>
      <c r="AU786">
        <v>104</v>
      </c>
      <c r="AV786">
        <v>10</v>
      </c>
      <c r="AW786">
        <v>1</v>
      </c>
      <c r="AX786" s="2">
        <v>45812</v>
      </c>
      <c r="AY786" t="s">
        <v>168</v>
      </c>
      <c r="AZ786" s="2">
        <v>46022</v>
      </c>
      <c r="BA786">
        <v>0</v>
      </c>
      <c r="BB786">
        <v>0</v>
      </c>
      <c r="BC786">
        <v>0</v>
      </c>
      <c r="BD786">
        <v>700</v>
      </c>
      <c r="BE786">
        <v>70</v>
      </c>
      <c r="BF786">
        <v>9</v>
      </c>
      <c r="BG786" s="2">
        <v>45536</v>
      </c>
      <c r="BH786" t="s">
        <v>142</v>
      </c>
      <c r="BI786" s="2">
        <v>46026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241</v>
      </c>
      <c r="BW786">
        <v>241</v>
      </c>
      <c r="BX786">
        <v>0</v>
      </c>
      <c r="BY786">
        <v>0</v>
      </c>
      <c r="BZ786">
        <v>0</v>
      </c>
      <c r="CA786">
        <v>0</v>
      </c>
      <c r="CB786">
        <v>254.95</v>
      </c>
      <c r="CC786" t="s">
        <v>143</v>
      </c>
    </row>
    <row r="787" spans="1:81" x14ac:dyDescent="0.25">
      <c r="A787">
        <v>345</v>
      </c>
      <c r="B787">
        <v>2</v>
      </c>
      <c r="C787">
        <v>2155</v>
      </c>
      <c r="D787" t="s">
        <v>4485</v>
      </c>
      <c r="E787" t="s">
        <v>121</v>
      </c>
      <c r="F787" t="s">
        <v>4486</v>
      </c>
      <c r="G787" t="s">
        <v>4487</v>
      </c>
      <c r="H787" t="s">
        <v>4488</v>
      </c>
      <c r="I787" t="s">
        <v>4489</v>
      </c>
      <c r="J787" t="s">
        <v>4297</v>
      </c>
      <c r="K787" t="s">
        <v>4248</v>
      </c>
      <c r="L787" t="s">
        <v>128</v>
      </c>
      <c r="M787" t="s">
        <v>1325</v>
      </c>
      <c r="N787" t="s">
        <v>4490</v>
      </c>
      <c r="O787" t="s">
        <v>201</v>
      </c>
      <c r="P787">
        <v>0</v>
      </c>
      <c r="Q787" t="s">
        <v>125</v>
      </c>
      <c r="R787">
        <v>6</v>
      </c>
      <c r="S787">
        <v>40</v>
      </c>
      <c r="T787" t="s">
        <v>132</v>
      </c>
      <c r="U787" t="s">
        <v>133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134</v>
      </c>
      <c r="AE787" t="s">
        <v>134</v>
      </c>
      <c r="AF787" s="2">
        <v>45518</v>
      </c>
      <c r="AG787" s="2">
        <v>45994</v>
      </c>
      <c r="AH787">
        <v>109.41</v>
      </c>
      <c r="AI787">
        <v>113.67</v>
      </c>
      <c r="AJ787">
        <v>218.83</v>
      </c>
      <c r="AK787">
        <v>0</v>
      </c>
      <c r="AL787">
        <v>0</v>
      </c>
      <c r="AM787">
        <v>0</v>
      </c>
      <c r="AN787" t="s">
        <v>135</v>
      </c>
      <c r="AO787" t="s">
        <v>135</v>
      </c>
      <c r="AP787" t="s">
        <v>136</v>
      </c>
      <c r="AQ787" t="s">
        <v>137</v>
      </c>
      <c r="AR787" t="s">
        <v>138</v>
      </c>
      <c r="AS787" t="s">
        <v>139</v>
      </c>
      <c r="AT787" t="s">
        <v>140</v>
      </c>
      <c r="AU787">
        <v>104</v>
      </c>
      <c r="AV787">
        <v>10</v>
      </c>
      <c r="AW787">
        <v>1</v>
      </c>
      <c r="AX787" s="2">
        <v>45531</v>
      </c>
      <c r="AY787" t="s">
        <v>377</v>
      </c>
      <c r="AZ787" s="2">
        <v>46028</v>
      </c>
      <c r="BA787">
        <v>0</v>
      </c>
      <c r="BB787">
        <v>0</v>
      </c>
      <c r="BC787">
        <v>0</v>
      </c>
      <c r="BD787">
        <v>700</v>
      </c>
      <c r="BE787">
        <v>70</v>
      </c>
      <c r="BF787">
        <v>9</v>
      </c>
      <c r="BG787" s="2">
        <v>45536</v>
      </c>
      <c r="BH787" t="s">
        <v>142</v>
      </c>
      <c r="BI787" s="2">
        <v>46026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113.67</v>
      </c>
      <c r="BW787">
        <v>113.67</v>
      </c>
      <c r="BX787">
        <v>0</v>
      </c>
      <c r="BY787">
        <v>0</v>
      </c>
      <c r="BZ787">
        <v>0</v>
      </c>
      <c r="CA787">
        <v>0</v>
      </c>
      <c r="CB787">
        <v>35.049999999999997</v>
      </c>
      <c r="CC787" t="s">
        <v>143</v>
      </c>
    </row>
    <row r="788" spans="1:81" x14ac:dyDescent="0.25">
      <c r="A788">
        <v>345</v>
      </c>
      <c r="B788">
        <v>2</v>
      </c>
      <c r="C788">
        <v>2158</v>
      </c>
      <c r="D788" t="s">
        <v>4491</v>
      </c>
      <c r="E788" t="s">
        <v>121</v>
      </c>
      <c r="F788" t="s">
        <v>4492</v>
      </c>
      <c r="G788" t="s">
        <v>4493</v>
      </c>
      <c r="H788" t="s">
        <v>4494</v>
      </c>
      <c r="I788" t="s">
        <v>125</v>
      </c>
      <c r="J788" t="s">
        <v>4260</v>
      </c>
      <c r="K788" t="s">
        <v>4248</v>
      </c>
      <c r="L788" t="s">
        <v>128</v>
      </c>
      <c r="M788" t="s">
        <v>1325</v>
      </c>
      <c r="N788" t="s">
        <v>4495</v>
      </c>
      <c r="O788" t="s">
        <v>159</v>
      </c>
      <c r="P788">
        <v>0</v>
      </c>
      <c r="Q788" t="s">
        <v>125</v>
      </c>
      <c r="R788">
        <v>5</v>
      </c>
      <c r="S788">
        <v>72</v>
      </c>
      <c r="T788" t="s">
        <v>132</v>
      </c>
      <c r="U788" t="s">
        <v>133</v>
      </c>
      <c r="V788" s="1">
        <v>1000</v>
      </c>
      <c r="W788">
        <v>0</v>
      </c>
      <c r="X788" s="1">
        <v>1000</v>
      </c>
      <c r="Y788">
        <v>7</v>
      </c>
      <c r="Z788">
        <v>0</v>
      </c>
      <c r="AA788">
        <v>5</v>
      </c>
      <c r="AB788">
        <v>1</v>
      </c>
      <c r="AC788">
        <v>50</v>
      </c>
      <c r="AD788" t="s">
        <v>134</v>
      </c>
      <c r="AE788" t="s">
        <v>134</v>
      </c>
      <c r="AF788" s="2">
        <v>45518</v>
      </c>
      <c r="AG788" s="2">
        <v>45960</v>
      </c>
      <c r="AH788">
        <v>512.63</v>
      </c>
      <c r="AI788">
        <v>512.63</v>
      </c>
      <c r="AJ788">
        <v>512.63</v>
      </c>
      <c r="AK788">
        <v>0</v>
      </c>
      <c r="AL788">
        <v>0</v>
      </c>
      <c r="AM788">
        <v>0</v>
      </c>
      <c r="AN788" t="s">
        <v>135</v>
      </c>
      <c r="AO788" t="s">
        <v>135</v>
      </c>
      <c r="AP788" t="s">
        <v>136</v>
      </c>
      <c r="AQ788" t="s">
        <v>137</v>
      </c>
      <c r="AR788" t="s">
        <v>138</v>
      </c>
      <c r="AS788" t="s">
        <v>150</v>
      </c>
      <c r="AT788" t="s">
        <v>140</v>
      </c>
      <c r="AU788">
        <v>104</v>
      </c>
      <c r="AV788">
        <v>10</v>
      </c>
      <c r="AW788">
        <v>1</v>
      </c>
      <c r="AX788" s="2">
        <v>45832</v>
      </c>
      <c r="AY788" t="s">
        <v>377</v>
      </c>
      <c r="AZ788" s="2">
        <v>46028</v>
      </c>
      <c r="BA788">
        <v>0</v>
      </c>
      <c r="BB788">
        <v>0</v>
      </c>
      <c r="BC788">
        <v>0</v>
      </c>
      <c r="BD788">
        <v>700</v>
      </c>
      <c r="BE788">
        <v>70</v>
      </c>
      <c r="BF788">
        <v>9</v>
      </c>
      <c r="BG788" s="2">
        <v>45536</v>
      </c>
      <c r="BH788" t="s">
        <v>142</v>
      </c>
      <c r="BI788" s="2">
        <v>46026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283.26</v>
      </c>
      <c r="CC788" t="s">
        <v>161</v>
      </c>
    </row>
    <row r="789" spans="1:81" x14ac:dyDescent="0.25">
      <c r="A789">
        <v>345</v>
      </c>
      <c r="B789">
        <v>2</v>
      </c>
      <c r="C789">
        <v>2161</v>
      </c>
      <c r="D789" t="s">
        <v>4496</v>
      </c>
      <c r="E789" t="s">
        <v>121</v>
      </c>
      <c r="F789" t="s">
        <v>4497</v>
      </c>
      <c r="G789" t="s">
        <v>4498</v>
      </c>
      <c r="H789" t="s">
        <v>4499</v>
      </c>
      <c r="I789" t="s">
        <v>4500</v>
      </c>
      <c r="J789" t="s">
        <v>4254</v>
      </c>
      <c r="K789" t="s">
        <v>4248</v>
      </c>
      <c r="L789" t="s">
        <v>128</v>
      </c>
      <c r="M789" t="s">
        <v>4501</v>
      </c>
      <c r="N789" t="s">
        <v>4502</v>
      </c>
      <c r="O789" t="s">
        <v>167</v>
      </c>
      <c r="P789">
        <v>0</v>
      </c>
      <c r="Q789" t="s">
        <v>125</v>
      </c>
      <c r="R789">
        <v>3</v>
      </c>
      <c r="S789">
        <v>85</v>
      </c>
      <c r="T789" t="s">
        <v>132</v>
      </c>
      <c r="U789" t="s">
        <v>133</v>
      </c>
      <c r="V789" s="1">
        <v>2700</v>
      </c>
      <c r="W789">
        <v>0</v>
      </c>
      <c r="X789" s="1">
        <v>2700</v>
      </c>
      <c r="Y789">
        <v>7</v>
      </c>
      <c r="Z789">
        <v>0</v>
      </c>
      <c r="AA789">
        <v>0</v>
      </c>
      <c r="AB789">
        <v>0</v>
      </c>
      <c r="AC789">
        <v>0</v>
      </c>
      <c r="AD789" t="s">
        <v>134</v>
      </c>
      <c r="AE789" t="s">
        <v>134</v>
      </c>
      <c r="AF789" s="2">
        <v>45518</v>
      </c>
      <c r="AG789" s="2">
        <v>46008</v>
      </c>
      <c r="AH789" s="1">
        <v>1316.28</v>
      </c>
      <c r="AI789" s="1">
        <v>2052.89</v>
      </c>
      <c r="AJ789" s="1">
        <v>10530.27</v>
      </c>
      <c r="AK789">
        <v>0</v>
      </c>
      <c r="AL789">
        <v>0</v>
      </c>
      <c r="AM789">
        <v>0</v>
      </c>
      <c r="AN789" t="s">
        <v>135</v>
      </c>
      <c r="AO789" t="s">
        <v>135</v>
      </c>
      <c r="AP789" t="s">
        <v>136</v>
      </c>
      <c r="AQ789" t="s">
        <v>137</v>
      </c>
      <c r="AR789" t="s">
        <v>138</v>
      </c>
      <c r="AS789" t="s">
        <v>139</v>
      </c>
      <c r="AT789" t="s">
        <v>140</v>
      </c>
      <c r="AU789">
        <v>104</v>
      </c>
      <c r="AV789">
        <v>10</v>
      </c>
      <c r="AW789">
        <v>1</v>
      </c>
      <c r="AX789" s="2">
        <v>45839</v>
      </c>
      <c r="AY789" t="s">
        <v>377</v>
      </c>
      <c r="AZ789" s="2">
        <v>46028</v>
      </c>
      <c r="BA789">
        <v>0</v>
      </c>
      <c r="BB789">
        <v>0</v>
      </c>
      <c r="BC789">
        <v>0</v>
      </c>
      <c r="BD789">
        <v>700</v>
      </c>
      <c r="BE789">
        <v>70</v>
      </c>
      <c r="BF789">
        <v>9</v>
      </c>
      <c r="BG789" s="2">
        <v>45536</v>
      </c>
      <c r="BH789" t="s">
        <v>142</v>
      </c>
      <c r="BI789" s="2">
        <v>46026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s="1">
        <v>4112.5</v>
      </c>
      <c r="BQ789" s="1">
        <v>4112.5</v>
      </c>
      <c r="BR789">
        <v>0</v>
      </c>
      <c r="BS789">
        <v>0</v>
      </c>
      <c r="BT789">
        <v>0</v>
      </c>
      <c r="BU789">
        <v>0</v>
      </c>
      <c r="BV789" s="1">
        <v>2575.79</v>
      </c>
      <c r="BW789" s="1">
        <v>2575.79</v>
      </c>
      <c r="BX789">
        <v>0</v>
      </c>
      <c r="BY789">
        <v>0</v>
      </c>
      <c r="BZ789">
        <v>0</v>
      </c>
      <c r="CA789">
        <v>0</v>
      </c>
      <c r="CB789" s="1">
        <v>3947.96</v>
      </c>
      <c r="CC789" t="s">
        <v>161</v>
      </c>
    </row>
    <row r="790" spans="1:81" x14ac:dyDescent="0.25">
      <c r="A790">
        <v>345</v>
      </c>
      <c r="B790">
        <v>2</v>
      </c>
      <c r="C790">
        <v>2164</v>
      </c>
      <c r="D790" t="s">
        <v>4503</v>
      </c>
      <c r="E790" t="s">
        <v>121</v>
      </c>
      <c r="F790" t="s">
        <v>4504</v>
      </c>
      <c r="G790" t="s">
        <v>4505</v>
      </c>
      <c r="H790" t="s">
        <v>4506</v>
      </c>
      <c r="I790" t="s">
        <v>125</v>
      </c>
      <c r="J790" t="s">
        <v>126</v>
      </c>
      <c r="K790" t="s">
        <v>4248</v>
      </c>
      <c r="L790" t="s">
        <v>128</v>
      </c>
      <c r="M790" t="s">
        <v>1325</v>
      </c>
      <c r="N790" t="s">
        <v>4507</v>
      </c>
      <c r="O790" t="s">
        <v>167</v>
      </c>
      <c r="P790">
        <v>0</v>
      </c>
      <c r="Q790" t="s">
        <v>125</v>
      </c>
      <c r="R790">
        <v>3</v>
      </c>
      <c r="S790">
        <v>87</v>
      </c>
      <c r="T790" t="s">
        <v>132</v>
      </c>
      <c r="U790" t="s">
        <v>133</v>
      </c>
      <c r="V790">
        <v>252</v>
      </c>
      <c r="W790">
        <v>0</v>
      </c>
      <c r="X790">
        <v>252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134</v>
      </c>
      <c r="AE790" t="s">
        <v>134</v>
      </c>
      <c r="AF790" s="2">
        <v>45518</v>
      </c>
      <c r="AG790" s="2">
        <v>46018</v>
      </c>
      <c r="AH790">
        <v>173.06</v>
      </c>
      <c r="AI790">
        <v>280.13</v>
      </c>
      <c r="AJ790">
        <v>692.26</v>
      </c>
      <c r="AK790">
        <v>0</v>
      </c>
      <c r="AL790">
        <v>0</v>
      </c>
      <c r="AM790">
        <v>0</v>
      </c>
      <c r="AN790" t="s">
        <v>135</v>
      </c>
      <c r="AO790" t="s">
        <v>135</v>
      </c>
      <c r="AP790" t="s">
        <v>136</v>
      </c>
      <c r="AQ790" t="s">
        <v>137</v>
      </c>
      <c r="AR790" t="s">
        <v>138</v>
      </c>
      <c r="AS790" t="s">
        <v>139</v>
      </c>
      <c r="AT790" t="s">
        <v>140</v>
      </c>
      <c r="AU790">
        <v>104</v>
      </c>
      <c r="AV790">
        <v>10</v>
      </c>
      <c r="AW790">
        <v>1</v>
      </c>
      <c r="AX790" s="2">
        <v>45861</v>
      </c>
      <c r="AY790" t="s">
        <v>168</v>
      </c>
      <c r="AZ790" s="2">
        <v>46022</v>
      </c>
      <c r="BA790">
        <v>0</v>
      </c>
      <c r="BB790">
        <v>0</v>
      </c>
      <c r="BC790">
        <v>0</v>
      </c>
      <c r="BD790">
        <v>700</v>
      </c>
      <c r="BE790">
        <v>70</v>
      </c>
      <c r="BF790">
        <v>9</v>
      </c>
      <c r="BG790" s="2">
        <v>45536</v>
      </c>
      <c r="BH790" t="s">
        <v>142</v>
      </c>
      <c r="BI790" s="2">
        <v>46026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114.6</v>
      </c>
      <c r="BQ790">
        <v>229.2</v>
      </c>
      <c r="BR790">
        <v>0</v>
      </c>
      <c r="BS790">
        <v>0</v>
      </c>
      <c r="BT790">
        <v>0</v>
      </c>
      <c r="BU790">
        <v>0</v>
      </c>
      <c r="BV790">
        <v>463.06</v>
      </c>
      <c r="BW790">
        <v>463.06</v>
      </c>
      <c r="BX790">
        <v>0</v>
      </c>
      <c r="BY790">
        <v>0</v>
      </c>
      <c r="BZ790">
        <v>0</v>
      </c>
      <c r="CA790">
        <v>0</v>
      </c>
      <c r="CB790">
        <v>76.400000000000006</v>
      </c>
      <c r="CC790" t="s">
        <v>161</v>
      </c>
    </row>
    <row r="791" spans="1:81" x14ac:dyDescent="0.25">
      <c r="A791">
        <v>345</v>
      </c>
      <c r="B791">
        <v>2</v>
      </c>
      <c r="C791">
        <v>2168</v>
      </c>
      <c r="D791" t="s">
        <v>4508</v>
      </c>
      <c r="E791" t="s">
        <v>121</v>
      </c>
      <c r="F791" t="s">
        <v>4509</v>
      </c>
      <c r="G791" t="s">
        <v>4510</v>
      </c>
      <c r="H791" t="s">
        <v>4511</v>
      </c>
      <c r="I791" t="s">
        <v>4512</v>
      </c>
      <c r="J791" t="s">
        <v>4254</v>
      </c>
      <c r="K791" t="s">
        <v>4248</v>
      </c>
      <c r="L791" t="s">
        <v>128</v>
      </c>
      <c r="M791" t="s">
        <v>4501</v>
      </c>
      <c r="N791" t="s">
        <v>4513</v>
      </c>
      <c r="O791" t="s">
        <v>201</v>
      </c>
      <c r="P791">
        <v>0</v>
      </c>
      <c r="Q791" t="s">
        <v>125</v>
      </c>
      <c r="R791">
        <v>6</v>
      </c>
      <c r="S791">
        <v>39</v>
      </c>
      <c r="T791" t="s">
        <v>132</v>
      </c>
      <c r="U791" t="s">
        <v>133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134</v>
      </c>
      <c r="AE791" t="s">
        <v>134</v>
      </c>
      <c r="AF791" s="2">
        <v>45518</v>
      </c>
      <c r="AG791" s="2">
        <v>46008</v>
      </c>
      <c r="AH791" s="1">
        <v>1360.81</v>
      </c>
      <c r="AI791" s="1">
        <v>3036.96</v>
      </c>
      <c r="AJ791" s="1">
        <v>14968.99</v>
      </c>
      <c r="AK791">
        <v>0</v>
      </c>
      <c r="AL791" s="1">
        <v>3036.96</v>
      </c>
      <c r="AM791">
        <v>0</v>
      </c>
      <c r="AN791" t="s">
        <v>135</v>
      </c>
      <c r="AO791" t="s">
        <v>135</v>
      </c>
      <c r="AP791" t="s">
        <v>136</v>
      </c>
      <c r="AQ791" t="s">
        <v>137</v>
      </c>
      <c r="AR791" t="s">
        <v>138</v>
      </c>
      <c r="AS791" t="s">
        <v>139</v>
      </c>
      <c r="AT791" t="s">
        <v>140</v>
      </c>
      <c r="AU791">
        <v>104</v>
      </c>
      <c r="AV791">
        <v>10</v>
      </c>
      <c r="AW791">
        <v>1</v>
      </c>
      <c r="AX791" s="2">
        <v>45601</v>
      </c>
      <c r="AY791" t="s">
        <v>377</v>
      </c>
      <c r="AZ791" s="2">
        <v>46028</v>
      </c>
      <c r="BA791">
        <v>0</v>
      </c>
      <c r="BB791">
        <v>0</v>
      </c>
      <c r="BC791">
        <v>0</v>
      </c>
      <c r="BD791">
        <v>700</v>
      </c>
      <c r="BE791">
        <v>70</v>
      </c>
      <c r="BF791">
        <v>9</v>
      </c>
      <c r="BG791" s="2">
        <v>45536</v>
      </c>
      <c r="BH791" t="s">
        <v>142</v>
      </c>
      <c r="BI791" s="2">
        <v>46026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s="1">
        <v>2289.48</v>
      </c>
      <c r="BQ791" s="1">
        <v>2289.48</v>
      </c>
      <c r="BR791">
        <v>0</v>
      </c>
      <c r="BS791">
        <v>0</v>
      </c>
      <c r="BT791">
        <v>0</v>
      </c>
      <c r="BU791">
        <v>0</v>
      </c>
      <c r="BV791" s="1">
        <v>7909.52</v>
      </c>
      <c r="BW791" s="1">
        <v>7909.52</v>
      </c>
      <c r="BX791">
        <v>0</v>
      </c>
      <c r="BY791">
        <v>0</v>
      </c>
      <c r="BZ791">
        <v>0</v>
      </c>
      <c r="CA791">
        <v>0</v>
      </c>
      <c r="CB791" s="1">
        <v>3197.65</v>
      </c>
      <c r="CC791" t="s">
        <v>143</v>
      </c>
    </row>
    <row r="792" spans="1:81" x14ac:dyDescent="0.25">
      <c r="A792">
        <v>345</v>
      </c>
      <c r="B792">
        <v>2</v>
      </c>
      <c r="C792">
        <v>2172</v>
      </c>
      <c r="D792" t="s">
        <v>4514</v>
      </c>
      <c r="E792" t="s">
        <v>121</v>
      </c>
      <c r="F792" t="s">
        <v>4515</v>
      </c>
      <c r="G792" t="s">
        <v>4516</v>
      </c>
      <c r="H792" t="s">
        <v>4517</v>
      </c>
      <c r="I792" t="s">
        <v>4518</v>
      </c>
      <c r="J792" t="s">
        <v>126</v>
      </c>
      <c r="K792" t="s">
        <v>4248</v>
      </c>
      <c r="L792" t="s">
        <v>128</v>
      </c>
      <c r="M792" t="s">
        <v>1325</v>
      </c>
      <c r="N792" t="s">
        <v>4519</v>
      </c>
      <c r="O792" t="s">
        <v>2996</v>
      </c>
      <c r="P792">
        <v>0</v>
      </c>
      <c r="Q792" t="s">
        <v>125</v>
      </c>
      <c r="R792">
        <v>3</v>
      </c>
      <c r="S792">
        <v>86</v>
      </c>
      <c r="T792" t="s">
        <v>132</v>
      </c>
      <c r="U792" t="s">
        <v>133</v>
      </c>
      <c r="V792" s="1">
        <v>3000</v>
      </c>
      <c r="W792" s="1">
        <v>1391.47</v>
      </c>
      <c r="X792" s="1">
        <v>1608.53</v>
      </c>
      <c r="Y792">
        <v>7</v>
      </c>
      <c r="Z792">
        <v>0</v>
      </c>
      <c r="AA792">
        <v>9</v>
      </c>
      <c r="AB792">
        <v>1</v>
      </c>
      <c r="AC792">
        <v>25</v>
      </c>
      <c r="AD792" t="s">
        <v>134</v>
      </c>
      <c r="AE792" t="s">
        <v>134</v>
      </c>
      <c r="AF792" s="2">
        <v>45518</v>
      </c>
      <c r="AG792" s="2">
        <v>46018</v>
      </c>
      <c r="AH792" s="1">
        <v>1586.27</v>
      </c>
      <c r="AI792" s="1">
        <v>1789.23</v>
      </c>
      <c r="AJ792" s="1">
        <v>4758.82</v>
      </c>
      <c r="AK792">
        <v>0</v>
      </c>
      <c r="AL792" s="1">
        <v>1391.47</v>
      </c>
      <c r="AM792">
        <v>128.59</v>
      </c>
      <c r="AN792" t="s">
        <v>135</v>
      </c>
      <c r="AO792" t="s">
        <v>135</v>
      </c>
      <c r="AP792" t="s">
        <v>136</v>
      </c>
      <c r="AQ792" t="s">
        <v>137</v>
      </c>
      <c r="AR792" t="s">
        <v>138</v>
      </c>
      <c r="AS792" t="s">
        <v>139</v>
      </c>
      <c r="AT792" t="s">
        <v>140</v>
      </c>
      <c r="AU792">
        <v>104</v>
      </c>
      <c r="AV792">
        <v>10</v>
      </c>
      <c r="AW792">
        <v>1</v>
      </c>
      <c r="AX792" s="2">
        <v>45903</v>
      </c>
      <c r="AY792" t="s">
        <v>168</v>
      </c>
      <c r="AZ792" s="2">
        <v>46022</v>
      </c>
      <c r="BA792">
        <v>0</v>
      </c>
      <c r="BB792">
        <v>0</v>
      </c>
      <c r="BC792">
        <v>0</v>
      </c>
      <c r="BD792">
        <v>999</v>
      </c>
      <c r="BE792">
        <v>99</v>
      </c>
      <c r="BF792">
        <v>9</v>
      </c>
      <c r="BG792" t="s">
        <v>135</v>
      </c>
      <c r="BH792" t="s">
        <v>250</v>
      </c>
      <c r="BI792" t="s">
        <v>135</v>
      </c>
      <c r="BJ792">
        <v>0</v>
      </c>
      <c r="BK792">
        <v>0</v>
      </c>
      <c r="BL792">
        <v>0</v>
      </c>
      <c r="BM792">
        <v>7</v>
      </c>
      <c r="BN792">
        <v>7</v>
      </c>
      <c r="BO792" s="1">
        <v>1789.23</v>
      </c>
      <c r="BP792">
        <v>0</v>
      </c>
      <c r="BQ792" s="1">
        <v>1789.23</v>
      </c>
      <c r="BR792" s="1">
        <v>1789.23</v>
      </c>
      <c r="BS792">
        <v>7.94</v>
      </c>
      <c r="BT792">
        <v>7.94</v>
      </c>
      <c r="BU792" s="1">
        <v>2969.59</v>
      </c>
      <c r="BV792">
        <v>0</v>
      </c>
      <c r="BW792" s="1">
        <v>2969.59</v>
      </c>
      <c r="BX792" s="1">
        <v>1391.47</v>
      </c>
      <c r="BY792">
        <v>46.86</v>
      </c>
      <c r="BZ792">
        <v>0</v>
      </c>
      <c r="CA792">
        <v>0</v>
      </c>
      <c r="CB792">
        <v>977.9</v>
      </c>
      <c r="CC792" t="s">
        <v>4520</v>
      </c>
    </row>
    <row r="793" spans="1:81" x14ac:dyDescent="0.25">
      <c r="A793">
        <v>345</v>
      </c>
      <c r="B793">
        <v>2</v>
      </c>
      <c r="C793">
        <v>2175</v>
      </c>
      <c r="D793" t="s">
        <v>4521</v>
      </c>
      <c r="E793" t="s">
        <v>121</v>
      </c>
      <c r="F793" t="s">
        <v>4522</v>
      </c>
      <c r="G793" t="s">
        <v>4523</v>
      </c>
      <c r="H793" t="s">
        <v>4524</v>
      </c>
      <c r="I793" t="s">
        <v>4525</v>
      </c>
      <c r="J793" t="s">
        <v>126</v>
      </c>
      <c r="K793" t="s">
        <v>4248</v>
      </c>
      <c r="L793" t="s">
        <v>128</v>
      </c>
      <c r="M793" t="s">
        <v>1325</v>
      </c>
      <c r="N793" t="s">
        <v>4526</v>
      </c>
      <c r="O793" t="s">
        <v>201</v>
      </c>
      <c r="P793">
        <v>0</v>
      </c>
      <c r="Q793" t="s">
        <v>125</v>
      </c>
      <c r="R793">
        <v>6</v>
      </c>
      <c r="S793">
        <v>40</v>
      </c>
      <c r="T793" t="s">
        <v>132</v>
      </c>
      <c r="U793" t="s">
        <v>133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134</v>
      </c>
      <c r="AE793" t="s">
        <v>134</v>
      </c>
      <c r="AF793" s="2">
        <v>45518</v>
      </c>
      <c r="AG793" s="2">
        <v>46020</v>
      </c>
      <c r="AH793" s="1">
        <v>3765.95</v>
      </c>
      <c r="AI793" s="1">
        <v>5818.2</v>
      </c>
      <c r="AJ793" s="1">
        <v>33893.599999999999</v>
      </c>
      <c r="AK793">
        <v>0</v>
      </c>
      <c r="AL793">
        <v>0</v>
      </c>
      <c r="AM793">
        <v>0</v>
      </c>
      <c r="AN793" t="s">
        <v>135</v>
      </c>
      <c r="AO793" t="s">
        <v>135</v>
      </c>
      <c r="AP793" t="s">
        <v>136</v>
      </c>
      <c r="AQ793" t="s">
        <v>137</v>
      </c>
      <c r="AR793" t="s">
        <v>138</v>
      </c>
      <c r="AS793" t="s">
        <v>139</v>
      </c>
      <c r="AT793" t="s">
        <v>140</v>
      </c>
      <c r="AU793">
        <v>104</v>
      </c>
      <c r="AV793">
        <v>10</v>
      </c>
      <c r="AW793">
        <v>1</v>
      </c>
      <c r="AX793" s="2">
        <v>45842</v>
      </c>
      <c r="AY793" t="s">
        <v>151</v>
      </c>
      <c r="AZ793" s="2">
        <v>46024</v>
      </c>
      <c r="BA793">
        <v>0</v>
      </c>
      <c r="BB793">
        <v>0</v>
      </c>
      <c r="BC793">
        <v>0</v>
      </c>
      <c r="BD793">
        <v>700</v>
      </c>
      <c r="BE793">
        <v>70</v>
      </c>
      <c r="BF793">
        <v>9</v>
      </c>
      <c r="BG793" s="2">
        <v>45536</v>
      </c>
      <c r="BH793" t="s">
        <v>142</v>
      </c>
      <c r="BI793" s="2">
        <v>46026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s="1">
        <v>16183.02</v>
      </c>
      <c r="BQ793" s="1">
        <v>16183.02</v>
      </c>
      <c r="BR793">
        <v>0</v>
      </c>
      <c r="BS793">
        <v>0</v>
      </c>
      <c r="BT793">
        <v>0</v>
      </c>
      <c r="BU793">
        <v>0</v>
      </c>
      <c r="BV793" s="1">
        <v>6286.88</v>
      </c>
      <c r="BW793" s="1">
        <v>6286.88</v>
      </c>
      <c r="BX793">
        <v>0</v>
      </c>
      <c r="BY793">
        <v>0</v>
      </c>
      <c r="BZ793">
        <v>0</v>
      </c>
      <c r="CA793">
        <v>0</v>
      </c>
      <c r="CB793" s="1">
        <v>17183.54</v>
      </c>
      <c r="CC793" t="s">
        <v>143</v>
      </c>
    </row>
    <row r="794" spans="1:81" x14ac:dyDescent="0.25">
      <c r="A794">
        <v>345</v>
      </c>
      <c r="B794">
        <v>2</v>
      </c>
      <c r="C794">
        <v>2176</v>
      </c>
      <c r="D794" t="s">
        <v>4527</v>
      </c>
      <c r="E794" t="s">
        <v>121</v>
      </c>
      <c r="F794" t="s">
        <v>4528</v>
      </c>
      <c r="G794" t="s">
        <v>4529</v>
      </c>
      <c r="H794" t="s">
        <v>4530</v>
      </c>
      <c r="I794" t="s">
        <v>4531</v>
      </c>
      <c r="J794" t="s">
        <v>126</v>
      </c>
      <c r="K794" t="s">
        <v>4248</v>
      </c>
      <c r="L794" t="s">
        <v>128</v>
      </c>
      <c r="M794" t="s">
        <v>1325</v>
      </c>
      <c r="N794" t="s">
        <v>4532</v>
      </c>
      <c r="O794" t="s">
        <v>619</v>
      </c>
      <c r="P794">
        <v>0</v>
      </c>
      <c r="Q794" t="s">
        <v>125</v>
      </c>
      <c r="R794">
        <v>6</v>
      </c>
      <c r="S794">
        <v>41</v>
      </c>
      <c r="T794" t="s">
        <v>132</v>
      </c>
      <c r="U794" t="s">
        <v>133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134</v>
      </c>
      <c r="AE794" t="s">
        <v>134</v>
      </c>
      <c r="AF794" s="2">
        <v>45518</v>
      </c>
      <c r="AG794" s="2">
        <v>46011</v>
      </c>
      <c r="AH794">
        <v>677.71</v>
      </c>
      <c r="AI794">
        <v>677.71</v>
      </c>
      <c r="AJ794">
        <v>677.71</v>
      </c>
      <c r="AK794">
        <v>0</v>
      </c>
      <c r="AL794">
        <v>0</v>
      </c>
      <c r="AM794">
        <v>0</v>
      </c>
      <c r="AN794" t="s">
        <v>135</v>
      </c>
      <c r="AO794" t="s">
        <v>135</v>
      </c>
      <c r="AP794" t="s">
        <v>136</v>
      </c>
      <c r="AQ794" t="s">
        <v>137</v>
      </c>
      <c r="AR794" t="s">
        <v>138</v>
      </c>
      <c r="AS794" t="s">
        <v>150</v>
      </c>
      <c r="AT794" t="s">
        <v>140</v>
      </c>
      <c r="AU794">
        <v>104</v>
      </c>
      <c r="AV794">
        <v>10</v>
      </c>
      <c r="AW794">
        <v>1</v>
      </c>
      <c r="AX794" s="2">
        <v>45842</v>
      </c>
      <c r="AY794" t="s">
        <v>151</v>
      </c>
      <c r="AZ794" s="2">
        <v>46024</v>
      </c>
      <c r="BA794">
        <v>0</v>
      </c>
      <c r="BB794">
        <v>0</v>
      </c>
      <c r="BC794">
        <v>0</v>
      </c>
      <c r="BD794">
        <v>700</v>
      </c>
      <c r="BE794">
        <v>70</v>
      </c>
      <c r="BF794">
        <v>9</v>
      </c>
      <c r="BG794" s="2">
        <v>45536</v>
      </c>
      <c r="BH794" t="s">
        <v>142</v>
      </c>
      <c r="BI794" s="2">
        <v>46026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677.71</v>
      </c>
      <c r="BW794">
        <v>677.71</v>
      </c>
      <c r="BX794">
        <v>0</v>
      </c>
      <c r="BY794">
        <v>0</v>
      </c>
      <c r="BZ794">
        <v>0</v>
      </c>
      <c r="CA794">
        <v>0</v>
      </c>
      <c r="CB794">
        <v>121.02</v>
      </c>
      <c r="CC794" t="s">
        <v>143</v>
      </c>
    </row>
    <row r="795" spans="1:81" x14ac:dyDescent="0.25">
      <c r="A795">
        <v>345</v>
      </c>
      <c r="B795">
        <v>2</v>
      </c>
      <c r="C795">
        <v>2179</v>
      </c>
      <c r="D795" t="s">
        <v>4533</v>
      </c>
      <c r="E795" t="s">
        <v>121</v>
      </c>
      <c r="F795" t="s">
        <v>4534</v>
      </c>
      <c r="G795" t="s">
        <v>4535</v>
      </c>
      <c r="H795" t="s">
        <v>4536</v>
      </c>
      <c r="I795" t="s">
        <v>4537</v>
      </c>
      <c r="J795" t="s">
        <v>4365</v>
      </c>
      <c r="K795" t="s">
        <v>4248</v>
      </c>
      <c r="L795" t="s">
        <v>128</v>
      </c>
      <c r="M795" t="s">
        <v>1325</v>
      </c>
      <c r="N795" t="s">
        <v>4538</v>
      </c>
      <c r="O795" t="s">
        <v>131</v>
      </c>
      <c r="P795">
        <v>0</v>
      </c>
      <c r="Q795" t="s">
        <v>125</v>
      </c>
      <c r="R795">
        <v>3</v>
      </c>
      <c r="S795">
        <v>87</v>
      </c>
      <c r="T795" t="s">
        <v>132</v>
      </c>
      <c r="U795" t="s">
        <v>133</v>
      </c>
      <c r="V795" s="1">
        <v>1000</v>
      </c>
      <c r="W795">
        <v>0</v>
      </c>
      <c r="X795" s="1">
        <v>1000</v>
      </c>
      <c r="Y795">
        <v>7</v>
      </c>
      <c r="Z795">
        <v>0</v>
      </c>
      <c r="AA795">
        <v>5</v>
      </c>
      <c r="AB795">
        <v>0</v>
      </c>
      <c r="AC795">
        <v>0</v>
      </c>
      <c r="AD795" t="s">
        <v>134</v>
      </c>
      <c r="AE795" t="s">
        <v>134</v>
      </c>
      <c r="AF795" s="2">
        <v>45518</v>
      </c>
      <c r="AG795" s="2">
        <v>46010</v>
      </c>
      <c r="AH795">
        <v>466.91</v>
      </c>
      <c r="AI795">
        <v>466.91</v>
      </c>
      <c r="AJ795">
        <v>466.91</v>
      </c>
      <c r="AK795">
        <v>0</v>
      </c>
      <c r="AL795">
        <v>0</v>
      </c>
      <c r="AM795">
        <v>0</v>
      </c>
      <c r="AN795" t="s">
        <v>135</v>
      </c>
      <c r="AO795" t="s">
        <v>135</v>
      </c>
      <c r="AP795" t="s">
        <v>136</v>
      </c>
      <c r="AQ795" t="s">
        <v>137</v>
      </c>
      <c r="AR795" t="s">
        <v>138</v>
      </c>
      <c r="AS795" t="s">
        <v>139</v>
      </c>
      <c r="AT795" t="s">
        <v>140</v>
      </c>
      <c r="AU795">
        <v>104</v>
      </c>
      <c r="AV795">
        <v>10</v>
      </c>
      <c r="AW795">
        <v>1</v>
      </c>
      <c r="AX795" s="2">
        <v>45946</v>
      </c>
      <c r="AY795" t="s">
        <v>308</v>
      </c>
      <c r="AZ795" s="2">
        <v>46023</v>
      </c>
      <c r="BA795">
        <v>0</v>
      </c>
      <c r="BB795">
        <v>0</v>
      </c>
      <c r="BC795">
        <v>0</v>
      </c>
      <c r="BD795">
        <v>999</v>
      </c>
      <c r="BE795">
        <v>99</v>
      </c>
      <c r="BF795">
        <v>9</v>
      </c>
      <c r="BG795" t="s">
        <v>135</v>
      </c>
      <c r="BH795" t="s">
        <v>250</v>
      </c>
      <c r="BI795" t="s">
        <v>135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5</v>
      </c>
      <c r="BU795">
        <v>466.91</v>
      </c>
      <c r="BV795">
        <v>0</v>
      </c>
      <c r="BW795">
        <v>466.91</v>
      </c>
      <c r="BX795">
        <v>0</v>
      </c>
      <c r="BY795">
        <v>0</v>
      </c>
      <c r="BZ795">
        <v>0</v>
      </c>
      <c r="CA795">
        <v>0</v>
      </c>
      <c r="CB795">
        <v>0</v>
      </c>
      <c r="CC795" t="s">
        <v>143</v>
      </c>
    </row>
    <row r="796" spans="1:81" x14ac:dyDescent="0.25">
      <c r="A796">
        <v>345</v>
      </c>
      <c r="B796">
        <v>2</v>
      </c>
      <c r="C796">
        <v>2184</v>
      </c>
      <c r="D796" t="s">
        <v>4539</v>
      </c>
      <c r="E796" t="s">
        <v>121</v>
      </c>
      <c r="F796" t="s">
        <v>4540</v>
      </c>
      <c r="G796" t="s">
        <v>4541</v>
      </c>
      <c r="H796" t="s">
        <v>4542</v>
      </c>
      <c r="I796" t="s">
        <v>4543</v>
      </c>
      <c r="J796" t="s">
        <v>126</v>
      </c>
      <c r="K796" t="s">
        <v>4248</v>
      </c>
      <c r="L796" t="s">
        <v>128</v>
      </c>
      <c r="M796" t="s">
        <v>1325</v>
      </c>
      <c r="N796" t="s">
        <v>4544</v>
      </c>
      <c r="O796" t="s">
        <v>201</v>
      </c>
      <c r="P796">
        <v>0</v>
      </c>
      <c r="Q796" t="s">
        <v>125</v>
      </c>
      <c r="R796">
        <v>6</v>
      </c>
      <c r="S796">
        <v>42</v>
      </c>
      <c r="T796" t="s">
        <v>132</v>
      </c>
      <c r="U796" t="s">
        <v>133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134</v>
      </c>
      <c r="AE796" t="s">
        <v>134</v>
      </c>
      <c r="AF796" s="2">
        <v>45518</v>
      </c>
      <c r="AG796" s="2">
        <v>46017</v>
      </c>
      <c r="AH796">
        <v>547.91</v>
      </c>
      <c r="AI796">
        <v>737.03</v>
      </c>
      <c r="AJ796" s="1">
        <v>2739.58</v>
      </c>
      <c r="AK796">
        <v>0</v>
      </c>
      <c r="AL796">
        <v>0</v>
      </c>
      <c r="AM796">
        <v>0</v>
      </c>
      <c r="AN796" t="s">
        <v>135</v>
      </c>
      <c r="AO796" t="s">
        <v>135</v>
      </c>
      <c r="AP796" t="s">
        <v>136</v>
      </c>
      <c r="AQ796" t="s">
        <v>137</v>
      </c>
      <c r="AR796" t="s">
        <v>138</v>
      </c>
      <c r="AS796" t="s">
        <v>150</v>
      </c>
      <c r="AT796" t="s">
        <v>140</v>
      </c>
      <c r="AU796">
        <v>104</v>
      </c>
      <c r="AV796">
        <v>10</v>
      </c>
      <c r="AW796">
        <v>1</v>
      </c>
      <c r="AX796" s="2">
        <v>45839</v>
      </c>
      <c r="AY796" t="s">
        <v>377</v>
      </c>
      <c r="AZ796" s="2">
        <v>46028</v>
      </c>
      <c r="BA796">
        <v>0</v>
      </c>
      <c r="BB796">
        <v>0</v>
      </c>
      <c r="BC796">
        <v>0</v>
      </c>
      <c r="BD796">
        <v>700</v>
      </c>
      <c r="BE796">
        <v>70</v>
      </c>
      <c r="BF796">
        <v>9</v>
      </c>
      <c r="BG796" s="2">
        <v>45536</v>
      </c>
      <c r="BH796" t="s">
        <v>142</v>
      </c>
      <c r="BI796" s="2">
        <v>46026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s="1">
        <v>1014.35</v>
      </c>
      <c r="BQ796" s="1">
        <v>1014.35</v>
      </c>
      <c r="BR796">
        <v>0</v>
      </c>
      <c r="BS796">
        <v>0</v>
      </c>
      <c r="BT796">
        <v>0</v>
      </c>
      <c r="BU796">
        <v>0</v>
      </c>
      <c r="BV796">
        <v>438.08</v>
      </c>
      <c r="BW796">
        <v>438.08</v>
      </c>
      <c r="BX796">
        <v>0</v>
      </c>
      <c r="BY796">
        <v>0</v>
      </c>
      <c r="BZ796">
        <v>0</v>
      </c>
      <c r="CA796">
        <v>0</v>
      </c>
      <c r="CB796" s="1">
        <v>1103.45</v>
      </c>
      <c r="CC796" t="s">
        <v>143</v>
      </c>
    </row>
    <row r="797" spans="1:81" x14ac:dyDescent="0.25">
      <c r="A797">
        <v>345</v>
      </c>
      <c r="B797">
        <v>2</v>
      </c>
      <c r="C797">
        <v>2185</v>
      </c>
      <c r="D797" t="s">
        <v>4545</v>
      </c>
      <c r="E797" t="s">
        <v>121</v>
      </c>
      <c r="F797" t="s">
        <v>4546</v>
      </c>
      <c r="G797" t="s">
        <v>4547</v>
      </c>
      <c r="H797" t="s">
        <v>4548</v>
      </c>
      <c r="I797" t="s">
        <v>4549</v>
      </c>
      <c r="J797" t="s">
        <v>126</v>
      </c>
      <c r="K797" t="s">
        <v>4248</v>
      </c>
      <c r="L797" t="s">
        <v>128</v>
      </c>
      <c r="M797" t="s">
        <v>1325</v>
      </c>
      <c r="N797" t="s">
        <v>4550</v>
      </c>
      <c r="O797" t="s">
        <v>131</v>
      </c>
      <c r="P797">
        <v>0</v>
      </c>
      <c r="Q797" t="s">
        <v>125</v>
      </c>
      <c r="R797">
        <v>6</v>
      </c>
      <c r="S797">
        <v>40</v>
      </c>
      <c r="T797" t="s">
        <v>132</v>
      </c>
      <c r="U797" t="s">
        <v>133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134</v>
      </c>
      <c r="AE797" t="s">
        <v>134</v>
      </c>
      <c r="AF797" s="2">
        <v>45518</v>
      </c>
      <c r="AG797" s="2">
        <v>46018</v>
      </c>
      <c r="AH797">
        <v>129.75</v>
      </c>
      <c r="AI797">
        <v>201.65</v>
      </c>
      <c r="AJ797" s="1">
        <v>1167.81</v>
      </c>
      <c r="AK797">
        <v>0</v>
      </c>
      <c r="AL797">
        <v>0</v>
      </c>
      <c r="AM797">
        <v>0</v>
      </c>
      <c r="AN797" t="s">
        <v>135</v>
      </c>
      <c r="AO797" t="s">
        <v>135</v>
      </c>
      <c r="AP797" t="s">
        <v>136</v>
      </c>
      <c r="AQ797" t="s">
        <v>137</v>
      </c>
      <c r="AR797" t="s">
        <v>138</v>
      </c>
      <c r="AS797" t="s">
        <v>139</v>
      </c>
      <c r="AT797" t="s">
        <v>140</v>
      </c>
      <c r="AU797">
        <v>104</v>
      </c>
      <c r="AV797">
        <v>10</v>
      </c>
      <c r="AW797">
        <v>1</v>
      </c>
      <c r="AX797" s="2">
        <v>45812</v>
      </c>
      <c r="AY797" t="s">
        <v>168</v>
      </c>
      <c r="AZ797" s="2">
        <v>46022</v>
      </c>
      <c r="BA797">
        <v>0</v>
      </c>
      <c r="BB797">
        <v>0</v>
      </c>
      <c r="BC797">
        <v>0</v>
      </c>
      <c r="BD797">
        <v>700</v>
      </c>
      <c r="BE797">
        <v>70</v>
      </c>
      <c r="BF797">
        <v>9</v>
      </c>
      <c r="BG797" s="2">
        <v>45536</v>
      </c>
      <c r="BH797" t="s">
        <v>142</v>
      </c>
      <c r="BI797" s="2">
        <v>46026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386.71</v>
      </c>
      <c r="BQ797">
        <v>386.71</v>
      </c>
      <c r="BR797">
        <v>0</v>
      </c>
      <c r="BS797">
        <v>0</v>
      </c>
      <c r="BT797">
        <v>0</v>
      </c>
      <c r="BU797">
        <v>0</v>
      </c>
      <c r="BV797">
        <v>506.47</v>
      </c>
      <c r="BW797">
        <v>506.47</v>
      </c>
      <c r="BX797">
        <v>0</v>
      </c>
      <c r="BY797">
        <v>0</v>
      </c>
      <c r="BZ797">
        <v>0</v>
      </c>
      <c r="CA797">
        <v>0</v>
      </c>
      <c r="CB797">
        <v>422.43</v>
      </c>
      <c r="CC797" t="s">
        <v>143</v>
      </c>
    </row>
    <row r="798" spans="1:81" x14ac:dyDescent="0.25">
      <c r="A798">
        <v>345</v>
      </c>
      <c r="B798">
        <v>2</v>
      </c>
      <c r="C798">
        <v>2188</v>
      </c>
      <c r="D798" t="s">
        <v>4551</v>
      </c>
      <c r="E798" t="s">
        <v>121</v>
      </c>
      <c r="F798" t="s">
        <v>4552</v>
      </c>
      <c r="G798" t="s">
        <v>4553</v>
      </c>
      <c r="H798" t="s">
        <v>4554</v>
      </c>
      <c r="I798" t="s">
        <v>4555</v>
      </c>
      <c r="J798" t="s">
        <v>4254</v>
      </c>
      <c r="K798" t="s">
        <v>4248</v>
      </c>
      <c r="L798" t="s">
        <v>128</v>
      </c>
      <c r="M798" t="s">
        <v>1325</v>
      </c>
      <c r="N798" t="s">
        <v>4556</v>
      </c>
      <c r="O798" t="s">
        <v>159</v>
      </c>
      <c r="P798">
        <v>0</v>
      </c>
      <c r="Q798" t="s">
        <v>125</v>
      </c>
      <c r="R798">
        <v>3</v>
      </c>
      <c r="S798">
        <v>83</v>
      </c>
      <c r="T798" t="s">
        <v>132</v>
      </c>
      <c r="U798" t="s">
        <v>133</v>
      </c>
      <c r="V798" s="1">
        <v>1000</v>
      </c>
      <c r="W798">
        <v>0</v>
      </c>
      <c r="X798" s="1">
        <v>1000</v>
      </c>
      <c r="Y798">
        <v>7</v>
      </c>
      <c r="Z798">
        <v>0</v>
      </c>
      <c r="AA798">
        <v>0</v>
      </c>
      <c r="AB798">
        <v>0</v>
      </c>
      <c r="AC798">
        <v>0</v>
      </c>
      <c r="AD798" t="s">
        <v>134</v>
      </c>
      <c r="AE798" t="s">
        <v>134</v>
      </c>
      <c r="AF798" s="2">
        <v>45518</v>
      </c>
      <c r="AG798" s="2">
        <v>46017</v>
      </c>
      <c r="AH798">
        <v>169.92</v>
      </c>
      <c r="AI798">
        <v>196.34</v>
      </c>
      <c r="AJ798">
        <v>339.84</v>
      </c>
      <c r="AK798">
        <v>0</v>
      </c>
      <c r="AL798">
        <v>0</v>
      </c>
      <c r="AM798">
        <v>0</v>
      </c>
      <c r="AN798" t="s">
        <v>135</v>
      </c>
      <c r="AO798" t="s">
        <v>135</v>
      </c>
      <c r="AP798" t="s">
        <v>136</v>
      </c>
      <c r="AQ798" t="s">
        <v>137</v>
      </c>
      <c r="AR798" t="s">
        <v>138</v>
      </c>
      <c r="AS798" t="s">
        <v>139</v>
      </c>
      <c r="AT798" t="s">
        <v>140</v>
      </c>
      <c r="AU798">
        <v>104</v>
      </c>
      <c r="AV798">
        <v>10</v>
      </c>
      <c r="AW798">
        <v>1</v>
      </c>
      <c r="AX798" s="2">
        <v>45860</v>
      </c>
      <c r="AY798" t="s">
        <v>377</v>
      </c>
      <c r="AZ798" s="2">
        <v>46028</v>
      </c>
      <c r="BA798">
        <v>0</v>
      </c>
      <c r="BB798">
        <v>0</v>
      </c>
      <c r="BC798">
        <v>0</v>
      </c>
      <c r="BD798">
        <v>999</v>
      </c>
      <c r="BE798">
        <v>99</v>
      </c>
      <c r="BF798">
        <v>9</v>
      </c>
      <c r="BG798" t="s">
        <v>135</v>
      </c>
      <c r="BH798" t="s">
        <v>250</v>
      </c>
      <c r="BI798" t="s">
        <v>135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196.34</v>
      </c>
      <c r="BQ798">
        <v>196.34</v>
      </c>
      <c r="BR798">
        <v>0</v>
      </c>
      <c r="BS798">
        <v>0</v>
      </c>
      <c r="BT798">
        <v>0</v>
      </c>
      <c r="BU798">
        <v>0</v>
      </c>
      <c r="BV798">
        <v>143.5</v>
      </c>
      <c r="BW798">
        <v>143.5</v>
      </c>
      <c r="BX798">
        <v>0</v>
      </c>
      <c r="BY798">
        <v>0</v>
      </c>
      <c r="BZ798">
        <v>0</v>
      </c>
      <c r="CA798">
        <v>0</v>
      </c>
      <c r="CB798">
        <v>65.44</v>
      </c>
      <c r="CC798" t="s">
        <v>161</v>
      </c>
    </row>
    <row r="799" spans="1:81" x14ac:dyDescent="0.25">
      <c r="A799">
        <v>345</v>
      </c>
      <c r="B799">
        <v>2</v>
      </c>
      <c r="C799">
        <v>2189</v>
      </c>
      <c r="D799" t="s">
        <v>4557</v>
      </c>
      <c r="E799" t="s">
        <v>121</v>
      </c>
      <c r="F799" t="s">
        <v>4558</v>
      </c>
      <c r="G799" t="s">
        <v>4559</v>
      </c>
      <c r="H799" t="s">
        <v>4560</v>
      </c>
      <c r="I799" t="s">
        <v>4561</v>
      </c>
      <c r="J799" t="s">
        <v>4562</v>
      </c>
      <c r="K799" t="s">
        <v>4248</v>
      </c>
      <c r="L799" t="s">
        <v>128</v>
      </c>
      <c r="M799" t="s">
        <v>1325</v>
      </c>
      <c r="N799" t="s">
        <v>4563</v>
      </c>
      <c r="O799" t="s">
        <v>131</v>
      </c>
      <c r="P799">
        <v>0</v>
      </c>
      <c r="Q799" t="s">
        <v>125</v>
      </c>
      <c r="R799">
        <v>6</v>
      </c>
      <c r="S799">
        <v>41</v>
      </c>
      <c r="T799" t="s">
        <v>132</v>
      </c>
      <c r="U799" t="s">
        <v>133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134</v>
      </c>
      <c r="AE799" t="s">
        <v>134</v>
      </c>
      <c r="AF799" s="2">
        <v>45518</v>
      </c>
      <c r="AG799" s="2">
        <v>46003</v>
      </c>
      <c r="AH799">
        <v>380.36</v>
      </c>
      <c r="AI799">
        <v>554.04</v>
      </c>
      <c r="AJ799">
        <v>760.72</v>
      </c>
      <c r="AK799">
        <v>0</v>
      </c>
      <c r="AL799">
        <v>0</v>
      </c>
      <c r="AM799">
        <v>0</v>
      </c>
      <c r="AN799" t="s">
        <v>135</v>
      </c>
      <c r="AO799" t="s">
        <v>135</v>
      </c>
      <c r="AP799" t="s">
        <v>136</v>
      </c>
      <c r="AQ799" t="s">
        <v>137</v>
      </c>
      <c r="AR799" t="s">
        <v>138</v>
      </c>
      <c r="AS799" t="s">
        <v>139</v>
      </c>
      <c r="AT799" t="s">
        <v>140</v>
      </c>
      <c r="AU799">
        <v>104</v>
      </c>
      <c r="AV799">
        <v>10</v>
      </c>
      <c r="AW799">
        <v>1</v>
      </c>
      <c r="AX799" s="2">
        <v>45861</v>
      </c>
      <c r="AY799" t="s">
        <v>168</v>
      </c>
      <c r="AZ799" s="2">
        <v>46022</v>
      </c>
      <c r="BA799">
        <v>0</v>
      </c>
      <c r="BB799">
        <v>0</v>
      </c>
      <c r="BC799">
        <v>0</v>
      </c>
      <c r="BD799">
        <v>700</v>
      </c>
      <c r="BE799">
        <v>70</v>
      </c>
      <c r="BF799">
        <v>9</v>
      </c>
      <c r="BG799" s="2">
        <v>45536</v>
      </c>
      <c r="BH799" t="s">
        <v>142</v>
      </c>
      <c r="BI799" s="2">
        <v>46026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760.72</v>
      </c>
      <c r="BW799">
        <v>760.72</v>
      </c>
      <c r="BX799">
        <v>0</v>
      </c>
      <c r="BY799">
        <v>0</v>
      </c>
      <c r="BZ799">
        <v>0</v>
      </c>
      <c r="CA799">
        <v>0</v>
      </c>
      <c r="CB799">
        <v>0</v>
      </c>
      <c r="CC799" t="s">
        <v>143</v>
      </c>
    </row>
    <row r="800" spans="1:81" x14ac:dyDescent="0.25">
      <c r="A800">
        <v>345</v>
      </c>
      <c r="B800">
        <v>2</v>
      </c>
      <c r="C800">
        <v>2191</v>
      </c>
      <c r="D800" t="s">
        <v>4564</v>
      </c>
      <c r="E800" t="s">
        <v>121</v>
      </c>
      <c r="F800" t="s">
        <v>4565</v>
      </c>
      <c r="G800" t="s">
        <v>4566</v>
      </c>
      <c r="H800" t="s">
        <v>4567</v>
      </c>
      <c r="I800" t="s">
        <v>4568</v>
      </c>
      <c r="J800" t="s">
        <v>4569</v>
      </c>
      <c r="K800" t="s">
        <v>4248</v>
      </c>
      <c r="L800" t="s">
        <v>128</v>
      </c>
      <c r="M800" t="s">
        <v>1325</v>
      </c>
      <c r="N800" t="s">
        <v>4570</v>
      </c>
      <c r="O800" t="s">
        <v>159</v>
      </c>
      <c r="P800">
        <v>0</v>
      </c>
      <c r="Q800" t="s">
        <v>125</v>
      </c>
      <c r="R800">
        <v>6</v>
      </c>
      <c r="S800">
        <v>39</v>
      </c>
      <c r="T800" t="s">
        <v>132</v>
      </c>
      <c r="U800" t="s">
        <v>133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134</v>
      </c>
      <c r="AE800" t="s">
        <v>134</v>
      </c>
      <c r="AF800" s="2">
        <v>45518</v>
      </c>
      <c r="AG800" s="2">
        <v>46002</v>
      </c>
      <c r="AH800">
        <v>414.95</v>
      </c>
      <c r="AI800">
        <v>551.42999999999995</v>
      </c>
      <c r="AJ800" s="1">
        <v>1244.8499999999999</v>
      </c>
      <c r="AK800">
        <v>0</v>
      </c>
      <c r="AL800">
        <v>0</v>
      </c>
      <c r="AM800">
        <v>0</v>
      </c>
      <c r="AN800" t="s">
        <v>135</v>
      </c>
      <c r="AO800" t="s">
        <v>135</v>
      </c>
      <c r="AP800" t="s">
        <v>136</v>
      </c>
      <c r="AQ800" t="s">
        <v>137</v>
      </c>
      <c r="AR800" t="s">
        <v>138</v>
      </c>
      <c r="AS800" t="s">
        <v>150</v>
      </c>
      <c r="AT800" t="s">
        <v>140</v>
      </c>
      <c r="AU800">
        <v>104</v>
      </c>
      <c r="AV800">
        <v>10</v>
      </c>
      <c r="AW800">
        <v>1</v>
      </c>
      <c r="AX800" s="2">
        <v>45840</v>
      </c>
      <c r="AY800" t="s">
        <v>168</v>
      </c>
      <c r="AZ800" s="2">
        <v>46022</v>
      </c>
      <c r="BA800">
        <v>0</v>
      </c>
      <c r="BB800">
        <v>0</v>
      </c>
      <c r="BC800">
        <v>0</v>
      </c>
      <c r="BD800">
        <v>700</v>
      </c>
      <c r="BE800">
        <v>70</v>
      </c>
      <c r="BF800">
        <v>9</v>
      </c>
      <c r="BG800" s="2">
        <v>45536</v>
      </c>
      <c r="BH800" t="s">
        <v>142</v>
      </c>
      <c r="BI800" s="2">
        <v>46026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392.28</v>
      </c>
      <c r="BQ800">
        <v>392.28</v>
      </c>
      <c r="BR800">
        <v>0</v>
      </c>
      <c r="BS800">
        <v>0</v>
      </c>
      <c r="BT800">
        <v>0</v>
      </c>
      <c r="BU800">
        <v>0</v>
      </c>
      <c r="BV800">
        <v>852.57</v>
      </c>
      <c r="BW800">
        <v>852.57</v>
      </c>
      <c r="BX800">
        <v>0</v>
      </c>
      <c r="BY800">
        <v>0</v>
      </c>
      <c r="BZ800">
        <v>0</v>
      </c>
      <c r="CA800">
        <v>0</v>
      </c>
      <c r="CB800">
        <v>130.76</v>
      </c>
      <c r="CC800" t="s">
        <v>161</v>
      </c>
    </row>
    <row r="801" spans="1:81" x14ac:dyDescent="0.25">
      <c r="A801">
        <v>345</v>
      </c>
      <c r="B801">
        <v>2</v>
      </c>
      <c r="C801">
        <v>2192</v>
      </c>
      <c r="D801" t="s">
        <v>4571</v>
      </c>
      <c r="E801" t="s">
        <v>121</v>
      </c>
      <c r="F801" t="s">
        <v>4572</v>
      </c>
      <c r="G801" t="s">
        <v>4573</v>
      </c>
      <c r="H801" t="s">
        <v>4567</v>
      </c>
      <c r="I801" t="s">
        <v>125</v>
      </c>
      <c r="J801">
        <v>85</v>
      </c>
      <c r="K801" t="s">
        <v>4248</v>
      </c>
      <c r="L801" t="s">
        <v>128</v>
      </c>
      <c r="M801" t="s">
        <v>1325</v>
      </c>
      <c r="N801" t="s">
        <v>4574</v>
      </c>
      <c r="O801" t="s">
        <v>296</v>
      </c>
      <c r="P801">
        <v>0</v>
      </c>
      <c r="Q801" t="s">
        <v>125</v>
      </c>
      <c r="R801">
        <v>3</v>
      </c>
      <c r="S801">
        <v>83</v>
      </c>
      <c r="T801" t="s">
        <v>132</v>
      </c>
      <c r="U801" t="s">
        <v>133</v>
      </c>
      <c r="V801" s="1">
        <v>1600</v>
      </c>
      <c r="W801">
        <v>0</v>
      </c>
      <c r="X801" s="1">
        <v>1600</v>
      </c>
      <c r="Y801">
        <v>7</v>
      </c>
      <c r="Z801">
        <v>0</v>
      </c>
      <c r="AA801">
        <v>4</v>
      </c>
      <c r="AB801">
        <v>0</v>
      </c>
      <c r="AC801">
        <v>0</v>
      </c>
      <c r="AD801" t="s">
        <v>134</v>
      </c>
      <c r="AE801" t="s">
        <v>134</v>
      </c>
      <c r="AF801" s="2">
        <v>45518</v>
      </c>
      <c r="AG801" s="2">
        <v>46018</v>
      </c>
      <c r="AH801">
        <v>773.23</v>
      </c>
      <c r="AI801" s="1">
        <v>1144.6600000000001</v>
      </c>
      <c r="AJ801" s="1">
        <v>5412.62</v>
      </c>
      <c r="AK801">
        <v>0</v>
      </c>
      <c r="AL801">
        <v>0</v>
      </c>
      <c r="AM801">
        <v>0</v>
      </c>
      <c r="AN801" t="s">
        <v>135</v>
      </c>
      <c r="AO801" t="s">
        <v>135</v>
      </c>
      <c r="AP801" t="s">
        <v>136</v>
      </c>
      <c r="AQ801" t="s">
        <v>137</v>
      </c>
      <c r="AR801" t="s">
        <v>138</v>
      </c>
      <c r="AS801" t="s">
        <v>150</v>
      </c>
      <c r="AT801" t="s">
        <v>140</v>
      </c>
      <c r="AU801">
        <v>104</v>
      </c>
      <c r="AV801">
        <v>10</v>
      </c>
      <c r="AW801">
        <v>1</v>
      </c>
      <c r="AX801" s="2">
        <v>45819</v>
      </c>
      <c r="AY801" t="s">
        <v>168</v>
      </c>
      <c r="AZ801" s="2">
        <v>46022</v>
      </c>
      <c r="BA801">
        <v>0</v>
      </c>
      <c r="BB801">
        <v>0</v>
      </c>
      <c r="BC801">
        <v>0</v>
      </c>
      <c r="BD801">
        <v>999</v>
      </c>
      <c r="BE801">
        <v>99</v>
      </c>
      <c r="BF801">
        <v>9</v>
      </c>
      <c r="BG801" t="s">
        <v>135</v>
      </c>
      <c r="BH801" t="s">
        <v>250</v>
      </c>
      <c r="BI801" t="s">
        <v>135</v>
      </c>
      <c r="BJ801">
        <v>0</v>
      </c>
      <c r="BK801">
        <v>0</v>
      </c>
      <c r="BL801">
        <v>0</v>
      </c>
      <c r="BM801">
        <v>3</v>
      </c>
      <c r="BN801">
        <v>3</v>
      </c>
      <c r="BO801" s="1">
        <v>1004.4</v>
      </c>
      <c r="BP801">
        <v>0</v>
      </c>
      <c r="BQ801" s="1">
        <v>1004.4</v>
      </c>
      <c r="BR801">
        <v>0</v>
      </c>
      <c r="BS801">
        <v>3.22</v>
      </c>
      <c r="BT801">
        <v>3.22</v>
      </c>
      <c r="BU801" s="1">
        <v>2581.85</v>
      </c>
      <c r="BV801">
        <v>0</v>
      </c>
      <c r="BW801" s="1">
        <v>2581.85</v>
      </c>
      <c r="BX801">
        <v>0</v>
      </c>
      <c r="BY801">
        <v>0</v>
      </c>
      <c r="BZ801">
        <v>0</v>
      </c>
      <c r="CA801">
        <v>0</v>
      </c>
      <c r="CB801">
        <v>943.59</v>
      </c>
      <c r="CC801" t="s">
        <v>297</v>
      </c>
    </row>
    <row r="802" spans="1:81" x14ac:dyDescent="0.25">
      <c r="A802">
        <v>345</v>
      </c>
      <c r="B802">
        <v>2</v>
      </c>
      <c r="C802">
        <v>2194</v>
      </c>
      <c r="D802" t="s">
        <v>4575</v>
      </c>
      <c r="E802" t="s">
        <v>121</v>
      </c>
      <c r="F802" t="s">
        <v>4576</v>
      </c>
      <c r="G802" t="s">
        <v>4577</v>
      </c>
      <c r="H802" t="s">
        <v>4578</v>
      </c>
      <c r="I802" t="s">
        <v>4579</v>
      </c>
      <c r="J802" t="s">
        <v>126</v>
      </c>
      <c r="K802" t="s">
        <v>4248</v>
      </c>
      <c r="L802" t="s">
        <v>128</v>
      </c>
      <c r="M802" t="s">
        <v>1325</v>
      </c>
      <c r="N802" t="s">
        <v>4580</v>
      </c>
      <c r="O802" t="s">
        <v>2996</v>
      </c>
      <c r="P802">
        <v>0</v>
      </c>
      <c r="Q802" t="s">
        <v>125</v>
      </c>
      <c r="R802">
        <v>6</v>
      </c>
      <c r="S802">
        <v>41</v>
      </c>
      <c r="T802" t="s">
        <v>132</v>
      </c>
      <c r="U802" t="s">
        <v>133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134</v>
      </c>
      <c r="AE802" t="s">
        <v>134</v>
      </c>
      <c r="AF802" s="2">
        <v>45518</v>
      </c>
      <c r="AG802" s="2">
        <v>46018</v>
      </c>
      <c r="AH802">
        <v>291.01</v>
      </c>
      <c r="AI802">
        <v>432.23</v>
      </c>
      <c r="AJ802">
        <v>873.04</v>
      </c>
      <c r="AK802">
        <v>0</v>
      </c>
      <c r="AL802">
        <v>0</v>
      </c>
      <c r="AM802">
        <v>0</v>
      </c>
      <c r="AN802" t="s">
        <v>135</v>
      </c>
      <c r="AO802" t="s">
        <v>135</v>
      </c>
      <c r="AP802" t="s">
        <v>136</v>
      </c>
      <c r="AQ802" t="s">
        <v>137</v>
      </c>
      <c r="AR802" t="s">
        <v>138</v>
      </c>
      <c r="AS802" t="s">
        <v>150</v>
      </c>
      <c r="AT802" t="s">
        <v>140</v>
      </c>
      <c r="AU802">
        <v>104</v>
      </c>
      <c r="AV802">
        <v>10</v>
      </c>
      <c r="AW802">
        <v>1</v>
      </c>
      <c r="AX802" s="2">
        <v>45854</v>
      </c>
      <c r="AY802" t="s">
        <v>168</v>
      </c>
      <c r="AZ802" s="2">
        <v>46022</v>
      </c>
      <c r="BA802">
        <v>0</v>
      </c>
      <c r="BB802">
        <v>0</v>
      </c>
      <c r="BC802">
        <v>0</v>
      </c>
      <c r="BD802">
        <v>700</v>
      </c>
      <c r="BE802">
        <v>70</v>
      </c>
      <c r="BF802">
        <v>9</v>
      </c>
      <c r="BG802" s="2">
        <v>45536</v>
      </c>
      <c r="BH802" t="s">
        <v>142</v>
      </c>
      <c r="BI802" s="2">
        <v>46026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205.13</v>
      </c>
      <c r="BQ802">
        <v>205.13</v>
      </c>
      <c r="BR802">
        <v>0</v>
      </c>
      <c r="BS802">
        <v>0</v>
      </c>
      <c r="BT802">
        <v>0</v>
      </c>
      <c r="BU802">
        <v>0</v>
      </c>
      <c r="BV802">
        <v>667.91</v>
      </c>
      <c r="BW802">
        <v>667.91</v>
      </c>
      <c r="BX802">
        <v>0</v>
      </c>
      <c r="BY802">
        <v>0</v>
      </c>
      <c r="BZ802">
        <v>0</v>
      </c>
      <c r="CA802">
        <v>0</v>
      </c>
      <c r="CB802">
        <v>68.37</v>
      </c>
      <c r="CC802" t="s">
        <v>4520</v>
      </c>
    </row>
    <row r="803" spans="1:81" x14ac:dyDescent="0.25">
      <c r="A803">
        <v>345</v>
      </c>
      <c r="B803">
        <v>2</v>
      </c>
      <c r="C803">
        <v>2204</v>
      </c>
      <c r="D803" t="s">
        <v>4581</v>
      </c>
      <c r="E803" t="s">
        <v>121</v>
      </c>
      <c r="F803" t="s">
        <v>4582</v>
      </c>
      <c r="G803" t="s">
        <v>4583</v>
      </c>
      <c r="H803" t="s">
        <v>4584</v>
      </c>
      <c r="I803" t="s">
        <v>125</v>
      </c>
      <c r="J803" t="s">
        <v>126</v>
      </c>
      <c r="K803" t="s">
        <v>4248</v>
      </c>
      <c r="L803" t="s">
        <v>128</v>
      </c>
      <c r="M803" t="s">
        <v>1325</v>
      </c>
      <c r="N803" t="s">
        <v>4585</v>
      </c>
      <c r="O803" t="s">
        <v>167</v>
      </c>
      <c r="P803">
        <v>0</v>
      </c>
      <c r="Q803" t="s">
        <v>125</v>
      </c>
      <c r="R803">
        <v>6</v>
      </c>
      <c r="S803">
        <v>39</v>
      </c>
      <c r="T803" t="s">
        <v>132</v>
      </c>
      <c r="U803" t="s">
        <v>133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134</v>
      </c>
      <c r="AE803" t="s">
        <v>134</v>
      </c>
      <c r="AF803" s="2">
        <v>45518</v>
      </c>
      <c r="AG803" s="2">
        <v>45990</v>
      </c>
      <c r="AH803">
        <v>320.25</v>
      </c>
      <c r="AI803">
        <v>411.72</v>
      </c>
      <c r="AJ803">
        <v>960.75</v>
      </c>
      <c r="AK803">
        <v>0</v>
      </c>
      <c r="AL803">
        <v>0</v>
      </c>
      <c r="AM803">
        <v>0</v>
      </c>
      <c r="AN803" t="s">
        <v>135</v>
      </c>
      <c r="AO803" t="s">
        <v>135</v>
      </c>
      <c r="AP803" t="s">
        <v>136</v>
      </c>
      <c r="AQ803" t="s">
        <v>137</v>
      </c>
      <c r="AR803" t="s">
        <v>138</v>
      </c>
      <c r="AS803" t="s">
        <v>150</v>
      </c>
      <c r="AT803" t="s">
        <v>140</v>
      </c>
      <c r="AU803">
        <v>104</v>
      </c>
      <c r="AV803">
        <v>10</v>
      </c>
      <c r="AW803">
        <v>1</v>
      </c>
      <c r="AX803" s="2">
        <v>45814</v>
      </c>
      <c r="AY803" t="s">
        <v>151</v>
      </c>
      <c r="AZ803" s="2">
        <v>46024</v>
      </c>
      <c r="BA803">
        <v>0</v>
      </c>
      <c r="BB803">
        <v>0</v>
      </c>
      <c r="BC803">
        <v>0</v>
      </c>
      <c r="BD803">
        <v>700</v>
      </c>
      <c r="BE803">
        <v>70</v>
      </c>
      <c r="BF803">
        <v>9</v>
      </c>
      <c r="BG803" s="2">
        <v>45536</v>
      </c>
      <c r="BH803" t="s">
        <v>142</v>
      </c>
      <c r="BI803" s="2">
        <v>46026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411.72</v>
      </c>
      <c r="BQ803">
        <v>411.72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440.41</v>
      </c>
      <c r="CC803" t="s">
        <v>161</v>
      </c>
    </row>
    <row r="804" spans="1:81" x14ac:dyDescent="0.25">
      <c r="A804">
        <v>345</v>
      </c>
      <c r="B804">
        <v>2</v>
      </c>
      <c r="C804">
        <v>2206</v>
      </c>
      <c r="D804" t="s">
        <v>4586</v>
      </c>
      <c r="E804" t="s">
        <v>121</v>
      </c>
      <c r="F804" t="s">
        <v>4587</v>
      </c>
      <c r="G804" t="s">
        <v>4588</v>
      </c>
      <c r="H804" t="s">
        <v>4589</v>
      </c>
      <c r="I804" t="s">
        <v>4590</v>
      </c>
      <c r="J804" t="s">
        <v>4591</v>
      </c>
      <c r="K804" t="s">
        <v>4248</v>
      </c>
      <c r="L804" t="s">
        <v>128</v>
      </c>
      <c r="M804" t="s">
        <v>1325</v>
      </c>
      <c r="N804" t="s">
        <v>4592</v>
      </c>
      <c r="O804" t="s">
        <v>4593</v>
      </c>
      <c r="P804">
        <v>0</v>
      </c>
      <c r="Q804" t="s">
        <v>125</v>
      </c>
      <c r="R804">
        <v>3</v>
      </c>
      <c r="S804">
        <v>88</v>
      </c>
      <c r="T804" t="s">
        <v>132</v>
      </c>
      <c r="U804" t="s">
        <v>133</v>
      </c>
      <c r="V804" s="1">
        <v>1000</v>
      </c>
      <c r="W804">
        <v>0</v>
      </c>
      <c r="X804" s="1">
        <v>1000</v>
      </c>
      <c r="Y804">
        <v>7</v>
      </c>
      <c r="Z804">
        <v>0</v>
      </c>
      <c r="AA804">
        <v>0</v>
      </c>
      <c r="AB804">
        <v>0</v>
      </c>
      <c r="AC804">
        <v>0</v>
      </c>
      <c r="AD804" t="s">
        <v>134</v>
      </c>
      <c r="AE804" t="s">
        <v>134</v>
      </c>
      <c r="AF804" s="2">
        <v>45518</v>
      </c>
      <c r="AG804" s="2">
        <v>46010</v>
      </c>
      <c r="AH804">
        <v>421.38</v>
      </c>
      <c r="AI804">
        <v>628.70000000000005</v>
      </c>
      <c r="AJ804" s="1">
        <v>4213.8</v>
      </c>
      <c r="AK804">
        <v>0</v>
      </c>
      <c r="AL804">
        <v>0</v>
      </c>
      <c r="AM804">
        <v>0</v>
      </c>
      <c r="AN804" t="s">
        <v>135</v>
      </c>
      <c r="AO804" t="s">
        <v>135</v>
      </c>
      <c r="AP804" t="s">
        <v>136</v>
      </c>
      <c r="AQ804" t="s">
        <v>137</v>
      </c>
      <c r="AR804" t="s">
        <v>138</v>
      </c>
      <c r="AS804" t="s">
        <v>139</v>
      </c>
      <c r="AT804" t="s">
        <v>140</v>
      </c>
      <c r="AU804">
        <v>501</v>
      </c>
      <c r="AV804">
        <v>10</v>
      </c>
      <c r="AW804">
        <v>1</v>
      </c>
      <c r="AX804" s="2">
        <v>45855</v>
      </c>
      <c r="AY804" t="s">
        <v>308</v>
      </c>
      <c r="AZ804" s="2">
        <v>46023</v>
      </c>
      <c r="BA804">
        <v>0</v>
      </c>
      <c r="BB804">
        <v>0</v>
      </c>
      <c r="BC804">
        <v>0</v>
      </c>
      <c r="BD804">
        <v>700</v>
      </c>
      <c r="BE804">
        <v>70</v>
      </c>
      <c r="BF804">
        <v>9</v>
      </c>
      <c r="BG804" s="2">
        <v>45536</v>
      </c>
      <c r="BH804" t="s">
        <v>142</v>
      </c>
      <c r="BI804" s="2">
        <v>46026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s="1">
        <v>1557.7</v>
      </c>
      <c r="BQ804" s="1">
        <v>1557.7</v>
      </c>
      <c r="BR804">
        <v>0</v>
      </c>
      <c r="BS804">
        <v>0</v>
      </c>
      <c r="BT804">
        <v>0</v>
      </c>
      <c r="BU804">
        <v>0</v>
      </c>
      <c r="BV804" s="1">
        <v>1428.85</v>
      </c>
      <c r="BW804" s="1">
        <v>1428.85</v>
      </c>
      <c r="BX804">
        <v>0</v>
      </c>
      <c r="BY804">
        <v>0</v>
      </c>
      <c r="BZ804">
        <v>0</v>
      </c>
      <c r="CA804">
        <v>0</v>
      </c>
      <c r="CB804" s="1">
        <v>1409.35</v>
      </c>
      <c r="CC804" t="s">
        <v>4520</v>
      </c>
    </row>
    <row r="805" spans="1:81" x14ac:dyDescent="0.25">
      <c r="A805">
        <v>345</v>
      </c>
      <c r="B805">
        <v>2</v>
      </c>
      <c r="C805">
        <v>2214</v>
      </c>
      <c r="D805" t="s">
        <v>4594</v>
      </c>
      <c r="E805" t="s">
        <v>121</v>
      </c>
      <c r="F805" t="s">
        <v>4595</v>
      </c>
      <c r="G805" t="s">
        <v>4596</v>
      </c>
      <c r="H805" t="s">
        <v>4597</v>
      </c>
      <c r="I805" t="s">
        <v>125</v>
      </c>
      <c r="J805" t="s">
        <v>126</v>
      </c>
      <c r="K805" t="s">
        <v>4248</v>
      </c>
      <c r="L805" t="s">
        <v>128</v>
      </c>
      <c r="M805" t="s">
        <v>4598</v>
      </c>
      <c r="N805" t="s">
        <v>4599</v>
      </c>
      <c r="O805" t="s">
        <v>131</v>
      </c>
      <c r="P805">
        <v>0</v>
      </c>
      <c r="Q805" t="s">
        <v>125</v>
      </c>
      <c r="R805">
        <v>6</v>
      </c>
      <c r="S805">
        <v>38</v>
      </c>
      <c r="T805" t="s">
        <v>132</v>
      </c>
      <c r="U805" t="s">
        <v>133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134</v>
      </c>
      <c r="AE805" t="s">
        <v>134</v>
      </c>
      <c r="AF805" s="2">
        <v>45518</v>
      </c>
      <c r="AG805" s="2">
        <v>45992</v>
      </c>
      <c r="AH805" s="1">
        <v>2641.35</v>
      </c>
      <c r="AI805" s="1">
        <v>5605.5</v>
      </c>
      <c r="AJ805" s="1">
        <v>10565.42</v>
      </c>
      <c r="AK805">
        <v>0</v>
      </c>
      <c r="AL805">
        <v>0</v>
      </c>
      <c r="AM805">
        <v>0</v>
      </c>
      <c r="AN805" t="s">
        <v>135</v>
      </c>
      <c r="AO805" t="s">
        <v>135</v>
      </c>
      <c r="AP805" t="s">
        <v>136</v>
      </c>
      <c r="AQ805" t="s">
        <v>137</v>
      </c>
      <c r="AR805" t="s">
        <v>138</v>
      </c>
      <c r="AS805" t="s">
        <v>139</v>
      </c>
      <c r="AT805" t="s">
        <v>140</v>
      </c>
      <c r="AU805">
        <v>104</v>
      </c>
      <c r="AV805">
        <v>10</v>
      </c>
      <c r="AW805">
        <v>1</v>
      </c>
      <c r="AX805" s="2">
        <v>45842</v>
      </c>
      <c r="AY805" t="s">
        <v>151</v>
      </c>
      <c r="AZ805" s="2">
        <v>46024</v>
      </c>
      <c r="BA805">
        <v>0</v>
      </c>
      <c r="BB805">
        <v>0</v>
      </c>
      <c r="BC805">
        <v>0</v>
      </c>
      <c r="BD805">
        <v>700</v>
      </c>
      <c r="BE805">
        <v>70</v>
      </c>
      <c r="BF805">
        <v>9</v>
      </c>
      <c r="BG805" s="2">
        <v>45536</v>
      </c>
      <c r="BH805" t="s">
        <v>142</v>
      </c>
      <c r="BI805" s="2">
        <v>46026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 s="1">
        <v>1868.5</v>
      </c>
      <c r="BQ805" s="1">
        <v>1868.5</v>
      </c>
      <c r="BR805">
        <v>0</v>
      </c>
      <c r="BS805">
        <v>0</v>
      </c>
      <c r="BT805">
        <v>0</v>
      </c>
      <c r="BU805">
        <v>0</v>
      </c>
      <c r="BV805" s="1">
        <v>1222.92</v>
      </c>
      <c r="BW805" s="1">
        <v>1222.92</v>
      </c>
      <c r="BX805">
        <v>0</v>
      </c>
      <c r="BY805">
        <v>0</v>
      </c>
      <c r="BZ805">
        <v>0</v>
      </c>
      <c r="CA805">
        <v>0</v>
      </c>
      <c r="CB805" s="1">
        <v>3949.03</v>
      </c>
      <c r="CC805" t="s">
        <v>143</v>
      </c>
    </row>
    <row r="806" spans="1:81" x14ac:dyDescent="0.25">
      <c r="A806">
        <v>345</v>
      </c>
      <c r="B806">
        <v>2</v>
      </c>
      <c r="C806">
        <v>2215</v>
      </c>
      <c r="D806" t="s">
        <v>4600</v>
      </c>
      <c r="E806" t="s">
        <v>121</v>
      </c>
      <c r="F806" t="s">
        <v>4601</v>
      </c>
      <c r="G806" t="s">
        <v>4602</v>
      </c>
      <c r="H806" t="s">
        <v>4603</v>
      </c>
      <c r="I806" t="s">
        <v>4604</v>
      </c>
      <c r="J806" t="s">
        <v>126</v>
      </c>
      <c r="K806" t="s">
        <v>4248</v>
      </c>
      <c r="L806" t="s">
        <v>128</v>
      </c>
      <c r="M806" t="s">
        <v>4598</v>
      </c>
      <c r="N806" t="s">
        <v>4605</v>
      </c>
      <c r="O806" t="s">
        <v>131</v>
      </c>
      <c r="P806">
        <v>0</v>
      </c>
      <c r="Q806" t="s">
        <v>125</v>
      </c>
      <c r="R806">
        <v>6</v>
      </c>
      <c r="S806">
        <v>39</v>
      </c>
      <c r="T806" t="s">
        <v>132</v>
      </c>
      <c r="U806" t="s">
        <v>133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134</v>
      </c>
      <c r="AE806" t="s">
        <v>134</v>
      </c>
      <c r="AF806" s="2">
        <v>45518</v>
      </c>
      <c r="AG806" s="2">
        <v>46017</v>
      </c>
      <c r="AH806" s="1">
        <v>1583.93</v>
      </c>
      <c r="AI806" s="1">
        <v>2379.54</v>
      </c>
      <c r="AJ806" s="1">
        <v>19007.22</v>
      </c>
      <c r="AK806">
        <v>0</v>
      </c>
      <c r="AL806">
        <v>0</v>
      </c>
      <c r="AM806">
        <v>0</v>
      </c>
      <c r="AN806" t="s">
        <v>135</v>
      </c>
      <c r="AO806" t="s">
        <v>135</v>
      </c>
      <c r="AP806" t="s">
        <v>136</v>
      </c>
      <c r="AQ806" t="s">
        <v>137</v>
      </c>
      <c r="AR806" t="s">
        <v>138</v>
      </c>
      <c r="AS806" t="s">
        <v>139</v>
      </c>
      <c r="AT806" t="s">
        <v>140</v>
      </c>
      <c r="AU806">
        <v>104</v>
      </c>
      <c r="AV806">
        <v>10</v>
      </c>
      <c r="AW806">
        <v>1</v>
      </c>
      <c r="AX806" s="2">
        <v>45811</v>
      </c>
      <c r="AY806" t="s">
        <v>377</v>
      </c>
      <c r="AZ806" s="2">
        <v>46028</v>
      </c>
      <c r="BA806">
        <v>0</v>
      </c>
      <c r="BB806">
        <v>0</v>
      </c>
      <c r="BC806">
        <v>0</v>
      </c>
      <c r="BD806">
        <v>700</v>
      </c>
      <c r="BE806">
        <v>70</v>
      </c>
      <c r="BF806">
        <v>9</v>
      </c>
      <c r="BG806" s="2">
        <v>45536</v>
      </c>
      <c r="BH806" t="s">
        <v>142</v>
      </c>
      <c r="BI806" s="2">
        <v>46026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s="1">
        <v>5616.84</v>
      </c>
      <c r="BQ806" s="1">
        <v>5616.84</v>
      </c>
      <c r="BR806">
        <v>0</v>
      </c>
      <c r="BS806">
        <v>0</v>
      </c>
      <c r="BT806">
        <v>0</v>
      </c>
      <c r="BU806">
        <v>0</v>
      </c>
      <c r="BV806" s="1">
        <v>6265.94</v>
      </c>
      <c r="BW806" s="1">
        <v>6265.94</v>
      </c>
      <c r="BX806">
        <v>0</v>
      </c>
      <c r="BY806">
        <v>0</v>
      </c>
      <c r="BZ806">
        <v>0</v>
      </c>
      <c r="CA806">
        <v>0</v>
      </c>
      <c r="CB806" s="1">
        <v>5235.78</v>
      </c>
      <c r="CC806" t="s">
        <v>143</v>
      </c>
    </row>
    <row r="807" spans="1:81" x14ac:dyDescent="0.25">
      <c r="A807">
        <v>345</v>
      </c>
      <c r="B807">
        <v>2</v>
      </c>
      <c r="C807">
        <v>2217</v>
      </c>
      <c r="D807" t="s">
        <v>4606</v>
      </c>
      <c r="E807" t="s">
        <v>121</v>
      </c>
      <c r="F807" t="s">
        <v>4607</v>
      </c>
      <c r="G807" t="s">
        <v>4608</v>
      </c>
      <c r="H807" t="s">
        <v>4609</v>
      </c>
      <c r="I807" t="s">
        <v>125</v>
      </c>
      <c r="J807" t="s">
        <v>4610</v>
      </c>
      <c r="K807" t="s">
        <v>4248</v>
      </c>
      <c r="L807" t="s">
        <v>128</v>
      </c>
      <c r="M807" t="s">
        <v>4598</v>
      </c>
      <c r="N807" t="s">
        <v>4611</v>
      </c>
      <c r="O807" t="s">
        <v>131</v>
      </c>
      <c r="P807">
        <v>0</v>
      </c>
      <c r="Q807" t="s">
        <v>125</v>
      </c>
      <c r="R807">
        <v>6</v>
      </c>
      <c r="S807">
        <v>38</v>
      </c>
      <c r="T807" t="s">
        <v>132</v>
      </c>
      <c r="U807" t="s">
        <v>133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134</v>
      </c>
      <c r="AE807" t="s">
        <v>134</v>
      </c>
      <c r="AF807" s="2">
        <v>45518</v>
      </c>
      <c r="AG807" s="2">
        <v>46010</v>
      </c>
      <c r="AH807">
        <v>355.24</v>
      </c>
      <c r="AI807">
        <v>520.54</v>
      </c>
      <c r="AJ807" s="1">
        <v>2486.73</v>
      </c>
      <c r="AK807">
        <v>0</v>
      </c>
      <c r="AL807">
        <v>0</v>
      </c>
      <c r="AM807">
        <v>0</v>
      </c>
      <c r="AN807" t="s">
        <v>135</v>
      </c>
      <c r="AO807" t="s">
        <v>135</v>
      </c>
      <c r="AP807" t="s">
        <v>136</v>
      </c>
      <c r="AQ807" t="s">
        <v>137</v>
      </c>
      <c r="AR807" t="s">
        <v>138</v>
      </c>
      <c r="AS807" t="s">
        <v>139</v>
      </c>
      <c r="AT807" t="s">
        <v>140</v>
      </c>
      <c r="AU807">
        <v>104</v>
      </c>
      <c r="AV807">
        <v>10</v>
      </c>
      <c r="AW807">
        <v>1</v>
      </c>
      <c r="AX807" s="2">
        <v>45813</v>
      </c>
      <c r="AY807" t="s">
        <v>308</v>
      </c>
      <c r="AZ807" s="2">
        <v>46023</v>
      </c>
      <c r="BA807">
        <v>0</v>
      </c>
      <c r="BB807">
        <v>0</v>
      </c>
      <c r="BC807">
        <v>0</v>
      </c>
      <c r="BD807">
        <v>700</v>
      </c>
      <c r="BE807">
        <v>70</v>
      </c>
      <c r="BF807">
        <v>9</v>
      </c>
      <c r="BG807" s="2">
        <v>45536</v>
      </c>
      <c r="BH807" t="s">
        <v>142</v>
      </c>
      <c r="BI807" s="2">
        <v>46026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s="1">
        <v>1113.54</v>
      </c>
      <c r="BQ807" s="1">
        <v>1113.54</v>
      </c>
      <c r="BR807">
        <v>0</v>
      </c>
      <c r="BS807">
        <v>0</v>
      </c>
      <c r="BT807">
        <v>0</v>
      </c>
      <c r="BU807">
        <v>0</v>
      </c>
      <c r="BV807">
        <v>839.49</v>
      </c>
      <c r="BW807">
        <v>839.49</v>
      </c>
      <c r="BX807">
        <v>0</v>
      </c>
      <c r="BY807">
        <v>0</v>
      </c>
      <c r="BZ807">
        <v>0</v>
      </c>
      <c r="CA807">
        <v>0</v>
      </c>
      <c r="CB807">
        <v>892.88</v>
      </c>
      <c r="CC807" t="s">
        <v>143</v>
      </c>
    </row>
    <row r="808" spans="1:81" x14ac:dyDescent="0.25">
      <c r="A808">
        <v>345</v>
      </c>
      <c r="B808">
        <v>2</v>
      </c>
      <c r="C808">
        <v>2221</v>
      </c>
      <c r="D808" t="s">
        <v>4612</v>
      </c>
      <c r="E808" t="s">
        <v>121</v>
      </c>
      <c r="F808" t="s">
        <v>4613</v>
      </c>
      <c r="G808" t="s">
        <v>4614</v>
      </c>
      <c r="H808" t="s">
        <v>4615</v>
      </c>
      <c r="I808" t="s">
        <v>125</v>
      </c>
      <c r="J808" t="s">
        <v>1217</v>
      </c>
      <c r="K808" t="s">
        <v>4248</v>
      </c>
      <c r="L808" t="s">
        <v>128</v>
      </c>
      <c r="M808" t="s">
        <v>1325</v>
      </c>
      <c r="N808" t="s">
        <v>4616</v>
      </c>
      <c r="O808" t="s">
        <v>131</v>
      </c>
      <c r="P808">
        <v>0</v>
      </c>
      <c r="Q808" t="s">
        <v>125</v>
      </c>
      <c r="R808">
        <v>6</v>
      </c>
      <c r="S808">
        <v>38</v>
      </c>
      <c r="T808" t="s">
        <v>132</v>
      </c>
      <c r="U808" t="s">
        <v>133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134</v>
      </c>
      <c r="AE808" t="s">
        <v>134</v>
      </c>
      <c r="AF808" s="2">
        <v>45518</v>
      </c>
      <c r="AG808" s="2">
        <v>46010</v>
      </c>
      <c r="AH808">
        <v>446.59</v>
      </c>
      <c r="AI808">
        <v>602.55999999999995</v>
      </c>
      <c r="AJ808" s="1">
        <v>2679.58</v>
      </c>
      <c r="AK808">
        <v>0</v>
      </c>
      <c r="AL808">
        <v>0</v>
      </c>
      <c r="AM808">
        <v>0</v>
      </c>
      <c r="AN808" t="s">
        <v>135</v>
      </c>
      <c r="AO808" t="s">
        <v>135</v>
      </c>
      <c r="AP808" t="s">
        <v>136</v>
      </c>
      <c r="AQ808" t="s">
        <v>137</v>
      </c>
      <c r="AR808" t="s">
        <v>138</v>
      </c>
      <c r="AS808" t="s">
        <v>139</v>
      </c>
      <c r="AT808" t="s">
        <v>140</v>
      </c>
      <c r="AU808">
        <v>104</v>
      </c>
      <c r="AV808">
        <v>10</v>
      </c>
      <c r="AW808">
        <v>1</v>
      </c>
      <c r="AX808" s="2">
        <v>45812</v>
      </c>
      <c r="AY808" t="s">
        <v>168</v>
      </c>
      <c r="AZ808" s="2">
        <v>46022</v>
      </c>
      <c r="BA808">
        <v>0</v>
      </c>
      <c r="BB808">
        <v>0</v>
      </c>
      <c r="BC808">
        <v>0</v>
      </c>
      <c r="BD808">
        <v>700</v>
      </c>
      <c r="BE808">
        <v>70</v>
      </c>
      <c r="BF808">
        <v>9</v>
      </c>
      <c r="BG808" s="2">
        <v>45536</v>
      </c>
      <c r="BH808" t="s">
        <v>142</v>
      </c>
      <c r="BI808" s="2">
        <v>46026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 s="1">
        <v>1581.42</v>
      </c>
      <c r="BQ808" s="1">
        <v>1581.42</v>
      </c>
      <c r="BR808">
        <v>0</v>
      </c>
      <c r="BS808">
        <v>0</v>
      </c>
      <c r="BT808">
        <v>0</v>
      </c>
      <c r="BU808">
        <v>0</v>
      </c>
      <c r="BV808">
        <v>495.6</v>
      </c>
      <c r="BW808">
        <v>495.6</v>
      </c>
      <c r="BX808">
        <v>0</v>
      </c>
      <c r="BY808">
        <v>0</v>
      </c>
      <c r="BZ808">
        <v>0</v>
      </c>
      <c r="CA808">
        <v>0</v>
      </c>
      <c r="CB808" s="1">
        <v>1182.4100000000001</v>
      </c>
      <c r="CC808" t="s">
        <v>143</v>
      </c>
    </row>
    <row r="809" spans="1:81" x14ac:dyDescent="0.25">
      <c r="A809">
        <v>345</v>
      </c>
      <c r="B809">
        <v>2</v>
      </c>
      <c r="C809">
        <v>2222</v>
      </c>
      <c r="D809" t="s">
        <v>4617</v>
      </c>
      <c r="E809" t="s">
        <v>121</v>
      </c>
      <c r="F809" t="s">
        <v>4618</v>
      </c>
      <c r="G809" t="s">
        <v>4619</v>
      </c>
      <c r="H809" t="s">
        <v>4620</v>
      </c>
      <c r="I809" t="s">
        <v>125</v>
      </c>
      <c r="J809" t="s">
        <v>126</v>
      </c>
      <c r="K809" t="s">
        <v>4248</v>
      </c>
      <c r="L809" t="s">
        <v>128</v>
      </c>
      <c r="M809" t="s">
        <v>4598</v>
      </c>
      <c r="N809" t="s">
        <v>4621</v>
      </c>
      <c r="O809" t="s">
        <v>201</v>
      </c>
      <c r="P809">
        <v>0</v>
      </c>
      <c r="Q809" t="s">
        <v>125</v>
      </c>
      <c r="R809">
        <v>6</v>
      </c>
      <c r="S809">
        <v>41</v>
      </c>
      <c r="T809" t="s">
        <v>132</v>
      </c>
      <c r="U809" t="s">
        <v>133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134</v>
      </c>
      <c r="AE809" t="s">
        <v>134</v>
      </c>
      <c r="AF809" s="2">
        <v>45518</v>
      </c>
      <c r="AG809" s="2">
        <v>46018</v>
      </c>
      <c r="AH809">
        <v>232.61</v>
      </c>
      <c r="AI809">
        <v>527.89</v>
      </c>
      <c r="AJ809" s="1">
        <v>2093.54</v>
      </c>
      <c r="AK809">
        <v>0</v>
      </c>
      <c r="AL809">
        <v>0</v>
      </c>
      <c r="AM809">
        <v>0</v>
      </c>
      <c r="AN809" t="s">
        <v>135</v>
      </c>
      <c r="AO809" t="s">
        <v>135</v>
      </c>
      <c r="AP809" t="s">
        <v>136</v>
      </c>
      <c r="AQ809" t="s">
        <v>137</v>
      </c>
      <c r="AR809" t="s">
        <v>138</v>
      </c>
      <c r="AS809" t="s">
        <v>150</v>
      </c>
      <c r="AT809" t="s">
        <v>140</v>
      </c>
      <c r="AU809">
        <v>104</v>
      </c>
      <c r="AV809">
        <v>10</v>
      </c>
      <c r="AW809">
        <v>1</v>
      </c>
      <c r="AX809" s="2">
        <v>45812</v>
      </c>
      <c r="AY809" t="s">
        <v>168</v>
      </c>
      <c r="AZ809" s="2">
        <v>46022</v>
      </c>
      <c r="BA809">
        <v>0</v>
      </c>
      <c r="BB809">
        <v>0</v>
      </c>
      <c r="BC809">
        <v>0</v>
      </c>
      <c r="BD809">
        <v>700</v>
      </c>
      <c r="BE809">
        <v>70</v>
      </c>
      <c r="BF809">
        <v>9</v>
      </c>
      <c r="BG809" s="2">
        <v>45536</v>
      </c>
      <c r="BH809" t="s">
        <v>142</v>
      </c>
      <c r="BI809" s="2">
        <v>46026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579.52</v>
      </c>
      <c r="BQ809">
        <v>579.52</v>
      </c>
      <c r="BR809">
        <v>0</v>
      </c>
      <c r="BS809">
        <v>0</v>
      </c>
      <c r="BT809">
        <v>0</v>
      </c>
      <c r="BU809">
        <v>0</v>
      </c>
      <c r="BV809">
        <v>806.3</v>
      </c>
      <c r="BW809">
        <v>806.3</v>
      </c>
      <c r="BX809">
        <v>0</v>
      </c>
      <c r="BY809">
        <v>0</v>
      </c>
      <c r="BZ809">
        <v>0</v>
      </c>
      <c r="CA809">
        <v>0</v>
      </c>
      <c r="CB809">
        <v>791.13</v>
      </c>
      <c r="CC809" t="s">
        <v>143</v>
      </c>
    </row>
    <row r="810" spans="1:81" x14ac:dyDescent="0.25">
      <c r="A810">
        <v>345</v>
      </c>
      <c r="B810">
        <v>2</v>
      </c>
      <c r="C810">
        <v>2228</v>
      </c>
      <c r="D810" t="s">
        <v>4622</v>
      </c>
      <c r="E810" t="s">
        <v>121</v>
      </c>
      <c r="F810" t="s">
        <v>4623</v>
      </c>
      <c r="G810" t="s">
        <v>4624</v>
      </c>
      <c r="H810" t="s">
        <v>4625</v>
      </c>
      <c r="I810" t="s">
        <v>125</v>
      </c>
      <c r="J810" t="s">
        <v>126</v>
      </c>
      <c r="K810" t="s">
        <v>4248</v>
      </c>
      <c r="L810" t="s">
        <v>128</v>
      </c>
      <c r="M810" t="s">
        <v>4598</v>
      </c>
      <c r="N810" t="s">
        <v>4626</v>
      </c>
      <c r="O810" t="s">
        <v>131</v>
      </c>
      <c r="P810">
        <v>0</v>
      </c>
      <c r="Q810" t="s">
        <v>125</v>
      </c>
      <c r="R810">
        <v>6</v>
      </c>
      <c r="S810">
        <v>42</v>
      </c>
      <c r="T810" t="s">
        <v>132</v>
      </c>
      <c r="U810" t="s">
        <v>133</v>
      </c>
      <c r="V810" s="1">
        <v>6000</v>
      </c>
      <c r="W810">
        <v>0</v>
      </c>
      <c r="X810" s="1">
        <v>6000</v>
      </c>
      <c r="Y810">
        <v>7</v>
      </c>
      <c r="Z810">
        <v>0</v>
      </c>
      <c r="AA810">
        <v>0</v>
      </c>
      <c r="AB810">
        <v>0</v>
      </c>
      <c r="AC810">
        <v>0</v>
      </c>
      <c r="AD810" t="s">
        <v>134</v>
      </c>
      <c r="AE810" t="s">
        <v>134</v>
      </c>
      <c r="AF810" s="2">
        <v>45518</v>
      </c>
      <c r="AG810" s="2">
        <v>46011</v>
      </c>
      <c r="AH810">
        <v>339.33</v>
      </c>
      <c r="AI810">
        <v>724.22</v>
      </c>
      <c r="AJ810" s="1">
        <v>3393.39</v>
      </c>
      <c r="AK810">
        <v>0</v>
      </c>
      <c r="AL810">
        <v>0</v>
      </c>
      <c r="AM810">
        <v>0</v>
      </c>
      <c r="AN810" t="s">
        <v>135</v>
      </c>
      <c r="AO810" t="s">
        <v>135</v>
      </c>
      <c r="AP810" t="s">
        <v>136</v>
      </c>
      <c r="AQ810" t="s">
        <v>137</v>
      </c>
      <c r="AR810" t="s">
        <v>138</v>
      </c>
      <c r="AS810" t="s">
        <v>150</v>
      </c>
      <c r="AT810" t="s">
        <v>140</v>
      </c>
      <c r="AU810">
        <v>501</v>
      </c>
      <c r="AV810">
        <v>10</v>
      </c>
      <c r="AW810">
        <v>1</v>
      </c>
      <c r="AX810" s="2">
        <v>45946</v>
      </c>
      <c r="AY810" t="s">
        <v>308</v>
      </c>
      <c r="AZ810" s="2">
        <v>46023</v>
      </c>
      <c r="BA810">
        <v>0</v>
      </c>
      <c r="BB810">
        <v>0</v>
      </c>
      <c r="BC810">
        <v>0</v>
      </c>
      <c r="BD810">
        <v>700</v>
      </c>
      <c r="BE810">
        <v>70</v>
      </c>
      <c r="BF810">
        <v>9</v>
      </c>
      <c r="BG810" s="2">
        <v>45536</v>
      </c>
      <c r="BH810" t="s">
        <v>142</v>
      </c>
      <c r="BI810" s="2">
        <v>46026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s="1">
        <v>1912.91</v>
      </c>
      <c r="BQ810" s="1">
        <v>1912.91</v>
      </c>
      <c r="BR810">
        <v>0</v>
      </c>
      <c r="BS810">
        <v>0</v>
      </c>
      <c r="BT810">
        <v>0</v>
      </c>
      <c r="BU810">
        <v>0</v>
      </c>
      <c r="BV810">
        <v>953.71</v>
      </c>
      <c r="BW810">
        <v>953.71</v>
      </c>
      <c r="BX810">
        <v>0</v>
      </c>
      <c r="BY810">
        <v>0</v>
      </c>
      <c r="BZ810">
        <v>0</v>
      </c>
      <c r="CA810">
        <v>0</v>
      </c>
      <c r="CB810" s="1">
        <v>1867.17</v>
      </c>
      <c r="CC810" t="s">
        <v>143</v>
      </c>
    </row>
    <row r="811" spans="1:81" x14ac:dyDescent="0.25">
      <c r="A811">
        <v>345</v>
      </c>
      <c r="B811">
        <v>2</v>
      </c>
      <c r="C811">
        <v>2230</v>
      </c>
      <c r="D811" t="s">
        <v>4627</v>
      </c>
      <c r="E811" t="s">
        <v>121</v>
      </c>
      <c r="F811" t="s">
        <v>4628</v>
      </c>
      <c r="G811" t="s">
        <v>4629</v>
      </c>
      <c r="H811" t="s">
        <v>4630</v>
      </c>
      <c r="I811" t="s">
        <v>4631</v>
      </c>
      <c r="J811" t="s">
        <v>4297</v>
      </c>
      <c r="K811" t="s">
        <v>4248</v>
      </c>
      <c r="L811" t="s">
        <v>128</v>
      </c>
      <c r="M811" t="s">
        <v>1325</v>
      </c>
      <c r="N811" t="s">
        <v>4632</v>
      </c>
      <c r="O811" t="s">
        <v>1146</v>
      </c>
      <c r="P811">
        <v>0</v>
      </c>
      <c r="Q811" t="s">
        <v>125</v>
      </c>
      <c r="R811">
        <v>6</v>
      </c>
      <c r="S811">
        <v>34</v>
      </c>
      <c r="T811" t="s">
        <v>132</v>
      </c>
      <c r="U811" t="s">
        <v>133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134</v>
      </c>
      <c r="AE811" t="s">
        <v>134</v>
      </c>
      <c r="AF811" s="2">
        <v>45518</v>
      </c>
      <c r="AG811" s="2">
        <v>46017</v>
      </c>
      <c r="AH811">
        <v>356.8</v>
      </c>
      <c r="AI811" s="1">
        <v>1001.38</v>
      </c>
      <c r="AJ811" s="1">
        <v>4638.41</v>
      </c>
      <c r="AK811">
        <v>0</v>
      </c>
      <c r="AL811">
        <v>297.12</v>
      </c>
      <c r="AM811">
        <v>0</v>
      </c>
      <c r="AN811" t="s">
        <v>135</v>
      </c>
      <c r="AO811" t="s">
        <v>135</v>
      </c>
      <c r="AP811" t="s">
        <v>136</v>
      </c>
      <c r="AQ811" t="s">
        <v>137</v>
      </c>
      <c r="AR811" t="s">
        <v>138</v>
      </c>
      <c r="AS811" t="s">
        <v>139</v>
      </c>
      <c r="AT811" t="s">
        <v>140</v>
      </c>
      <c r="AU811">
        <v>104</v>
      </c>
      <c r="AV811">
        <v>10</v>
      </c>
      <c r="AW811">
        <v>1</v>
      </c>
      <c r="AX811" s="2">
        <v>45860</v>
      </c>
      <c r="AY811" t="s">
        <v>377</v>
      </c>
      <c r="AZ811" s="2">
        <v>46028</v>
      </c>
      <c r="BA811">
        <v>0</v>
      </c>
      <c r="BB811">
        <v>0</v>
      </c>
      <c r="BC811">
        <v>0</v>
      </c>
      <c r="BD811">
        <v>700</v>
      </c>
      <c r="BE811">
        <v>70</v>
      </c>
      <c r="BF811">
        <v>9</v>
      </c>
      <c r="BG811" s="2">
        <v>45536</v>
      </c>
      <c r="BH811" t="s">
        <v>142</v>
      </c>
      <c r="BI811" s="2">
        <v>46026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846.91</v>
      </c>
      <c r="BQ811">
        <v>846.91</v>
      </c>
      <c r="BR811">
        <v>0</v>
      </c>
      <c r="BS811">
        <v>0</v>
      </c>
      <c r="BT811">
        <v>0</v>
      </c>
      <c r="BU811">
        <v>0</v>
      </c>
      <c r="BV811" s="1">
        <v>1305.04</v>
      </c>
      <c r="BW811" s="1">
        <v>1305.04</v>
      </c>
      <c r="BX811">
        <v>0</v>
      </c>
      <c r="BY811">
        <v>0</v>
      </c>
      <c r="BZ811">
        <v>0</v>
      </c>
      <c r="CA811">
        <v>0</v>
      </c>
      <c r="CB811" s="1">
        <v>1533.63</v>
      </c>
      <c r="CC811" t="s">
        <v>161</v>
      </c>
    </row>
    <row r="812" spans="1:81" x14ac:dyDescent="0.25">
      <c r="A812">
        <v>345</v>
      </c>
      <c r="B812">
        <v>2</v>
      </c>
      <c r="C812">
        <v>2231</v>
      </c>
      <c r="D812" t="s">
        <v>4633</v>
      </c>
      <c r="E812" t="s">
        <v>121</v>
      </c>
      <c r="F812" t="s">
        <v>4634</v>
      </c>
      <c r="G812" t="s">
        <v>4635</v>
      </c>
      <c r="H812" t="s">
        <v>4636</v>
      </c>
      <c r="I812" t="s">
        <v>125</v>
      </c>
      <c r="J812" t="s">
        <v>4254</v>
      </c>
      <c r="K812" t="s">
        <v>4248</v>
      </c>
      <c r="L812" t="s">
        <v>128</v>
      </c>
      <c r="M812" t="s">
        <v>4598</v>
      </c>
      <c r="N812" t="s">
        <v>4637</v>
      </c>
      <c r="O812" t="s">
        <v>131</v>
      </c>
      <c r="P812">
        <v>0</v>
      </c>
      <c r="Q812" t="s">
        <v>125</v>
      </c>
      <c r="R812">
        <v>6</v>
      </c>
      <c r="S812">
        <v>26</v>
      </c>
      <c r="T812" t="s">
        <v>132</v>
      </c>
      <c r="U812" t="s">
        <v>133</v>
      </c>
      <c r="V812" s="1">
        <v>1000</v>
      </c>
      <c r="W812">
        <v>232.2</v>
      </c>
      <c r="X812">
        <v>767.8</v>
      </c>
      <c r="Y812">
        <v>7</v>
      </c>
      <c r="Z812">
        <v>0</v>
      </c>
      <c r="AA812">
        <v>7</v>
      </c>
      <c r="AB812">
        <v>1</v>
      </c>
      <c r="AC812">
        <v>40</v>
      </c>
      <c r="AD812" t="s">
        <v>134</v>
      </c>
      <c r="AE812" t="s">
        <v>134</v>
      </c>
      <c r="AF812" s="2">
        <v>45518</v>
      </c>
      <c r="AG812" s="2">
        <v>45952</v>
      </c>
      <c r="AH812">
        <v>257.88</v>
      </c>
      <c r="AI812">
        <v>272.41000000000003</v>
      </c>
      <c r="AJ812">
        <v>773.65</v>
      </c>
      <c r="AK812">
        <v>0</v>
      </c>
      <c r="AL812">
        <v>232.2</v>
      </c>
      <c r="AM812">
        <v>0</v>
      </c>
      <c r="AN812" t="s">
        <v>135</v>
      </c>
      <c r="AO812" t="s">
        <v>135</v>
      </c>
      <c r="AP812" t="s">
        <v>136</v>
      </c>
      <c r="AQ812" t="s">
        <v>137</v>
      </c>
      <c r="AR812" t="s">
        <v>138</v>
      </c>
      <c r="AS812" t="s">
        <v>139</v>
      </c>
      <c r="AT812" t="s">
        <v>140</v>
      </c>
      <c r="AU812">
        <v>104</v>
      </c>
      <c r="AV812">
        <v>10</v>
      </c>
      <c r="AW812">
        <v>1</v>
      </c>
      <c r="AX812" s="2">
        <v>45531</v>
      </c>
      <c r="AY812" t="s">
        <v>377</v>
      </c>
      <c r="AZ812" s="2">
        <v>46028</v>
      </c>
      <c r="BA812">
        <v>0</v>
      </c>
      <c r="BB812">
        <v>0</v>
      </c>
      <c r="BC812">
        <v>0</v>
      </c>
      <c r="BD812">
        <v>700</v>
      </c>
      <c r="BE812">
        <v>70</v>
      </c>
      <c r="BF812">
        <v>9</v>
      </c>
      <c r="BG812" s="2">
        <v>45536</v>
      </c>
      <c r="BH812" t="s">
        <v>142</v>
      </c>
      <c r="BI812" s="2">
        <v>46026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7</v>
      </c>
      <c r="BT812">
        <v>7</v>
      </c>
      <c r="BU812">
        <v>232.2</v>
      </c>
      <c r="BV812">
        <v>0</v>
      </c>
      <c r="BW812">
        <v>232.2</v>
      </c>
      <c r="BX812">
        <v>232.2</v>
      </c>
      <c r="BY812">
        <v>100</v>
      </c>
      <c r="BZ812">
        <v>0</v>
      </c>
      <c r="CA812">
        <v>0</v>
      </c>
      <c r="CB812">
        <v>311.74</v>
      </c>
      <c r="CC812" t="s">
        <v>161</v>
      </c>
    </row>
    <row r="813" spans="1:81" x14ac:dyDescent="0.25">
      <c r="A813">
        <v>345</v>
      </c>
      <c r="B813">
        <v>2</v>
      </c>
      <c r="C813">
        <v>2232</v>
      </c>
      <c r="D813" t="s">
        <v>4638</v>
      </c>
      <c r="E813" t="s">
        <v>121</v>
      </c>
      <c r="F813" t="s">
        <v>4639</v>
      </c>
      <c r="G813" t="s">
        <v>4640</v>
      </c>
      <c r="H813" t="s">
        <v>786</v>
      </c>
      <c r="I813" t="s">
        <v>125</v>
      </c>
      <c r="J813" t="s">
        <v>126</v>
      </c>
      <c r="K813" t="s">
        <v>4248</v>
      </c>
      <c r="L813" t="s">
        <v>128</v>
      </c>
      <c r="M813" t="s">
        <v>4598</v>
      </c>
      <c r="N813" t="s">
        <v>4641</v>
      </c>
      <c r="O813" t="s">
        <v>131</v>
      </c>
      <c r="P813">
        <v>0</v>
      </c>
      <c r="Q813" t="s">
        <v>125</v>
      </c>
      <c r="R813">
        <v>6</v>
      </c>
      <c r="S813">
        <v>37</v>
      </c>
      <c r="T813" t="s">
        <v>132</v>
      </c>
      <c r="U813" t="s">
        <v>133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134</v>
      </c>
      <c r="AE813" t="s">
        <v>134</v>
      </c>
      <c r="AF813" s="2">
        <v>45518</v>
      </c>
      <c r="AG813" s="2">
        <v>46020</v>
      </c>
      <c r="AH813">
        <v>582.75</v>
      </c>
      <c r="AI813">
        <v>810.19</v>
      </c>
      <c r="AJ813" s="1">
        <v>1748.27</v>
      </c>
      <c r="AK813">
        <v>0</v>
      </c>
      <c r="AL813">
        <v>0</v>
      </c>
      <c r="AM813">
        <v>0</v>
      </c>
      <c r="AN813" t="s">
        <v>135</v>
      </c>
      <c r="AO813" t="s">
        <v>135</v>
      </c>
      <c r="AP813" t="s">
        <v>136</v>
      </c>
      <c r="AQ813" t="s">
        <v>137</v>
      </c>
      <c r="AR813" t="s">
        <v>138</v>
      </c>
      <c r="AS813" t="s">
        <v>139</v>
      </c>
      <c r="AT813" t="s">
        <v>140</v>
      </c>
      <c r="AU813">
        <v>104</v>
      </c>
      <c r="AV813">
        <v>10</v>
      </c>
      <c r="AW813">
        <v>1</v>
      </c>
      <c r="AX813" s="2">
        <v>45814</v>
      </c>
      <c r="AY813" t="s">
        <v>151</v>
      </c>
      <c r="AZ813" s="2">
        <v>46024</v>
      </c>
      <c r="BA813">
        <v>0</v>
      </c>
      <c r="BB813">
        <v>0</v>
      </c>
      <c r="BC813">
        <v>0</v>
      </c>
      <c r="BD813">
        <v>700</v>
      </c>
      <c r="BE813">
        <v>70</v>
      </c>
      <c r="BF813">
        <v>9</v>
      </c>
      <c r="BG813" s="2">
        <v>45536</v>
      </c>
      <c r="BH813" t="s">
        <v>142</v>
      </c>
      <c r="BI813" s="2">
        <v>46026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485.12</v>
      </c>
      <c r="BQ813">
        <v>485.12</v>
      </c>
      <c r="BR813">
        <v>0</v>
      </c>
      <c r="BS813">
        <v>0</v>
      </c>
      <c r="BT813">
        <v>0</v>
      </c>
      <c r="BU813">
        <v>0</v>
      </c>
      <c r="BV813" s="1">
        <v>1263.1500000000001</v>
      </c>
      <c r="BW813" s="1">
        <v>1263.1500000000001</v>
      </c>
      <c r="BX813">
        <v>0</v>
      </c>
      <c r="BY813">
        <v>0</v>
      </c>
      <c r="BZ813">
        <v>0</v>
      </c>
      <c r="CA813">
        <v>0</v>
      </c>
      <c r="CB813">
        <v>600.62</v>
      </c>
      <c r="CC813" t="s">
        <v>143</v>
      </c>
    </row>
    <row r="814" spans="1:81" x14ac:dyDescent="0.25">
      <c r="A814">
        <v>345</v>
      </c>
      <c r="B814">
        <v>2</v>
      </c>
      <c r="C814">
        <v>2233</v>
      </c>
      <c r="D814" t="s">
        <v>4642</v>
      </c>
      <c r="E814" t="s">
        <v>121</v>
      </c>
      <c r="F814" t="s">
        <v>4643</v>
      </c>
      <c r="G814" t="s">
        <v>4644</v>
      </c>
      <c r="H814" t="s">
        <v>4645</v>
      </c>
      <c r="I814" t="s">
        <v>4646</v>
      </c>
      <c r="J814" t="s">
        <v>4647</v>
      </c>
      <c r="K814" t="s">
        <v>4248</v>
      </c>
      <c r="L814" t="s">
        <v>128</v>
      </c>
      <c r="M814" t="s">
        <v>1325</v>
      </c>
      <c r="N814" t="s">
        <v>4648</v>
      </c>
      <c r="O814" t="s">
        <v>3115</v>
      </c>
      <c r="P814">
        <v>0</v>
      </c>
      <c r="Q814" t="s">
        <v>125</v>
      </c>
      <c r="R814">
        <v>6</v>
      </c>
      <c r="S814">
        <v>39</v>
      </c>
      <c r="T814" t="s">
        <v>132</v>
      </c>
      <c r="U814" t="s">
        <v>133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134</v>
      </c>
      <c r="AE814" t="s">
        <v>134</v>
      </c>
      <c r="AF814" s="2">
        <v>45518</v>
      </c>
      <c r="AG814" s="2">
        <v>46004</v>
      </c>
      <c r="AH814">
        <v>890.23</v>
      </c>
      <c r="AI814">
        <v>959.66</v>
      </c>
      <c r="AJ814" s="1">
        <v>2670.69</v>
      </c>
      <c r="AK814">
        <v>0</v>
      </c>
      <c r="AL814">
        <v>0</v>
      </c>
      <c r="AM814">
        <v>0</v>
      </c>
      <c r="AN814" t="s">
        <v>135</v>
      </c>
      <c r="AO814" t="s">
        <v>135</v>
      </c>
      <c r="AP814" t="s">
        <v>136</v>
      </c>
      <c r="AQ814" t="s">
        <v>137</v>
      </c>
      <c r="AR814" t="s">
        <v>138</v>
      </c>
      <c r="AS814" t="s">
        <v>150</v>
      </c>
      <c r="AT814" t="s">
        <v>140</v>
      </c>
      <c r="AU814">
        <v>104</v>
      </c>
      <c r="AV814">
        <v>10</v>
      </c>
      <c r="AW814">
        <v>1</v>
      </c>
      <c r="AX814" s="2">
        <v>45842</v>
      </c>
      <c r="AY814" t="s">
        <v>151</v>
      </c>
      <c r="AZ814" s="2">
        <v>46024</v>
      </c>
      <c r="BA814">
        <v>0</v>
      </c>
      <c r="BB814">
        <v>0</v>
      </c>
      <c r="BC814">
        <v>0</v>
      </c>
      <c r="BD814">
        <v>700</v>
      </c>
      <c r="BE814">
        <v>70</v>
      </c>
      <c r="BF814">
        <v>9</v>
      </c>
      <c r="BG814" s="2">
        <v>45536</v>
      </c>
      <c r="BH814" t="s">
        <v>142</v>
      </c>
      <c r="BI814" s="2">
        <v>46026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 s="1">
        <v>1875.33</v>
      </c>
      <c r="BQ814" s="1">
        <v>1875.33</v>
      </c>
      <c r="BR814">
        <v>0</v>
      </c>
      <c r="BS814">
        <v>0</v>
      </c>
      <c r="BT814">
        <v>0</v>
      </c>
      <c r="BU814">
        <v>0</v>
      </c>
      <c r="BV814">
        <v>795.36</v>
      </c>
      <c r="BW814">
        <v>795.36</v>
      </c>
      <c r="BX814">
        <v>0</v>
      </c>
      <c r="BY814">
        <v>0</v>
      </c>
      <c r="BZ814">
        <v>0</v>
      </c>
      <c r="CA814">
        <v>0</v>
      </c>
      <c r="CB814">
        <v>995.68</v>
      </c>
      <c r="CC814" t="s">
        <v>3116</v>
      </c>
    </row>
    <row r="815" spans="1:81" x14ac:dyDescent="0.25">
      <c r="A815">
        <v>345</v>
      </c>
      <c r="B815">
        <v>2</v>
      </c>
      <c r="C815">
        <v>2234</v>
      </c>
      <c r="D815" t="s">
        <v>4649</v>
      </c>
      <c r="E815" t="s">
        <v>121</v>
      </c>
      <c r="F815" t="s">
        <v>4650</v>
      </c>
      <c r="G815" t="s">
        <v>4651</v>
      </c>
      <c r="H815" t="s">
        <v>4652</v>
      </c>
      <c r="I815" t="s">
        <v>4653</v>
      </c>
      <c r="J815" t="s">
        <v>126</v>
      </c>
      <c r="K815" t="s">
        <v>4248</v>
      </c>
      <c r="L815" t="s">
        <v>128</v>
      </c>
      <c r="M815" t="s">
        <v>1325</v>
      </c>
      <c r="N815" t="s">
        <v>4654</v>
      </c>
      <c r="O815" t="s">
        <v>131</v>
      </c>
      <c r="P815">
        <v>0</v>
      </c>
      <c r="Q815" t="s">
        <v>125</v>
      </c>
      <c r="R815">
        <v>3</v>
      </c>
      <c r="S815">
        <v>89</v>
      </c>
      <c r="T815" t="s">
        <v>132</v>
      </c>
      <c r="U815" t="s">
        <v>133</v>
      </c>
      <c r="V815" s="1">
        <v>6000</v>
      </c>
      <c r="W815">
        <v>0</v>
      </c>
      <c r="X815" s="1">
        <v>6000</v>
      </c>
      <c r="Y815">
        <v>7</v>
      </c>
      <c r="Z815">
        <v>0</v>
      </c>
      <c r="AA815">
        <v>7</v>
      </c>
      <c r="AB815">
        <v>0</v>
      </c>
      <c r="AC815">
        <v>0</v>
      </c>
      <c r="AD815" t="s">
        <v>134</v>
      </c>
      <c r="AE815" t="s">
        <v>134</v>
      </c>
      <c r="AF815" s="2">
        <v>45518</v>
      </c>
      <c r="AG815" s="2">
        <v>46021</v>
      </c>
      <c r="AH815">
        <v>747.85</v>
      </c>
      <c r="AI815" s="1">
        <v>2398.91</v>
      </c>
      <c r="AJ815" s="1">
        <v>10470</v>
      </c>
      <c r="AK815">
        <v>0</v>
      </c>
      <c r="AL815">
        <v>0</v>
      </c>
      <c r="AM815">
        <v>0</v>
      </c>
      <c r="AN815" t="s">
        <v>135</v>
      </c>
      <c r="AO815" t="s">
        <v>135</v>
      </c>
      <c r="AP815" t="s">
        <v>136</v>
      </c>
      <c r="AQ815" t="s">
        <v>137</v>
      </c>
      <c r="AR815" t="s">
        <v>138</v>
      </c>
      <c r="AS815" t="s">
        <v>139</v>
      </c>
      <c r="AT815" t="s">
        <v>140</v>
      </c>
      <c r="AU815">
        <v>501</v>
      </c>
      <c r="AV815">
        <v>10</v>
      </c>
      <c r="AW815">
        <v>1</v>
      </c>
      <c r="AX815" s="2">
        <v>45943</v>
      </c>
      <c r="AY815" t="s">
        <v>141</v>
      </c>
      <c r="AZ815" s="2">
        <v>46027</v>
      </c>
      <c r="BA815">
        <v>0</v>
      </c>
      <c r="BB815">
        <v>0</v>
      </c>
      <c r="BC815">
        <v>0</v>
      </c>
      <c r="BD815">
        <v>700</v>
      </c>
      <c r="BE815">
        <v>70</v>
      </c>
      <c r="BF815">
        <v>9</v>
      </c>
      <c r="BG815" s="2">
        <v>45536</v>
      </c>
      <c r="BH815" t="s">
        <v>142</v>
      </c>
      <c r="BI815" s="2">
        <v>46026</v>
      </c>
      <c r="BJ815">
        <v>0</v>
      </c>
      <c r="BK815">
        <v>0</v>
      </c>
      <c r="BL815">
        <v>0</v>
      </c>
      <c r="BM815">
        <v>7</v>
      </c>
      <c r="BN815">
        <v>0.17</v>
      </c>
      <c r="BO815">
        <v>36.020000000000003</v>
      </c>
      <c r="BP815" s="1">
        <v>1418.84</v>
      </c>
      <c r="BQ815" s="1">
        <v>1454.86</v>
      </c>
      <c r="BR815">
        <v>0</v>
      </c>
      <c r="BS815">
        <v>0</v>
      </c>
      <c r="BT815">
        <v>0</v>
      </c>
      <c r="BU815">
        <v>0</v>
      </c>
      <c r="BV815" s="1">
        <v>3779.3</v>
      </c>
      <c r="BW815" s="1">
        <v>3779.3</v>
      </c>
      <c r="BX815">
        <v>0</v>
      </c>
      <c r="BY815">
        <v>0</v>
      </c>
      <c r="BZ815">
        <v>0</v>
      </c>
      <c r="CA815">
        <v>0</v>
      </c>
      <c r="CB815" s="1">
        <v>4374.13</v>
      </c>
      <c r="CC815" t="s">
        <v>152</v>
      </c>
    </row>
    <row r="816" spans="1:81" x14ac:dyDescent="0.25">
      <c r="A816">
        <v>345</v>
      </c>
      <c r="B816">
        <v>2</v>
      </c>
      <c r="C816">
        <v>2235</v>
      </c>
      <c r="D816" t="s">
        <v>4655</v>
      </c>
      <c r="E816" t="s">
        <v>121</v>
      </c>
      <c r="F816" t="s">
        <v>4656</v>
      </c>
      <c r="G816" t="s">
        <v>4657</v>
      </c>
      <c r="H816" t="s">
        <v>4658</v>
      </c>
      <c r="I816" t="s">
        <v>4659</v>
      </c>
      <c r="J816" t="s">
        <v>126</v>
      </c>
      <c r="K816" t="s">
        <v>4248</v>
      </c>
      <c r="L816" t="s">
        <v>128</v>
      </c>
      <c r="M816" t="s">
        <v>1325</v>
      </c>
      <c r="N816" t="s">
        <v>4660</v>
      </c>
      <c r="O816" t="s">
        <v>159</v>
      </c>
      <c r="P816">
        <v>0</v>
      </c>
      <c r="Q816" t="s">
        <v>125</v>
      </c>
      <c r="R816">
        <v>6</v>
      </c>
      <c r="S816">
        <v>32</v>
      </c>
      <c r="T816" t="s">
        <v>132</v>
      </c>
      <c r="U816" t="s">
        <v>133</v>
      </c>
      <c r="V816" s="1">
        <v>1000</v>
      </c>
      <c r="W816">
        <v>274.83</v>
      </c>
      <c r="X816">
        <v>725.17</v>
      </c>
      <c r="Y816">
        <v>7</v>
      </c>
      <c r="Z816">
        <v>0</v>
      </c>
      <c r="AA816">
        <v>9</v>
      </c>
      <c r="AB816">
        <v>0</v>
      </c>
      <c r="AC816">
        <v>0</v>
      </c>
      <c r="AD816" t="s">
        <v>134</v>
      </c>
      <c r="AE816" t="s">
        <v>234</v>
      </c>
      <c r="AF816" s="2">
        <v>45518</v>
      </c>
      <c r="AG816" s="2">
        <v>46020</v>
      </c>
      <c r="AH816">
        <v>282.61</v>
      </c>
      <c r="AI816">
        <v>454.84</v>
      </c>
      <c r="AJ816" s="1">
        <v>2260.92</v>
      </c>
      <c r="AK816">
        <v>0</v>
      </c>
      <c r="AL816">
        <v>274.83</v>
      </c>
      <c r="AM816">
        <v>132.41999999999999</v>
      </c>
      <c r="AN816" t="s">
        <v>135</v>
      </c>
      <c r="AO816" t="s">
        <v>135</v>
      </c>
      <c r="AP816" t="s">
        <v>136</v>
      </c>
      <c r="AQ816" t="s">
        <v>137</v>
      </c>
      <c r="AR816" t="s">
        <v>138</v>
      </c>
      <c r="AS816" t="s">
        <v>139</v>
      </c>
      <c r="AT816" t="s">
        <v>140</v>
      </c>
      <c r="AU816">
        <v>104</v>
      </c>
      <c r="AV816">
        <v>10</v>
      </c>
      <c r="AW816">
        <v>1</v>
      </c>
      <c r="AX816" s="2">
        <v>45842</v>
      </c>
      <c r="AY816" t="s">
        <v>151</v>
      </c>
      <c r="AZ816" s="2">
        <v>46024</v>
      </c>
      <c r="BA816">
        <v>0</v>
      </c>
      <c r="BB816">
        <v>0</v>
      </c>
      <c r="BC816">
        <v>0</v>
      </c>
      <c r="BD816">
        <v>700</v>
      </c>
      <c r="BE816">
        <v>70</v>
      </c>
      <c r="BF816">
        <v>9</v>
      </c>
      <c r="BG816" s="2">
        <v>45536</v>
      </c>
      <c r="BH816" t="s">
        <v>142</v>
      </c>
      <c r="BI816" s="2">
        <v>46026</v>
      </c>
      <c r="BJ816">
        <v>0</v>
      </c>
      <c r="BK816">
        <v>0</v>
      </c>
      <c r="BL816">
        <v>0</v>
      </c>
      <c r="BM816">
        <v>6.58</v>
      </c>
      <c r="BN816">
        <v>6.58</v>
      </c>
      <c r="BO816" s="1">
        <v>1036.03</v>
      </c>
      <c r="BP816">
        <v>0</v>
      </c>
      <c r="BQ816" s="1">
        <v>1036.03</v>
      </c>
      <c r="BR816">
        <v>363.92</v>
      </c>
      <c r="BS816">
        <v>8.34</v>
      </c>
      <c r="BT816">
        <v>8.34</v>
      </c>
      <c r="BU816">
        <v>838.53</v>
      </c>
      <c r="BV816">
        <v>0</v>
      </c>
      <c r="BW816">
        <v>838.53</v>
      </c>
      <c r="BX816">
        <v>274.83</v>
      </c>
      <c r="BY816">
        <v>32.78</v>
      </c>
      <c r="BZ816">
        <v>0</v>
      </c>
      <c r="CA816">
        <v>0</v>
      </c>
      <c r="CB816">
        <v>679.25</v>
      </c>
      <c r="CC816" t="s">
        <v>161</v>
      </c>
    </row>
    <row r="817" spans="1:81" x14ac:dyDescent="0.25">
      <c r="A817">
        <v>345</v>
      </c>
      <c r="B817">
        <v>2</v>
      </c>
      <c r="C817">
        <v>2246</v>
      </c>
      <c r="D817" t="s">
        <v>4661</v>
      </c>
      <c r="E817" t="s">
        <v>121</v>
      </c>
      <c r="F817" t="s">
        <v>4662</v>
      </c>
      <c r="G817" t="s">
        <v>4663</v>
      </c>
      <c r="H817" t="s">
        <v>4664</v>
      </c>
      <c r="I817" t="s">
        <v>3838</v>
      </c>
      <c r="J817" t="s">
        <v>4665</v>
      </c>
      <c r="K817" t="s">
        <v>4248</v>
      </c>
      <c r="L817" t="s">
        <v>128</v>
      </c>
      <c r="M817" t="s">
        <v>1325</v>
      </c>
      <c r="N817" t="s">
        <v>4666</v>
      </c>
      <c r="O817" t="s">
        <v>131</v>
      </c>
      <c r="P817">
        <v>0</v>
      </c>
      <c r="Q817" t="s">
        <v>125</v>
      </c>
      <c r="R817">
        <v>6</v>
      </c>
      <c r="S817">
        <v>26</v>
      </c>
      <c r="T817" t="s">
        <v>132</v>
      </c>
      <c r="U817" t="s">
        <v>133</v>
      </c>
      <c r="V817" s="1">
        <v>1500</v>
      </c>
      <c r="W817">
        <v>0</v>
      </c>
      <c r="X817" s="1">
        <v>1500</v>
      </c>
      <c r="Y817">
        <v>7</v>
      </c>
      <c r="Z817">
        <v>0</v>
      </c>
      <c r="AA817">
        <v>7</v>
      </c>
      <c r="AB817">
        <v>3</v>
      </c>
      <c r="AC817">
        <v>60</v>
      </c>
      <c r="AD817" t="s">
        <v>134</v>
      </c>
      <c r="AE817" t="s">
        <v>134</v>
      </c>
      <c r="AF817" s="2">
        <v>45518</v>
      </c>
      <c r="AG817" s="2">
        <v>46008</v>
      </c>
      <c r="AH817">
        <v>227.01</v>
      </c>
      <c r="AI817">
        <v>301.02</v>
      </c>
      <c r="AJ817" s="1">
        <v>1135.05</v>
      </c>
      <c r="AK817">
        <v>0</v>
      </c>
      <c r="AL817">
        <v>0</v>
      </c>
      <c r="AM817">
        <v>0</v>
      </c>
      <c r="AN817" t="s">
        <v>135</v>
      </c>
      <c r="AO817" t="s">
        <v>135</v>
      </c>
      <c r="AP817" t="s">
        <v>136</v>
      </c>
      <c r="AQ817" t="s">
        <v>137</v>
      </c>
      <c r="AR817" t="s">
        <v>138</v>
      </c>
      <c r="AS817" t="s">
        <v>139</v>
      </c>
      <c r="AT817" t="s">
        <v>140</v>
      </c>
      <c r="AU817">
        <v>104</v>
      </c>
      <c r="AV817">
        <v>10</v>
      </c>
      <c r="AW817">
        <v>1</v>
      </c>
      <c r="AX817" s="2">
        <v>45839</v>
      </c>
      <c r="AY817" t="s">
        <v>377</v>
      </c>
      <c r="AZ817" s="2">
        <v>46028</v>
      </c>
      <c r="BA817">
        <v>0</v>
      </c>
      <c r="BB817">
        <v>0</v>
      </c>
      <c r="BC817">
        <v>0</v>
      </c>
      <c r="BD817">
        <v>700</v>
      </c>
      <c r="BE817">
        <v>70</v>
      </c>
      <c r="BF817">
        <v>9</v>
      </c>
      <c r="BG817" s="2">
        <v>45536</v>
      </c>
      <c r="BH817" t="s">
        <v>142</v>
      </c>
      <c r="BI817" s="2">
        <v>46026</v>
      </c>
      <c r="BJ817">
        <v>0</v>
      </c>
      <c r="BK817">
        <v>0</v>
      </c>
      <c r="BL817">
        <v>0</v>
      </c>
      <c r="BM817">
        <v>7</v>
      </c>
      <c r="BN817">
        <v>7</v>
      </c>
      <c r="BO817">
        <v>124.32</v>
      </c>
      <c r="BP817">
        <v>0</v>
      </c>
      <c r="BQ817">
        <v>124.32</v>
      </c>
      <c r="BR817">
        <v>0</v>
      </c>
      <c r="BS817">
        <v>7</v>
      </c>
      <c r="BT817">
        <v>7</v>
      </c>
      <c r="BU817">
        <v>435.76</v>
      </c>
      <c r="BV817">
        <v>0</v>
      </c>
      <c r="BW817">
        <v>435.76</v>
      </c>
      <c r="BX817">
        <v>0</v>
      </c>
      <c r="BY817">
        <v>0</v>
      </c>
      <c r="BZ817">
        <v>0</v>
      </c>
      <c r="CA817">
        <v>0</v>
      </c>
      <c r="CB817">
        <v>369.37</v>
      </c>
      <c r="CC817" t="s">
        <v>143</v>
      </c>
    </row>
    <row r="818" spans="1:81" x14ac:dyDescent="0.25">
      <c r="A818">
        <v>345</v>
      </c>
      <c r="B818">
        <v>2</v>
      </c>
      <c r="C818">
        <v>2247</v>
      </c>
      <c r="D818" t="s">
        <v>4667</v>
      </c>
      <c r="E818" t="s">
        <v>121</v>
      </c>
      <c r="F818" t="s">
        <v>4668</v>
      </c>
      <c r="G818" t="s">
        <v>4669</v>
      </c>
      <c r="H818" t="s">
        <v>4670</v>
      </c>
      <c r="I818" t="s">
        <v>125</v>
      </c>
      <c r="J818" t="s">
        <v>4671</v>
      </c>
      <c r="K818" t="s">
        <v>4248</v>
      </c>
      <c r="L818" t="s">
        <v>128</v>
      </c>
      <c r="M818" t="s">
        <v>1325</v>
      </c>
      <c r="N818" t="s">
        <v>4672</v>
      </c>
      <c r="O818" t="s">
        <v>1146</v>
      </c>
      <c r="P818">
        <v>0</v>
      </c>
      <c r="Q818" t="s">
        <v>125</v>
      </c>
      <c r="R818">
        <v>6</v>
      </c>
      <c r="S818">
        <v>23</v>
      </c>
      <c r="T818" t="s">
        <v>132</v>
      </c>
      <c r="U818" t="s">
        <v>133</v>
      </c>
      <c r="V818" s="1">
        <v>1300</v>
      </c>
      <c r="W818" s="1">
        <v>1285.54</v>
      </c>
      <c r="X818">
        <v>14.46</v>
      </c>
      <c r="Y818">
        <v>0</v>
      </c>
      <c r="Z818">
        <v>0</v>
      </c>
      <c r="AA818">
        <v>9</v>
      </c>
      <c r="AB818">
        <v>2</v>
      </c>
      <c r="AC818">
        <v>44</v>
      </c>
      <c r="AD818" t="s">
        <v>134</v>
      </c>
      <c r="AE818" t="s">
        <v>134</v>
      </c>
      <c r="AF818" s="2">
        <v>45518</v>
      </c>
      <c r="AG818" s="2">
        <v>46018</v>
      </c>
      <c r="AH818">
        <v>674.04</v>
      </c>
      <c r="AI818" s="1">
        <v>1101.2</v>
      </c>
      <c r="AJ818" s="1">
        <v>8088.56</v>
      </c>
      <c r="AK818">
        <v>426.22</v>
      </c>
      <c r="AL818">
        <v>859.32</v>
      </c>
      <c r="AM818">
        <v>71.790000000000006</v>
      </c>
      <c r="AN818" t="s">
        <v>135</v>
      </c>
      <c r="AO818" t="s">
        <v>135</v>
      </c>
      <c r="AP818" t="s">
        <v>136</v>
      </c>
      <c r="AQ818" t="s">
        <v>137</v>
      </c>
      <c r="AR818" t="s">
        <v>138</v>
      </c>
      <c r="AS818" t="s">
        <v>139</v>
      </c>
      <c r="AT818" t="s">
        <v>140</v>
      </c>
      <c r="AU818">
        <v>104</v>
      </c>
      <c r="AV818">
        <v>10</v>
      </c>
      <c r="AW818">
        <v>1</v>
      </c>
      <c r="AX818" s="2">
        <v>45861</v>
      </c>
      <c r="AY818" t="s">
        <v>168</v>
      </c>
      <c r="AZ818" s="2">
        <v>46022</v>
      </c>
      <c r="BA818">
        <v>0</v>
      </c>
      <c r="BB818">
        <v>0</v>
      </c>
      <c r="BC818">
        <v>0</v>
      </c>
      <c r="BD818">
        <v>700</v>
      </c>
      <c r="BE818">
        <v>70</v>
      </c>
      <c r="BF818">
        <v>9</v>
      </c>
      <c r="BG818" s="2">
        <v>45536</v>
      </c>
      <c r="BH818" t="s">
        <v>142</v>
      </c>
      <c r="BI818" s="2">
        <v>46026</v>
      </c>
      <c r="BJ818">
        <v>0</v>
      </c>
      <c r="BK818">
        <v>0</v>
      </c>
      <c r="BL818">
        <v>0</v>
      </c>
      <c r="BM818">
        <v>7</v>
      </c>
      <c r="BN818">
        <v>6.18</v>
      </c>
      <c r="BO818" s="1">
        <v>2325.92</v>
      </c>
      <c r="BP818">
        <v>306.52999999999997</v>
      </c>
      <c r="BQ818" s="1">
        <v>2632.45</v>
      </c>
      <c r="BR818">
        <v>616.91</v>
      </c>
      <c r="BS818">
        <v>7.67</v>
      </c>
      <c r="BT818">
        <v>7.01</v>
      </c>
      <c r="BU818" s="1">
        <v>2563.38</v>
      </c>
      <c r="BV818">
        <v>241.88</v>
      </c>
      <c r="BW818" s="1">
        <v>2805.26</v>
      </c>
      <c r="BX818">
        <v>859.32</v>
      </c>
      <c r="BY818">
        <v>33.520000000000003</v>
      </c>
      <c r="BZ818">
        <v>0</v>
      </c>
      <c r="CA818">
        <v>0</v>
      </c>
      <c r="CB818" s="1">
        <v>2869.76</v>
      </c>
      <c r="CC818" t="s">
        <v>161</v>
      </c>
    </row>
    <row r="819" spans="1:81" x14ac:dyDescent="0.25">
      <c r="A819">
        <v>345</v>
      </c>
      <c r="B819">
        <v>2</v>
      </c>
      <c r="C819">
        <v>2251</v>
      </c>
      <c r="D819" t="s">
        <v>4673</v>
      </c>
      <c r="E819" t="s">
        <v>121</v>
      </c>
      <c r="F819" t="s">
        <v>4674</v>
      </c>
      <c r="G819" t="s">
        <v>4675</v>
      </c>
      <c r="H819" t="s">
        <v>4676</v>
      </c>
      <c r="I819" t="s">
        <v>125</v>
      </c>
      <c r="J819" t="s">
        <v>126</v>
      </c>
      <c r="K819" t="s">
        <v>4248</v>
      </c>
      <c r="L819" t="s">
        <v>128</v>
      </c>
      <c r="M819" t="s">
        <v>1325</v>
      </c>
      <c r="N819" t="s">
        <v>4677</v>
      </c>
      <c r="O819" t="s">
        <v>131</v>
      </c>
      <c r="P819">
        <v>0</v>
      </c>
      <c r="Q819" t="s">
        <v>125</v>
      </c>
      <c r="R819">
        <v>6</v>
      </c>
      <c r="S819">
        <v>32</v>
      </c>
      <c r="T819" t="s">
        <v>132</v>
      </c>
      <c r="U819" t="s">
        <v>133</v>
      </c>
      <c r="V819" s="1">
        <v>1000</v>
      </c>
      <c r="W819">
        <v>0</v>
      </c>
      <c r="X819" s="1">
        <v>1000</v>
      </c>
      <c r="Y819">
        <v>7</v>
      </c>
      <c r="Z819">
        <v>0</v>
      </c>
      <c r="AA819">
        <v>7</v>
      </c>
      <c r="AB819">
        <v>0</v>
      </c>
      <c r="AC819">
        <v>8</v>
      </c>
      <c r="AD819" t="s">
        <v>134</v>
      </c>
      <c r="AE819" t="s">
        <v>134</v>
      </c>
      <c r="AF819" s="2">
        <v>45518</v>
      </c>
      <c r="AG819" s="2">
        <v>46010</v>
      </c>
      <c r="AH819">
        <v>205.51</v>
      </c>
      <c r="AI819">
        <v>305.63</v>
      </c>
      <c r="AJ819" s="1">
        <v>1027.55</v>
      </c>
      <c r="AK819">
        <v>0</v>
      </c>
      <c r="AL819">
        <v>0</v>
      </c>
      <c r="AM819">
        <v>0</v>
      </c>
      <c r="AN819" t="s">
        <v>135</v>
      </c>
      <c r="AO819" t="s">
        <v>135</v>
      </c>
      <c r="AP819" t="s">
        <v>136</v>
      </c>
      <c r="AQ819" t="s">
        <v>137</v>
      </c>
      <c r="AR819" t="s">
        <v>138</v>
      </c>
      <c r="AS819" t="s">
        <v>139</v>
      </c>
      <c r="AT819" t="s">
        <v>140</v>
      </c>
      <c r="AU819">
        <v>104</v>
      </c>
      <c r="AV819">
        <v>10</v>
      </c>
      <c r="AW819">
        <v>1</v>
      </c>
      <c r="AX819" s="2">
        <v>45812</v>
      </c>
      <c r="AY819" t="s">
        <v>168</v>
      </c>
      <c r="AZ819" s="2">
        <v>46022</v>
      </c>
      <c r="BA819">
        <v>0</v>
      </c>
      <c r="BB819">
        <v>0</v>
      </c>
      <c r="BC819">
        <v>0</v>
      </c>
      <c r="BD819">
        <v>700</v>
      </c>
      <c r="BE819">
        <v>70</v>
      </c>
      <c r="BF819">
        <v>9</v>
      </c>
      <c r="BG819" s="2">
        <v>45536</v>
      </c>
      <c r="BH819" t="s">
        <v>142</v>
      </c>
      <c r="BI819" s="2">
        <v>46026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305.63</v>
      </c>
      <c r="BQ819">
        <v>305.63</v>
      </c>
      <c r="BR819">
        <v>0</v>
      </c>
      <c r="BS819">
        <v>0</v>
      </c>
      <c r="BT819">
        <v>0</v>
      </c>
      <c r="BU819">
        <v>0</v>
      </c>
      <c r="BV819">
        <v>131.5</v>
      </c>
      <c r="BW819">
        <v>131.5</v>
      </c>
      <c r="BX819">
        <v>0</v>
      </c>
      <c r="BY819">
        <v>0</v>
      </c>
      <c r="BZ819">
        <v>0</v>
      </c>
      <c r="CA819">
        <v>0</v>
      </c>
      <c r="CB819" s="1">
        <v>2257.34</v>
      </c>
      <c r="CC819" t="s">
        <v>143</v>
      </c>
    </row>
    <row r="820" spans="1:81" x14ac:dyDescent="0.25">
      <c r="A820">
        <v>345</v>
      </c>
      <c r="B820">
        <v>2</v>
      </c>
      <c r="C820">
        <v>2254</v>
      </c>
      <c r="D820" t="s">
        <v>4678</v>
      </c>
      <c r="E820" t="s">
        <v>121</v>
      </c>
      <c r="F820" t="s">
        <v>4679</v>
      </c>
      <c r="G820" t="s">
        <v>4680</v>
      </c>
      <c r="H820" t="s">
        <v>4681</v>
      </c>
      <c r="I820" t="s">
        <v>125</v>
      </c>
      <c r="J820" t="s">
        <v>126</v>
      </c>
      <c r="K820" t="s">
        <v>4248</v>
      </c>
      <c r="L820" t="s">
        <v>128</v>
      </c>
      <c r="M820" t="s">
        <v>4598</v>
      </c>
      <c r="N820" t="s">
        <v>4682</v>
      </c>
      <c r="O820" t="s">
        <v>159</v>
      </c>
      <c r="P820">
        <v>0</v>
      </c>
      <c r="Q820" t="s">
        <v>125</v>
      </c>
      <c r="R820">
        <v>6</v>
      </c>
      <c r="S820">
        <v>35</v>
      </c>
      <c r="T820" t="s">
        <v>132</v>
      </c>
      <c r="U820" t="s">
        <v>133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134</v>
      </c>
      <c r="AE820" t="s">
        <v>134</v>
      </c>
      <c r="AF820" s="2">
        <v>45518</v>
      </c>
      <c r="AG820" s="2">
        <v>45981</v>
      </c>
      <c r="AH820">
        <v>782.95</v>
      </c>
      <c r="AI820" s="1">
        <v>1981.27</v>
      </c>
      <c r="AJ820" s="1">
        <v>3131.83</v>
      </c>
      <c r="AK820">
        <v>0</v>
      </c>
      <c r="AL820">
        <v>0</v>
      </c>
      <c r="AM820">
        <v>0</v>
      </c>
      <c r="AN820" t="s">
        <v>135</v>
      </c>
      <c r="AO820" t="s">
        <v>135</v>
      </c>
      <c r="AP820" t="s">
        <v>136</v>
      </c>
      <c r="AQ820" t="s">
        <v>137</v>
      </c>
      <c r="AR820" t="s">
        <v>138</v>
      </c>
      <c r="AS820" t="s">
        <v>139</v>
      </c>
      <c r="AT820" t="s">
        <v>140</v>
      </c>
      <c r="AU820">
        <v>104</v>
      </c>
      <c r="AV820">
        <v>10</v>
      </c>
      <c r="AW820">
        <v>1</v>
      </c>
      <c r="AX820" s="2">
        <v>45812</v>
      </c>
      <c r="AY820" t="s">
        <v>168</v>
      </c>
      <c r="AZ820" s="2">
        <v>46022</v>
      </c>
      <c r="BA820">
        <v>0</v>
      </c>
      <c r="BB820">
        <v>0</v>
      </c>
      <c r="BC820">
        <v>0</v>
      </c>
      <c r="BD820">
        <v>700</v>
      </c>
      <c r="BE820">
        <v>70</v>
      </c>
      <c r="BF820">
        <v>9</v>
      </c>
      <c r="BG820" s="2">
        <v>45536</v>
      </c>
      <c r="BH820" t="s">
        <v>142</v>
      </c>
      <c r="BI820" s="2">
        <v>46026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s="1">
        <v>2403.69</v>
      </c>
      <c r="BQ820" s="1">
        <v>2403.69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 s="1">
        <v>1043.94</v>
      </c>
      <c r="CC820" t="s">
        <v>161</v>
      </c>
    </row>
    <row r="821" spans="1:81" x14ac:dyDescent="0.25">
      <c r="A821">
        <v>345</v>
      </c>
      <c r="B821">
        <v>2</v>
      </c>
      <c r="C821">
        <v>2261</v>
      </c>
      <c r="D821" t="s">
        <v>4683</v>
      </c>
      <c r="E821" t="s">
        <v>121</v>
      </c>
      <c r="F821" t="s">
        <v>4684</v>
      </c>
      <c r="G821" t="s">
        <v>4685</v>
      </c>
      <c r="H821" t="s">
        <v>4686</v>
      </c>
      <c r="I821" t="s">
        <v>4687</v>
      </c>
      <c r="J821" t="s">
        <v>126</v>
      </c>
      <c r="K821" t="s">
        <v>4248</v>
      </c>
      <c r="L821" t="s">
        <v>128</v>
      </c>
      <c r="M821" t="s">
        <v>1325</v>
      </c>
      <c r="N821" t="s">
        <v>4611</v>
      </c>
      <c r="O821" t="s">
        <v>131</v>
      </c>
      <c r="P821">
        <v>0</v>
      </c>
      <c r="Q821" t="s">
        <v>125</v>
      </c>
      <c r="R821">
        <v>3</v>
      </c>
      <c r="S821">
        <v>85</v>
      </c>
      <c r="T821" t="s">
        <v>132</v>
      </c>
      <c r="U821" t="s">
        <v>133</v>
      </c>
      <c r="V821" s="1">
        <v>1000</v>
      </c>
      <c r="W821">
        <v>0</v>
      </c>
      <c r="X821" s="1">
        <v>1000</v>
      </c>
      <c r="Y821">
        <v>7</v>
      </c>
      <c r="Z821">
        <v>0</v>
      </c>
      <c r="AA821">
        <v>7</v>
      </c>
      <c r="AB821">
        <v>0</v>
      </c>
      <c r="AC821">
        <v>0</v>
      </c>
      <c r="AD821" t="s">
        <v>134</v>
      </c>
      <c r="AE821" t="s">
        <v>134</v>
      </c>
      <c r="AF821" s="2">
        <v>45518</v>
      </c>
      <c r="AG821" s="2">
        <v>45982</v>
      </c>
      <c r="AH821">
        <v>379.56</v>
      </c>
      <c r="AI821">
        <v>444.17</v>
      </c>
      <c r="AJ821">
        <v>759.13</v>
      </c>
      <c r="AK821">
        <v>0</v>
      </c>
      <c r="AL821">
        <v>0</v>
      </c>
      <c r="AM821">
        <v>0</v>
      </c>
      <c r="AN821" t="s">
        <v>135</v>
      </c>
      <c r="AO821" t="s">
        <v>135</v>
      </c>
      <c r="AP821" t="s">
        <v>136</v>
      </c>
      <c r="AQ821" t="s">
        <v>137</v>
      </c>
      <c r="AR821" t="s">
        <v>138</v>
      </c>
      <c r="AS821" t="s">
        <v>150</v>
      </c>
      <c r="AT821" t="s">
        <v>140</v>
      </c>
      <c r="AU821">
        <v>104</v>
      </c>
      <c r="AV821">
        <v>10</v>
      </c>
      <c r="AW821">
        <v>1</v>
      </c>
      <c r="AX821" s="2">
        <v>45813</v>
      </c>
      <c r="AY821" t="s">
        <v>308</v>
      </c>
      <c r="AZ821" s="2">
        <v>46023</v>
      </c>
      <c r="BA821">
        <v>0</v>
      </c>
      <c r="BB821">
        <v>0</v>
      </c>
      <c r="BC821">
        <v>0</v>
      </c>
      <c r="BD821">
        <v>700</v>
      </c>
      <c r="BE821">
        <v>70</v>
      </c>
      <c r="BF821">
        <v>9</v>
      </c>
      <c r="BG821" s="2">
        <v>45809</v>
      </c>
      <c r="BH821" t="s">
        <v>142</v>
      </c>
      <c r="BI821" s="2">
        <v>46026</v>
      </c>
      <c r="BJ821">
        <v>0</v>
      </c>
      <c r="BK821">
        <v>0</v>
      </c>
      <c r="BL821">
        <v>0</v>
      </c>
      <c r="BM821">
        <v>7</v>
      </c>
      <c r="BN821">
        <v>7</v>
      </c>
      <c r="BO821">
        <v>314.95999999999998</v>
      </c>
      <c r="BP821">
        <v>0</v>
      </c>
      <c r="BQ821">
        <v>314.95999999999998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410.37</v>
      </c>
      <c r="CC821" t="s">
        <v>143</v>
      </c>
    </row>
    <row r="822" spans="1:81" x14ac:dyDescent="0.25">
      <c r="A822">
        <v>345</v>
      </c>
      <c r="B822">
        <v>2</v>
      </c>
      <c r="C822">
        <v>2268</v>
      </c>
      <c r="D822" t="s">
        <v>4688</v>
      </c>
      <c r="E822" t="s">
        <v>121</v>
      </c>
      <c r="F822" t="s">
        <v>4689</v>
      </c>
      <c r="G822" t="s">
        <v>4690</v>
      </c>
      <c r="H822" t="s">
        <v>4691</v>
      </c>
      <c r="I822" t="s">
        <v>125</v>
      </c>
      <c r="J822" t="s">
        <v>126</v>
      </c>
      <c r="K822" t="s">
        <v>4248</v>
      </c>
      <c r="L822" t="s">
        <v>128</v>
      </c>
      <c r="M822" t="s">
        <v>1325</v>
      </c>
      <c r="N822" t="s">
        <v>4692</v>
      </c>
      <c r="O822" t="s">
        <v>131</v>
      </c>
      <c r="P822">
        <v>0</v>
      </c>
      <c r="Q822" t="s">
        <v>125</v>
      </c>
      <c r="R822">
        <v>6</v>
      </c>
      <c r="S822">
        <v>37</v>
      </c>
      <c r="T822" t="s">
        <v>132</v>
      </c>
      <c r="U822" t="s">
        <v>133</v>
      </c>
      <c r="V822" s="1">
        <v>1500</v>
      </c>
      <c r="W822">
        <v>716.65</v>
      </c>
      <c r="X822">
        <v>783.35</v>
      </c>
      <c r="Y822">
        <v>7</v>
      </c>
      <c r="Z822">
        <v>0</v>
      </c>
      <c r="AA822">
        <v>9</v>
      </c>
      <c r="AB822">
        <v>0</v>
      </c>
      <c r="AC822">
        <v>0</v>
      </c>
      <c r="AD822" t="s">
        <v>134</v>
      </c>
      <c r="AE822" t="s">
        <v>134</v>
      </c>
      <c r="AF822" s="2">
        <v>45518</v>
      </c>
      <c r="AG822" s="2">
        <v>46018</v>
      </c>
      <c r="AH822">
        <v>761.48</v>
      </c>
      <c r="AI822" s="1">
        <v>1443.97</v>
      </c>
      <c r="AJ822" s="1">
        <v>9899.31</v>
      </c>
      <c r="AK822">
        <v>0</v>
      </c>
      <c r="AL822">
        <v>716.65</v>
      </c>
      <c r="AM822">
        <v>131.33000000000001</v>
      </c>
      <c r="AN822" t="s">
        <v>135</v>
      </c>
      <c r="AO822" t="s">
        <v>135</v>
      </c>
      <c r="AP822" t="s">
        <v>136</v>
      </c>
      <c r="AQ822" t="s">
        <v>137</v>
      </c>
      <c r="AR822" t="s">
        <v>138</v>
      </c>
      <c r="AS822" t="s">
        <v>139</v>
      </c>
      <c r="AT822" t="s">
        <v>140</v>
      </c>
      <c r="AU822">
        <v>104</v>
      </c>
      <c r="AV822">
        <v>10</v>
      </c>
      <c r="AW822">
        <v>1</v>
      </c>
      <c r="AX822" s="2">
        <v>45813</v>
      </c>
      <c r="AY822" t="s">
        <v>308</v>
      </c>
      <c r="AZ822" s="2">
        <v>46023</v>
      </c>
      <c r="BA822">
        <v>0</v>
      </c>
      <c r="BB822">
        <v>0</v>
      </c>
      <c r="BC822">
        <v>0</v>
      </c>
      <c r="BD822">
        <v>700</v>
      </c>
      <c r="BE822">
        <v>70</v>
      </c>
      <c r="BF822">
        <v>9</v>
      </c>
      <c r="BG822" s="2">
        <v>45536</v>
      </c>
      <c r="BH822" t="s">
        <v>142</v>
      </c>
      <c r="BI822" s="2">
        <v>46026</v>
      </c>
      <c r="BJ822">
        <v>0</v>
      </c>
      <c r="BK822">
        <v>0</v>
      </c>
      <c r="BL822">
        <v>0</v>
      </c>
      <c r="BM822">
        <v>7.91</v>
      </c>
      <c r="BN822">
        <v>7.91</v>
      </c>
      <c r="BO822" s="1">
        <v>3000.27</v>
      </c>
      <c r="BP822">
        <v>0</v>
      </c>
      <c r="BQ822" s="1">
        <v>3000.27</v>
      </c>
      <c r="BR822">
        <v>941.17</v>
      </c>
      <c r="BS822">
        <v>8.0299999999999994</v>
      </c>
      <c r="BT822">
        <v>6.37</v>
      </c>
      <c r="BU822" s="1">
        <v>2802.5</v>
      </c>
      <c r="BV822">
        <v>727.32</v>
      </c>
      <c r="BW822" s="1">
        <v>3529.82</v>
      </c>
      <c r="BX822">
        <v>716.65</v>
      </c>
      <c r="BY822">
        <v>25.57</v>
      </c>
      <c r="BZ822">
        <v>0</v>
      </c>
      <c r="CA822">
        <v>0</v>
      </c>
      <c r="CB822" s="1">
        <v>3162.28</v>
      </c>
      <c r="CC822" t="s">
        <v>143</v>
      </c>
    </row>
    <row r="823" spans="1:81" x14ac:dyDescent="0.25">
      <c r="A823">
        <v>345</v>
      </c>
      <c r="B823">
        <v>2</v>
      </c>
      <c r="C823">
        <v>2275</v>
      </c>
      <c r="D823" t="s">
        <v>4693</v>
      </c>
      <c r="E823" t="s">
        <v>121</v>
      </c>
      <c r="F823" t="s">
        <v>4694</v>
      </c>
      <c r="G823" t="s">
        <v>4695</v>
      </c>
      <c r="H823" t="s">
        <v>4351</v>
      </c>
      <c r="I823" t="s">
        <v>3838</v>
      </c>
      <c r="J823" t="s">
        <v>4247</v>
      </c>
      <c r="K823" t="s">
        <v>4248</v>
      </c>
      <c r="L823" t="s">
        <v>128</v>
      </c>
      <c r="M823" t="s">
        <v>1325</v>
      </c>
      <c r="N823" t="s">
        <v>4696</v>
      </c>
      <c r="O823" t="s">
        <v>131</v>
      </c>
      <c r="P823">
        <v>0</v>
      </c>
      <c r="Q823" t="s">
        <v>125</v>
      </c>
      <c r="R823">
        <v>5</v>
      </c>
      <c r="S823">
        <v>69</v>
      </c>
      <c r="T823" t="s">
        <v>132</v>
      </c>
      <c r="U823" t="s">
        <v>133</v>
      </c>
      <c r="V823">
        <v>0</v>
      </c>
      <c r="W823">
        <v>341.86</v>
      </c>
      <c r="X823">
        <v>-341.86</v>
      </c>
      <c r="Y823">
        <v>0</v>
      </c>
      <c r="Z823">
        <v>0</v>
      </c>
      <c r="AA823">
        <v>5</v>
      </c>
      <c r="AB823">
        <v>81</v>
      </c>
      <c r="AC823">
        <v>100</v>
      </c>
      <c r="AD823" t="s">
        <v>234</v>
      </c>
      <c r="AE823" t="s">
        <v>134</v>
      </c>
      <c r="AF823" s="2">
        <v>45518</v>
      </c>
      <c r="AG823" s="2">
        <v>45857</v>
      </c>
      <c r="AH823">
        <v>0</v>
      </c>
      <c r="AI823">
        <v>0</v>
      </c>
      <c r="AJ823">
        <v>0</v>
      </c>
      <c r="AK823">
        <v>341.86</v>
      </c>
      <c r="AL823">
        <v>0</v>
      </c>
      <c r="AM823">
        <v>0</v>
      </c>
      <c r="AN823" t="s">
        <v>135</v>
      </c>
      <c r="AO823" t="s">
        <v>135</v>
      </c>
      <c r="AP823" t="s">
        <v>136</v>
      </c>
      <c r="AQ823" t="s">
        <v>137</v>
      </c>
      <c r="AR823" t="s">
        <v>138</v>
      </c>
      <c r="AS823" t="s">
        <v>139</v>
      </c>
      <c r="AT823" t="s">
        <v>140</v>
      </c>
      <c r="AU823">
        <v>104</v>
      </c>
      <c r="AV823">
        <v>10</v>
      </c>
      <c r="AW823">
        <v>1</v>
      </c>
      <c r="AX823" s="2">
        <v>45813</v>
      </c>
      <c r="AY823" t="s">
        <v>142</v>
      </c>
      <c r="AZ823" s="2">
        <v>46026</v>
      </c>
      <c r="BA823">
        <v>0</v>
      </c>
      <c r="BB823">
        <v>0</v>
      </c>
      <c r="BC823">
        <v>0</v>
      </c>
      <c r="BD823">
        <v>700</v>
      </c>
      <c r="BE823">
        <v>70</v>
      </c>
      <c r="BF823">
        <v>9</v>
      </c>
      <c r="BG823" s="2">
        <v>45536</v>
      </c>
      <c r="BH823" t="s">
        <v>142</v>
      </c>
      <c r="BI823" s="2">
        <v>46026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 t="s">
        <v>143</v>
      </c>
    </row>
    <row r="824" spans="1:81" x14ac:dyDescent="0.25">
      <c r="A824">
        <v>345</v>
      </c>
      <c r="B824">
        <v>2</v>
      </c>
      <c r="C824">
        <v>2278</v>
      </c>
      <c r="D824" t="s">
        <v>4697</v>
      </c>
      <c r="E824" t="s">
        <v>121</v>
      </c>
      <c r="F824" t="s">
        <v>4698</v>
      </c>
      <c r="G824" t="s">
        <v>4699</v>
      </c>
      <c r="H824" t="s">
        <v>4603</v>
      </c>
      <c r="I824" t="s">
        <v>125</v>
      </c>
      <c r="J824" t="s">
        <v>126</v>
      </c>
      <c r="K824" t="s">
        <v>4248</v>
      </c>
      <c r="L824" t="s">
        <v>128</v>
      </c>
      <c r="M824" t="s">
        <v>1325</v>
      </c>
      <c r="N824" t="s">
        <v>4700</v>
      </c>
      <c r="O824" t="s">
        <v>167</v>
      </c>
      <c r="P824">
        <v>0</v>
      </c>
      <c r="Q824" t="s">
        <v>125</v>
      </c>
      <c r="R824">
        <v>3</v>
      </c>
      <c r="S824">
        <v>84</v>
      </c>
      <c r="T824" t="s">
        <v>132</v>
      </c>
      <c r="U824" t="s">
        <v>133</v>
      </c>
      <c r="V824" s="1">
        <v>2600</v>
      </c>
      <c r="W824">
        <v>329.15</v>
      </c>
      <c r="X824" s="1">
        <v>2270.85</v>
      </c>
      <c r="Y824">
        <v>7</v>
      </c>
      <c r="Z824">
        <v>0</v>
      </c>
      <c r="AA824">
        <v>7</v>
      </c>
      <c r="AB824">
        <v>0</v>
      </c>
      <c r="AC824">
        <v>0</v>
      </c>
      <c r="AD824" t="s">
        <v>134</v>
      </c>
      <c r="AE824" t="s">
        <v>134</v>
      </c>
      <c r="AF824" s="2">
        <v>45518</v>
      </c>
      <c r="AG824" s="2">
        <v>46008</v>
      </c>
      <c r="AH824">
        <v>610.03</v>
      </c>
      <c r="AI824" s="1">
        <v>2586.54</v>
      </c>
      <c r="AJ824" s="1">
        <v>4880.25</v>
      </c>
      <c r="AK824">
        <v>0</v>
      </c>
      <c r="AL824">
        <v>329.15</v>
      </c>
      <c r="AM824">
        <v>0</v>
      </c>
      <c r="AN824" t="s">
        <v>135</v>
      </c>
      <c r="AO824" t="s">
        <v>135</v>
      </c>
      <c r="AP824" t="s">
        <v>136</v>
      </c>
      <c r="AQ824" t="s">
        <v>137</v>
      </c>
      <c r="AR824" t="s">
        <v>138</v>
      </c>
      <c r="AS824" t="s">
        <v>139</v>
      </c>
      <c r="AT824" t="s">
        <v>140</v>
      </c>
      <c r="AU824">
        <v>104</v>
      </c>
      <c r="AV824">
        <v>10</v>
      </c>
      <c r="AW824">
        <v>1</v>
      </c>
      <c r="AX824" s="2">
        <v>45811</v>
      </c>
      <c r="AY824" t="s">
        <v>377</v>
      </c>
      <c r="AZ824" s="2">
        <v>46028</v>
      </c>
      <c r="BA824">
        <v>0</v>
      </c>
      <c r="BB824">
        <v>0</v>
      </c>
      <c r="BC824">
        <v>0</v>
      </c>
      <c r="BD824">
        <v>700</v>
      </c>
      <c r="BE824">
        <v>70</v>
      </c>
      <c r="BF824">
        <v>9</v>
      </c>
      <c r="BG824" s="2">
        <v>45536</v>
      </c>
      <c r="BH824" t="s">
        <v>142</v>
      </c>
      <c r="BI824" s="2">
        <v>46026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s="1">
        <v>3162.19</v>
      </c>
      <c r="BQ824" s="1">
        <v>3162.19</v>
      </c>
      <c r="BR824">
        <v>0</v>
      </c>
      <c r="BS824">
        <v>7</v>
      </c>
      <c r="BT824">
        <v>1.52</v>
      </c>
      <c r="BU824">
        <v>329.15</v>
      </c>
      <c r="BV824" s="1">
        <v>1183.04</v>
      </c>
      <c r="BW824" s="1">
        <v>1512.19</v>
      </c>
      <c r="BX824">
        <v>329.15</v>
      </c>
      <c r="BY824">
        <v>100</v>
      </c>
      <c r="BZ824">
        <v>0</v>
      </c>
      <c r="CA824">
        <v>0</v>
      </c>
      <c r="CB824" s="1">
        <v>1329.33</v>
      </c>
      <c r="CC824" t="s">
        <v>161</v>
      </c>
    </row>
    <row r="825" spans="1:81" x14ac:dyDescent="0.25">
      <c r="A825">
        <v>345</v>
      </c>
      <c r="B825">
        <v>2</v>
      </c>
      <c r="C825">
        <v>2279</v>
      </c>
      <c r="D825" t="s">
        <v>4701</v>
      </c>
      <c r="E825" t="s">
        <v>121</v>
      </c>
      <c r="F825" t="s">
        <v>1296</v>
      </c>
      <c r="G825" t="s">
        <v>4702</v>
      </c>
      <c r="H825" t="s">
        <v>4703</v>
      </c>
      <c r="I825" t="s">
        <v>125</v>
      </c>
      <c r="J825" t="s">
        <v>126</v>
      </c>
      <c r="K825" t="s">
        <v>4248</v>
      </c>
      <c r="L825" t="s">
        <v>128</v>
      </c>
      <c r="M825" t="s">
        <v>1325</v>
      </c>
      <c r="N825" t="s">
        <v>4704</v>
      </c>
      <c r="O825" t="s">
        <v>131</v>
      </c>
      <c r="P825">
        <v>0</v>
      </c>
      <c r="Q825" t="s">
        <v>125</v>
      </c>
      <c r="R825">
        <v>6</v>
      </c>
      <c r="S825">
        <v>41</v>
      </c>
      <c r="T825" t="s">
        <v>132</v>
      </c>
      <c r="U825" t="s">
        <v>133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134</v>
      </c>
      <c r="AE825" t="s">
        <v>134</v>
      </c>
      <c r="AF825" s="2">
        <v>45518</v>
      </c>
      <c r="AG825" s="2">
        <v>46011</v>
      </c>
      <c r="AH825">
        <v>620.67999999999995</v>
      </c>
      <c r="AI825">
        <v>686.77</v>
      </c>
      <c r="AJ825" s="1">
        <v>1241.3699999999999</v>
      </c>
      <c r="AK825">
        <v>0</v>
      </c>
      <c r="AL825">
        <v>0</v>
      </c>
      <c r="AM825">
        <v>0</v>
      </c>
      <c r="AN825" t="s">
        <v>135</v>
      </c>
      <c r="AO825" t="s">
        <v>135</v>
      </c>
      <c r="AP825" t="s">
        <v>136</v>
      </c>
      <c r="AQ825" t="s">
        <v>137</v>
      </c>
      <c r="AR825" t="s">
        <v>138</v>
      </c>
      <c r="AS825" t="s">
        <v>150</v>
      </c>
      <c r="AT825" t="s">
        <v>140</v>
      </c>
      <c r="AU825">
        <v>104</v>
      </c>
      <c r="AV825">
        <v>10</v>
      </c>
      <c r="AW825">
        <v>1</v>
      </c>
      <c r="AX825" s="2">
        <v>45814</v>
      </c>
      <c r="AY825" t="s">
        <v>151</v>
      </c>
      <c r="AZ825" s="2">
        <v>46024</v>
      </c>
      <c r="BA825">
        <v>0</v>
      </c>
      <c r="BB825">
        <v>0</v>
      </c>
      <c r="BC825">
        <v>0</v>
      </c>
      <c r="BD825">
        <v>700</v>
      </c>
      <c r="BE825">
        <v>70</v>
      </c>
      <c r="BF825">
        <v>9</v>
      </c>
      <c r="BG825" s="2">
        <v>45536</v>
      </c>
      <c r="BH825" t="s">
        <v>142</v>
      </c>
      <c r="BI825" s="2">
        <v>46026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686.77</v>
      </c>
      <c r="BW825">
        <v>686.77</v>
      </c>
      <c r="BX825">
        <v>0</v>
      </c>
      <c r="BY825">
        <v>0</v>
      </c>
      <c r="BZ825">
        <v>0</v>
      </c>
      <c r="CA825">
        <v>0</v>
      </c>
      <c r="CB825">
        <v>347.79</v>
      </c>
      <c r="CC825" t="s">
        <v>143</v>
      </c>
    </row>
    <row r="826" spans="1:81" x14ac:dyDescent="0.25">
      <c r="A826">
        <v>345</v>
      </c>
      <c r="B826">
        <v>2</v>
      </c>
      <c r="C826">
        <v>2281</v>
      </c>
      <c r="D826" t="s">
        <v>4705</v>
      </c>
      <c r="E826" t="s">
        <v>121</v>
      </c>
      <c r="F826" t="s">
        <v>4706</v>
      </c>
      <c r="G826" t="s">
        <v>4707</v>
      </c>
      <c r="H826" t="s">
        <v>4708</v>
      </c>
      <c r="I826" t="s">
        <v>4709</v>
      </c>
      <c r="J826" t="s">
        <v>126</v>
      </c>
      <c r="K826" t="s">
        <v>4248</v>
      </c>
      <c r="L826" t="s">
        <v>128</v>
      </c>
      <c r="M826" t="s">
        <v>1325</v>
      </c>
      <c r="N826" t="s">
        <v>4710</v>
      </c>
      <c r="O826" t="s">
        <v>159</v>
      </c>
      <c r="P826">
        <v>0</v>
      </c>
      <c r="Q826" t="s">
        <v>125</v>
      </c>
      <c r="R826">
        <v>4</v>
      </c>
      <c r="S826">
        <v>79</v>
      </c>
      <c r="T826" t="s">
        <v>132</v>
      </c>
      <c r="U826" t="s">
        <v>133</v>
      </c>
      <c r="V826" s="1">
        <v>3125</v>
      </c>
      <c r="W826" s="1">
        <v>3122.16</v>
      </c>
      <c r="X826">
        <v>2.84</v>
      </c>
      <c r="Y826">
        <v>7</v>
      </c>
      <c r="Z826">
        <v>0</v>
      </c>
      <c r="AA826">
        <v>7</v>
      </c>
      <c r="AB826">
        <v>0</v>
      </c>
      <c r="AC826">
        <v>10</v>
      </c>
      <c r="AD826" t="s">
        <v>234</v>
      </c>
      <c r="AE826" t="s">
        <v>134</v>
      </c>
      <c r="AF826" s="2">
        <v>45518</v>
      </c>
      <c r="AG826" s="2">
        <v>46021</v>
      </c>
      <c r="AH826" s="1">
        <v>2320.21</v>
      </c>
      <c r="AI826" s="1">
        <v>3122.16</v>
      </c>
      <c r="AJ826" s="1">
        <v>27842.54</v>
      </c>
      <c r="AK826">
        <v>0</v>
      </c>
      <c r="AL826" s="1">
        <v>3122.16</v>
      </c>
      <c r="AM826">
        <v>69.36</v>
      </c>
      <c r="AN826" t="s">
        <v>135</v>
      </c>
      <c r="AO826" t="s">
        <v>135</v>
      </c>
      <c r="AP826" t="s">
        <v>136</v>
      </c>
      <c r="AQ826" t="s">
        <v>137</v>
      </c>
      <c r="AR826" t="s">
        <v>138</v>
      </c>
      <c r="AS826" t="s">
        <v>150</v>
      </c>
      <c r="AT826" t="s">
        <v>140</v>
      </c>
      <c r="AU826">
        <v>104</v>
      </c>
      <c r="AV826">
        <v>10</v>
      </c>
      <c r="AW826">
        <v>1</v>
      </c>
      <c r="AX826" s="2">
        <v>45923</v>
      </c>
      <c r="AY826" t="s">
        <v>377</v>
      </c>
      <c r="AZ826" s="2">
        <v>46028</v>
      </c>
      <c r="BA826">
        <v>0</v>
      </c>
      <c r="BB826">
        <v>0</v>
      </c>
      <c r="BC826">
        <v>0</v>
      </c>
      <c r="BD826">
        <v>700</v>
      </c>
      <c r="BE826">
        <v>70</v>
      </c>
      <c r="BF826">
        <v>9</v>
      </c>
      <c r="BG826" s="2">
        <v>45536</v>
      </c>
      <c r="BH826" t="s">
        <v>142</v>
      </c>
      <c r="BI826" s="2">
        <v>46026</v>
      </c>
      <c r="BJ826">
        <v>0</v>
      </c>
      <c r="BK826">
        <v>0</v>
      </c>
      <c r="BL826">
        <v>0</v>
      </c>
      <c r="BM826">
        <v>6.64</v>
      </c>
      <c r="BN826">
        <v>6.64</v>
      </c>
      <c r="BO826" s="1">
        <v>10420.52</v>
      </c>
      <c r="BP826">
        <v>0</v>
      </c>
      <c r="BQ826" s="1">
        <v>10420.52</v>
      </c>
      <c r="BR826" s="1">
        <v>2165.4</v>
      </c>
      <c r="BS826">
        <v>7</v>
      </c>
      <c r="BT826">
        <v>7</v>
      </c>
      <c r="BU826" s="1">
        <v>8851.7199999999993</v>
      </c>
      <c r="BV826">
        <v>0</v>
      </c>
      <c r="BW826" s="1">
        <v>8851.7199999999993</v>
      </c>
      <c r="BX826" s="1">
        <v>3122.16</v>
      </c>
      <c r="BY826">
        <v>35.270000000000003</v>
      </c>
      <c r="BZ826">
        <v>0</v>
      </c>
      <c r="CA826">
        <v>0</v>
      </c>
      <c r="CB826" s="1">
        <v>7640.17</v>
      </c>
      <c r="CC826" t="s">
        <v>161</v>
      </c>
    </row>
    <row r="827" spans="1:81" x14ac:dyDescent="0.25">
      <c r="A827">
        <v>345</v>
      </c>
      <c r="B827">
        <v>2</v>
      </c>
      <c r="C827">
        <v>2288</v>
      </c>
      <c r="D827" t="s">
        <v>4711</v>
      </c>
      <c r="E827" t="s">
        <v>121</v>
      </c>
      <c r="F827" t="s">
        <v>4712</v>
      </c>
      <c r="G827" t="s">
        <v>4713</v>
      </c>
      <c r="H827" t="s">
        <v>4714</v>
      </c>
      <c r="I827" t="s">
        <v>125</v>
      </c>
      <c r="J827" t="s">
        <v>4254</v>
      </c>
      <c r="K827" t="s">
        <v>4248</v>
      </c>
      <c r="L827" t="s">
        <v>128</v>
      </c>
      <c r="M827" t="s">
        <v>1325</v>
      </c>
      <c r="N827" t="s">
        <v>4715</v>
      </c>
      <c r="O827" t="s">
        <v>131</v>
      </c>
      <c r="P827">
        <v>0</v>
      </c>
      <c r="Q827" t="s">
        <v>125</v>
      </c>
      <c r="R827">
        <v>6</v>
      </c>
      <c r="S827">
        <v>42</v>
      </c>
      <c r="T827" t="s">
        <v>132</v>
      </c>
      <c r="U827" t="s">
        <v>133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134</v>
      </c>
      <c r="AE827" t="s">
        <v>134</v>
      </c>
      <c r="AF827" s="2">
        <v>45518</v>
      </c>
      <c r="AG827" s="2">
        <v>46017</v>
      </c>
      <c r="AH827">
        <v>104.91</v>
      </c>
      <c r="AI827">
        <v>145.59</v>
      </c>
      <c r="AJ827">
        <v>839.34</v>
      </c>
      <c r="AK827">
        <v>0</v>
      </c>
      <c r="AL827">
        <v>0</v>
      </c>
      <c r="AM827">
        <v>0</v>
      </c>
      <c r="AN827" t="s">
        <v>135</v>
      </c>
      <c r="AO827" t="s">
        <v>135</v>
      </c>
      <c r="AP827" t="s">
        <v>136</v>
      </c>
      <c r="AQ827" t="s">
        <v>137</v>
      </c>
      <c r="AR827" t="s">
        <v>138</v>
      </c>
      <c r="AS827" t="s">
        <v>139</v>
      </c>
      <c r="AT827" t="s">
        <v>140</v>
      </c>
      <c r="AU827">
        <v>104</v>
      </c>
      <c r="AV827">
        <v>10</v>
      </c>
      <c r="AW827">
        <v>1</v>
      </c>
      <c r="AX827" s="2">
        <v>45552</v>
      </c>
      <c r="AY827" t="s">
        <v>377</v>
      </c>
      <c r="AZ827" s="2">
        <v>46028</v>
      </c>
      <c r="BA827">
        <v>0</v>
      </c>
      <c r="BB827">
        <v>0</v>
      </c>
      <c r="BC827">
        <v>0</v>
      </c>
      <c r="BD827">
        <v>700</v>
      </c>
      <c r="BE827">
        <v>70</v>
      </c>
      <c r="BF827">
        <v>9</v>
      </c>
      <c r="BG827" s="2">
        <v>45536</v>
      </c>
      <c r="BH827" t="s">
        <v>142</v>
      </c>
      <c r="BI827" s="2">
        <v>46026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196.9</v>
      </c>
      <c r="BQ827">
        <v>196.9</v>
      </c>
      <c r="BR827">
        <v>0</v>
      </c>
      <c r="BS827">
        <v>0</v>
      </c>
      <c r="BT827">
        <v>0</v>
      </c>
      <c r="BU827">
        <v>0</v>
      </c>
      <c r="BV827">
        <v>306.61</v>
      </c>
      <c r="BW827">
        <v>306.61</v>
      </c>
      <c r="BX827">
        <v>0</v>
      </c>
      <c r="BY827">
        <v>0</v>
      </c>
      <c r="BZ827">
        <v>0</v>
      </c>
      <c r="CA827">
        <v>0</v>
      </c>
      <c r="CB827">
        <v>262.58</v>
      </c>
      <c r="CC827" t="s">
        <v>143</v>
      </c>
    </row>
    <row r="828" spans="1:81" x14ac:dyDescent="0.25">
      <c r="A828">
        <v>345</v>
      </c>
      <c r="B828">
        <v>2</v>
      </c>
      <c r="C828">
        <v>2290</v>
      </c>
      <c r="D828" t="s">
        <v>4716</v>
      </c>
      <c r="E828" t="s">
        <v>121</v>
      </c>
      <c r="F828" t="s">
        <v>4717</v>
      </c>
      <c r="G828" t="s">
        <v>4718</v>
      </c>
      <c r="H828" t="s">
        <v>4719</v>
      </c>
      <c r="I828" t="s">
        <v>125</v>
      </c>
      <c r="J828" t="s">
        <v>126</v>
      </c>
      <c r="K828" t="s">
        <v>4248</v>
      </c>
      <c r="L828" t="s">
        <v>128</v>
      </c>
      <c r="M828" t="s">
        <v>1325</v>
      </c>
      <c r="N828" t="s">
        <v>4720</v>
      </c>
      <c r="O828" t="s">
        <v>131</v>
      </c>
      <c r="P828">
        <v>0</v>
      </c>
      <c r="Q828" t="s">
        <v>125</v>
      </c>
      <c r="R828">
        <v>6</v>
      </c>
      <c r="S828">
        <v>40</v>
      </c>
      <c r="T828" t="s">
        <v>132</v>
      </c>
      <c r="U828" t="s">
        <v>133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134</v>
      </c>
      <c r="AE828" t="s">
        <v>134</v>
      </c>
      <c r="AF828" s="2">
        <v>45518</v>
      </c>
      <c r="AG828" s="2">
        <v>46018</v>
      </c>
      <c r="AH828">
        <v>728.73</v>
      </c>
      <c r="AI828" s="1">
        <v>1195.07</v>
      </c>
      <c r="AJ828" s="1">
        <v>8016.06</v>
      </c>
      <c r="AK828">
        <v>0</v>
      </c>
      <c r="AL828">
        <v>0</v>
      </c>
      <c r="AM828">
        <v>0</v>
      </c>
      <c r="AN828" t="s">
        <v>135</v>
      </c>
      <c r="AO828" t="s">
        <v>135</v>
      </c>
      <c r="AP828" t="s">
        <v>136</v>
      </c>
      <c r="AQ828" t="s">
        <v>137</v>
      </c>
      <c r="AR828" t="s">
        <v>138</v>
      </c>
      <c r="AS828" t="s">
        <v>139</v>
      </c>
      <c r="AT828" t="s">
        <v>140</v>
      </c>
      <c r="AU828">
        <v>104</v>
      </c>
      <c r="AV828">
        <v>10</v>
      </c>
      <c r="AW828">
        <v>1</v>
      </c>
      <c r="AX828" s="2">
        <v>45861</v>
      </c>
      <c r="AY828" t="s">
        <v>168</v>
      </c>
      <c r="AZ828" s="2">
        <v>46022</v>
      </c>
      <c r="BA828">
        <v>0</v>
      </c>
      <c r="BB828">
        <v>0</v>
      </c>
      <c r="BC828">
        <v>0</v>
      </c>
      <c r="BD828">
        <v>700</v>
      </c>
      <c r="BE828">
        <v>70</v>
      </c>
      <c r="BF828">
        <v>9</v>
      </c>
      <c r="BG828" s="2">
        <v>45536</v>
      </c>
      <c r="BH828" t="s">
        <v>142</v>
      </c>
      <c r="BI828" s="2">
        <v>46026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s="1">
        <v>2877.12</v>
      </c>
      <c r="BQ828" s="1">
        <v>2877.12</v>
      </c>
      <c r="BR828">
        <v>0</v>
      </c>
      <c r="BS828">
        <v>0</v>
      </c>
      <c r="BT828">
        <v>0</v>
      </c>
      <c r="BU828">
        <v>0</v>
      </c>
      <c r="BV828" s="1">
        <v>3188.78</v>
      </c>
      <c r="BW828" s="1">
        <v>3188.78</v>
      </c>
      <c r="BX828">
        <v>0</v>
      </c>
      <c r="BY828">
        <v>0</v>
      </c>
      <c r="BZ828">
        <v>0</v>
      </c>
      <c r="CA828">
        <v>0</v>
      </c>
      <c r="CB828" s="1">
        <v>2230.1999999999998</v>
      </c>
      <c r="CC828" t="s">
        <v>143</v>
      </c>
    </row>
    <row r="829" spans="1:81" x14ac:dyDescent="0.25">
      <c r="A829">
        <v>345</v>
      </c>
      <c r="B829">
        <v>2</v>
      </c>
      <c r="C829">
        <v>2292</v>
      </c>
      <c r="D829" t="s">
        <v>4721</v>
      </c>
      <c r="E829" t="s">
        <v>121</v>
      </c>
      <c r="F829" t="s">
        <v>4722</v>
      </c>
      <c r="G829" t="s">
        <v>4723</v>
      </c>
      <c r="H829" t="s">
        <v>4724</v>
      </c>
      <c r="I829" t="s">
        <v>4725</v>
      </c>
      <c r="J829" t="s">
        <v>126</v>
      </c>
      <c r="K829" t="s">
        <v>4248</v>
      </c>
      <c r="L829" t="s">
        <v>128</v>
      </c>
      <c r="M829" t="s">
        <v>1325</v>
      </c>
      <c r="N829" t="s">
        <v>4726</v>
      </c>
      <c r="O829" t="s">
        <v>131</v>
      </c>
      <c r="P829">
        <v>0</v>
      </c>
      <c r="Q829" t="s">
        <v>125</v>
      </c>
      <c r="R829">
        <v>6</v>
      </c>
      <c r="S829">
        <v>39</v>
      </c>
      <c r="T829" t="s">
        <v>132</v>
      </c>
      <c r="U829" t="s">
        <v>133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134</v>
      </c>
      <c r="AE829" t="s">
        <v>134</v>
      </c>
      <c r="AF829" s="2">
        <v>45518</v>
      </c>
      <c r="AG829" s="2">
        <v>46017</v>
      </c>
      <c r="AH829" s="1">
        <v>2888.35</v>
      </c>
      <c r="AI829" s="1">
        <v>7428.67</v>
      </c>
      <c r="AJ829" s="1">
        <v>37548.589999999997</v>
      </c>
      <c r="AK829">
        <v>0</v>
      </c>
      <c r="AL829" s="1">
        <v>2912.5</v>
      </c>
      <c r="AM829">
        <v>0</v>
      </c>
      <c r="AN829" t="s">
        <v>135</v>
      </c>
      <c r="AO829" t="s">
        <v>135</v>
      </c>
      <c r="AP829" t="s">
        <v>136</v>
      </c>
      <c r="AQ829" t="s">
        <v>137</v>
      </c>
      <c r="AR829" t="s">
        <v>138</v>
      </c>
      <c r="AS829" t="s">
        <v>139</v>
      </c>
      <c r="AT829" t="s">
        <v>140</v>
      </c>
      <c r="AU829">
        <v>104</v>
      </c>
      <c r="AV829">
        <v>10</v>
      </c>
      <c r="AW829">
        <v>1</v>
      </c>
      <c r="AX829" s="2">
        <v>45839</v>
      </c>
      <c r="AY829" t="s">
        <v>377</v>
      </c>
      <c r="AZ829" s="2">
        <v>46028</v>
      </c>
      <c r="BA829">
        <v>0</v>
      </c>
      <c r="BB829">
        <v>0</v>
      </c>
      <c r="BC829">
        <v>0</v>
      </c>
      <c r="BD829">
        <v>700</v>
      </c>
      <c r="BE829">
        <v>70</v>
      </c>
      <c r="BF829">
        <v>9</v>
      </c>
      <c r="BG829" s="2">
        <v>45536</v>
      </c>
      <c r="BH829" t="s">
        <v>142</v>
      </c>
      <c r="BI829" s="2">
        <v>46026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 s="1">
        <v>15349.03</v>
      </c>
      <c r="BQ829" s="1">
        <v>15349.03</v>
      </c>
      <c r="BR829">
        <v>0</v>
      </c>
      <c r="BS829">
        <v>0</v>
      </c>
      <c r="BT829">
        <v>0</v>
      </c>
      <c r="BU829">
        <v>0</v>
      </c>
      <c r="BV829" s="1">
        <v>13172.98</v>
      </c>
      <c r="BW829" s="1">
        <v>13172.98</v>
      </c>
      <c r="BX829">
        <v>0</v>
      </c>
      <c r="BY829">
        <v>0</v>
      </c>
      <c r="BZ829">
        <v>0</v>
      </c>
      <c r="CA829">
        <v>0</v>
      </c>
      <c r="CB829" s="1">
        <v>10679.41</v>
      </c>
      <c r="CC829" t="s">
        <v>143</v>
      </c>
    </row>
    <row r="830" spans="1:81" x14ac:dyDescent="0.25">
      <c r="A830">
        <v>345</v>
      </c>
      <c r="B830">
        <v>2</v>
      </c>
      <c r="C830">
        <v>2293</v>
      </c>
      <c r="D830" t="s">
        <v>4727</v>
      </c>
      <c r="E830" t="s">
        <v>121</v>
      </c>
      <c r="F830" t="s">
        <v>4728</v>
      </c>
      <c r="G830" t="s">
        <v>4729</v>
      </c>
      <c r="H830" t="s">
        <v>4730</v>
      </c>
      <c r="I830" t="s">
        <v>4731</v>
      </c>
      <c r="J830" t="s">
        <v>126</v>
      </c>
      <c r="K830" t="s">
        <v>4248</v>
      </c>
      <c r="L830" t="s">
        <v>128</v>
      </c>
      <c r="M830" t="s">
        <v>1325</v>
      </c>
      <c r="N830" t="s">
        <v>4732</v>
      </c>
      <c r="O830" t="s">
        <v>201</v>
      </c>
      <c r="P830">
        <v>0</v>
      </c>
      <c r="Q830" t="s">
        <v>125</v>
      </c>
      <c r="R830">
        <v>3</v>
      </c>
      <c r="S830">
        <v>89</v>
      </c>
      <c r="T830" t="s">
        <v>132</v>
      </c>
      <c r="U830" t="s">
        <v>133</v>
      </c>
      <c r="V830" s="1">
        <v>6200</v>
      </c>
      <c r="W830">
        <v>0</v>
      </c>
      <c r="X830" s="1">
        <v>6200</v>
      </c>
      <c r="Y830">
        <v>7</v>
      </c>
      <c r="Z830">
        <v>0</v>
      </c>
      <c r="AA830">
        <v>9</v>
      </c>
      <c r="AB830">
        <v>0</v>
      </c>
      <c r="AC830">
        <v>0</v>
      </c>
      <c r="AD830" t="s">
        <v>234</v>
      </c>
      <c r="AE830" t="s">
        <v>134</v>
      </c>
      <c r="AF830" s="2">
        <v>45518</v>
      </c>
      <c r="AG830" s="2">
        <v>46021</v>
      </c>
      <c r="AH830" s="1">
        <v>3592.17</v>
      </c>
      <c r="AI830" s="1">
        <v>8379.23</v>
      </c>
      <c r="AJ830" s="1">
        <v>61067.03</v>
      </c>
      <c r="AK830">
        <v>0</v>
      </c>
      <c r="AL830">
        <v>0</v>
      </c>
      <c r="AM830">
        <v>0</v>
      </c>
      <c r="AN830" t="s">
        <v>135</v>
      </c>
      <c r="AO830" t="s">
        <v>135</v>
      </c>
      <c r="AP830" t="s">
        <v>136</v>
      </c>
      <c r="AQ830" t="s">
        <v>137</v>
      </c>
      <c r="AR830" t="s">
        <v>138</v>
      </c>
      <c r="AS830" t="s">
        <v>139</v>
      </c>
      <c r="AT830" t="s">
        <v>140</v>
      </c>
      <c r="AU830">
        <v>104</v>
      </c>
      <c r="AV830">
        <v>10</v>
      </c>
      <c r="AW830">
        <v>1</v>
      </c>
      <c r="AX830" s="2">
        <v>45531</v>
      </c>
      <c r="AY830" t="s">
        <v>377</v>
      </c>
      <c r="AZ830" s="2">
        <v>46028</v>
      </c>
      <c r="BA830">
        <v>0</v>
      </c>
      <c r="BB830">
        <v>0</v>
      </c>
      <c r="BC830">
        <v>0</v>
      </c>
      <c r="BD830">
        <v>700</v>
      </c>
      <c r="BE830">
        <v>70</v>
      </c>
      <c r="BF830">
        <v>9</v>
      </c>
      <c r="BG830" s="2">
        <v>45536</v>
      </c>
      <c r="BH830" t="s">
        <v>142</v>
      </c>
      <c r="BI830" s="2">
        <v>46026</v>
      </c>
      <c r="BJ830">
        <v>0</v>
      </c>
      <c r="BK830">
        <v>0</v>
      </c>
      <c r="BL830">
        <v>0</v>
      </c>
      <c r="BM830">
        <v>6.07</v>
      </c>
      <c r="BN830">
        <v>3.92</v>
      </c>
      <c r="BO830" s="1">
        <v>12334.49</v>
      </c>
      <c r="BP830" s="1">
        <v>6766.26</v>
      </c>
      <c r="BQ830" s="1">
        <v>19100.75</v>
      </c>
      <c r="BR830" s="1">
        <v>3818.26</v>
      </c>
      <c r="BS830">
        <v>4.1900000000000004</v>
      </c>
      <c r="BT830">
        <v>3.18</v>
      </c>
      <c r="BU830" s="1">
        <v>19612.830000000002</v>
      </c>
      <c r="BV830" s="1">
        <v>6268.86</v>
      </c>
      <c r="BW830" s="1">
        <v>25881.69</v>
      </c>
      <c r="BX830">
        <v>0</v>
      </c>
      <c r="BY830">
        <v>0</v>
      </c>
      <c r="BZ830">
        <v>0</v>
      </c>
      <c r="CA830">
        <v>0</v>
      </c>
      <c r="CB830" s="1">
        <v>16530.060000000001</v>
      </c>
      <c r="CC830" t="s">
        <v>143</v>
      </c>
    </row>
    <row r="831" spans="1:81" x14ac:dyDescent="0.25">
      <c r="A831">
        <v>345</v>
      </c>
      <c r="B831">
        <v>2</v>
      </c>
      <c r="C831">
        <v>2299</v>
      </c>
      <c r="D831" t="s">
        <v>4733</v>
      </c>
      <c r="E831" t="s">
        <v>121</v>
      </c>
      <c r="F831" t="s">
        <v>4734</v>
      </c>
      <c r="G831" t="s">
        <v>4735</v>
      </c>
      <c r="H831" t="s">
        <v>4736</v>
      </c>
      <c r="I831" t="s">
        <v>125</v>
      </c>
      <c r="J831" t="s">
        <v>126</v>
      </c>
      <c r="K831" t="s">
        <v>4248</v>
      </c>
      <c r="L831" t="s">
        <v>128</v>
      </c>
      <c r="M831" t="s">
        <v>1325</v>
      </c>
      <c r="N831" t="s">
        <v>4737</v>
      </c>
      <c r="O831" t="s">
        <v>149</v>
      </c>
      <c r="P831">
        <v>0</v>
      </c>
      <c r="Q831" t="s">
        <v>125</v>
      </c>
      <c r="R831">
        <v>6</v>
      </c>
      <c r="S831">
        <v>44</v>
      </c>
      <c r="T831" t="s">
        <v>132</v>
      </c>
      <c r="U831" t="s">
        <v>133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134</v>
      </c>
      <c r="AE831" t="s">
        <v>134</v>
      </c>
      <c r="AF831" s="2">
        <v>45518</v>
      </c>
      <c r="AG831" s="2">
        <v>46002</v>
      </c>
      <c r="AH831" s="1">
        <v>1500.3</v>
      </c>
      <c r="AI831" s="1">
        <v>2561.4</v>
      </c>
      <c r="AJ831" s="1">
        <v>6001.2</v>
      </c>
      <c r="AK831">
        <v>0</v>
      </c>
      <c r="AL831">
        <v>0</v>
      </c>
      <c r="AM831">
        <v>0</v>
      </c>
      <c r="AN831" t="s">
        <v>135</v>
      </c>
      <c r="AO831" t="s">
        <v>135</v>
      </c>
      <c r="AP831" t="s">
        <v>136</v>
      </c>
      <c r="AQ831" t="s">
        <v>137</v>
      </c>
      <c r="AR831" t="s">
        <v>138</v>
      </c>
      <c r="AS831" t="s">
        <v>150</v>
      </c>
      <c r="AT831" t="s">
        <v>140</v>
      </c>
      <c r="AU831">
        <v>104</v>
      </c>
      <c r="AV831">
        <v>10</v>
      </c>
      <c r="AW831">
        <v>1</v>
      </c>
      <c r="AX831" s="2">
        <v>45812</v>
      </c>
      <c r="AY831" t="s">
        <v>168</v>
      </c>
      <c r="AZ831" s="2">
        <v>46022</v>
      </c>
      <c r="BA831">
        <v>0</v>
      </c>
      <c r="BB831">
        <v>0</v>
      </c>
      <c r="BC831">
        <v>0</v>
      </c>
      <c r="BD831">
        <v>700</v>
      </c>
      <c r="BE831">
        <v>70</v>
      </c>
      <c r="BF831">
        <v>9</v>
      </c>
      <c r="BG831" s="2">
        <v>45536</v>
      </c>
      <c r="BH831" t="s">
        <v>142</v>
      </c>
      <c r="BI831" s="2">
        <v>46026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s="1">
        <v>2866.8</v>
      </c>
      <c r="BQ831" s="1">
        <v>2866.8</v>
      </c>
      <c r="BR831">
        <v>0</v>
      </c>
      <c r="BS831">
        <v>0</v>
      </c>
      <c r="BT831">
        <v>0</v>
      </c>
      <c r="BU831">
        <v>0</v>
      </c>
      <c r="BV831" s="1">
        <v>2561.4</v>
      </c>
      <c r="BW831" s="1">
        <v>2561.4</v>
      </c>
      <c r="BX831">
        <v>0</v>
      </c>
      <c r="BY831">
        <v>0</v>
      </c>
      <c r="BZ831">
        <v>0</v>
      </c>
      <c r="CA831">
        <v>0</v>
      </c>
      <c r="CB831" s="1">
        <v>2159.86</v>
      </c>
      <c r="CC831" t="s">
        <v>152</v>
      </c>
    </row>
    <row r="832" spans="1:81" x14ac:dyDescent="0.25">
      <c r="A832">
        <v>345</v>
      </c>
      <c r="B832">
        <v>2</v>
      </c>
      <c r="C832">
        <v>2300</v>
      </c>
      <c r="D832" t="s">
        <v>4738</v>
      </c>
      <c r="E832" t="s">
        <v>121</v>
      </c>
      <c r="F832" t="s">
        <v>4739</v>
      </c>
      <c r="G832" t="s">
        <v>4740</v>
      </c>
      <c r="H832" t="s">
        <v>4741</v>
      </c>
      <c r="I832" t="s">
        <v>4742</v>
      </c>
      <c r="J832" t="s">
        <v>126</v>
      </c>
      <c r="K832" t="s">
        <v>4248</v>
      </c>
      <c r="L832" t="s">
        <v>128</v>
      </c>
      <c r="M832" t="s">
        <v>1325</v>
      </c>
      <c r="N832" t="s">
        <v>4743</v>
      </c>
      <c r="O832" t="s">
        <v>201</v>
      </c>
      <c r="P832">
        <v>0</v>
      </c>
      <c r="Q832" t="s">
        <v>125</v>
      </c>
      <c r="R832">
        <v>6</v>
      </c>
      <c r="S832">
        <v>38</v>
      </c>
      <c r="T832" t="s">
        <v>132</v>
      </c>
      <c r="U832" t="s">
        <v>133</v>
      </c>
      <c r="V832" s="1">
        <v>1000</v>
      </c>
      <c r="W832">
        <v>0</v>
      </c>
      <c r="X832" s="1">
        <v>1000</v>
      </c>
      <c r="Y832">
        <v>7</v>
      </c>
      <c r="Z832">
        <v>0</v>
      </c>
      <c r="AA832">
        <v>0</v>
      </c>
      <c r="AB832">
        <v>0</v>
      </c>
      <c r="AC832">
        <v>0</v>
      </c>
      <c r="AD832" t="s">
        <v>134</v>
      </c>
      <c r="AE832" t="s">
        <v>134</v>
      </c>
      <c r="AF832" s="2">
        <v>45518</v>
      </c>
      <c r="AG832" s="2">
        <v>46018</v>
      </c>
      <c r="AH832">
        <v>334.73</v>
      </c>
      <c r="AI832">
        <v>499.42</v>
      </c>
      <c r="AJ832" s="1">
        <v>1338.94</v>
      </c>
      <c r="AK832">
        <v>0</v>
      </c>
      <c r="AL832">
        <v>0</v>
      </c>
      <c r="AM832">
        <v>0</v>
      </c>
      <c r="AN832" t="s">
        <v>135</v>
      </c>
      <c r="AO832" t="s">
        <v>135</v>
      </c>
      <c r="AP832" t="s">
        <v>136</v>
      </c>
      <c r="AQ832" t="s">
        <v>137</v>
      </c>
      <c r="AR832" t="s">
        <v>138</v>
      </c>
      <c r="AS832" t="s">
        <v>150</v>
      </c>
      <c r="AT832" t="s">
        <v>140</v>
      </c>
      <c r="AU832">
        <v>104</v>
      </c>
      <c r="AV832">
        <v>10</v>
      </c>
      <c r="AW832">
        <v>1</v>
      </c>
      <c r="AX832" s="2">
        <v>45812</v>
      </c>
      <c r="AY832" t="s">
        <v>168</v>
      </c>
      <c r="AZ832" s="2">
        <v>46022</v>
      </c>
      <c r="BA832">
        <v>0</v>
      </c>
      <c r="BB832">
        <v>0</v>
      </c>
      <c r="BC832">
        <v>0</v>
      </c>
      <c r="BD832">
        <v>700</v>
      </c>
      <c r="BE832">
        <v>70</v>
      </c>
      <c r="BF832">
        <v>9</v>
      </c>
      <c r="BG832" s="2">
        <v>45536</v>
      </c>
      <c r="BH832" t="s">
        <v>142</v>
      </c>
      <c r="BI832" s="2">
        <v>46026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499.42</v>
      </c>
      <c r="BQ832">
        <v>499.42</v>
      </c>
      <c r="BR832">
        <v>0</v>
      </c>
      <c r="BS832">
        <v>0</v>
      </c>
      <c r="BT832">
        <v>0</v>
      </c>
      <c r="BU832">
        <v>0</v>
      </c>
      <c r="BV832">
        <v>405.2</v>
      </c>
      <c r="BW832">
        <v>405.2</v>
      </c>
      <c r="BX832">
        <v>0</v>
      </c>
      <c r="BY832">
        <v>0</v>
      </c>
      <c r="BZ832">
        <v>0</v>
      </c>
      <c r="CA832">
        <v>0</v>
      </c>
      <c r="CB832">
        <v>513.33000000000004</v>
      </c>
      <c r="CC832" t="s">
        <v>143</v>
      </c>
    </row>
    <row r="833" spans="1:81" x14ac:dyDescent="0.25">
      <c r="A833">
        <v>345</v>
      </c>
      <c r="B833">
        <v>2</v>
      </c>
      <c r="C833">
        <v>2301</v>
      </c>
      <c r="D833" t="s">
        <v>4744</v>
      </c>
      <c r="E833" t="s">
        <v>121</v>
      </c>
      <c r="F833" t="s">
        <v>4745</v>
      </c>
      <c r="G833" t="s">
        <v>4746</v>
      </c>
      <c r="H833" t="s">
        <v>4747</v>
      </c>
      <c r="I833" t="s">
        <v>125</v>
      </c>
      <c r="J833" t="s">
        <v>126</v>
      </c>
      <c r="K833" t="s">
        <v>4248</v>
      </c>
      <c r="L833" t="s">
        <v>128</v>
      </c>
      <c r="M833" t="s">
        <v>1325</v>
      </c>
      <c r="N833" t="s">
        <v>4748</v>
      </c>
      <c r="O833" t="s">
        <v>3269</v>
      </c>
      <c r="P833">
        <v>0</v>
      </c>
      <c r="Q833" t="s">
        <v>125</v>
      </c>
      <c r="R833">
        <v>3</v>
      </c>
      <c r="S833">
        <v>86</v>
      </c>
      <c r="T833" t="s">
        <v>132</v>
      </c>
      <c r="U833" t="s">
        <v>133</v>
      </c>
      <c r="V833" s="1">
        <v>15400</v>
      </c>
      <c r="W833">
        <v>0</v>
      </c>
      <c r="X833" s="1">
        <v>15400</v>
      </c>
      <c r="Y833">
        <v>7</v>
      </c>
      <c r="Z833">
        <v>0</v>
      </c>
      <c r="AA833">
        <v>0</v>
      </c>
      <c r="AB833">
        <v>0</v>
      </c>
      <c r="AC833">
        <v>0</v>
      </c>
      <c r="AD833" t="s">
        <v>134</v>
      </c>
      <c r="AE833" t="s">
        <v>134</v>
      </c>
      <c r="AF833" s="2">
        <v>45518</v>
      </c>
      <c r="AG833" s="2">
        <v>46011</v>
      </c>
      <c r="AH833" s="1">
        <v>8356.4599999999991</v>
      </c>
      <c r="AI833" s="1">
        <v>51926.64</v>
      </c>
      <c r="AJ833" s="1">
        <v>100277.6</v>
      </c>
      <c r="AK833">
        <v>0</v>
      </c>
      <c r="AL833">
        <v>0</v>
      </c>
      <c r="AM833">
        <v>0</v>
      </c>
      <c r="AN833" t="s">
        <v>135</v>
      </c>
      <c r="AO833" t="s">
        <v>135</v>
      </c>
      <c r="AP833" t="s">
        <v>136</v>
      </c>
      <c r="AQ833" t="s">
        <v>137</v>
      </c>
      <c r="AR833" t="s">
        <v>138</v>
      </c>
      <c r="AS833" t="s">
        <v>150</v>
      </c>
      <c r="AT833" t="s">
        <v>140</v>
      </c>
      <c r="AU833">
        <v>501</v>
      </c>
      <c r="AV833">
        <v>10</v>
      </c>
      <c r="AW833">
        <v>1</v>
      </c>
      <c r="AX833" s="2">
        <v>45855</v>
      </c>
      <c r="AY833" t="s">
        <v>308</v>
      </c>
      <c r="AZ833" s="2">
        <v>46023</v>
      </c>
      <c r="BA833">
        <v>0</v>
      </c>
      <c r="BB833">
        <v>0</v>
      </c>
      <c r="BC833">
        <v>0</v>
      </c>
      <c r="BD833">
        <v>700</v>
      </c>
      <c r="BE833">
        <v>70</v>
      </c>
      <c r="BF833">
        <v>9</v>
      </c>
      <c r="BG833" s="2">
        <v>45536</v>
      </c>
      <c r="BH833" t="s">
        <v>142</v>
      </c>
      <c r="BI833" s="2">
        <v>46026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s="1">
        <v>64455.16</v>
      </c>
      <c r="BQ833" s="1">
        <v>64455.16</v>
      </c>
      <c r="BR833">
        <v>0</v>
      </c>
      <c r="BS833">
        <v>0</v>
      </c>
      <c r="BT833">
        <v>0</v>
      </c>
      <c r="BU833">
        <v>0</v>
      </c>
      <c r="BV833" s="1">
        <v>19207</v>
      </c>
      <c r="BW833" s="1">
        <v>19207</v>
      </c>
      <c r="BX833">
        <v>0</v>
      </c>
      <c r="BY833">
        <v>0</v>
      </c>
      <c r="BZ833">
        <v>0</v>
      </c>
      <c r="CA833">
        <v>0</v>
      </c>
      <c r="CB833" s="1">
        <v>33271.620000000003</v>
      </c>
      <c r="CC833" t="s">
        <v>339</v>
      </c>
    </row>
    <row r="834" spans="1:81" x14ac:dyDescent="0.25">
      <c r="A834">
        <v>345</v>
      </c>
      <c r="B834">
        <v>2</v>
      </c>
      <c r="C834">
        <v>2302</v>
      </c>
      <c r="D834" t="s">
        <v>4749</v>
      </c>
      <c r="E834" t="s">
        <v>121</v>
      </c>
      <c r="F834" t="s">
        <v>3319</v>
      </c>
      <c r="G834" t="s">
        <v>4750</v>
      </c>
      <c r="H834" t="s">
        <v>4751</v>
      </c>
      <c r="I834" t="s">
        <v>125</v>
      </c>
      <c r="J834" t="s">
        <v>126</v>
      </c>
      <c r="K834" t="s">
        <v>4248</v>
      </c>
      <c r="L834" t="s">
        <v>128</v>
      </c>
      <c r="M834" t="s">
        <v>1325</v>
      </c>
      <c r="N834" t="s">
        <v>4752</v>
      </c>
      <c r="O834" t="s">
        <v>201</v>
      </c>
      <c r="P834">
        <v>0</v>
      </c>
      <c r="Q834" t="s">
        <v>125</v>
      </c>
      <c r="R834">
        <v>6</v>
      </c>
      <c r="S834">
        <v>38</v>
      </c>
      <c r="T834" t="s">
        <v>132</v>
      </c>
      <c r="U834" t="s">
        <v>133</v>
      </c>
      <c r="V834" s="1">
        <v>1900</v>
      </c>
      <c r="W834">
        <v>0</v>
      </c>
      <c r="X834" s="1">
        <v>1900</v>
      </c>
      <c r="Y834">
        <v>7</v>
      </c>
      <c r="Z834">
        <v>0</v>
      </c>
      <c r="AA834">
        <v>7</v>
      </c>
      <c r="AB834">
        <v>0</v>
      </c>
      <c r="AC834">
        <v>0</v>
      </c>
      <c r="AD834" t="s">
        <v>134</v>
      </c>
      <c r="AE834" t="s">
        <v>134</v>
      </c>
      <c r="AF834" s="2">
        <v>45518</v>
      </c>
      <c r="AG834" s="2">
        <v>46020</v>
      </c>
      <c r="AH834">
        <v>287.17</v>
      </c>
      <c r="AI834">
        <v>343.28</v>
      </c>
      <c r="AJ834">
        <v>574.35</v>
      </c>
      <c r="AK834">
        <v>0</v>
      </c>
      <c r="AL834">
        <v>0</v>
      </c>
      <c r="AM834">
        <v>0</v>
      </c>
      <c r="AN834" t="s">
        <v>135</v>
      </c>
      <c r="AO834" t="s">
        <v>135</v>
      </c>
      <c r="AP834" t="s">
        <v>136</v>
      </c>
      <c r="AQ834" t="s">
        <v>137</v>
      </c>
      <c r="AR834" t="s">
        <v>138</v>
      </c>
      <c r="AS834" t="s">
        <v>150</v>
      </c>
      <c r="AT834" t="s">
        <v>140</v>
      </c>
      <c r="AU834">
        <v>501</v>
      </c>
      <c r="AV834">
        <v>10</v>
      </c>
      <c r="AW834">
        <v>1</v>
      </c>
      <c r="AX834" s="2">
        <v>45855</v>
      </c>
      <c r="AY834" t="s">
        <v>308</v>
      </c>
      <c r="AZ834" s="2">
        <v>46023</v>
      </c>
      <c r="BA834">
        <v>0</v>
      </c>
      <c r="BB834">
        <v>0</v>
      </c>
      <c r="BC834">
        <v>0</v>
      </c>
      <c r="BD834">
        <v>700</v>
      </c>
      <c r="BE834">
        <v>70</v>
      </c>
      <c r="BF834">
        <v>9</v>
      </c>
      <c r="BG834" s="2">
        <v>45536</v>
      </c>
      <c r="BH834" t="s">
        <v>142</v>
      </c>
      <c r="BI834" s="2">
        <v>46026</v>
      </c>
      <c r="BJ834">
        <v>0</v>
      </c>
      <c r="BK834">
        <v>0</v>
      </c>
      <c r="BL834">
        <v>0</v>
      </c>
      <c r="BM834">
        <v>7</v>
      </c>
      <c r="BN834">
        <v>7</v>
      </c>
      <c r="BO834">
        <v>343.28</v>
      </c>
      <c r="BP834">
        <v>0</v>
      </c>
      <c r="BQ834">
        <v>343.28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280.86</v>
      </c>
      <c r="CC834" t="s">
        <v>339</v>
      </c>
    </row>
    <row r="835" spans="1:81" x14ac:dyDescent="0.25">
      <c r="A835">
        <v>345</v>
      </c>
      <c r="B835">
        <v>2</v>
      </c>
      <c r="C835">
        <v>2307</v>
      </c>
      <c r="D835" t="s">
        <v>4753</v>
      </c>
      <c r="E835" t="s">
        <v>121</v>
      </c>
      <c r="F835" t="s">
        <v>4754</v>
      </c>
      <c r="G835" t="s">
        <v>4755</v>
      </c>
      <c r="H835" t="s">
        <v>4756</v>
      </c>
      <c r="I835" t="s">
        <v>4757</v>
      </c>
      <c r="J835" t="s">
        <v>4254</v>
      </c>
      <c r="K835" t="s">
        <v>4248</v>
      </c>
      <c r="L835" t="s">
        <v>128</v>
      </c>
      <c r="M835" t="s">
        <v>1325</v>
      </c>
      <c r="N835" t="s">
        <v>4758</v>
      </c>
      <c r="O835" t="s">
        <v>201</v>
      </c>
      <c r="P835">
        <v>0</v>
      </c>
      <c r="Q835" t="s">
        <v>125</v>
      </c>
      <c r="R835">
        <v>6</v>
      </c>
      <c r="S835">
        <v>36</v>
      </c>
      <c r="T835" t="s">
        <v>132</v>
      </c>
      <c r="U835" t="s">
        <v>133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134</v>
      </c>
      <c r="AE835" t="s">
        <v>134</v>
      </c>
      <c r="AF835" s="2">
        <v>45518</v>
      </c>
      <c r="AG835" s="2">
        <v>45987</v>
      </c>
      <c r="AH835">
        <v>218.19</v>
      </c>
      <c r="AI835">
        <v>369.36</v>
      </c>
      <c r="AJ835" s="1">
        <v>1090.99</v>
      </c>
      <c r="AK835">
        <v>0</v>
      </c>
      <c r="AL835">
        <v>304.95</v>
      </c>
      <c r="AM835">
        <v>0</v>
      </c>
      <c r="AN835" t="s">
        <v>135</v>
      </c>
      <c r="AO835" t="s">
        <v>135</v>
      </c>
      <c r="AP835" t="s">
        <v>136</v>
      </c>
      <c r="AQ835" t="s">
        <v>137</v>
      </c>
      <c r="AR835" t="s">
        <v>138</v>
      </c>
      <c r="AS835" t="s">
        <v>139</v>
      </c>
      <c r="AT835" t="s">
        <v>140</v>
      </c>
      <c r="AU835">
        <v>104</v>
      </c>
      <c r="AV835">
        <v>10</v>
      </c>
      <c r="AW835">
        <v>1</v>
      </c>
      <c r="AX835" s="2">
        <v>45601</v>
      </c>
      <c r="AY835" t="s">
        <v>377</v>
      </c>
      <c r="AZ835" s="2">
        <v>46028</v>
      </c>
      <c r="BA835">
        <v>0</v>
      </c>
      <c r="BB835">
        <v>0</v>
      </c>
      <c r="BC835">
        <v>0</v>
      </c>
      <c r="BD835">
        <v>700</v>
      </c>
      <c r="BE835">
        <v>70</v>
      </c>
      <c r="BF835">
        <v>9</v>
      </c>
      <c r="BG835" s="2">
        <v>45536</v>
      </c>
      <c r="BH835" t="s">
        <v>142</v>
      </c>
      <c r="BI835" s="2">
        <v>46026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586.64</v>
      </c>
      <c r="BQ835">
        <v>586.64</v>
      </c>
      <c r="BR835">
        <v>0</v>
      </c>
      <c r="BS835">
        <v>0</v>
      </c>
      <c r="BT835">
        <v>0</v>
      </c>
      <c r="BU835">
        <v>0</v>
      </c>
      <c r="BV835">
        <v>304.95</v>
      </c>
      <c r="BW835">
        <v>304.95</v>
      </c>
      <c r="BX835">
        <v>0</v>
      </c>
      <c r="BY835">
        <v>0</v>
      </c>
      <c r="BZ835">
        <v>0</v>
      </c>
      <c r="CA835">
        <v>0</v>
      </c>
      <c r="CB835">
        <v>324.29000000000002</v>
      </c>
      <c r="CC835" t="s">
        <v>143</v>
      </c>
    </row>
    <row r="836" spans="1:81" x14ac:dyDescent="0.25">
      <c r="A836">
        <v>345</v>
      </c>
      <c r="B836">
        <v>2</v>
      </c>
      <c r="C836">
        <v>2319</v>
      </c>
      <c r="D836" t="s">
        <v>4759</v>
      </c>
      <c r="E836" t="s">
        <v>121</v>
      </c>
      <c r="F836" t="s">
        <v>4760</v>
      </c>
      <c r="G836" t="s">
        <v>4761</v>
      </c>
      <c r="H836" t="s">
        <v>4681</v>
      </c>
      <c r="I836" t="s">
        <v>125</v>
      </c>
      <c r="J836" t="s">
        <v>4247</v>
      </c>
      <c r="K836" t="s">
        <v>4248</v>
      </c>
      <c r="L836" t="s">
        <v>128</v>
      </c>
      <c r="M836" t="s">
        <v>1325</v>
      </c>
      <c r="N836" t="s">
        <v>4762</v>
      </c>
      <c r="O836" t="s">
        <v>201</v>
      </c>
      <c r="P836">
        <v>0</v>
      </c>
      <c r="Q836" t="s">
        <v>125</v>
      </c>
      <c r="R836">
        <v>6</v>
      </c>
      <c r="S836">
        <v>12</v>
      </c>
      <c r="T836" t="s">
        <v>132</v>
      </c>
      <c r="U836" t="s">
        <v>133</v>
      </c>
      <c r="V836" s="1">
        <v>1000</v>
      </c>
      <c r="W836">
        <v>0</v>
      </c>
      <c r="X836" s="1">
        <v>1000</v>
      </c>
      <c r="Y836">
        <v>7</v>
      </c>
      <c r="Z836">
        <v>0</v>
      </c>
      <c r="AA836">
        <v>0</v>
      </c>
      <c r="AB836">
        <v>0</v>
      </c>
      <c r="AC836">
        <v>0</v>
      </c>
      <c r="AD836" t="s">
        <v>134</v>
      </c>
      <c r="AE836" t="s">
        <v>134</v>
      </c>
      <c r="AF836" s="2">
        <v>45518</v>
      </c>
      <c r="AG836" s="2">
        <v>45962</v>
      </c>
      <c r="AH836">
        <v>193.53</v>
      </c>
      <c r="AI836">
        <v>193.53</v>
      </c>
      <c r="AJ836">
        <v>193.53</v>
      </c>
      <c r="AK836">
        <v>0</v>
      </c>
      <c r="AL836">
        <v>0</v>
      </c>
      <c r="AM836">
        <v>0</v>
      </c>
      <c r="AN836" t="s">
        <v>135</v>
      </c>
      <c r="AO836" t="s">
        <v>135</v>
      </c>
      <c r="AP836" t="s">
        <v>136</v>
      </c>
      <c r="AQ836" t="s">
        <v>137</v>
      </c>
      <c r="AR836" t="s">
        <v>138</v>
      </c>
      <c r="AS836" t="s">
        <v>139</v>
      </c>
      <c r="AT836" t="s">
        <v>140</v>
      </c>
      <c r="AU836">
        <v>104</v>
      </c>
      <c r="AV836">
        <v>10</v>
      </c>
      <c r="AW836">
        <v>1</v>
      </c>
      <c r="AX836" s="2">
        <v>45813</v>
      </c>
      <c r="AY836" t="s">
        <v>308</v>
      </c>
      <c r="AZ836" s="2">
        <v>46023</v>
      </c>
      <c r="BA836">
        <v>0</v>
      </c>
      <c r="BB836">
        <v>0</v>
      </c>
      <c r="BC836">
        <v>0</v>
      </c>
      <c r="BD836">
        <v>700</v>
      </c>
      <c r="BE836">
        <v>70</v>
      </c>
      <c r="BF836">
        <v>9</v>
      </c>
      <c r="BG836" s="2">
        <v>45536</v>
      </c>
      <c r="BH836" t="s">
        <v>142</v>
      </c>
      <c r="BI836" s="2">
        <v>46026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193.53</v>
      </c>
      <c r="BQ836">
        <v>193.53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64.510000000000005</v>
      </c>
      <c r="CC836" t="s">
        <v>143</v>
      </c>
    </row>
    <row r="837" spans="1:81" x14ac:dyDescent="0.25">
      <c r="A837">
        <v>345</v>
      </c>
      <c r="B837">
        <v>2</v>
      </c>
      <c r="C837">
        <v>2320</v>
      </c>
      <c r="D837" t="s">
        <v>4763</v>
      </c>
      <c r="E837" t="s">
        <v>121</v>
      </c>
      <c r="F837" t="s">
        <v>4764</v>
      </c>
      <c r="G837" t="s">
        <v>4765</v>
      </c>
      <c r="H837" t="s">
        <v>4766</v>
      </c>
      <c r="I837" t="s">
        <v>125</v>
      </c>
      <c r="J837" t="s">
        <v>4254</v>
      </c>
      <c r="K837" t="s">
        <v>4248</v>
      </c>
      <c r="L837" t="s">
        <v>128</v>
      </c>
      <c r="M837" t="s">
        <v>1325</v>
      </c>
      <c r="N837" t="s">
        <v>4767</v>
      </c>
      <c r="O837" t="s">
        <v>195</v>
      </c>
      <c r="P837">
        <v>0</v>
      </c>
      <c r="Q837" t="s">
        <v>125</v>
      </c>
      <c r="R837">
        <v>6</v>
      </c>
      <c r="S837">
        <v>42</v>
      </c>
      <c r="T837" t="s">
        <v>132</v>
      </c>
      <c r="U837" t="s">
        <v>133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134</v>
      </c>
      <c r="AE837" t="s">
        <v>134</v>
      </c>
      <c r="AF837" s="2">
        <v>45518</v>
      </c>
      <c r="AG837" s="2">
        <v>46017</v>
      </c>
      <c r="AH837">
        <v>336.64</v>
      </c>
      <c r="AI837">
        <v>704.82</v>
      </c>
      <c r="AJ837" s="1">
        <v>4376.32</v>
      </c>
      <c r="AK837">
        <v>0</v>
      </c>
      <c r="AL837">
        <v>704.82</v>
      </c>
      <c r="AM837">
        <v>0</v>
      </c>
      <c r="AN837" t="s">
        <v>135</v>
      </c>
      <c r="AO837" t="s">
        <v>135</v>
      </c>
      <c r="AP837" t="s">
        <v>136</v>
      </c>
      <c r="AQ837" t="s">
        <v>137</v>
      </c>
      <c r="AR837" t="s">
        <v>138</v>
      </c>
      <c r="AS837" t="s">
        <v>150</v>
      </c>
      <c r="AT837" t="s">
        <v>140</v>
      </c>
      <c r="AU837">
        <v>104</v>
      </c>
      <c r="AV837">
        <v>10</v>
      </c>
      <c r="AW837">
        <v>1</v>
      </c>
      <c r="AX837" s="2">
        <v>45531</v>
      </c>
      <c r="AY837" t="s">
        <v>377</v>
      </c>
      <c r="AZ837" s="2">
        <v>46028</v>
      </c>
      <c r="BA837">
        <v>0</v>
      </c>
      <c r="BB837">
        <v>0</v>
      </c>
      <c r="BC837">
        <v>0</v>
      </c>
      <c r="BD837">
        <v>700</v>
      </c>
      <c r="BE837">
        <v>70</v>
      </c>
      <c r="BF837">
        <v>9</v>
      </c>
      <c r="BG837" s="2">
        <v>45536</v>
      </c>
      <c r="BH837" t="s">
        <v>142</v>
      </c>
      <c r="BI837" s="2">
        <v>46026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740.99</v>
      </c>
      <c r="BQ837">
        <v>740.99</v>
      </c>
      <c r="BR837">
        <v>0</v>
      </c>
      <c r="BS837">
        <v>0</v>
      </c>
      <c r="BT837">
        <v>0</v>
      </c>
      <c r="BU837">
        <v>0</v>
      </c>
      <c r="BV837" s="1">
        <v>2013.84</v>
      </c>
      <c r="BW837" s="1">
        <v>2013.84</v>
      </c>
      <c r="BX837">
        <v>0</v>
      </c>
      <c r="BY837">
        <v>0</v>
      </c>
      <c r="BZ837">
        <v>0</v>
      </c>
      <c r="CA837">
        <v>0</v>
      </c>
      <c r="CB837" s="1">
        <v>1228.26</v>
      </c>
      <c r="CC837" t="s">
        <v>161</v>
      </c>
    </row>
    <row r="838" spans="1:81" x14ac:dyDescent="0.25">
      <c r="A838">
        <v>345</v>
      </c>
      <c r="B838">
        <v>2</v>
      </c>
      <c r="C838">
        <v>2324</v>
      </c>
      <c r="D838" t="s">
        <v>4768</v>
      </c>
      <c r="E838" t="s">
        <v>121</v>
      </c>
      <c r="F838" t="s">
        <v>4769</v>
      </c>
      <c r="G838" t="s">
        <v>4770</v>
      </c>
      <c r="H838" t="s">
        <v>4771</v>
      </c>
      <c r="I838" t="s">
        <v>3210</v>
      </c>
      <c r="J838" t="s">
        <v>4247</v>
      </c>
      <c r="K838" t="s">
        <v>4248</v>
      </c>
      <c r="L838" t="s">
        <v>128</v>
      </c>
      <c r="M838" t="s">
        <v>1325</v>
      </c>
      <c r="N838" t="s">
        <v>4772</v>
      </c>
      <c r="O838" t="s">
        <v>167</v>
      </c>
      <c r="P838">
        <v>0</v>
      </c>
      <c r="Q838" t="s">
        <v>125</v>
      </c>
      <c r="R838">
        <v>6</v>
      </c>
      <c r="S838">
        <v>32</v>
      </c>
      <c r="T838" t="s">
        <v>132</v>
      </c>
      <c r="U838" t="s">
        <v>133</v>
      </c>
      <c r="V838" s="1">
        <v>1100</v>
      </c>
      <c r="W838">
        <v>583.54999999999995</v>
      </c>
      <c r="X838">
        <v>516.45000000000005</v>
      </c>
      <c r="Y838">
        <v>7</v>
      </c>
      <c r="Z838">
        <v>0</v>
      </c>
      <c r="AA838">
        <v>9</v>
      </c>
      <c r="AB838">
        <v>0</v>
      </c>
      <c r="AC838">
        <v>14</v>
      </c>
      <c r="AD838" t="s">
        <v>134</v>
      </c>
      <c r="AE838" t="s">
        <v>134</v>
      </c>
      <c r="AF838" s="2">
        <v>45518</v>
      </c>
      <c r="AG838" s="2">
        <v>46018</v>
      </c>
      <c r="AH838">
        <v>481.2</v>
      </c>
      <c r="AI838">
        <v>583.54999999999995</v>
      </c>
      <c r="AJ838" s="1">
        <v>3849.67</v>
      </c>
      <c r="AK838">
        <v>0</v>
      </c>
      <c r="AL838">
        <v>583.54999999999995</v>
      </c>
      <c r="AM838">
        <v>84</v>
      </c>
      <c r="AN838" t="s">
        <v>135</v>
      </c>
      <c r="AO838" t="s">
        <v>135</v>
      </c>
      <c r="AP838" t="s">
        <v>136</v>
      </c>
      <c r="AQ838" t="s">
        <v>137</v>
      </c>
      <c r="AR838" t="s">
        <v>138</v>
      </c>
      <c r="AS838" t="s">
        <v>139</v>
      </c>
      <c r="AT838" t="s">
        <v>140</v>
      </c>
      <c r="AU838">
        <v>104</v>
      </c>
      <c r="AV838">
        <v>10</v>
      </c>
      <c r="AW838">
        <v>1</v>
      </c>
      <c r="AX838" s="2">
        <v>45813</v>
      </c>
      <c r="AY838" t="s">
        <v>308</v>
      </c>
      <c r="AZ838" s="2">
        <v>46023</v>
      </c>
      <c r="BA838">
        <v>0</v>
      </c>
      <c r="BB838">
        <v>0</v>
      </c>
      <c r="BC838">
        <v>0</v>
      </c>
      <c r="BD838">
        <v>700</v>
      </c>
      <c r="BE838">
        <v>70</v>
      </c>
      <c r="BF838">
        <v>9</v>
      </c>
      <c r="BG838" s="2">
        <v>45536</v>
      </c>
      <c r="BH838" t="s">
        <v>142</v>
      </c>
      <c r="BI838" s="2">
        <v>46026</v>
      </c>
      <c r="BJ838">
        <v>0</v>
      </c>
      <c r="BK838">
        <v>0</v>
      </c>
      <c r="BL838">
        <v>0</v>
      </c>
      <c r="BM838">
        <v>7.98</v>
      </c>
      <c r="BN838">
        <v>7.98</v>
      </c>
      <c r="BO838" s="1">
        <v>1736.45</v>
      </c>
      <c r="BP838">
        <v>0</v>
      </c>
      <c r="BQ838" s="1">
        <v>1736.45</v>
      </c>
      <c r="BR838">
        <v>490.2</v>
      </c>
      <c r="BS838">
        <v>7.19</v>
      </c>
      <c r="BT838">
        <v>7.19</v>
      </c>
      <c r="BU838" s="1">
        <v>1554.7</v>
      </c>
      <c r="BV838">
        <v>0</v>
      </c>
      <c r="BW838" s="1">
        <v>1554.7</v>
      </c>
      <c r="BX838">
        <v>583.54999999999995</v>
      </c>
      <c r="BY838">
        <v>37.53</v>
      </c>
      <c r="BZ838">
        <v>0</v>
      </c>
      <c r="CA838">
        <v>0</v>
      </c>
      <c r="CB838" s="1">
        <v>1359.11</v>
      </c>
      <c r="CC838" t="s">
        <v>161</v>
      </c>
    </row>
    <row r="839" spans="1:81" x14ac:dyDescent="0.25">
      <c r="A839">
        <v>345</v>
      </c>
      <c r="B839">
        <v>2</v>
      </c>
      <c r="C839">
        <v>2325</v>
      </c>
      <c r="D839" t="s">
        <v>4773</v>
      </c>
      <c r="E839" t="s">
        <v>121</v>
      </c>
      <c r="F839" t="s">
        <v>4774</v>
      </c>
      <c r="G839" t="s">
        <v>4775</v>
      </c>
      <c r="H839" t="s">
        <v>4776</v>
      </c>
      <c r="I839" t="s">
        <v>3210</v>
      </c>
      <c r="J839" t="s">
        <v>4247</v>
      </c>
      <c r="K839" t="s">
        <v>4248</v>
      </c>
      <c r="L839" t="s">
        <v>128</v>
      </c>
      <c r="M839" t="s">
        <v>1325</v>
      </c>
      <c r="N839" t="s">
        <v>4777</v>
      </c>
      <c r="O839" t="s">
        <v>167</v>
      </c>
      <c r="P839">
        <v>0</v>
      </c>
      <c r="Q839" t="s">
        <v>125</v>
      </c>
      <c r="R839">
        <v>6</v>
      </c>
      <c r="S839">
        <v>32</v>
      </c>
      <c r="T839" t="s">
        <v>132</v>
      </c>
      <c r="U839" t="s">
        <v>133</v>
      </c>
      <c r="V839" s="1">
        <v>1000</v>
      </c>
      <c r="W839">
        <v>0</v>
      </c>
      <c r="X839" s="1">
        <v>1000</v>
      </c>
      <c r="Y839">
        <v>7</v>
      </c>
      <c r="Z839">
        <v>0</v>
      </c>
      <c r="AA839">
        <v>0</v>
      </c>
      <c r="AB839">
        <v>0</v>
      </c>
      <c r="AC839">
        <v>0</v>
      </c>
      <c r="AD839" t="s">
        <v>134</v>
      </c>
      <c r="AE839" t="s">
        <v>134</v>
      </c>
      <c r="AF839" s="2">
        <v>45518</v>
      </c>
      <c r="AG839" s="2">
        <v>46011</v>
      </c>
      <c r="AH839">
        <v>478.1</v>
      </c>
      <c r="AI839">
        <v>586.89</v>
      </c>
      <c r="AJ839" s="1">
        <v>4302.9399999999996</v>
      </c>
      <c r="AK839">
        <v>0</v>
      </c>
      <c r="AL839">
        <v>0</v>
      </c>
      <c r="AM839">
        <v>0</v>
      </c>
      <c r="AN839" t="s">
        <v>135</v>
      </c>
      <c r="AO839" t="s">
        <v>135</v>
      </c>
      <c r="AP839" t="s">
        <v>136</v>
      </c>
      <c r="AQ839" t="s">
        <v>137</v>
      </c>
      <c r="AR839" t="s">
        <v>138</v>
      </c>
      <c r="AS839" t="s">
        <v>139</v>
      </c>
      <c r="AT839" t="s">
        <v>140</v>
      </c>
      <c r="AU839">
        <v>104</v>
      </c>
      <c r="AV839">
        <v>10</v>
      </c>
      <c r="AW839">
        <v>1</v>
      </c>
      <c r="AX839" s="2">
        <v>45841</v>
      </c>
      <c r="AY839" t="s">
        <v>308</v>
      </c>
      <c r="AZ839" s="2">
        <v>46023</v>
      </c>
      <c r="BA839">
        <v>0</v>
      </c>
      <c r="BB839">
        <v>0</v>
      </c>
      <c r="BC839">
        <v>0</v>
      </c>
      <c r="BD839">
        <v>700</v>
      </c>
      <c r="BE839">
        <v>70</v>
      </c>
      <c r="BF839">
        <v>9</v>
      </c>
      <c r="BG839" s="2">
        <v>45536</v>
      </c>
      <c r="BH839" t="s">
        <v>142</v>
      </c>
      <c r="BI839" s="2">
        <v>46026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s="1">
        <v>1295.71</v>
      </c>
      <c r="BQ839" s="1">
        <v>1295.71</v>
      </c>
      <c r="BR839">
        <v>0</v>
      </c>
      <c r="BS839">
        <v>0</v>
      </c>
      <c r="BT839">
        <v>0</v>
      </c>
      <c r="BU839">
        <v>0</v>
      </c>
      <c r="BV839" s="1">
        <v>1090.5</v>
      </c>
      <c r="BW839" s="1">
        <v>1090.5</v>
      </c>
      <c r="BX839">
        <v>0</v>
      </c>
      <c r="BY839">
        <v>0</v>
      </c>
      <c r="BZ839">
        <v>0</v>
      </c>
      <c r="CA839">
        <v>0</v>
      </c>
      <c r="CB839" s="1">
        <v>1449.78</v>
      </c>
      <c r="CC839" t="s">
        <v>161</v>
      </c>
    </row>
    <row r="840" spans="1:81" x14ac:dyDescent="0.25">
      <c r="A840">
        <v>345</v>
      </c>
      <c r="B840">
        <v>2</v>
      </c>
      <c r="C840">
        <v>2330</v>
      </c>
      <c r="D840" t="s">
        <v>4778</v>
      </c>
      <c r="E840" t="s">
        <v>121</v>
      </c>
      <c r="F840" t="s">
        <v>4779</v>
      </c>
      <c r="G840" t="s">
        <v>4780</v>
      </c>
      <c r="H840" t="s">
        <v>4781</v>
      </c>
      <c r="I840" t="s">
        <v>3210</v>
      </c>
      <c r="J840" t="s">
        <v>126</v>
      </c>
      <c r="K840" t="s">
        <v>4248</v>
      </c>
      <c r="L840" t="s">
        <v>128</v>
      </c>
      <c r="M840" t="s">
        <v>1325</v>
      </c>
      <c r="N840" t="s">
        <v>4782</v>
      </c>
      <c r="O840" t="s">
        <v>296</v>
      </c>
      <c r="P840">
        <v>0</v>
      </c>
      <c r="Q840" t="s">
        <v>125</v>
      </c>
      <c r="R840">
        <v>6</v>
      </c>
      <c r="S840">
        <v>43</v>
      </c>
      <c r="T840" t="s">
        <v>132</v>
      </c>
      <c r="U840" t="s">
        <v>133</v>
      </c>
      <c r="V840" s="1">
        <v>20000</v>
      </c>
      <c r="W840">
        <v>0</v>
      </c>
      <c r="X840" s="1">
        <v>20000</v>
      </c>
      <c r="Y840">
        <v>2</v>
      </c>
      <c r="Z840">
        <v>0</v>
      </c>
      <c r="AA840">
        <v>3</v>
      </c>
      <c r="AB840">
        <v>0</v>
      </c>
      <c r="AC840">
        <v>0</v>
      </c>
      <c r="AD840" t="s">
        <v>134</v>
      </c>
      <c r="AE840" t="s">
        <v>134</v>
      </c>
      <c r="AF840" s="2">
        <v>45518</v>
      </c>
      <c r="AG840" s="2">
        <v>46018</v>
      </c>
      <c r="AH840" s="1">
        <v>2229.42</v>
      </c>
      <c r="AI840" s="1">
        <v>4442.74</v>
      </c>
      <c r="AJ840" s="1">
        <v>26753.14</v>
      </c>
      <c r="AK840">
        <v>0</v>
      </c>
      <c r="AL840">
        <v>0</v>
      </c>
      <c r="AM840">
        <v>0</v>
      </c>
      <c r="AN840" t="s">
        <v>135</v>
      </c>
      <c r="AO840" t="s">
        <v>135</v>
      </c>
      <c r="AP840" t="s">
        <v>136</v>
      </c>
      <c r="AQ840" t="s">
        <v>137</v>
      </c>
      <c r="AR840" t="s">
        <v>138</v>
      </c>
      <c r="AS840" t="s">
        <v>150</v>
      </c>
      <c r="AT840" t="s">
        <v>140</v>
      </c>
      <c r="AU840">
        <v>501</v>
      </c>
      <c r="AV840">
        <v>10</v>
      </c>
      <c r="AW840">
        <v>1</v>
      </c>
      <c r="AX840" s="2">
        <v>45848</v>
      </c>
      <c r="AY840" t="s">
        <v>308</v>
      </c>
      <c r="AZ840" s="2">
        <v>46023</v>
      </c>
      <c r="BA840">
        <v>0</v>
      </c>
      <c r="BB840">
        <v>0</v>
      </c>
      <c r="BC840">
        <v>0</v>
      </c>
      <c r="BD840">
        <v>700</v>
      </c>
      <c r="BE840">
        <v>70</v>
      </c>
      <c r="BF840">
        <v>9</v>
      </c>
      <c r="BG840" s="2">
        <v>45536</v>
      </c>
      <c r="BH840" t="s">
        <v>142</v>
      </c>
      <c r="BI840" s="2">
        <v>46026</v>
      </c>
      <c r="BJ840">
        <v>0</v>
      </c>
      <c r="BK840">
        <v>0</v>
      </c>
      <c r="BL840">
        <v>0</v>
      </c>
      <c r="BM840">
        <v>2.88</v>
      </c>
      <c r="BN840">
        <v>2.88</v>
      </c>
      <c r="BO840" s="1">
        <v>12014.95</v>
      </c>
      <c r="BP840">
        <v>0</v>
      </c>
      <c r="BQ840" s="1">
        <v>12014.95</v>
      </c>
      <c r="BR840" s="1">
        <v>4442.74</v>
      </c>
      <c r="BS840">
        <v>2.69</v>
      </c>
      <c r="BT840">
        <v>2.69</v>
      </c>
      <c r="BU840" s="1">
        <v>8667.2099999999991</v>
      </c>
      <c r="BV840">
        <v>0</v>
      </c>
      <c r="BW840" s="1">
        <v>8667.2099999999991</v>
      </c>
      <c r="BX840">
        <v>0</v>
      </c>
      <c r="BY840">
        <v>0</v>
      </c>
      <c r="BZ840">
        <v>0</v>
      </c>
      <c r="CA840">
        <v>0</v>
      </c>
      <c r="CB840" s="1">
        <v>8981.06</v>
      </c>
      <c r="CC840" t="s">
        <v>297</v>
      </c>
    </row>
    <row r="841" spans="1:81" x14ac:dyDescent="0.25">
      <c r="A841">
        <v>345</v>
      </c>
      <c r="B841">
        <v>2</v>
      </c>
      <c r="C841">
        <v>2333</v>
      </c>
      <c r="D841" t="s">
        <v>4783</v>
      </c>
      <c r="E841" t="s">
        <v>121</v>
      </c>
      <c r="F841" t="s">
        <v>4784</v>
      </c>
      <c r="G841" t="s">
        <v>4785</v>
      </c>
      <c r="H841" t="s">
        <v>4786</v>
      </c>
      <c r="I841" t="s">
        <v>4787</v>
      </c>
      <c r="J841" t="s">
        <v>4247</v>
      </c>
      <c r="K841" t="s">
        <v>4248</v>
      </c>
      <c r="L841" t="s">
        <v>128</v>
      </c>
      <c r="M841" t="s">
        <v>1325</v>
      </c>
      <c r="N841" t="s">
        <v>4788</v>
      </c>
      <c r="O841" t="s">
        <v>201</v>
      </c>
      <c r="P841">
        <v>0</v>
      </c>
      <c r="Q841" t="s">
        <v>125</v>
      </c>
      <c r="R841">
        <v>6</v>
      </c>
      <c r="S841">
        <v>33</v>
      </c>
      <c r="T841" t="s">
        <v>132</v>
      </c>
      <c r="U841" t="s">
        <v>133</v>
      </c>
      <c r="V841" s="1">
        <v>2500</v>
      </c>
      <c r="W841">
        <v>484.04</v>
      </c>
      <c r="X841" s="1">
        <v>2015.96</v>
      </c>
      <c r="Y841">
        <v>7</v>
      </c>
      <c r="Z841">
        <v>0</v>
      </c>
      <c r="AA841">
        <v>9</v>
      </c>
      <c r="AB841">
        <v>1</v>
      </c>
      <c r="AC841">
        <v>13</v>
      </c>
      <c r="AD841" t="s">
        <v>134</v>
      </c>
      <c r="AE841" t="s">
        <v>134</v>
      </c>
      <c r="AF841" s="2">
        <v>45518</v>
      </c>
      <c r="AG841" s="2">
        <v>46020</v>
      </c>
      <c r="AH841">
        <v>522.37</v>
      </c>
      <c r="AI841">
        <v>751.71</v>
      </c>
      <c r="AJ841" s="1">
        <v>4179.03</v>
      </c>
      <c r="AK841">
        <v>0</v>
      </c>
      <c r="AL841">
        <v>484.04</v>
      </c>
      <c r="AM841">
        <v>155.30000000000001</v>
      </c>
      <c r="AN841" t="s">
        <v>135</v>
      </c>
      <c r="AO841" t="s">
        <v>135</v>
      </c>
      <c r="AP841" t="s">
        <v>136</v>
      </c>
      <c r="AQ841" t="s">
        <v>137</v>
      </c>
      <c r="AR841" t="s">
        <v>138</v>
      </c>
      <c r="AS841" t="s">
        <v>139</v>
      </c>
      <c r="AT841" t="s">
        <v>140</v>
      </c>
      <c r="AU841">
        <v>104</v>
      </c>
      <c r="AV841">
        <v>10</v>
      </c>
      <c r="AW841">
        <v>1</v>
      </c>
      <c r="AX841" s="2">
        <v>45849</v>
      </c>
      <c r="AY841" t="s">
        <v>151</v>
      </c>
      <c r="AZ841" s="2">
        <v>46024</v>
      </c>
      <c r="BA841">
        <v>0</v>
      </c>
      <c r="BB841">
        <v>0</v>
      </c>
      <c r="BC841">
        <v>0</v>
      </c>
      <c r="BD841">
        <v>700</v>
      </c>
      <c r="BE841">
        <v>70</v>
      </c>
      <c r="BF841">
        <v>9</v>
      </c>
      <c r="BG841" s="2">
        <v>45536</v>
      </c>
      <c r="BH841" t="s">
        <v>142</v>
      </c>
      <c r="BI841" s="2">
        <v>46026</v>
      </c>
      <c r="BJ841">
        <v>0</v>
      </c>
      <c r="BK841">
        <v>0</v>
      </c>
      <c r="BL841">
        <v>0</v>
      </c>
      <c r="BM841">
        <v>6.32</v>
      </c>
      <c r="BN841">
        <v>6.32</v>
      </c>
      <c r="BO841" s="1">
        <v>1138.49</v>
      </c>
      <c r="BP841">
        <v>0</v>
      </c>
      <c r="BQ841" s="1">
        <v>1138.49</v>
      </c>
      <c r="BR841">
        <v>751.71</v>
      </c>
      <c r="BS841">
        <v>8.48</v>
      </c>
      <c r="BT841">
        <v>8.48</v>
      </c>
      <c r="BU841" s="1">
        <v>1859.66</v>
      </c>
      <c r="BV841">
        <v>0</v>
      </c>
      <c r="BW841" s="1">
        <v>1859.66</v>
      </c>
      <c r="BX841">
        <v>484.04</v>
      </c>
      <c r="BY841">
        <v>26.03</v>
      </c>
      <c r="BZ841">
        <v>0</v>
      </c>
      <c r="CA841">
        <v>0</v>
      </c>
      <c r="CB841" s="1">
        <v>1060.45</v>
      </c>
      <c r="CC841" t="s">
        <v>143</v>
      </c>
    </row>
    <row r="842" spans="1:81" x14ac:dyDescent="0.25">
      <c r="A842">
        <v>345</v>
      </c>
      <c r="B842">
        <v>2</v>
      </c>
      <c r="C842">
        <v>2345</v>
      </c>
      <c r="D842" t="s">
        <v>4789</v>
      </c>
      <c r="E842" t="s">
        <v>121</v>
      </c>
      <c r="F842" t="s">
        <v>4790</v>
      </c>
      <c r="G842" t="s">
        <v>4791</v>
      </c>
      <c r="H842" t="s">
        <v>4792</v>
      </c>
      <c r="I842" t="s">
        <v>4646</v>
      </c>
      <c r="J842" t="s">
        <v>126</v>
      </c>
      <c r="K842" t="s">
        <v>4248</v>
      </c>
      <c r="L842" t="s">
        <v>128</v>
      </c>
      <c r="M842" t="s">
        <v>1325</v>
      </c>
      <c r="N842" t="s">
        <v>4411</v>
      </c>
      <c r="O842" t="s">
        <v>201</v>
      </c>
      <c r="P842">
        <v>0</v>
      </c>
      <c r="Q842" t="s">
        <v>125</v>
      </c>
      <c r="R842">
        <v>6</v>
      </c>
      <c r="S842">
        <v>41</v>
      </c>
      <c r="T842" t="s">
        <v>132</v>
      </c>
      <c r="U842" t="s">
        <v>133</v>
      </c>
      <c r="V842" s="1">
        <v>2600</v>
      </c>
      <c r="W842">
        <v>0</v>
      </c>
      <c r="X842" s="1">
        <v>2600</v>
      </c>
      <c r="Y842">
        <v>7</v>
      </c>
      <c r="Z842">
        <v>0</v>
      </c>
      <c r="AA842">
        <v>0</v>
      </c>
      <c r="AB842">
        <v>0</v>
      </c>
      <c r="AC842">
        <v>0</v>
      </c>
      <c r="AD842" t="s">
        <v>134</v>
      </c>
      <c r="AE842" t="s">
        <v>134</v>
      </c>
      <c r="AF842" s="2">
        <v>45518</v>
      </c>
      <c r="AG842" s="2">
        <v>45990</v>
      </c>
      <c r="AH842" s="1">
        <v>1120.29</v>
      </c>
      <c r="AI842" s="1">
        <v>1120.29</v>
      </c>
      <c r="AJ842" s="1">
        <v>1120.29</v>
      </c>
      <c r="AK842">
        <v>0</v>
      </c>
      <c r="AL842">
        <v>0</v>
      </c>
      <c r="AM842">
        <v>0</v>
      </c>
      <c r="AN842" t="s">
        <v>135</v>
      </c>
      <c r="AO842" t="s">
        <v>135</v>
      </c>
      <c r="AP842" t="s">
        <v>136</v>
      </c>
      <c r="AQ842" t="s">
        <v>137</v>
      </c>
      <c r="AR842" t="s">
        <v>138</v>
      </c>
      <c r="AS842" t="s">
        <v>150</v>
      </c>
      <c r="AT842" t="s">
        <v>140</v>
      </c>
      <c r="AU842">
        <v>104</v>
      </c>
      <c r="AV842">
        <v>10</v>
      </c>
      <c r="AW842">
        <v>1</v>
      </c>
      <c r="AX842" s="2">
        <v>45534</v>
      </c>
      <c r="AY842" t="s">
        <v>151</v>
      </c>
      <c r="AZ842" s="2">
        <v>46024</v>
      </c>
      <c r="BA842">
        <v>0</v>
      </c>
      <c r="BB842">
        <v>0</v>
      </c>
      <c r="BC842">
        <v>0</v>
      </c>
      <c r="BD842">
        <v>700</v>
      </c>
      <c r="BE842">
        <v>70</v>
      </c>
      <c r="BF842">
        <v>9</v>
      </c>
      <c r="BG842" s="2">
        <v>45536</v>
      </c>
      <c r="BH842" t="s">
        <v>142</v>
      </c>
      <c r="BI842" s="2">
        <v>46026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s="1">
        <v>1120.29</v>
      </c>
      <c r="BQ842" s="1">
        <v>1120.29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373.43</v>
      </c>
      <c r="CC842" t="s">
        <v>143</v>
      </c>
    </row>
    <row r="843" spans="1:81" x14ac:dyDescent="0.25">
      <c r="A843">
        <v>345</v>
      </c>
      <c r="B843">
        <v>2</v>
      </c>
      <c r="C843">
        <v>2346</v>
      </c>
      <c r="D843" t="s">
        <v>4793</v>
      </c>
      <c r="E843" t="s">
        <v>121</v>
      </c>
      <c r="F843" t="s">
        <v>4794</v>
      </c>
      <c r="G843" t="s">
        <v>4795</v>
      </c>
      <c r="H843" t="s">
        <v>4796</v>
      </c>
      <c r="I843" t="s">
        <v>4787</v>
      </c>
      <c r="J843" t="s">
        <v>126</v>
      </c>
      <c r="K843" t="s">
        <v>4248</v>
      </c>
      <c r="L843" t="s">
        <v>128</v>
      </c>
      <c r="M843" t="s">
        <v>1325</v>
      </c>
      <c r="N843" t="s">
        <v>4797</v>
      </c>
      <c r="O843" t="s">
        <v>167</v>
      </c>
      <c r="P843">
        <v>0</v>
      </c>
      <c r="Q843" t="s">
        <v>125</v>
      </c>
      <c r="R843">
        <v>6</v>
      </c>
      <c r="S843">
        <v>35</v>
      </c>
      <c r="T843" t="s">
        <v>132</v>
      </c>
      <c r="U843" t="s">
        <v>133</v>
      </c>
      <c r="V843" s="1">
        <v>2900</v>
      </c>
      <c r="W843">
        <v>0</v>
      </c>
      <c r="X843" s="1">
        <v>2900</v>
      </c>
      <c r="Y843">
        <v>7</v>
      </c>
      <c r="Z843">
        <v>0</v>
      </c>
      <c r="AA843">
        <v>5</v>
      </c>
      <c r="AB843">
        <v>0</v>
      </c>
      <c r="AC843">
        <v>0</v>
      </c>
      <c r="AD843" t="s">
        <v>134</v>
      </c>
      <c r="AE843" t="s">
        <v>134</v>
      </c>
      <c r="AF843" s="2">
        <v>45518</v>
      </c>
      <c r="AG843" s="2">
        <v>46018</v>
      </c>
      <c r="AH843">
        <v>695.92</v>
      </c>
      <c r="AI843" s="1">
        <v>1034.58</v>
      </c>
      <c r="AJ843" s="1">
        <v>8351.0400000000009</v>
      </c>
      <c r="AK843">
        <v>0</v>
      </c>
      <c r="AL843">
        <v>0</v>
      </c>
      <c r="AM843">
        <v>0</v>
      </c>
      <c r="AN843" t="s">
        <v>135</v>
      </c>
      <c r="AO843" t="s">
        <v>135</v>
      </c>
      <c r="AP843" t="s">
        <v>136</v>
      </c>
      <c r="AQ843" t="s">
        <v>137</v>
      </c>
      <c r="AR843" t="s">
        <v>138</v>
      </c>
      <c r="AS843" t="s">
        <v>139</v>
      </c>
      <c r="AT843" t="s">
        <v>140</v>
      </c>
      <c r="AU843">
        <v>104</v>
      </c>
      <c r="AV843">
        <v>10</v>
      </c>
      <c r="AW843">
        <v>1</v>
      </c>
      <c r="AX843" s="2">
        <v>45812</v>
      </c>
      <c r="AY843" t="s">
        <v>168</v>
      </c>
      <c r="AZ843" s="2">
        <v>46022</v>
      </c>
      <c r="BA843">
        <v>0</v>
      </c>
      <c r="BB843">
        <v>0</v>
      </c>
      <c r="BC843">
        <v>0</v>
      </c>
      <c r="BD843">
        <v>700</v>
      </c>
      <c r="BE843">
        <v>70</v>
      </c>
      <c r="BF843">
        <v>9</v>
      </c>
      <c r="BG843" s="2">
        <v>45536</v>
      </c>
      <c r="BH843" t="s">
        <v>142</v>
      </c>
      <c r="BI843" s="2">
        <v>46026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s="1">
        <v>2750.54</v>
      </c>
      <c r="BQ843" s="1">
        <v>2750.54</v>
      </c>
      <c r="BR843">
        <v>0</v>
      </c>
      <c r="BS843">
        <v>0</v>
      </c>
      <c r="BT843">
        <v>0</v>
      </c>
      <c r="BU843">
        <v>0</v>
      </c>
      <c r="BV843" s="1">
        <v>1878.02</v>
      </c>
      <c r="BW843" s="1">
        <v>1878.02</v>
      </c>
      <c r="BX843">
        <v>0</v>
      </c>
      <c r="BY843">
        <v>0</v>
      </c>
      <c r="BZ843">
        <v>0</v>
      </c>
      <c r="CA843">
        <v>0</v>
      </c>
      <c r="CB843" s="1">
        <v>2951.71</v>
      </c>
      <c r="CC843" t="s">
        <v>161</v>
      </c>
    </row>
    <row r="844" spans="1:81" x14ac:dyDescent="0.25">
      <c r="A844">
        <v>345</v>
      </c>
      <c r="B844">
        <v>2</v>
      </c>
      <c r="C844">
        <v>2358</v>
      </c>
      <c r="D844" t="s">
        <v>4798</v>
      </c>
      <c r="E844" t="s">
        <v>121</v>
      </c>
      <c r="F844" t="s">
        <v>4799</v>
      </c>
      <c r="G844" t="s">
        <v>4800</v>
      </c>
      <c r="H844" t="s">
        <v>4801</v>
      </c>
      <c r="I844" t="s">
        <v>4802</v>
      </c>
      <c r="J844" t="s">
        <v>126</v>
      </c>
      <c r="K844" t="s">
        <v>4248</v>
      </c>
      <c r="L844" t="s">
        <v>128</v>
      </c>
      <c r="M844" t="s">
        <v>1325</v>
      </c>
      <c r="N844" t="s">
        <v>4803</v>
      </c>
      <c r="O844" t="s">
        <v>167</v>
      </c>
      <c r="P844">
        <v>0</v>
      </c>
      <c r="Q844" t="s">
        <v>125</v>
      </c>
      <c r="R844">
        <v>6</v>
      </c>
      <c r="S844">
        <v>36</v>
      </c>
      <c r="T844" t="s">
        <v>132</v>
      </c>
      <c r="U844" t="s">
        <v>133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134</v>
      </c>
      <c r="AE844" t="s">
        <v>134</v>
      </c>
      <c r="AF844" s="2">
        <v>45518</v>
      </c>
      <c r="AG844" s="2">
        <v>46018</v>
      </c>
      <c r="AH844">
        <v>541.99</v>
      </c>
      <c r="AI844">
        <v>912.76</v>
      </c>
      <c r="AJ844" s="1">
        <v>5961.99</v>
      </c>
      <c r="AK844">
        <v>0</v>
      </c>
      <c r="AL844">
        <v>0</v>
      </c>
      <c r="AM844">
        <v>0</v>
      </c>
      <c r="AN844" t="s">
        <v>135</v>
      </c>
      <c r="AO844" t="s">
        <v>135</v>
      </c>
      <c r="AP844" t="s">
        <v>136</v>
      </c>
      <c r="AQ844" t="s">
        <v>137</v>
      </c>
      <c r="AR844" t="s">
        <v>138</v>
      </c>
      <c r="AS844" t="s">
        <v>139</v>
      </c>
      <c r="AT844" t="s">
        <v>140</v>
      </c>
      <c r="AU844">
        <v>104</v>
      </c>
      <c r="AV844">
        <v>10</v>
      </c>
      <c r="AW844">
        <v>1</v>
      </c>
      <c r="AX844" s="2">
        <v>45812</v>
      </c>
      <c r="AY844" t="s">
        <v>168</v>
      </c>
      <c r="AZ844" s="2">
        <v>46022</v>
      </c>
      <c r="BA844">
        <v>0</v>
      </c>
      <c r="BB844">
        <v>0</v>
      </c>
      <c r="BC844">
        <v>0</v>
      </c>
      <c r="BD844">
        <v>700</v>
      </c>
      <c r="BE844">
        <v>70</v>
      </c>
      <c r="BF844">
        <v>9</v>
      </c>
      <c r="BG844" s="2">
        <v>45536</v>
      </c>
      <c r="BH844" t="s">
        <v>142</v>
      </c>
      <c r="BI844" s="2">
        <v>46026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 s="1">
        <v>1886.79</v>
      </c>
      <c r="BQ844" s="1">
        <v>1886.79</v>
      </c>
      <c r="BR844">
        <v>0</v>
      </c>
      <c r="BS844">
        <v>0</v>
      </c>
      <c r="BT844">
        <v>0</v>
      </c>
      <c r="BU844">
        <v>0</v>
      </c>
      <c r="BV844" s="1">
        <v>2353.42</v>
      </c>
      <c r="BW844" s="1">
        <v>2353.42</v>
      </c>
      <c r="BX844">
        <v>0</v>
      </c>
      <c r="BY844">
        <v>0</v>
      </c>
      <c r="BZ844">
        <v>0</v>
      </c>
      <c r="CA844">
        <v>0</v>
      </c>
      <c r="CB844" s="1">
        <v>1688.36</v>
      </c>
      <c r="CC844" t="s">
        <v>161</v>
      </c>
    </row>
    <row r="845" spans="1:81" x14ac:dyDescent="0.25">
      <c r="A845">
        <v>345</v>
      </c>
      <c r="B845">
        <v>2</v>
      </c>
      <c r="C845">
        <v>2363</v>
      </c>
      <c r="D845" t="s">
        <v>4804</v>
      </c>
      <c r="E845" t="s">
        <v>121</v>
      </c>
      <c r="F845" t="s">
        <v>4805</v>
      </c>
      <c r="G845" t="s">
        <v>4806</v>
      </c>
      <c r="H845" t="s">
        <v>786</v>
      </c>
      <c r="I845" t="s">
        <v>4807</v>
      </c>
      <c r="J845" t="s">
        <v>4647</v>
      </c>
      <c r="K845" t="s">
        <v>4248</v>
      </c>
      <c r="L845" t="s">
        <v>128</v>
      </c>
      <c r="M845" t="s">
        <v>1325</v>
      </c>
      <c r="N845" t="s">
        <v>4808</v>
      </c>
      <c r="O845" t="s">
        <v>167</v>
      </c>
      <c r="P845">
        <v>0</v>
      </c>
      <c r="Q845" t="s">
        <v>125</v>
      </c>
      <c r="R845">
        <v>6</v>
      </c>
      <c r="S845">
        <v>29</v>
      </c>
      <c r="T845" t="s">
        <v>132</v>
      </c>
      <c r="U845" t="s">
        <v>133</v>
      </c>
      <c r="V845" s="1">
        <v>1700</v>
      </c>
      <c r="W845">
        <v>0</v>
      </c>
      <c r="X845" s="1">
        <v>1700</v>
      </c>
      <c r="Y845">
        <v>7</v>
      </c>
      <c r="Z845">
        <v>0</v>
      </c>
      <c r="AA845">
        <v>5</v>
      </c>
      <c r="AB845">
        <v>0</v>
      </c>
      <c r="AC845">
        <v>11</v>
      </c>
      <c r="AD845" t="s">
        <v>134</v>
      </c>
      <c r="AE845" t="s">
        <v>134</v>
      </c>
      <c r="AF845" s="2">
        <v>45518</v>
      </c>
      <c r="AG845" s="2">
        <v>45994</v>
      </c>
      <c r="AH845">
        <v>506.95</v>
      </c>
      <c r="AI845">
        <v>678.05</v>
      </c>
      <c r="AJ845" s="1">
        <v>3041.7</v>
      </c>
      <c r="AK845">
        <v>0</v>
      </c>
      <c r="AL845">
        <v>0</v>
      </c>
      <c r="AM845">
        <v>0</v>
      </c>
      <c r="AN845" t="s">
        <v>135</v>
      </c>
      <c r="AO845" t="s">
        <v>135</v>
      </c>
      <c r="AP845" t="s">
        <v>136</v>
      </c>
      <c r="AQ845" t="s">
        <v>137</v>
      </c>
      <c r="AR845" t="s">
        <v>138</v>
      </c>
      <c r="AS845" t="s">
        <v>139</v>
      </c>
      <c r="AT845" t="s">
        <v>140</v>
      </c>
      <c r="AU845">
        <v>104</v>
      </c>
      <c r="AV845">
        <v>10</v>
      </c>
      <c r="AW845">
        <v>1</v>
      </c>
      <c r="AX845" s="2">
        <v>45811</v>
      </c>
      <c r="AY845" t="s">
        <v>377</v>
      </c>
      <c r="AZ845" s="2">
        <v>46028</v>
      </c>
      <c r="BA845">
        <v>0</v>
      </c>
      <c r="BB845">
        <v>0</v>
      </c>
      <c r="BC845">
        <v>0</v>
      </c>
      <c r="BD845">
        <v>700</v>
      </c>
      <c r="BE845">
        <v>70</v>
      </c>
      <c r="BF845">
        <v>9</v>
      </c>
      <c r="BG845" s="2">
        <v>45536</v>
      </c>
      <c r="BH845" t="s">
        <v>142</v>
      </c>
      <c r="BI845" s="2">
        <v>46026</v>
      </c>
      <c r="BJ845">
        <v>0</v>
      </c>
      <c r="BK845">
        <v>0</v>
      </c>
      <c r="BL845">
        <v>0</v>
      </c>
      <c r="BM845">
        <v>3.49</v>
      </c>
      <c r="BN845">
        <v>3.49</v>
      </c>
      <c r="BO845" s="1">
        <v>1065.33</v>
      </c>
      <c r="BP845">
        <v>0</v>
      </c>
      <c r="BQ845" s="1">
        <v>1065.33</v>
      </c>
      <c r="BR845">
        <v>0</v>
      </c>
      <c r="BS845">
        <v>5</v>
      </c>
      <c r="BT845">
        <v>5</v>
      </c>
      <c r="BU845">
        <v>602.78</v>
      </c>
      <c r="BV845">
        <v>0</v>
      </c>
      <c r="BW845">
        <v>602.78</v>
      </c>
      <c r="BX845">
        <v>0</v>
      </c>
      <c r="BY845">
        <v>0</v>
      </c>
      <c r="BZ845">
        <v>0</v>
      </c>
      <c r="CA845">
        <v>0</v>
      </c>
      <c r="CB845">
        <v>951.74</v>
      </c>
      <c r="CC845" t="s">
        <v>161</v>
      </c>
    </row>
    <row r="846" spans="1:81" x14ac:dyDescent="0.25">
      <c r="A846">
        <v>345</v>
      </c>
      <c r="B846">
        <v>2</v>
      </c>
      <c r="C846">
        <v>2365</v>
      </c>
      <c r="D846" t="s">
        <v>4809</v>
      </c>
      <c r="E846" t="s">
        <v>121</v>
      </c>
      <c r="F846" t="s">
        <v>4810</v>
      </c>
      <c r="G846" t="s">
        <v>4811</v>
      </c>
      <c r="H846" t="s">
        <v>4812</v>
      </c>
      <c r="I846" t="s">
        <v>4813</v>
      </c>
      <c r="J846" t="s">
        <v>4665</v>
      </c>
      <c r="K846" t="s">
        <v>4248</v>
      </c>
      <c r="L846" t="s">
        <v>128</v>
      </c>
      <c r="M846" t="s">
        <v>1325</v>
      </c>
      <c r="N846" t="s">
        <v>4814</v>
      </c>
      <c r="O846" t="s">
        <v>167</v>
      </c>
      <c r="P846">
        <v>0</v>
      </c>
      <c r="Q846" t="s">
        <v>125</v>
      </c>
      <c r="R846">
        <v>6</v>
      </c>
      <c r="S846">
        <v>34</v>
      </c>
      <c r="T846" t="s">
        <v>132</v>
      </c>
      <c r="U846" t="s">
        <v>133</v>
      </c>
      <c r="V846" s="1">
        <v>3000</v>
      </c>
      <c r="W846">
        <v>0</v>
      </c>
      <c r="X846" s="1">
        <v>3000</v>
      </c>
      <c r="Y846">
        <v>7</v>
      </c>
      <c r="Z846">
        <v>0</v>
      </c>
      <c r="AA846">
        <v>0</v>
      </c>
      <c r="AB846">
        <v>0</v>
      </c>
      <c r="AC846">
        <v>0</v>
      </c>
      <c r="AD846" t="s">
        <v>134</v>
      </c>
      <c r="AE846" t="s">
        <v>134</v>
      </c>
      <c r="AF846" s="2">
        <v>45518</v>
      </c>
      <c r="AG846" s="2">
        <v>46017</v>
      </c>
      <c r="AH846">
        <v>638.28</v>
      </c>
      <c r="AI846" s="1">
        <v>2183.36</v>
      </c>
      <c r="AJ846" s="1">
        <v>7659.44</v>
      </c>
      <c r="AK846">
        <v>0</v>
      </c>
      <c r="AL846">
        <v>0</v>
      </c>
      <c r="AM846">
        <v>0</v>
      </c>
      <c r="AN846" t="s">
        <v>135</v>
      </c>
      <c r="AO846" t="s">
        <v>135</v>
      </c>
      <c r="AP846" t="s">
        <v>136</v>
      </c>
      <c r="AQ846" t="s">
        <v>137</v>
      </c>
      <c r="AR846" t="s">
        <v>138</v>
      </c>
      <c r="AS846" t="s">
        <v>139</v>
      </c>
      <c r="AT846" t="s">
        <v>140</v>
      </c>
      <c r="AU846">
        <v>104</v>
      </c>
      <c r="AV846">
        <v>10</v>
      </c>
      <c r="AW846">
        <v>1</v>
      </c>
      <c r="AX846" s="2">
        <v>45860</v>
      </c>
      <c r="AY846" t="s">
        <v>377</v>
      </c>
      <c r="AZ846" s="2">
        <v>46028</v>
      </c>
      <c r="BA846">
        <v>0</v>
      </c>
      <c r="BB846">
        <v>0</v>
      </c>
      <c r="BC846">
        <v>0</v>
      </c>
      <c r="BD846">
        <v>700</v>
      </c>
      <c r="BE846">
        <v>70</v>
      </c>
      <c r="BF846">
        <v>9</v>
      </c>
      <c r="BG846" s="2">
        <v>45536</v>
      </c>
      <c r="BH846" t="s">
        <v>142</v>
      </c>
      <c r="BI846" s="2">
        <v>46026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s="1">
        <v>1323.6</v>
      </c>
      <c r="BQ846" s="1">
        <v>1323.6</v>
      </c>
      <c r="BR846">
        <v>0</v>
      </c>
      <c r="BS846">
        <v>0</v>
      </c>
      <c r="BT846">
        <v>0</v>
      </c>
      <c r="BU846">
        <v>0</v>
      </c>
      <c r="BV846" s="1">
        <v>2182.6999999999998</v>
      </c>
      <c r="BW846" s="1">
        <v>2182.6999999999998</v>
      </c>
      <c r="BX846">
        <v>0</v>
      </c>
      <c r="BY846">
        <v>0</v>
      </c>
      <c r="BZ846">
        <v>0</v>
      </c>
      <c r="CA846">
        <v>0</v>
      </c>
      <c r="CB846" s="1">
        <v>2672.11</v>
      </c>
      <c r="CC846" t="s">
        <v>161</v>
      </c>
    </row>
    <row r="847" spans="1:81" x14ac:dyDescent="0.25">
      <c r="A847">
        <v>345</v>
      </c>
      <c r="B847">
        <v>2</v>
      </c>
      <c r="C847">
        <v>2367</v>
      </c>
      <c r="D847" t="s">
        <v>4815</v>
      </c>
      <c r="E847" t="s">
        <v>121</v>
      </c>
      <c r="F847" t="s">
        <v>4816</v>
      </c>
      <c r="G847" t="s">
        <v>4817</v>
      </c>
      <c r="H847" t="s">
        <v>4818</v>
      </c>
      <c r="I847" t="s">
        <v>4819</v>
      </c>
      <c r="J847" t="s">
        <v>4569</v>
      </c>
      <c r="K847" t="s">
        <v>4248</v>
      </c>
      <c r="L847" t="s">
        <v>128</v>
      </c>
      <c r="M847" t="s">
        <v>1325</v>
      </c>
      <c r="N847" t="s">
        <v>4820</v>
      </c>
      <c r="O847" t="s">
        <v>201</v>
      </c>
      <c r="P847">
        <v>0</v>
      </c>
      <c r="Q847" t="s">
        <v>125</v>
      </c>
      <c r="R847">
        <v>6</v>
      </c>
      <c r="S847">
        <v>42</v>
      </c>
      <c r="T847" t="s">
        <v>132</v>
      </c>
      <c r="U847" t="s">
        <v>133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134</v>
      </c>
      <c r="AE847" t="s">
        <v>134</v>
      </c>
      <c r="AF847" s="2">
        <v>45518</v>
      </c>
      <c r="AG847" s="2">
        <v>46017</v>
      </c>
      <c r="AH847">
        <v>546.20000000000005</v>
      </c>
      <c r="AI847">
        <v>598.85</v>
      </c>
      <c r="AJ847" s="1">
        <v>1092.4100000000001</v>
      </c>
      <c r="AK847">
        <v>0</v>
      </c>
      <c r="AL847">
        <v>0</v>
      </c>
      <c r="AM847">
        <v>0</v>
      </c>
      <c r="AN847" t="s">
        <v>135</v>
      </c>
      <c r="AO847" t="s">
        <v>135</v>
      </c>
      <c r="AP847" t="s">
        <v>136</v>
      </c>
      <c r="AQ847" t="s">
        <v>137</v>
      </c>
      <c r="AR847" t="s">
        <v>138</v>
      </c>
      <c r="AS847" t="s">
        <v>150</v>
      </c>
      <c r="AT847" t="s">
        <v>140</v>
      </c>
      <c r="AU847">
        <v>104</v>
      </c>
      <c r="AV847">
        <v>10</v>
      </c>
      <c r="AW847">
        <v>1</v>
      </c>
      <c r="AX847" s="2">
        <v>45860</v>
      </c>
      <c r="AY847" t="s">
        <v>377</v>
      </c>
      <c r="AZ847" s="2">
        <v>46028</v>
      </c>
      <c r="BA847">
        <v>0</v>
      </c>
      <c r="BB847">
        <v>0</v>
      </c>
      <c r="BC847">
        <v>0</v>
      </c>
      <c r="BD847">
        <v>700</v>
      </c>
      <c r="BE847">
        <v>70</v>
      </c>
      <c r="BF847">
        <v>9</v>
      </c>
      <c r="BG847" s="2">
        <v>45536</v>
      </c>
      <c r="BH847" t="s">
        <v>142</v>
      </c>
      <c r="BI847" s="2">
        <v>46026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598.85</v>
      </c>
      <c r="BQ847">
        <v>598.85</v>
      </c>
      <c r="BR847">
        <v>0</v>
      </c>
      <c r="BS847">
        <v>0</v>
      </c>
      <c r="BT847">
        <v>0</v>
      </c>
      <c r="BU847">
        <v>0</v>
      </c>
      <c r="BV847">
        <v>493.56</v>
      </c>
      <c r="BW847">
        <v>493.56</v>
      </c>
      <c r="BX847">
        <v>0</v>
      </c>
      <c r="BY847">
        <v>0</v>
      </c>
      <c r="BZ847">
        <v>0</v>
      </c>
      <c r="CA847">
        <v>0</v>
      </c>
      <c r="CB847">
        <v>584.79</v>
      </c>
      <c r="CC847" t="s">
        <v>143</v>
      </c>
    </row>
    <row r="848" spans="1:81" x14ac:dyDescent="0.25">
      <c r="A848">
        <v>345</v>
      </c>
      <c r="B848">
        <v>2</v>
      </c>
      <c r="C848">
        <v>2375</v>
      </c>
      <c r="D848" t="s">
        <v>4821</v>
      </c>
      <c r="E848" t="s">
        <v>121</v>
      </c>
      <c r="F848" t="s">
        <v>4822</v>
      </c>
      <c r="G848" t="s">
        <v>4823</v>
      </c>
      <c r="H848" t="s">
        <v>4824</v>
      </c>
      <c r="I848" t="s">
        <v>4825</v>
      </c>
      <c r="J848" t="s">
        <v>1217</v>
      </c>
      <c r="K848" t="s">
        <v>4248</v>
      </c>
      <c r="L848" t="s">
        <v>128</v>
      </c>
      <c r="M848" t="s">
        <v>1325</v>
      </c>
      <c r="N848" t="s">
        <v>4826</v>
      </c>
      <c r="O848" t="s">
        <v>167</v>
      </c>
      <c r="P848">
        <v>0</v>
      </c>
      <c r="Q848" t="s">
        <v>125</v>
      </c>
      <c r="R848">
        <v>6</v>
      </c>
      <c r="S848">
        <v>26</v>
      </c>
      <c r="T848" t="s">
        <v>132</v>
      </c>
      <c r="U848" t="s">
        <v>133</v>
      </c>
      <c r="V848" s="1">
        <v>1800</v>
      </c>
      <c r="W848">
        <v>0</v>
      </c>
      <c r="X848" s="1">
        <v>1800</v>
      </c>
      <c r="Y848">
        <v>7</v>
      </c>
      <c r="Z848">
        <v>0</v>
      </c>
      <c r="AA848">
        <v>9</v>
      </c>
      <c r="AB848">
        <v>0</v>
      </c>
      <c r="AC848">
        <v>6</v>
      </c>
      <c r="AD848" t="s">
        <v>234</v>
      </c>
      <c r="AE848" t="s">
        <v>134</v>
      </c>
      <c r="AF848" s="2">
        <v>45518</v>
      </c>
      <c r="AG848" s="2">
        <v>45995</v>
      </c>
      <c r="AH848">
        <v>567.07000000000005</v>
      </c>
      <c r="AI848" s="1">
        <v>1011.96</v>
      </c>
      <c r="AJ848" s="1">
        <v>4536.59</v>
      </c>
      <c r="AK848">
        <v>0</v>
      </c>
      <c r="AL848">
        <v>0</v>
      </c>
      <c r="AM848">
        <v>0</v>
      </c>
      <c r="AN848" t="s">
        <v>135</v>
      </c>
      <c r="AO848" t="s">
        <v>135</v>
      </c>
      <c r="AP848" t="s">
        <v>136</v>
      </c>
      <c r="AQ848" t="s">
        <v>137</v>
      </c>
      <c r="AR848" t="s">
        <v>138</v>
      </c>
      <c r="AS848" t="s">
        <v>139</v>
      </c>
      <c r="AT848" t="s">
        <v>140</v>
      </c>
      <c r="AU848">
        <v>104</v>
      </c>
      <c r="AV848">
        <v>10</v>
      </c>
      <c r="AW848">
        <v>1</v>
      </c>
      <c r="AX848" s="2">
        <v>45840</v>
      </c>
      <c r="AY848" t="s">
        <v>168</v>
      </c>
      <c r="AZ848" s="2">
        <v>46022</v>
      </c>
      <c r="BA848">
        <v>0</v>
      </c>
      <c r="BB848">
        <v>0</v>
      </c>
      <c r="BC848">
        <v>0</v>
      </c>
      <c r="BD848">
        <v>700</v>
      </c>
      <c r="BE848">
        <v>70</v>
      </c>
      <c r="BF848">
        <v>9</v>
      </c>
      <c r="BG848" s="2">
        <v>45536</v>
      </c>
      <c r="BH848" t="s">
        <v>142</v>
      </c>
      <c r="BI848" s="2">
        <v>46026</v>
      </c>
      <c r="BJ848">
        <v>0</v>
      </c>
      <c r="BK848">
        <v>0</v>
      </c>
      <c r="BL848">
        <v>0</v>
      </c>
      <c r="BM848">
        <v>7</v>
      </c>
      <c r="BN848">
        <v>7</v>
      </c>
      <c r="BO848" s="1">
        <v>2235.98</v>
      </c>
      <c r="BP848">
        <v>0</v>
      </c>
      <c r="BQ848" s="1">
        <v>2235.98</v>
      </c>
      <c r="BR848" s="1">
        <v>1011.96</v>
      </c>
      <c r="BS848">
        <v>7</v>
      </c>
      <c r="BT848">
        <v>7</v>
      </c>
      <c r="BU848">
        <v>658.72</v>
      </c>
      <c r="BV848">
        <v>0</v>
      </c>
      <c r="BW848">
        <v>658.72</v>
      </c>
      <c r="BX848">
        <v>0</v>
      </c>
      <c r="BY848">
        <v>0</v>
      </c>
      <c r="BZ848">
        <v>0</v>
      </c>
      <c r="CA848">
        <v>0</v>
      </c>
      <c r="CB848" s="1">
        <v>2102.7800000000002</v>
      </c>
      <c r="CC848" t="s">
        <v>161</v>
      </c>
    </row>
    <row r="849" spans="1:81" x14ac:dyDescent="0.25">
      <c r="A849">
        <v>345</v>
      </c>
      <c r="B849">
        <v>2</v>
      </c>
      <c r="C849">
        <v>2377</v>
      </c>
      <c r="D849" t="s">
        <v>4827</v>
      </c>
      <c r="E849" t="s">
        <v>121</v>
      </c>
      <c r="F849" t="s">
        <v>4828</v>
      </c>
      <c r="G849" t="s">
        <v>4829</v>
      </c>
      <c r="H849" t="s">
        <v>4830</v>
      </c>
      <c r="I849" t="s">
        <v>4831</v>
      </c>
      <c r="J849" t="s">
        <v>4297</v>
      </c>
      <c r="K849" t="s">
        <v>4248</v>
      </c>
      <c r="L849" t="s">
        <v>128</v>
      </c>
      <c r="M849" t="s">
        <v>1325</v>
      </c>
      <c r="N849" t="s">
        <v>4832</v>
      </c>
      <c r="O849" t="s">
        <v>167</v>
      </c>
      <c r="P849">
        <v>0</v>
      </c>
      <c r="Q849" t="s">
        <v>125</v>
      </c>
      <c r="R849">
        <v>3</v>
      </c>
      <c r="S849">
        <v>85</v>
      </c>
      <c r="T849" t="s">
        <v>132</v>
      </c>
      <c r="U849" t="s">
        <v>133</v>
      </c>
      <c r="V849" s="1">
        <v>3000</v>
      </c>
      <c r="W849">
        <v>745.15</v>
      </c>
      <c r="X849" s="1">
        <v>2254.85</v>
      </c>
      <c r="Y849">
        <v>7</v>
      </c>
      <c r="Z849">
        <v>0</v>
      </c>
      <c r="AA849">
        <v>5</v>
      </c>
      <c r="AB849">
        <v>0</v>
      </c>
      <c r="AC849">
        <v>0</v>
      </c>
      <c r="AD849" t="s">
        <v>134</v>
      </c>
      <c r="AE849" t="s">
        <v>134</v>
      </c>
      <c r="AF849" s="2">
        <v>45518</v>
      </c>
      <c r="AG849" s="2">
        <v>46017</v>
      </c>
      <c r="AH849" s="1">
        <v>1310.75</v>
      </c>
      <c r="AI849" s="1">
        <v>1779.64</v>
      </c>
      <c r="AJ849" s="1">
        <v>17039.82</v>
      </c>
      <c r="AK849">
        <v>0</v>
      </c>
      <c r="AL849" s="1">
        <v>1354.15</v>
      </c>
      <c r="AM849">
        <v>66.19</v>
      </c>
      <c r="AN849" t="s">
        <v>135</v>
      </c>
      <c r="AO849" t="s">
        <v>135</v>
      </c>
      <c r="AP849" t="s">
        <v>136</v>
      </c>
      <c r="AQ849" t="s">
        <v>137</v>
      </c>
      <c r="AR849" t="s">
        <v>138</v>
      </c>
      <c r="AS849" t="s">
        <v>139</v>
      </c>
      <c r="AT849" t="s">
        <v>140</v>
      </c>
      <c r="AU849">
        <v>104</v>
      </c>
      <c r="AV849">
        <v>10</v>
      </c>
      <c r="AW849">
        <v>1</v>
      </c>
      <c r="AX849" s="2">
        <v>45601</v>
      </c>
      <c r="AY849" t="s">
        <v>377</v>
      </c>
      <c r="AZ849" s="2">
        <v>46028</v>
      </c>
      <c r="BA849">
        <v>0</v>
      </c>
      <c r="BB849">
        <v>0</v>
      </c>
      <c r="BC849">
        <v>0</v>
      </c>
      <c r="BD849">
        <v>700</v>
      </c>
      <c r="BE849">
        <v>70</v>
      </c>
      <c r="BF849">
        <v>9</v>
      </c>
      <c r="BG849" s="2">
        <v>45536</v>
      </c>
      <c r="BH849" t="s">
        <v>142</v>
      </c>
      <c r="BI849" s="2">
        <v>46026</v>
      </c>
      <c r="BJ849">
        <v>0</v>
      </c>
      <c r="BK849">
        <v>0</v>
      </c>
      <c r="BL849">
        <v>0</v>
      </c>
      <c r="BM849">
        <v>5</v>
      </c>
      <c r="BN849">
        <v>3.32</v>
      </c>
      <c r="BO849" s="1">
        <v>3040.5</v>
      </c>
      <c r="BP849" s="1">
        <v>1534.33</v>
      </c>
      <c r="BQ849" s="1">
        <v>4574.83</v>
      </c>
      <c r="BR849">
        <v>896.35</v>
      </c>
      <c r="BS849">
        <v>4.57</v>
      </c>
      <c r="BT849">
        <v>3.11</v>
      </c>
      <c r="BU849" s="1">
        <v>3990.29</v>
      </c>
      <c r="BV849" s="1">
        <v>1863.42</v>
      </c>
      <c r="BW849" s="1">
        <v>5853.71</v>
      </c>
      <c r="BX849">
        <v>745.15</v>
      </c>
      <c r="BY849">
        <v>18.670000000000002</v>
      </c>
      <c r="BZ849">
        <v>0</v>
      </c>
      <c r="CA849">
        <v>0</v>
      </c>
      <c r="CB849" s="1">
        <v>5811.76</v>
      </c>
      <c r="CC849" t="s">
        <v>161</v>
      </c>
    </row>
    <row r="850" spans="1:81" x14ac:dyDescent="0.25">
      <c r="A850">
        <v>345</v>
      </c>
      <c r="B850">
        <v>2</v>
      </c>
      <c r="C850">
        <v>2380</v>
      </c>
      <c r="D850" t="s">
        <v>4833</v>
      </c>
      <c r="E850" t="s">
        <v>121</v>
      </c>
      <c r="F850" t="s">
        <v>4834</v>
      </c>
      <c r="G850" t="s">
        <v>4835</v>
      </c>
      <c r="H850" t="s">
        <v>4836</v>
      </c>
      <c r="I850" t="s">
        <v>3838</v>
      </c>
      <c r="J850" t="s">
        <v>126</v>
      </c>
      <c r="K850" t="s">
        <v>4248</v>
      </c>
      <c r="L850" t="s">
        <v>128</v>
      </c>
      <c r="M850" t="s">
        <v>1325</v>
      </c>
      <c r="N850" t="s">
        <v>4837</v>
      </c>
      <c r="O850" t="s">
        <v>149</v>
      </c>
      <c r="P850">
        <v>0</v>
      </c>
      <c r="Q850" t="s">
        <v>125</v>
      </c>
      <c r="R850">
        <v>6</v>
      </c>
      <c r="S850">
        <v>48</v>
      </c>
      <c r="T850" t="s">
        <v>132</v>
      </c>
      <c r="U850" t="s">
        <v>133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234</v>
      </c>
      <c r="AE850" t="s">
        <v>134</v>
      </c>
      <c r="AF850" s="2">
        <v>45518</v>
      </c>
      <c r="AG850" s="2">
        <v>46020</v>
      </c>
      <c r="AH850" s="1">
        <v>7822.75</v>
      </c>
      <c r="AI850" s="1">
        <v>99053.09</v>
      </c>
      <c r="AJ850" s="1">
        <v>219037.19</v>
      </c>
      <c r="AK850">
        <v>0</v>
      </c>
      <c r="AL850">
        <v>0</v>
      </c>
      <c r="AM850">
        <v>0</v>
      </c>
      <c r="AN850" t="s">
        <v>135</v>
      </c>
      <c r="AO850" t="s">
        <v>135</v>
      </c>
      <c r="AP850" t="s">
        <v>136</v>
      </c>
      <c r="AQ850" t="s">
        <v>137</v>
      </c>
      <c r="AR850" t="s">
        <v>138</v>
      </c>
      <c r="AS850" t="s">
        <v>150</v>
      </c>
      <c r="AT850" t="s">
        <v>140</v>
      </c>
      <c r="AU850">
        <v>501</v>
      </c>
      <c r="AV850">
        <v>10</v>
      </c>
      <c r="AW850">
        <v>1</v>
      </c>
      <c r="AX850" s="2">
        <v>45855</v>
      </c>
      <c r="AY850" t="s">
        <v>308</v>
      </c>
      <c r="AZ850" s="2">
        <v>46023</v>
      </c>
      <c r="BA850">
        <v>0</v>
      </c>
      <c r="BB850">
        <v>0</v>
      </c>
      <c r="BC850">
        <v>0</v>
      </c>
      <c r="BD850">
        <v>700</v>
      </c>
      <c r="BE850">
        <v>70</v>
      </c>
      <c r="BF850">
        <v>9</v>
      </c>
      <c r="BG850" s="2">
        <v>45536</v>
      </c>
      <c r="BH850" t="s">
        <v>142</v>
      </c>
      <c r="BI850" s="2">
        <v>46026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s="1">
        <v>43286.39</v>
      </c>
      <c r="BQ850" s="1">
        <v>43286.39</v>
      </c>
      <c r="BR850">
        <v>0</v>
      </c>
      <c r="BS850">
        <v>0</v>
      </c>
      <c r="BT850">
        <v>0</v>
      </c>
      <c r="BU850">
        <v>0</v>
      </c>
      <c r="BV850" s="1">
        <v>129861.99</v>
      </c>
      <c r="BW850" s="1">
        <v>129861.99</v>
      </c>
      <c r="BX850">
        <v>0</v>
      </c>
      <c r="BY850">
        <v>0</v>
      </c>
      <c r="BZ850">
        <v>0</v>
      </c>
      <c r="CA850">
        <v>0</v>
      </c>
      <c r="CB850" s="1">
        <v>36721.760000000002</v>
      </c>
      <c r="CC850" t="s">
        <v>152</v>
      </c>
    </row>
    <row r="851" spans="1:81" x14ac:dyDescent="0.25">
      <c r="A851">
        <v>345</v>
      </c>
      <c r="B851">
        <v>2</v>
      </c>
      <c r="C851">
        <v>2384</v>
      </c>
      <c r="D851" t="s">
        <v>4838</v>
      </c>
      <c r="E851" t="s">
        <v>121</v>
      </c>
      <c r="F851" t="s">
        <v>4839</v>
      </c>
      <c r="G851" t="s">
        <v>4840</v>
      </c>
      <c r="H851" t="s">
        <v>4841</v>
      </c>
      <c r="I851" t="s">
        <v>4842</v>
      </c>
      <c r="J851" t="s">
        <v>4591</v>
      </c>
      <c r="K851" t="s">
        <v>4248</v>
      </c>
      <c r="L851" t="s">
        <v>128</v>
      </c>
      <c r="M851" t="s">
        <v>1325</v>
      </c>
      <c r="N851" t="s">
        <v>4843</v>
      </c>
      <c r="O851" t="s">
        <v>167</v>
      </c>
      <c r="P851">
        <v>0</v>
      </c>
      <c r="Q851" t="s">
        <v>125</v>
      </c>
      <c r="R851">
        <v>3</v>
      </c>
      <c r="S851">
        <v>86</v>
      </c>
      <c r="T851" t="s">
        <v>132</v>
      </c>
      <c r="U851" t="s">
        <v>133</v>
      </c>
      <c r="V851" s="1">
        <v>4200</v>
      </c>
      <c r="W851">
        <v>0</v>
      </c>
      <c r="X851" s="1">
        <v>4200</v>
      </c>
      <c r="Y851">
        <v>7</v>
      </c>
      <c r="Z851">
        <v>0</v>
      </c>
      <c r="AA851">
        <v>9</v>
      </c>
      <c r="AB851">
        <v>0</v>
      </c>
      <c r="AC851">
        <v>3</v>
      </c>
      <c r="AD851" t="s">
        <v>134</v>
      </c>
      <c r="AE851" t="s">
        <v>134</v>
      </c>
      <c r="AF851" s="2">
        <v>45518</v>
      </c>
      <c r="AG851" s="2">
        <v>46010</v>
      </c>
      <c r="AH851" s="1">
        <v>1987.21</v>
      </c>
      <c r="AI851" s="1">
        <v>4175.8999999999996</v>
      </c>
      <c r="AJ851" s="1">
        <v>25833.78</v>
      </c>
      <c r="AK851">
        <v>0</v>
      </c>
      <c r="AL851">
        <v>0</v>
      </c>
      <c r="AM851">
        <v>0</v>
      </c>
      <c r="AN851" t="s">
        <v>135</v>
      </c>
      <c r="AO851" t="s">
        <v>135</v>
      </c>
      <c r="AP851" t="s">
        <v>136</v>
      </c>
      <c r="AQ851" t="s">
        <v>137</v>
      </c>
      <c r="AR851" t="s">
        <v>138</v>
      </c>
      <c r="AS851" t="s">
        <v>139</v>
      </c>
      <c r="AT851" t="s">
        <v>140</v>
      </c>
      <c r="AU851">
        <v>501</v>
      </c>
      <c r="AV851">
        <v>10</v>
      </c>
      <c r="AW851">
        <v>1</v>
      </c>
      <c r="AX851" s="2">
        <v>45855</v>
      </c>
      <c r="AY851" t="s">
        <v>308</v>
      </c>
      <c r="AZ851" s="2">
        <v>46023</v>
      </c>
      <c r="BA851">
        <v>0</v>
      </c>
      <c r="BB851">
        <v>0</v>
      </c>
      <c r="BC851">
        <v>0</v>
      </c>
      <c r="BD851">
        <v>999</v>
      </c>
      <c r="BE851">
        <v>99</v>
      </c>
      <c r="BF851">
        <v>9</v>
      </c>
      <c r="BG851" t="s">
        <v>135</v>
      </c>
      <c r="BH851" t="s">
        <v>250</v>
      </c>
      <c r="BI851" t="s">
        <v>135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s="1">
        <v>13303.02</v>
      </c>
      <c r="BQ851" s="1">
        <v>13303.02</v>
      </c>
      <c r="BR851">
        <v>0</v>
      </c>
      <c r="BS851">
        <v>0</v>
      </c>
      <c r="BT851">
        <v>0</v>
      </c>
      <c r="BU851">
        <v>0</v>
      </c>
      <c r="BV851" s="1">
        <v>2539.2199999999998</v>
      </c>
      <c r="BW851" s="1">
        <v>2539.2199999999998</v>
      </c>
      <c r="BX851">
        <v>0</v>
      </c>
      <c r="BY851">
        <v>0</v>
      </c>
      <c r="BZ851">
        <v>0</v>
      </c>
      <c r="CA851">
        <v>0</v>
      </c>
      <c r="CB851" s="1">
        <v>9576.17</v>
      </c>
      <c r="CC851" t="s">
        <v>161</v>
      </c>
    </row>
    <row r="852" spans="1:81" x14ac:dyDescent="0.25">
      <c r="A852">
        <v>345</v>
      </c>
      <c r="B852">
        <v>2</v>
      </c>
      <c r="C852">
        <v>2388</v>
      </c>
      <c r="D852" t="s">
        <v>4844</v>
      </c>
      <c r="E852" t="s">
        <v>121</v>
      </c>
      <c r="F852" t="s">
        <v>4845</v>
      </c>
      <c r="G852" t="s">
        <v>4846</v>
      </c>
      <c r="H852" t="s">
        <v>4847</v>
      </c>
      <c r="I852" t="s">
        <v>3210</v>
      </c>
      <c r="J852" t="s">
        <v>4247</v>
      </c>
      <c r="K852" t="s">
        <v>4248</v>
      </c>
      <c r="L852" t="s">
        <v>128</v>
      </c>
      <c r="M852" t="s">
        <v>1325</v>
      </c>
      <c r="N852" t="s">
        <v>4848</v>
      </c>
      <c r="O852" t="s">
        <v>201</v>
      </c>
      <c r="P852">
        <v>0</v>
      </c>
      <c r="Q852" t="s">
        <v>125</v>
      </c>
      <c r="R852">
        <v>6</v>
      </c>
      <c r="S852">
        <v>36</v>
      </c>
      <c r="T852" t="s">
        <v>132</v>
      </c>
      <c r="U852" t="s">
        <v>133</v>
      </c>
      <c r="V852" s="1">
        <v>2200</v>
      </c>
      <c r="W852">
        <v>0</v>
      </c>
      <c r="X852" s="1">
        <v>2200</v>
      </c>
      <c r="Y852">
        <v>7</v>
      </c>
      <c r="Z852">
        <v>0</v>
      </c>
      <c r="AA852">
        <v>9</v>
      </c>
      <c r="AB852">
        <v>0</v>
      </c>
      <c r="AC852">
        <v>0</v>
      </c>
      <c r="AD852" t="s">
        <v>134</v>
      </c>
      <c r="AE852" t="s">
        <v>134</v>
      </c>
      <c r="AF852" s="2">
        <v>45518</v>
      </c>
      <c r="AG852" s="2">
        <v>46020</v>
      </c>
      <c r="AH852">
        <v>944.1</v>
      </c>
      <c r="AI852" s="1">
        <v>1249.45</v>
      </c>
      <c r="AJ852" s="1">
        <v>6608.74</v>
      </c>
      <c r="AK852">
        <v>0</v>
      </c>
      <c r="AL852">
        <v>0</v>
      </c>
      <c r="AM852">
        <v>0</v>
      </c>
      <c r="AN852" t="s">
        <v>135</v>
      </c>
      <c r="AO852" t="s">
        <v>135</v>
      </c>
      <c r="AP852" t="s">
        <v>136</v>
      </c>
      <c r="AQ852" t="s">
        <v>137</v>
      </c>
      <c r="AR852" t="s">
        <v>138</v>
      </c>
      <c r="AS852" t="s">
        <v>139</v>
      </c>
      <c r="AT852" t="s">
        <v>140</v>
      </c>
      <c r="AU852">
        <v>104</v>
      </c>
      <c r="AV852">
        <v>10</v>
      </c>
      <c r="AW852">
        <v>1</v>
      </c>
      <c r="AX852" s="2">
        <v>45849</v>
      </c>
      <c r="AY852" t="s">
        <v>151</v>
      </c>
      <c r="AZ852" s="2">
        <v>46024</v>
      </c>
      <c r="BA852">
        <v>0</v>
      </c>
      <c r="BB852">
        <v>0</v>
      </c>
      <c r="BC852">
        <v>0</v>
      </c>
      <c r="BD852">
        <v>700</v>
      </c>
      <c r="BE852">
        <v>70</v>
      </c>
      <c r="BF852">
        <v>9</v>
      </c>
      <c r="BG852" s="2">
        <v>45536</v>
      </c>
      <c r="BH852" t="s">
        <v>142</v>
      </c>
      <c r="BI852" s="2">
        <v>46026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s="1">
        <v>1777.77</v>
      </c>
      <c r="BQ852" s="1">
        <v>1777.77</v>
      </c>
      <c r="BR852">
        <v>0</v>
      </c>
      <c r="BS852">
        <v>0</v>
      </c>
      <c r="BT852">
        <v>0</v>
      </c>
      <c r="BU852">
        <v>0</v>
      </c>
      <c r="BV852" s="1">
        <v>3193.95</v>
      </c>
      <c r="BW852" s="1">
        <v>3193.95</v>
      </c>
      <c r="BX852">
        <v>0</v>
      </c>
      <c r="BY852">
        <v>0</v>
      </c>
      <c r="BZ852">
        <v>0</v>
      </c>
      <c r="CA852">
        <v>0</v>
      </c>
      <c r="CB852" s="1">
        <v>1676.78</v>
      </c>
      <c r="CC852" t="s">
        <v>143</v>
      </c>
    </row>
    <row r="853" spans="1:81" x14ac:dyDescent="0.25">
      <c r="A853">
        <v>345</v>
      </c>
      <c r="B853">
        <v>2</v>
      </c>
      <c r="C853">
        <v>2391</v>
      </c>
      <c r="D853" t="s">
        <v>4849</v>
      </c>
      <c r="E853" t="s">
        <v>121</v>
      </c>
      <c r="F853" t="s">
        <v>4850</v>
      </c>
      <c r="G853" t="s">
        <v>4851</v>
      </c>
      <c r="H853" t="s">
        <v>4852</v>
      </c>
      <c r="I853" t="s">
        <v>4853</v>
      </c>
      <c r="J853" t="s">
        <v>1217</v>
      </c>
      <c r="K853" t="s">
        <v>4248</v>
      </c>
      <c r="L853" t="s">
        <v>128</v>
      </c>
      <c r="M853" t="s">
        <v>1325</v>
      </c>
      <c r="N853" t="s">
        <v>4854</v>
      </c>
      <c r="O853" t="s">
        <v>167</v>
      </c>
      <c r="P853">
        <v>0</v>
      </c>
      <c r="Q853" t="s">
        <v>125</v>
      </c>
      <c r="R853">
        <v>6</v>
      </c>
      <c r="S853">
        <v>37</v>
      </c>
      <c r="T853" t="s">
        <v>132</v>
      </c>
      <c r="U853" t="s">
        <v>133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134</v>
      </c>
      <c r="AE853" t="s">
        <v>234</v>
      </c>
      <c r="AF853" s="2">
        <v>45518</v>
      </c>
      <c r="AG853" s="2">
        <v>46018</v>
      </c>
      <c r="AH853">
        <v>659.01</v>
      </c>
      <c r="AI853">
        <v>993.05</v>
      </c>
      <c r="AJ853" s="1">
        <v>8567.15</v>
      </c>
      <c r="AK853">
        <v>0</v>
      </c>
      <c r="AL853">
        <v>0</v>
      </c>
      <c r="AM853">
        <v>0</v>
      </c>
      <c r="AN853" t="s">
        <v>135</v>
      </c>
      <c r="AO853" t="s">
        <v>135</v>
      </c>
      <c r="AP853" t="s">
        <v>136</v>
      </c>
      <c r="AQ853" t="s">
        <v>137</v>
      </c>
      <c r="AR853" t="s">
        <v>138</v>
      </c>
      <c r="AS853" t="s">
        <v>139</v>
      </c>
      <c r="AT853" t="s">
        <v>140</v>
      </c>
      <c r="AU853">
        <v>104</v>
      </c>
      <c r="AV853">
        <v>10</v>
      </c>
      <c r="AW853">
        <v>1</v>
      </c>
      <c r="AX853" s="2">
        <v>45812</v>
      </c>
      <c r="AY853" t="s">
        <v>168</v>
      </c>
      <c r="AZ853" s="2">
        <v>46022</v>
      </c>
      <c r="BA853">
        <v>0</v>
      </c>
      <c r="BB853">
        <v>0</v>
      </c>
      <c r="BC853">
        <v>0</v>
      </c>
      <c r="BD853">
        <v>700</v>
      </c>
      <c r="BE853">
        <v>70</v>
      </c>
      <c r="BF853">
        <v>9</v>
      </c>
      <c r="BG853" s="2">
        <v>45536</v>
      </c>
      <c r="BH853" t="s">
        <v>142</v>
      </c>
      <c r="BI853" s="2">
        <v>46026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s="1">
        <v>2668.5</v>
      </c>
      <c r="BQ853" s="1">
        <v>2668.5</v>
      </c>
      <c r="BR853">
        <v>0</v>
      </c>
      <c r="BS853">
        <v>0</v>
      </c>
      <c r="BT853">
        <v>0</v>
      </c>
      <c r="BU853">
        <v>0</v>
      </c>
      <c r="BV853" s="1">
        <v>3127.85</v>
      </c>
      <c r="BW853" s="1">
        <v>3127.85</v>
      </c>
      <c r="BX853">
        <v>0</v>
      </c>
      <c r="BY853">
        <v>0</v>
      </c>
      <c r="BZ853">
        <v>0</v>
      </c>
      <c r="CA853">
        <v>0</v>
      </c>
      <c r="CB853" s="1">
        <v>2622.43</v>
      </c>
      <c r="CC853" t="s">
        <v>161</v>
      </c>
    </row>
    <row r="854" spans="1:81" x14ac:dyDescent="0.25">
      <c r="A854">
        <v>345</v>
      </c>
      <c r="B854">
        <v>2</v>
      </c>
      <c r="C854">
        <v>2392</v>
      </c>
      <c r="D854" t="s">
        <v>4855</v>
      </c>
      <c r="E854" t="s">
        <v>121</v>
      </c>
      <c r="F854" t="s">
        <v>4856</v>
      </c>
      <c r="G854" t="s">
        <v>4857</v>
      </c>
      <c r="H854" t="s">
        <v>4858</v>
      </c>
      <c r="I854" t="s">
        <v>4859</v>
      </c>
      <c r="J854" t="s">
        <v>4860</v>
      </c>
      <c r="K854" t="s">
        <v>4248</v>
      </c>
      <c r="L854" t="s">
        <v>128</v>
      </c>
      <c r="M854" t="s">
        <v>1325</v>
      </c>
      <c r="N854" t="s">
        <v>4861</v>
      </c>
      <c r="O854" t="s">
        <v>3269</v>
      </c>
      <c r="P854">
        <v>0</v>
      </c>
      <c r="Q854" t="s">
        <v>125</v>
      </c>
      <c r="R854">
        <v>3</v>
      </c>
      <c r="S854">
        <v>83</v>
      </c>
      <c r="T854" t="s">
        <v>132</v>
      </c>
      <c r="U854" t="s">
        <v>133</v>
      </c>
      <c r="V854" s="1">
        <v>1000</v>
      </c>
      <c r="W854">
        <v>325.7</v>
      </c>
      <c r="X854">
        <v>674.3</v>
      </c>
      <c r="Y854">
        <v>7</v>
      </c>
      <c r="Z854">
        <v>0</v>
      </c>
      <c r="AA854">
        <v>9</v>
      </c>
      <c r="AB854">
        <v>0</v>
      </c>
      <c r="AC854">
        <v>0</v>
      </c>
      <c r="AD854" t="s">
        <v>134</v>
      </c>
      <c r="AE854" t="s">
        <v>134</v>
      </c>
      <c r="AF854" s="2">
        <v>45518</v>
      </c>
      <c r="AG854" s="2">
        <v>46020</v>
      </c>
      <c r="AH854">
        <v>266.04000000000002</v>
      </c>
      <c r="AI854">
        <v>325.7</v>
      </c>
      <c r="AJ854">
        <v>798.13</v>
      </c>
      <c r="AK854">
        <v>0</v>
      </c>
      <c r="AL854">
        <v>325.7</v>
      </c>
      <c r="AM854">
        <v>45.05</v>
      </c>
      <c r="AN854" t="s">
        <v>135</v>
      </c>
      <c r="AO854" t="s">
        <v>135</v>
      </c>
      <c r="AP854" t="s">
        <v>136</v>
      </c>
      <c r="AQ854" t="s">
        <v>137</v>
      </c>
      <c r="AR854" t="s">
        <v>138</v>
      </c>
      <c r="AS854" t="s">
        <v>150</v>
      </c>
      <c r="AT854" t="s">
        <v>140</v>
      </c>
      <c r="AU854">
        <v>104</v>
      </c>
      <c r="AV854">
        <v>10</v>
      </c>
      <c r="AW854">
        <v>1</v>
      </c>
      <c r="AX854" s="2">
        <v>45912</v>
      </c>
      <c r="AY854" t="s">
        <v>151</v>
      </c>
      <c r="AZ854" s="2">
        <v>46024</v>
      </c>
      <c r="BA854">
        <v>0</v>
      </c>
      <c r="BB854">
        <v>0</v>
      </c>
      <c r="BC854">
        <v>0</v>
      </c>
      <c r="BD854">
        <v>999</v>
      </c>
      <c r="BE854">
        <v>99</v>
      </c>
      <c r="BF854">
        <v>9</v>
      </c>
      <c r="BG854" t="s">
        <v>135</v>
      </c>
      <c r="BH854" t="s">
        <v>250</v>
      </c>
      <c r="BI854" t="s">
        <v>135</v>
      </c>
      <c r="BJ854">
        <v>0</v>
      </c>
      <c r="BK854">
        <v>0</v>
      </c>
      <c r="BL854">
        <v>0</v>
      </c>
      <c r="BM854">
        <v>9</v>
      </c>
      <c r="BN854">
        <v>9</v>
      </c>
      <c r="BO854">
        <v>146.72999999999999</v>
      </c>
      <c r="BP854">
        <v>0</v>
      </c>
      <c r="BQ854">
        <v>146.72999999999999</v>
      </c>
      <c r="BR854">
        <v>146.72999999999999</v>
      </c>
      <c r="BS854">
        <v>8</v>
      </c>
      <c r="BT854">
        <v>8</v>
      </c>
      <c r="BU854">
        <v>651.4</v>
      </c>
      <c r="BV854">
        <v>0</v>
      </c>
      <c r="BW854">
        <v>651.4</v>
      </c>
      <c r="BX854">
        <v>325.7</v>
      </c>
      <c r="BY854">
        <v>50</v>
      </c>
      <c r="BZ854">
        <v>0</v>
      </c>
      <c r="CA854">
        <v>0</v>
      </c>
      <c r="CB854">
        <v>162.94</v>
      </c>
      <c r="CC854" t="s">
        <v>339</v>
      </c>
    </row>
    <row r="855" spans="1:81" x14ac:dyDescent="0.25">
      <c r="A855">
        <v>345</v>
      </c>
      <c r="B855">
        <v>2</v>
      </c>
      <c r="C855">
        <v>2395</v>
      </c>
      <c r="D855" t="s">
        <v>4862</v>
      </c>
      <c r="E855" t="s">
        <v>121</v>
      </c>
      <c r="F855" t="s">
        <v>4863</v>
      </c>
      <c r="G855" t="s">
        <v>4864</v>
      </c>
      <c r="H855" t="s">
        <v>4865</v>
      </c>
      <c r="I855" t="s">
        <v>4866</v>
      </c>
      <c r="J855" t="s">
        <v>126</v>
      </c>
      <c r="K855" t="s">
        <v>4248</v>
      </c>
      <c r="L855" t="s">
        <v>128</v>
      </c>
      <c r="M855" t="s">
        <v>1325</v>
      </c>
      <c r="N855" t="s">
        <v>4867</v>
      </c>
      <c r="O855" t="s">
        <v>149</v>
      </c>
      <c r="P855">
        <v>0</v>
      </c>
      <c r="Q855" t="s">
        <v>125</v>
      </c>
      <c r="R855">
        <v>6</v>
      </c>
      <c r="S855">
        <v>44</v>
      </c>
      <c r="T855" t="s">
        <v>132</v>
      </c>
      <c r="U855" t="s">
        <v>133</v>
      </c>
      <c r="V855" s="1">
        <v>6300</v>
      </c>
      <c r="W855" s="1">
        <v>3895.38</v>
      </c>
      <c r="X855" s="1">
        <v>2404.62</v>
      </c>
      <c r="Y855">
        <v>7</v>
      </c>
      <c r="Z855">
        <v>0</v>
      </c>
      <c r="AA855">
        <v>5</v>
      </c>
      <c r="AB855">
        <v>0</v>
      </c>
      <c r="AC855">
        <v>5</v>
      </c>
      <c r="AD855" t="s">
        <v>134</v>
      </c>
      <c r="AE855" t="s">
        <v>134</v>
      </c>
      <c r="AF855" s="2">
        <v>45518</v>
      </c>
      <c r="AG855" s="2">
        <v>46020</v>
      </c>
      <c r="AH855" s="1">
        <v>4027.39</v>
      </c>
      <c r="AI855" s="1">
        <v>12358.54</v>
      </c>
      <c r="AJ855" s="1">
        <v>72493.100000000006</v>
      </c>
      <c r="AK855">
        <v>0</v>
      </c>
      <c r="AL855" s="1">
        <v>3895.38</v>
      </c>
      <c r="AM855">
        <v>87.94</v>
      </c>
      <c r="AN855" t="s">
        <v>135</v>
      </c>
      <c r="AO855" t="s">
        <v>135</v>
      </c>
      <c r="AP855" t="s">
        <v>136</v>
      </c>
      <c r="AQ855" t="s">
        <v>137</v>
      </c>
      <c r="AR855" t="s">
        <v>138</v>
      </c>
      <c r="AS855" t="s">
        <v>150</v>
      </c>
      <c r="AT855" t="s">
        <v>140</v>
      </c>
      <c r="AU855">
        <v>501</v>
      </c>
      <c r="AV855">
        <v>10</v>
      </c>
      <c r="AW855">
        <v>1</v>
      </c>
      <c r="AX855" s="2">
        <v>45944</v>
      </c>
      <c r="AY855" t="s">
        <v>377</v>
      </c>
      <c r="AZ855" s="2">
        <v>46028</v>
      </c>
      <c r="BA855">
        <v>0</v>
      </c>
      <c r="BB855">
        <v>0</v>
      </c>
      <c r="BC855">
        <v>0</v>
      </c>
      <c r="BD855">
        <v>700</v>
      </c>
      <c r="BE855">
        <v>70</v>
      </c>
      <c r="BF855">
        <v>9</v>
      </c>
      <c r="BG855" s="2">
        <v>45536</v>
      </c>
      <c r="BH855" t="s">
        <v>142</v>
      </c>
      <c r="BI855" s="2">
        <v>46026</v>
      </c>
      <c r="BJ855">
        <v>0</v>
      </c>
      <c r="BK855">
        <v>0</v>
      </c>
      <c r="BL855">
        <v>0</v>
      </c>
      <c r="BM855">
        <v>5</v>
      </c>
      <c r="BN855">
        <v>0.5</v>
      </c>
      <c r="BO855" s="1">
        <v>3425.41</v>
      </c>
      <c r="BP855" s="1">
        <v>30708.37</v>
      </c>
      <c r="BQ855" s="1">
        <v>34133.78</v>
      </c>
      <c r="BR855" s="1">
        <v>3425.41</v>
      </c>
      <c r="BS855">
        <v>3.49</v>
      </c>
      <c r="BT855">
        <v>1.06</v>
      </c>
      <c r="BU855" s="1">
        <v>7887.12</v>
      </c>
      <c r="BV855" s="1">
        <v>18002.189999999999</v>
      </c>
      <c r="BW855" s="1">
        <v>25889.31</v>
      </c>
      <c r="BX855">
        <v>0</v>
      </c>
      <c r="BY855">
        <v>0</v>
      </c>
      <c r="BZ855">
        <v>0</v>
      </c>
      <c r="CA855">
        <v>0</v>
      </c>
      <c r="CB855" s="1">
        <v>17654.02</v>
      </c>
      <c r="CC855" t="s">
        <v>152</v>
      </c>
    </row>
    <row r="856" spans="1:81" x14ac:dyDescent="0.25">
      <c r="A856">
        <v>345</v>
      </c>
      <c r="B856">
        <v>2</v>
      </c>
      <c r="C856">
        <v>2398</v>
      </c>
      <c r="D856" t="s">
        <v>4868</v>
      </c>
      <c r="E856" t="s">
        <v>121</v>
      </c>
      <c r="F856" t="s">
        <v>4869</v>
      </c>
      <c r="G856" t="s">
        <v>4870</v>
      </c>
      <c r="H856" t="s">
        <v>4871</v>
      </c>
      <c r="I856" t="s">
        <v>4872</v>
      </c>
      <c r="J856" t="s">
        <v>1217</v>
      </c>
      <c r="K856" t="s">
        <v>4248</v>
      </c>
      <c r="L856" t="s">
        <v>128</v>
      </c>
      <c r="M856" t="s">
        <v>1325</v>
      </c>
      <c r="N856" t="s">
        <v>4873</v>
      </c>
      <c r="O856" t="s">
        <v>167</v>
      </c>
      <c r="P856">
        <v>0</v>
      </c>
      <c r="Q856" t="s">
        <v>125</v>
      </c>
      <c r="R856">
        <v>6</v>
      </c>
      <c r="S856">
        <v>33</v>
      </c>
      <c r="T856" t="s">
        <v>132</v>
      </c>
      <c r="U856" t="s">
        <v>133</v>
      </c>
      <c r="V856" s="1">
        <v>3200</v>
      </c>
      <c r="W856">
        <v>0</v>
      </c>
      <c r="X856" s="1">
        <v>3200</v>
      </c>
      <c r="Y856">
        <v>7</v>
      </c>
      <c r="Z856">
        <v>0</v>
      </c>
      <c r="AA856">
        <v>0</v>
      </c>
      <c r="AB856">
        <v>0</v>
      </c>
      <c r="AC856">
        <v>0</v>
      </c>
      <c r="AD856" t="s">
        <v>134</v>
      </c>
      <c r="AE856" t="s">
        <v>134</v>
      </c>
      <c r="AF856" s="2">
        <v>45518</v>
      </c>
      <c r="AG856" s="2">
        <v>46018</v>
      </c>
      <c r="AH856">
        <v>726.97</v>
      </c>
      <c r="AI856" s="1">
        <v>1422.94</v>
      </c>
      <c r="AJ856" s="1">
        <v>4361.8599999999997</v>
      </c>
      <c r="AK856">
        <v>0</v>
      </c>
      <c r="AL856">
        <v>0</v>
      </c>
      <c r="AM856">
        <v>0</v>
      </c>
      <c r="AN856" t="s">
        <v>135</v>
      </c>
      <c r="AO856" t="s">
        <v>135</v>
      </c>
      <c r="AP856" t="s">
        <v>136</v>
      </c>
      <c r="AQ856" t="s">
        <v>137</v>
      </c>
      <c r="AR856" t="s">
        <v>138</v>
      </c>
      <c r="AS856" t="s">
        <v>139</v>
      </c>
      <c r="AT856" t="s">
        <v>140</v>
      </c>
      <c r="AU856">
        <v>104</v>
      </c>
      <c r="AV856">
        <v>10</v>
      </c>
      <c r="AW856">
        <v>1</v>
      </c>
      <c r="AX856" s="2">
        <v>45812</v>
      </c>
      <c r="AY856" t="s">
        <v>168</v>
      </c>
      <c r="AZ856" s="2">
        <v>46022</v>
      </c>
      <c r="BA856">
        <v>0</v>
      </c>
      <c r="BB856">
        <v>0</v>
      </c>
      <c r="BC856">
        <v>0</v>
      </c>
      <c r="BD856">
        <v>700</v>
      </c>
      <c r="BE856">
        <v>70</v>
      </c>
      <c r="BF856">
        <v>9</v>
      </c>
      <c r="BG856" s="2">
        <v>45536</v>
      </c>
      <c r="BH856" t="s">
        <v>142</v>
      </c>
      <c r="BI856" s="2">
        <v>46026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s="1">
        <v>1991</v>
      </c>
      <c r="BQ856" s="1">
        <v>1991</v>
      </c>
      <c r="BR856">
        <v>0</v>
      </c>
      <c r="BS856">
        <v>0</v>
      </c>
      <c r="BT856">
        <v>0</v>
      </c>
      <c r="BU856">
        <v>0</v>
      </c>
      <c r="BV856" s="1">
        <v>1932.67</v>
      </c>
      <c r="BW856" s="1">
        <v>1932.67</v>
      </c>
      <c r="BX856">
        <v>0</v>
      </c>
      <c r="BY856">
        <v>0</v>
      </c>
      <c r="BZ856">
        <v>0</v>
      </c>
      <c r="CA856">
        <v>0</v>
      </c>
      <c r="CB856" s="1">
        <v>1071.76</v>
      </c>
      <c r="CC856" t="s">
        <v>161</v>
      </c>
    </row>
    <row r="857" spans="1:81" x14ac:dyDescent="0.25">
      <c r="A857">
        <v>345</v>
      </c>
      <c r="B857">
        <v>2</v>
      </c>
      <c r="C857">
        <v>2399</v>
      </c>
      <c r="D857" t="s">
        <v>4874</v>
      </c>
      <c r="E857" t="s">
        <v>121</v>
      </c>
      <c r="F857" t="s">
        <v>4875</v>
      </c>
      <c r="G857" t="s">
        <v>4876</v>
      </c>
      <c r="H857" t="s">
        <v>4877</v>
      </c>
      <c r="I857" t="s">
        <v>4878</v>
      </c>
      <c r="J857" t="s">
        <v>126</v>
      </c>
      <c r="K857" t="s">
        <v>4248</v>
      </c>
      <c r="L857" t="s">
        <v>128</v>
      </c>
      <c r="M857" t="s">
        <v>1325</v>
      </c>
      <c r="N857" t="s">
        <v>4879</v>
      </c>
      <c r="O857" t="s">
        <v>296</v>
      </c>
      <c r="P857">
        <v>0</v>
      </c>
      <c r="Q857" t="s">
        <v>125</v>
      </c>
      <c r="R857">
        <v>3</v>
      </c>
      <c r="S857">
        <v>85</v>
      </c>
      <c r="T857" t="s">
        <v>132</v>
      </c>
      <c r="U857" t="s">
        <v>133</v>
      </c>
      <c r="V857" s="1">
        <v>19000</v>
      </c>
      <c r="W857">
        <v>0</v>
      </c>
      <c r="X857" s="1">
        <v>19000</v>
      </c>
      <c r="Y857">
        <v>7</v>
      </c>
      <c r="Z857">
        <v>0</v>
      </c>
      <c r="AA857">
        <v>7</v>
      </c>
      <c r="AB857">
        <v>0</v>
      </c>
      <c r="AC857">
        <v>0</v>
      </c>
      <c r="AD857" t="s">
        <v>134</v>
      </c>
      <c r="AE857" t="s">
        <v>134</v>
      </c>
      <c r="AF857" s="2">
        <v>45518</v>
      </c>
      <c r="AG857" s="2">
        <v>46003</v>
      </c>
      <c r="AH857">
        <v>734.41</v>
      </c>
      <c r="AI857" s="1">
        <v>1097.3800000000001</v>
      </c>
      <c r="AJ857" s="1">
        <v>2203.23</v>
      </c>
      <c r="AK857">
        <v>0</v>
      </c>
      <c r="AL857">
        <v>0</v>
      </c>
      <c r="AM857">
        <v>0</v>
      </c>
      <c r="AN857" t="s">
        <v>135</v>
      </c>
      <c r="AO857" t="s">
        <v>135</v>
      </c>
      <c r="AP857" t="s">
        <v>136</v>
      </c>
      <c r="AQ857" t="s">
        <v>137</v>
      </c>
      <c r="AR857" t="s">
        <v>138</v>
      </c>
      <c r="AS857" t="s">
        <v>150</v>
      </c>
      <c r="AT857" t="s">
        <v>140</v>
      </c>
      <c r="AU857">
        <v>501</v>
      </c>
      <c r="AV857">
        <v>10</v>
      </c>
      <c r="AW857">
        <v>1</v>
      </c>
      <c r="AX857" s="2">
        <v>45946</v>
      </c>
      <c r="AY857" t="s">
        <v>308</v>
      </c>
      <c r="AZ857" s="2">
        <v>46023</v>
      </c>
      <c r="BA857">
        <v>0</v>
      </c>
      <c r="BB857">
        <v>0</v>
      </c>
      <c r="BC857">
        <v>0</v>
      </c>
      <c r="BD857">
        <v>700</v>
      </c>
      <c r="BE857">
        <v>70</v>
      </c>
      <c r="BF857">
        <v>9</v>
      </c>
      <c r="BG857" s="2">
        <v>45536</v>
      </c>
      <c r="BH857" t="s">
        <v>142</v>
      </c>
      <c r="BI857" s="2">
        <v>46026</v>
      </c>
      <c r="BJ857">
        <v>0</v>
      </c>
      <c r="BK857">
        <v>0</v>
      </c>
      <c r="BL857">
        <v>0</v>
      </c>
      <c r="BM857">
        <v>2</v>
      </c>
      <c r="BN857">
        <v>2</v>
      </c>
      <c r="BO857" s="1">
        <v>1097.3800000000001</v>
      </c>
      <c r="BP857">
        <v>0</v>
      </c>
      <c r="BQ857" s="1">
        <v>1097.3800000000001</v>
      </c>
      <c r="BR857">
        <v>0</v>
      </c>
      <c r="BS857">
        <v>7</v>
      </c>
      <c r="BT857">
        <v>7</v>
      </c>
      <c r="BU857">
        <v>703.09</v>
      </c>
      <c r="BV857">
        <v>0</v>
      </c>
      <c r="BW857">
        <v>703.09</v>
      </c>
      <c r="BX857">
        <v>0</v>
      </c>
      <c r="BY857">
        <v>0</v>
      </c>
      <c r="BZ857">
        <v>0</v>
      </c>
      <c r="CA857">
        <v>0</v>
      </c>
      <c r="CB857">
        <v>786.59</v>
      </c>
      <c r="CC857" t="s">
        <v>297</v>
      </c>
    </row>
    <row r="858" spans="1:81" x14ac:dyDescent="0.25">
      <c r="A858">
        <v>345</v>
      </c>
      <c r="B858">
        <v>2</v>
      </c>
      <c r="C858">
        <v>2410</v>
      </c>
      <c r="D858" t="s">
        <v>4880</v>
      </c>
      <c r="E858" t="s">
        <v>121</v>
      </c>
      <c r="F858" t="s">
        <v>4881</v>
      </c>
      <c r="G858" t="s">
        <v>4882</v>
      </c>
      <c r="H858" t="s">
        <v>4883</v>
      </c>
      <c r="I858" t="s">
        <v>125</v>
      </c>
      <c r="J858" t="s">
        <v>4247</v>
      </c>
      <c r="K858" t="s">
        <v>4248</v>
      </c>
      <c r="L858" t="s">
        <v>128</v>
      </c>
      <c r="M858" t="s">
        <v>1325</v>
      </c>
      <c r="N858" t="s">
        <v>4884</v>
      </c>
      <c r="O858" t="s">
        <v>201</v>
      </c>
      <c r="P858">
        <v>0</v>
      </c>
      <c r="Q858" t="s">
        <v>125</v>
      </c>
      <c r="R858">
        <v>6</v>
      </c>
      <c r="S858">
        <v>27</v>
      </c>
      <c r="T858" t="s">
        <v>132</v>
      </c>
      <c r="U858" t="s">
        <v>133</v>
      </c>
      <c r="V858" s="1">
        <v>1100</v>
      </c>
      <c r="W858">
        <v>0</v>
      </c>
      <c r="X858" s="1">
        <v>1100</v>
      </c>
      <c r="Y858">
        <v>7</v>
      </c>
      <c r="Z858">
        <v>0</v>
      </c>
      <c r="AA858">
        <v>3</v>
      </c>
      <c r="AB858">
        <v>0</v>
      </c>
      <c r="AC858">
        <v>33</v>
      </c>
      <c r="AD858" t="s">
        <v>134</v>
      </c>
      <c r="AE858" t="s">
        <v>134</v>
      </c>
      <c r="AF858" s="2">
        <v>45518</v>
      </c>
      <c r="AG858" s="2">
        <v>45996</v>
      </c>
      <c r="AH858">
        <v>661.33</v>
      </c>
      <c r="AI858">
        <v>742.81</v>
      </c>
      <c r="AJ858" s="1">
        <v>1322.67</v>
      </c>
      <c r="AK858">
        <v>0</v>
      </c>
      <c r="AL858">
        <v>0</v>
      </c>
      <c r="AM858">
        <v>0</v>
      </c>
      <c r="AN858" t="s">
        <v>135</v>
      </c>
      <c r="AO858" t="s">
        <v>135</v>
      </c>
      <c r="AP858" t="s">
        <v>136</v>
      </c>
      <c r="AQ858" t="s">
        <v>137</v>
      </c>
      <c r="AR858" t="s">
        <v>138</v>
      </c>
      <c r="AS858" t="s">
        <v>139</v>
      </c>
      <c r="AT858" t="s">
        <v>140</v>
      </c>
      <c r="AU858">
        <v>104</v>
      </c>
      <c r="AV858">
        <v>10</v>
      </c>
      <c r="AW858">
        <v>1</v>
      </c>
      <c r="AX858" s="2">
        <v>45813</v>
      </c>
      <c r="AY858" t="s">
        <v>308</v>
      </c>
      <c r="AZ858" s="2">
        <v>46023</v>
      </c>
      <c r="BA858">
        <v>0</v>
      </c>
      <c r="BB858">
        <v>0</v>
      </c>
      <c r="BC858">
        <v>0</v>
      </c>
      <c r="BD858">
        <v>700</v>
      </c>
      <c r="BE858">
        <v>70</v>
      </c>
      <c r="BF858">
        <v>9</v>
      </c>
      <c r="BG858" s="2">
        <v>45536</v>
      </c>
      <c r="BH858" t="s">
        <v>142</v>
      </c>
      <c r="BI858" s="2">
        <v>46026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742.81</v>
      </c>
      <c r="BW858">
        <v>742.81</v>
      </c>
      <c r="BX858">
        <v>0</v>
      </c>
      <c r="BY858">
        <v>0</v>
      </c>
      <c r="BZ858">
        <v>0</v>
      </c>
      <c r="CA858">
        <v>0</v>
      </c>
      <c r="CB858">
        <v>496.24</v>
      </c>
      <c r="CC858" t="s">
        <v>143</v>
      </c>
    </row>
    <row r="859" spans="1:81" x14ac:dyDescent="0.25">
      <c r="A859">
        <v>345</v>
      </c>
      <c r="B859">
        <v>2</v>
      </c>
      <c r="C859">
        <v>2415</v>
      </c>
      <c r="D859" t="s">
        <v>4885</v>
      </c>
      <c r="E859" t="s">
        <v>121</v>
      </c>
      <c r="F859" t="s">
        <v>4886</v>
      </c>
      <c r="G859" t="s">
        <v>4887</v>
      </c>
      <c r="H859" t="s">
        <v>4888</v>
      </c>
      <c r="I859" t="s">
        <v>4404</v>
      </c>
      <c r="J859" t="s">
        <v>126</v>
      </c>
      <c r="K859" t="s">
        <v>1853</v>
      </c>
      <c r="L859" t="s">
        <v>128</v>
      </c>
      <c r="M859" t="s">
        <v>1854</v>
      </c>
      <c r="N859" t="s">
        <v>4889</v>
      </c>
      <c r="O859" t="s">
        <v>167</v>
      </c>
      <c r="P859">
        <v>0</v>
      </c>
      <c r="Q859" t="s">
        <v>125</v>
      </c>
      <c r="R859">
        <v>6</v>
      </c>
      <c r="S859">
        <v>36</v>
      </c>
      <c r="T859" t="s">
        <v>132</v>
      </c>
      <c r="U859" t="s">
        <v>133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134</v>
      </c>
      <c r="AE859" t="s">
        <v>134</v>
      </c>
      <c r="AF859" s="2">
        <v>45518</v>
      </c>
      <c r="AG859" s="2">
        <v>46021</v>
      </c>
      <c r="AH859" s="1">
        <v>1027.1099999999999</v>
      </c>
      <c r="AI859" s="1">
        <v>2451.59</v>
      </c>
      <c r="AJ859" s="1">
        <v>12325.38</v>
      </c>
      <c r="AK859">
        <v>0</v>
      </c>
      <c r="AL859">
        <v>0</v>
      </c>
      <c r="AM859">
        <v>0</v>
      </c>
      <c r="AN859" t="s">
        <v>135</v>
      </c>
      <c r="AO859" t="s">
        <v>135</v>
      </c>
      <c r="AP859" t="s">
        <v>136</v>
      </c>
      <c r="AQ859" t="s">
        <v>137</v>
      </c>
      <c r="AR859" t="s">
        <v>138</v>
      </c>
      <c r="AS859" t="s">
        <v>139</v>
      </c>
      <c r="AT859" t="s">
        <v>140</v>
      </c>
      <c r="AU859">
        <v>103</v>
      </c>
      <c r="AV859">
        <v>10</v>
      </c>
      <c r="AW859">
        <v>1</v>
      </c>
      <c r="AX859" s="2">
        <v>45824</v>
      </c>
      <c r="AY859" t="s">
        <v>141</v>
      </c>
      <c r="AZ859" s="2">
        <v>46027</v>
      </c>
      <c r="BA859">
        <v>0</v>
      </c>
      <c r="BB859">
        <v>0</v>
      </c>
      <c r="BC859">
        <v>0</v>
      </c>
      <c r="BD859">
        <v>700</v>
      </c>
      <c r="BE859">
        <v>70</v>
      </c>
      <c r="BF859">
        <v>9</v>
      </c>
      <c r="BG859" s="2">
        <v>45536</v>
      </c>
      <c r="BH859" t="s">
        <v>142</v>
      </c>
      <c r="BI859" s="2">
        <v>46026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 s="1">
        <v>4592.95</v>
      </c>
      <c r="BQ859" s="1">
        <v>4592.95</v>
      </c>
      <c r="BR859">
        <v>0</v>
      </c>
      <c r="BS859">
        <v>0</v>
      </c>
      <c r="BT859">
        <v>0</v>
      </c>
      <c r="BU859">
        <v>0</v>
      </c>
      <c r="BV859" s="1">
        <v>5637.51</v>
      </c>
      <c r="BW859" s="1">
        <v>5637.51</v>
      </c>
      <c r="BX859">
        <v>0</v>
      </c>
      <c r="BY859">
        <v>0</v>
      </c>
      <c r="BZ859">
        <v>0</v>
      </c>
      <c r="CA859">
        <v>0</v>
      </c>
      <c r="CB859" s="1">
        <v>3345.99</v>
      </c>
      <c r="CC859" t="s">
        <v>161</v>
      </c>
    </row>
    <row r="860" spans="1:81" x14ac:dyDescent="0.25">
      <c r="A860">
        <v>345</v>
      </c>
      <c r="B860">
        <v>2</v>
      </c>
      <c r="C860">
        <v>2417</v>
      </c>
      <c r="D860" t="s">
        <v>4890</v>
      </c>
      <c r="E860" t="s">
        <v>121</v>
      </c>
      <c r="F860" t="s">
        <v>4891</v>
      </c>
      <c r="G860" t="s">
        <v>4892</v>
      </c>
      <c r="H860" t="s">
        <v>4893</v>
      </c>
      <c r="I860" t="s">
        <v>4894</v>
      </c>
      <c r="J860" t="s">
        <v>126</v>
      </c>
      <c r="K860" t="s">
        <v>1853</v>
      </c>
      <c r="L860" t="s">
        <v>128</v>
      </c>
      <c r="M860" t="s">
        <v>1854</v>
      </c>
      <c r="N860" t="s">
        <v>4895</v>
      </c>
      <c r="O860" t="s">
        <v>167</v>
      </c>
      <c r="P860">
        <v>0</v>
      </c>
      <c r="Q860" t="s">
        <v>125</v>
      </c>
      <c r="R860">
        <v>6</v>
      </c>
      <c r="S860">
        <v>39</v>
      </c>
      <c r="T860" t="s">
        <v>132</v>
      </c>
      <c r="U860" t="s">
        <v>133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134</v>
      </c>
      <c r="AE860" t="s">
        <v>134</v>
      </c>
      <c r="AF860" s="2">
        <v>45518</v>
      </c>
      <c r="AG860" s="2">
        <v>46010</v>
      </c>
      <c r="AH860">
        <v>494.66</v>
      </c>
      <c r="AI860">
        <v>648.19000000000005</v>
      </c>
      <c r="AJ860" s="1">
        <v>2473.31</v>
      </c>
      <c r="AK860">
        <v>0</v>
      </c>
      <c r="AL860">
        <v>0</v>
      </c>
      <c r="AM860">
        <v>0</v>
      </c>
      <c r="AN860" t="s">
        <v>135</v>
      </c>
      <c r="AO860" t="s">
        <v>135</v>
      </c>
      <c r="AP860" t="s">
        <v>136</v>
      </c>
      <c r="AQ860" t="s">
        <v>137</v>
      </c>
      <c r="AR860" t="s">
        <v>138</v>
      </c>
      <c r="AS860" t="s">
        <v>150</v>
      </c>
      <c r="AT860" t="s">
        <v>140</v>
      </c>
      <c r="AU860">
        <v>103</v>
      </c>
      <c r="AV860">
        <v>10</v>
      </c>
      <c r="AW860">
        <v>1</v>
      </c>
      <c r="AX860" s="2">
        <v>45554</v>
      </c>
      <c r="AY860" t="s">
        <v>308</v>
      </c>
      <c r="AZ860" s="2">
        <v>46023</v>
      </c>
      <c r="BA860">
        <v>0</v>
      </c>
      <c r="BB860">
        <v>0</v>
      </c>
      <c r="BC860">
        <v>0</v>
      </c>
      <c r="BD860">
        <v>700</v>
      </c>
      <c r="BE860">
        <v>70</v>
      </c>
      <c r="BF860">
        <v>9</v>
      </c>
      <c r="BG860" s="2">
        <v>45536</v>
      </c>
      <c r="BH860" t="s">
        <v>142</v>
      </c>
      <c r="BI860" s="2">
        <v>46026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s="1">
        <v>1141.08</v>
      </c>
      <c r="BQ860" s="1">
        <v>1141.08</v>
      </c>
      <c r="BR860">
        <v>0</v>
      </c>
      <c r="BS860">
        <v>0</v>
      </c>
      <c r="BT860">
        <v>0</v>
      </c>
      <c r="BU860">
        <v>0</v>
      </c>
      <c r="BV860">
        <v>684.04</v>
      </c>
      <c r="BW860">
        <v>684.04</v>
      </c>
      <c r="BX860">
        <v>0</v>
      </c>
      <c r="BY860">
        <v>0</v>
      </c>
      <c r="BZ860">
        <v>0</v>
      </c>
      <c r="CA860">
        <v>0</v>
      </c>
      <c r="CB860">
        <v>779.53</v>
      </c>
      <c r="CC860" t="s">
        <v>161</v>
      </c>
    </row>
    <row r="861" spans="1:81" x14ac:dyDescent="0.25">
      <c r="A861">
        <v>345</v>
      </c>
      <c r="B861">
        <v>2</v>
      </c>
      <c r="C861">
        <v>2421</v>
      </c>
      <c r="D861" t="s">
        <v>4896</v>
      </c>
      <c r="E861" t="s">
        <v>121</v>
      </c>
      <c r="F861" t="s">
        <v>4897</v>
      </c>
      <c r="G861" t="s">
        <v>4898</v>
      </c>
      <c r="H861" t="s">
        <v>4899</v>
      </c>
      <c r="I861" t="s">
        <v>4900</v>
      </c>
      <c r="J861" t="s">
        <v>126</v>
      </c>
      <c r="K861" t="s">
        <v>1853</v>
      </c>
      <c r="L861" t="s">
        <v>128</v>
      </c>
      <c r="M861" t="s">
        <v>1854</v>
      </c>
      <c r="N861" t="s">
        <v>4901</v>
      </c>
      <c r="O861" t="s">
        <v>131</v>
      </c>
      <c r="P861">
        <v>0</v>
      </c>
      <c r="Q861" t="s">
        <v>125</v>
      </c>
      <c r="R861">
        <v>2</v>
      </c>
      <c r="S861">
        <v>90</v>
      </c>
      <c r="T861" t="s">
        <v>132</v>
      </c>
      <c r="U861" t="s">
        <v>133</v>
      </c>
      <c r="V861">
        <v>460</v>
      </c>
      <c r="W861">
        <v>0</v>
      </c>
      <c r="X861">
        <v>460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134</v>
      </c>
      <c r="AE861" t="s">
        <v>134</v>
      </c>
      <c r="AF861" s="2">
        <v>45518</v>
      </c>
      <c r="AG861" s="2">
        <v>46021</v>
      </c>
      <c r="AH861">
        <v>251.49</v>
      </c>
      <c r="AI861">
        <v>400.41</v>
      </c>
      <c r="AJ861" s="1">
        <v>3017.89</v>
      </c>
      <c r="AK861">
        <v>0</v>
      </c>
      <c r="AL861">
        <v>0</v>
      </c>
      <c r="AM861">
        <v>0</v>
      </c>
      <c r="AN861" t="s">
        <v>135</v>
      </c>
      <c r="AO861" t="s">
        <v>135</v>
      </c>
      <c r="AP861" t="s">
        <v>136</v>
      </c>
      <c r="AQ861" t="s">
        <v>137</v>
      </c>
      <c r="AR861" t="s">
        <v>138</v>
      </c>
      <c r="AS861" t="s">
        <v>139</v>
      </c>
      <c r="AT861" t="s">
        <v>140</v>
      </c>
      <c r="AU861">
        <v>103</v>
      </c>
      <c r="AV861">
        <v>10</v>
      </c>
      <c r="AW861">
        <v>1</v>
      </c>
      <c r="AX861" s="2">
        <v>45978</v>
      </c>
      <c r="AY861" t="s">
        <v>141</v>
      </c>
      <c r="AZ861" s="2">
        <v>46027</v>
      </c>
      <c r="BA861">
        <v>0</v>
      </c>
      <c r="BB861">
        <v>0</v>
      </c>
      <c r="BC861">
        <v>0</v>
      </c>
      <c r="BD861">
        <v>700</v>
      </c>
      <c r="BE861">
        <v>70</v>
      </c>
      <c r="BF861">
        <v>9</v>
      </c>
      <c r="BG861" s="2">
        <v>45536</v>
      </c>
      <c r="BH861" t="s">
        <v>142</v>
      </c>
      <c r="BI861" s="2">
        <v>46026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218.51</v>
      </c>
      <c r="BQ861">
        <v>218.51</v>
      </c>
      <c r="BR861">
        <v>0</v>
      </c>
      <c r="BS861">
        <v>0</v>
      </c>
      <c r="BT861">
        <v>0</v>
      </c>
      <c r="BU861">
        <v>0</v>
      </c>
      <c r="BV861" s="1">
        <v>1369.91</v>
      </c>
      <c r="BW861" s="1">
        <v>1369.91</v>
      </c>
      <c r="BX861">
        <v>0</v>
      </c>
      <c r="BY861">
        <v>0</v>
      </c>
      <c r="BZ861">
        <v>0</v>
      </c>
      <c r="CA861">
        <v>0</v>
      </c>
      <c r="CB861">
        <v>738.65</v>
      </c>
      <c r="CC861" t="s">
        <v>143</v>
      </c>
    </row>
    <row r="862" spans="1:81" x14ac:dyDescent="0.25">
      <c r="A862">
        <v>345</v>
      </c>
      <c r="B862">
        <v>2</v>
      </c>
      <c r="C862">
        <v>2423</v>
      </c>
      <c r="D862" t="s">
        <v>4902</v>
      </c>
      <c r="E862" t="s">
        <v>121</v>
      </c>
      <c r="F862" t="s">
        <v>4903</v>
      </c>
      <c r="G862" t="s">
        <v>4904</v>
      </c>
      <c r="H862" t="s">
        <v>4905</v>
      </c>
      <c r="I862" t="s">
        <v>4906</v>
      </c>
      <c r="J862" t="s">
        <v>126</v>
      </c>
      <c r="K862" t="s">
        <v>1853</v>
      </c>
      <c r="L862" t="s">
        <v>128</v>
      </c>
      <c r="M862" t="s">
        <v>337</v>
      </c>
      <c r="N862" t="s">
        <v>4907</v>
      </c>
      <c r="O862" t="s">
        <v>131</v>
      </c>
      <c r="P862">
        <v>0</v>
      </c>
      <c r="Q862" t="s">
        <v>125</v>
      </c>
      <c r="R862">
        <v>6</v>
      </c>
      <c r="S862">
        <v>39</v>
      </c>
      <c r="T862" t="s">
        <v>132</v>
      </c>
      <c r="U862" t="s">
        <v>133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134</v>
      </c>
      <c r="AE862" t="s">
        <v>134</v>
      </c>
      <c r="AF862" s="2">
        <v>45518</v>
      </c>
      <c r="AG862" s="2">
        <v>45982</v>
      </c>
      <c r="AH862">
        <v>344.98</v>
      </c>
      <c r="AI862">
        <v>344.98</v>
      </c>
      <c r="AJ862">
        <v>344.98</v>
      </c>
      <c r="AK862">
        <v>0</v>
      </c>
      <c r="AL862">
        <v>0</v>
      </c>
      <c r="AM862">
        <v>0</v>
      </c>
      <c r="AN862" t="s">
        <v>135</v>
      </c>
      <c r="AO862" t="s">
        <v>135</v>
      </c>
      <c r="AP862" t="s">
        <v>136</v>
      </c>
      <c r="AQ862" t="s">
        <v>137</v>
      </c>
      <c r="AR862" t="s">
        <v>138</v>
      </c>
      <c r="AS862" t="s">
        <v>139</v>
      </c>
      <c r="AT862" t="s">
        <v>140</v>
      </c>
      <c r="AU862">
        <v>103</v>
      </c>
      <c r="AV862">
        <v>10</v>
      </c>
      <c r="AW862">
        <v>1</v>
      </c>
      <c r="AX862" s="2">
        <v>45813</v>
      </c>
      <c r="AY862" t="s">
        <v>308</v>
      </c>
      <c r="AZ862" s="2">
        <v>46023</v>
      </c>
      <c r="BA862">
        <v>0</v>
      </c>
      <c r="BB862">
        <v>0</v>
      </c>
      <c r="BC862">
        <v>0</v>
      </c>
      <c r="BD862">
        <v>700</v>
      </c>
      <c r="BE862">
        <v>70</v>
      </c>
      <c r="BF862">
        <v>9</v>
      </c>
      <c r="BG862" s="2">
        <v>45536</v>
      </c>
      <c r="BH862" t="s">
        <v>142</v>
      </c>
      <c r="BI862" s="2">
        <v>46026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344.98</v>
      </c>
      <c r="BQ862">
        <v>344.98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248.15</v>
      </c>
      <c r="CC862" t="s">
        <v>143</v>
      </c>
    </row>
    <row r="863" spans="1:81" x14ac:dyDescent="0.25">
      <c r="A863">
        <v>345</v>
      </c>
      <c r="B863">
        <v>2</v>
      </c>
      <c r="C863">
        <v>2442</v>
      </c>
      <c r="D863" t="s">
        <v>4908</v>
      </c>
      <c r="E863" t="s">
        <v>121</v>
      </c>
      <c r="F863" t="s">
        <v>4909</v>
      </c>
      <c r="G863" t="s">
        <v>4910</v>
      </c>
      <c r="H863" t="s">
        <v>4911</v>
      </c>
      <c r="I863" t="s">
        <v>4912</v>
      </c>
      <c r="J863" t="s">
        <v>4913</v>
      </c>
      <c r="K863" t="s">
        <v>1853</v>
      </c>
      <c r="L863" t="s">
        <v>128</v>
      </c>
      <c r="M863" t="s">
        <v>1854</v>
      </c>
      <c r="N863" t="s">
        <v>4914</v>
      </c>
      <c r="O863" t="s">
        <v>167</v>
      </c>
      <c r="P863">
        <v>0</v>
      </c>
      <c r="Q863" t="s">
        <v>125</v>
      </c>
      <c r="R863">
        <v>4</v>
      </c>
      <c r="S863">
        <v>80</v>
      </c>
      <c r="T863" t="s">
        <v>132</v>
      </c>
      <c r="U863" t="s">
        <v>133</v>
      </c>
      <c r="V863" s="1">
        <v>1700</v>
      </c>
      <c r="W863">
        <v>620.39</v>
      </c>
      <c r="X863" s="1">
        <v>1079.6099999999999</v>
      </c>
      <c r="Y863">
        <v>7</v>
      </c>
      <c r="Z863">
        <v>0</v>
      </c>
      <c r="AA863">
        <v>9</v>
      </c>
      <c r="AB863">
        <v>0</v>
      </c>
      <c r="AC863">
        <v>7</v>
      </c>
      <c r="AD863" t="s">
        <v>134</v>
      </c>
      <c r="AE863" t="s">
        <v>134</v>
      </c>
      <c r="AF863" s="2">
        <v>45518</v>
      </c>
      <c r="AG863" s="2">
        <v>46018</v>
      </c>
      <c r="AH863">
        <v>807.61</v>
      </c>
      <c r="AI863" s="1">
        <v>1086.57</v>
      </c>
      <c r="AJ863" s="1">
        <v>9691.33</v>
      </c>
      <c r="AK863">
        <v>0</v>
      </c>
      <c r="AL863">
        <v>620.39</v>
      </c>
      <c r="AM863">
        <v>0</v>
      </c>
      <c r="AN863" t="s">
        <v>135</v>
      </c>
      <c r="AO863" t="s">
        <v>135</v>
      </c>
      <c r="AP863" t="s">
        <v>136</v>
      </c>
      <c r="AQ863" t="s">
        <v>137</v>
      </c>
      <c r="AR863" t="s">
        <v>138</v>
      </c>
      <c r="AS863" t="s">
        <v>139</v>
      </c>
      <c r="AT863" t="s">
        <v>140</v>
      </c>
      <c r="AU863">
        <v>103</v>
      </c>
      <c r="AV863">
        <v>10</v>
      </c>
      <c r="AW863">
        <v>1</v>
      </c>
      <c r="AX863" s="2">
        <v>45819</v>
      </c>
      <c r="AY863" t="s">
        <v>168</v>
      </c>
      <c r="AZ863" s="2">
        <v>46022</v>
      </c>
      <c r="BA863">
        <v>0</v>
      </c>
      <c r="BB863">
        <v>0</v>
      </c>
      <c r="BC863">
        <v>0</v>
      </c>
      <c r="BD863">
        <v>700</v>
      </c>
      <c r="BE863">
        <v>70</v>
      </c>
      <c r="BF863">
        <v>9</v>
      </c>
      <c r="BG863" s="2">
        <v>45536</v>
      </c>
      <c r="BH863" t="s">
        <v>142</v>
      </c>
      <c r="BI863" s="2">
        <v>46026</v>
      </c>
      <c r="BJ863">
        <v>0</v>
      </c>
      <c r="BK863">
        <v>0</v>
      </c>
      <c r="BL863">
        <v>0</v>
      </c>
      <c r="BM863">
        <v>7</v>
      </c>
      <c r="BN863">
        <v>6.94</v>
      </c>
      <c r="BO863" s="1">
        <v>2418.56</v>
      </c>
      <c r="BP863">
        <v>19.2</v>
      </c>
      <c r="BQ863" s="1">
        <v>2437.7600000000002</v>
      </c>
      <c r="BR863">
        <v>0</v>
      </c>
      <c r="BS863">
        <v>7.37</v>
      </c>
      <c r="BT863">
        <v>7.37</v>
      </c>
      <c r="BU863" s="1">
        <v>3338.74</v>
      </c>
      <c r="BV863">
        <v>0</v>
      </c>
      <c r="BW863" s="1">
        <v>3338.74</v>
      </c>
      <c r="BX863">
        <v>620.39</v>
      </c>
      <c r="BY863">
        <v>18.579999999999998</v>
      </c>
      <c r="BZ863">
        <v>0</v>
      </c>
      <c r="CA863">
        <v>0</v>
      </c>
      <c r="CB863" s="1">
        <v>3011.93</v>
      </c>
      <c r="CC863" t="s">
        <v>161</v>
      </c>
    </row>
    <row r="864" spans="1:81" x14ac:dyDescent="0.25">
      <c r="A864">
        <v>345</v>
      </c>
      <c r="B864">
        <v>2</v>
      </c>
      <c r="C864">
        <v>2446</v>
      </c>
      <c r="D864" t="s">
        <v>4915</v>
      </c>
      <c r="E864" t="s">
        <v>121</v>
      </c>
      <c r="F864" t="s">
        <v>4916</v>
      </c>
      <c r="G864" t="s">
        <v>4917</v>
      </c>
      <c r="H864" t="s">
        <v>4918</v>
      </c>
      <c r="I864" t="s">
        <v>4919</v>
      </c>
      <c r="J864" t="s">
        <v>126</v>
      </c>
      <c r="K864" t="s">
        <v>1853</v>
      </c>
      <c r="L864" t="s">
        <v>128</v>
      </c>
      <c r="M864" t="s">
        <v>1854</v>
      </c>
      <c r="N864" t="s">
        <v>4920</v>
      </c>
      <c r="O864" t="s">
        <v>149</v>
      </c>
      <c r="P864">
        <v>0</v>
      </c>
      <c r="Q864" t="s">
        <v>125</v>
      </c>
      <c r="R864">
        <v>6</v>
      </c>
      <c r="S864">
        <v>41</v>
      </c>
      <c r="T864" t="s">
        <v>132</v>
      </c>
      <c r="U864" t="s">
        <v>133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134</v>
      </c>
      <c r="AE864" t="s">
        <v>134</v>
      </c>
      <c r="AF864" s="2">
        <v>45518</v>
      </c>
      <c r="AG864" s="2">
        <v>46020</v>
      </c>
      <c r="AH864" s="1">
        <v>5486.24</v>
      </c>
      <c r="AI864" s="1">
        <v>15154.5</v>
      </c>
      <c r="AJ864" s="1">
        <v>43889.98</v>
      </c>
      <c r="AK864">
        <v>0</v>
      </c>
      <c r="AL864">
        <v>0</v>
      </c>
      <c r="AM864">
        <v>0</v>
      </c>
      <c r="AN864" t="s">
        <v>135</v>
      </c>
      <c r="AO864" t="s">
        <v>135</v>
      </c>
      <c r="AP864" t="s">
        <v>136</v>
      </c>
      <c r="AQ864" t="s">
        <v>137</v>
      </c>
      <c r="AR864" t="s">
        <v>138</v>
      </c>
      <c r="AS864" t="s">
        <v>139</v>
      </c>
      <c r="AT864" t="s">
        <v>140</v>
      </c>
      <c r="AU864">
        <v>500</v>
      </c>
      <c r="AV864">
        <v>10</v>
      </c>
      <c r="AW864">
        <v>1</v>
      </c>
      <c r="AX864" s="2">
        <v>45863</v>
      </c>
      <c r="AY864" t="s">
        <v>151</v>
      </c>
      <c r="AZ864" s="2">
        <v>46024</v>
      </c>
      <c r="BA864">
        <v>0</v>
      </c>
      <c r="BB864">
        <v>0</v>
      </c>
      <c r="BC864">
        <v>0</v>
      </c>
      <c r="BD864">
        <v>700</v>
      </c>
      <c r="BE864">
        <v>70</v>
      </c>
      <c r="BF864">
        <v>9</v>
      </c>
      <c r="BG864" s="2">
        <v>45536</v>
      </c>
      <c r="BH864" t="s">
        <v>142</v>
      </c>
      <c r="BI864" s="2">
        <v>46026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s="1">
        <v>9258.26</v>
      </c>
      <c r="BQ864" s="1">
        <v>9258.26</v>
      </c>
      <c r="BR864">
        <v>0</v>
      </c>
      <c r="BS864">
        <v>0</v>
      </c>
      <c r="BT864">
        <v>0</v>
      </c>
      <c r="BU864">
        <v>0</v>
      </c>
      <c r="BV864" s="1">
        <v>5668.99</v>
      </c>
      <c r="BW864" s="1">
        <v>5668.99</v>
      </c>
      <c r="BX864">
        <v>0</v>
      </c>
      <c r="BY864">
        <v>0</v>
      </c>
      <c r="BZ864">
        <v>0</v>
      </c>
      <c r="CA864">
        <v>0</v>
      </c>
      <c r="CB864" s="1">
        <v>21271.040000000001</v>
      </c>
      <c r="CC864" t="s">
        <v>152</v>
      </c>
    </row>
    <row r="865" spans="1:81" x14ac:dyDescent="0.25">
      <c r="A865">
        <v>345</v>
      </c>
      <c r="B865">
        <v>2</v>
      </c>
      <c r="C865">
        <v>2454</v>
      </c>
      <c r="D865" t="s">
        <v>4921</v>
      </c>
      <c r="E865" t="s">
        <v>121</v>
      </c>
      <c r="F865" t="s">
        <v>4922</v>
      </c>
      <c r="G865" t="s">
        <v>4923</v>
      </c>
      <c r="H865" t="s">
        <v>4924</v>
      </c>
      <c r="I865" t="s">
        <v>4925</v>
      </c>
      <c r="J865" t="s">
        <v>126</v>
      </c>
      <c r="K865" t="s">
        <v>1853</v>
      </c>
      <c r="L865" t="s">
        <v>128</v>
      </c>
      <c r="M865" t="s">
        <v>1854</v>
      </c>
      <c r="N865" t="s">
        <v>4926</v>
      </c>
      <c r="O865" t="s">
        <v>131</v>
      </c>
      <c r="P865">
        <v>0</v>
      </c>
      <c r="Q865" t="s">
        <v>125</v>
      </c>
      <c r="R865">
        <v>6</v>
      </c>
      <c r="S865">
        <v>41</v>
      </c>
      <c r="T865" t="s">
        <v>132</v>
      </c>
      <c r="U865" t="s">
        <v>133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134</v>
      </c>
      <c r="AE865" t="s">
        <v>134</v>
      </c>
      <c r="AF865" s="2">
        <v>45518</v>
      </c>
      <c r="AG865" s="2">
        <v>46021</v>
      </c>
      <c r="AH865">
        <v>322.74</v>
      </c>
      <c r="AI865">
        <v>409.26</v>
      </c>
      <c r="AJ865" s="1">
        <v>4195.7</v>
      </c>
      <c r="AK865">
        <v>0</v>
      </c>
      <c r="AL865">
        <v>0</v>
      </c>
      <c r="AM865">
        <v>0</v>
      </c>
      <c r="AN865" t="s">
        <v>135</v>
      </c>
      <c r="AO865" t="s">
        <v>135</v>
      </c>
      <c r="AP865" t="s">
        <v>136</v>
      </c>
      <c r="AQ865" t="s">
        <v>137</v>
      </c>
      <c r="AR865" t="s">
        <v>138</v>
      </c>
      <c r="AS865" t="s">
        <v>139</v>
      </c>
      <c r="AT865" t="s">
        <v>140</v>
      </c>
      <c r="AU865">
        <v>103</v>
      </c>
      <c r="AV865">
        <v>10</v>
      </c>
      <c r="AW865">
        <v>1</v>
      </c>
      <c r="AX865" s="2">
        <v>45845</v>
      </c>
      <c r="AY865" t="s">
        <v>141</v>
      </c>
      <c r="AZ865" s="2">
        <v>46027</v>
      </c>
      <c r="BA865">
        <v>0</v>
      </c>
      <c r="BB865">
        <v>0</v>
      </c>
      <c r="BC865">
        <v>0</v>
      </c>
      <c r="BD865">
        <v>700</v>
      </c>
      <c r="BE865">
        <v>70</v>
      </c>
      <c r="BF865">
        <v>9</v>
      </c>
      <c r="BG865" s="2">
        <v>45536</v>
      </c>
      <c r="BH865" t="s">
        <v>142</v>
      </c>
      <c r="BI865" s="2">
        <v>46026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s="1">
        <v>1175.07</v>
      </c>
      <c r="BQ865" s="1">
        <v>1175.07</v>
      </c>
      <c r="BR865">
        <v>0</v>
      </c>
      <c r="BS865">
        <v>0</v>
      </c>
      <c r="BT865">
        <v>0</v>
      </c>
      <c r="BU865">
        <v>0</v>
      </c>
      <c r="BV865" s="1">
        <v>1689.51</v>
      </c>
      <c r="BW865" s="1">
        <v>1689.51</v>
      </c>
      <c r="BX865">
        <v>0</v>
      </c>
      <c r="BY865">
        <v>0</v>
      </c>
      <c r="BZ865">
        <v>0</v>
      </c>
      <c r="CA865">
        <v>0</v>
      </c>
      <c r="CB865" s="1">
        <v>1366.28</v>
      </c>
      <c r="CC865" t="s">
        <v>143</v>
      </c>
    </row>
    <row r="866" spans="1:81" x14ac:dyDescent="0.25">
      <c r="A866">
        <v>345</v>
      </c>
      <c r="B866">
        <v>2</v>
      </c>
      <c r="C866">
        <v>2458</v>
      </c>
      <c r="D866" t="s">
        <v>4927</v>
      </c>
      <c r="E866" t="s">
        <v>121</v>
      </c>
      <c r="F866" t="s">
        <v>4928</v>
      </c>
      <c r="G866" t="s">
        <v>4929</v>
      </c>
      <c r="H866" t="s">
        <v>4930</v>
      </c>
      <c r="I866" t="s">
        <v>4931</v>
      </c>
      <c r="J866" t="s">
        <v>4932</v>
      </c>
      <c r="K866" t="s">
        <v>1853</v>
      </c>
      <c r="L866" t="s">
        <v>128</v>
      </c>
      <c r="M866" t="s">
        <v>1854</v>
      </c>
      <c r="N866" t="s">
        <v>4933</v>
      </c>
      <c r="O866" t="s">
        <v>131</v>
      </c>
      <c r="P866">
        <v>0</v>
      </c>
      <c r="Q866" t="s">
        <v>125</v>
      </c>
      <c r="R866">
        <v>6</v>
      </c>
      <c r="S866">
        <v>39</v>
      </c>
      <c r="T866" t="s">
        <v>132</v>
      </c>
      <c r="U866" t="s">
        <v>133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134</v>
      </c>
      <c r="AE866" t="s">
        <v>134</v>
      </c>
      <c r="AF866" s="2">
        <v>45518</v>
      </c>
      <c r="AG866" s="2">
        <v>46010</v>
      </c>
      <c r="AH866">
        <v>671.43</v>
      </c>
      <c r="AI866">
        <v>855.36</v>
      </c>
      <c r="AJ866" s="1">
        <v>4700.01</v>
      </c>
      <c r="AK866">
        <v>0</v>
      </c>
      <c r="AL866">
        <v>0</v>
      </c>
      <c r="AM866">
        <v>0</v>
      </c>
      <c r="AN866" t="s">
        <v>135</v>
      </c>
      <c r="AO866" t="s">
        <v>135</v>
      </c>
      <c r="AP866" t="s">
        <v>136</v>
      </c>
      <c r="AQ866" t="s">
        <v>137</v>
      </c>
      <c r="AR866" t="s">
        <v>138</v>
      </c>
      <c r="AS866" t="s">
        <v>139</v>
      </c>
      <c r="AT866" t="s">
        <v>140</v>
      </c>
      <c r="AU866">
        <v>103</v>
      </c>
      <c r="AV866">
        <v>10</v>
      </c>
      <c r="AW866">
        <v>1</v>
      </c>
      <c r="AX866" s="2">
        <v>45820</v>
      </c>
      <c r="AY866" t="s">
        <v>308</v>
      </c>
      <c r="AZ866" s="2">
        <v>46023</v>
      </c>
      <c r="BA866">
        <v>0</v>
      </c>
      <c r="BB866">
        <v>0</v>
      </c>
      <c r="BC866">
        <v>0</v>
      </c>
      <c r="BD866">
        <v>700</v>
      </c>
      <c r="BE866">
        <v>70</v>
      </c>
      <c r="BF866">
        <v>9</v>
      </c>
      <c r="BG866" s="2">
        <v>45536</v>
      </c>
      <c r="BH866" t="s">
        <v>142</v>
      </c>
      <c r="BI866" s="2">
        <v>46026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s="1">
        <v>2136.5300000000002</v>
      </c>
      <c r="BQ866" s="1">
        <v>2136.5300000000002</v>
      </c>
      <c r="BR866">
        <v>0</v>
      </c>
      <c r="BS866">
        <v>0</v>
      </c>
      <c r="BT866">
        <v>0</v>
      </c>
      <c r="BU866">
        <v>0</v>
      </c>
      <c r="BV866" s="1">
        <v>1677.96</v>
      </c>
      <c r="BW866" s="1">
        <v>1677.96</v>
      </c>
      <c r="BX866">
        <v>0</v>
      </c>
      <c r="BY866">
        <v>0</v>
      </c>
      <c r="BZ866">
        <v>0</v>
      </c>
      <c r="CA866">
        <v>0</v>
      </c>
      <c r="CB866" s="1">
        <v>1220.83</v>
      </c>
      <c r="CC866" t="s">
        <v>143</v>
      </c>
    </row>
    <row r="867" spans="1:81" x14ac:dyDescent="0.25">
      <c r="A867">
        <v>345</v>
      </c>
      <c r="B867">
        <v>2</v>
      </c>
      <c r="C867">
        <v>2464</v>
      </c>
      <c r="D867" t="s">
        <v>4934</v>
      </c>
      <c r="E867" t="s">
        <v>121</v>
      </c>
      <c r="F867" t="s">
        <v>4935</v>
      </c>
      <c r="G867" t="s">
        <v>4936</v>
      </c>
      <c r="H867" t="s">
        <v>4937</v>
      </c>
      <c r="I867" t="s">
        <v>4938</v>
      </c>
      <c r="J867" t="s">
        <v>4939</v>
      </c>
      <c r="K867" t="s">
        <v>1853</v>
      </c>
      <c r="L867" t="s">
        <v>128</v>
      </c>
      <c r="M867" t="s">
        <v>1854</v>
      </c>
      <c r="N867" t="s">
        <v>4940</v>
      </c>
      <c r="O867" t="s">
        <v>167</v>
      </c>
      <c r="P867">
        <v>0</v>
      </c>
      <c r="Q867" t="s">
        <v>125</v>
      </c>
      <c r="R867">
        <v>6</v>
      </c>
      <c r="S867">
        <v>38</v>
      </c>
      <c r="T867" t="s">
        <v>132</v>
      </c>
      <c r="U867" t="s">
        <v>133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134</v>
      </c>
      <c r="AE867" t="s">
        <v>134</v>
      </c>
      <c r="AF867" s="2">
        <v>45518</v>
      </c>
      <c r="AG867" s="2">
        <v>46021</v>
      </c>
      <c r="AH867" s="1">
        <v>5598.17</v>
      </c>
      <c r="AI867" s="1">
        <v>13047.76</v>
      </c>
      <c r="AJ867" s="1">
        <v>67178.100000000006</v>
      </c>
      <c r="AK867">
        <v>0</v>
      </c>
      <c r="AL867">
        <v>0</v>
      </c>
      <c r="AM867">
        <v>0</v>
      </c>
      <c r="AN867" t="s">
        <v>135</v>
      </c>
      <c r="AO867" t="s">
        <v>135</v>
      </c>
      <c r="AP867" t="s">
        <v>136</v>
      </c>
      <c r="AQ867" t="s">
        <v>137</v>
      </c>
      <c r="AR867" t="s">
        <v>138</v>
      </c>
      <c r="AS867" t="s">
        <v>139</v>
      </c>
      <c r="AT867" t="s">
        <v>140</v>
      </c>
      <c r="AU867">
        <v>103</v>
      </c>
      <c r="AV867">
        <v>10</v>
      </c>
      <c r="AW867">
        <v>1</v>
      </c>
      <c r="AX867" s="2">
        <v>45842</v>
      </c>
      <c r="AY867" t="s">
        <v>151</v>
      </c>
      <c r="AZ867" s="2">
        <v>46024</v>
      </c>
      <c r="BA867">
        <v>0</v>
      </c>
      <c r="BB867">
        <v>0</v>
      </c>
      <c r="BC867">
        <v>0</v>
      </c>
      <c r="BD867">
        <v>700</v>
      </c>
      <c r="BE867">
        <v>70</v>
      </c>
      <c r="BF867">
        <v>9</v>
      </c>
      <c r="BG867" s="2">
        <v>45536</v>
      </c>
      <c r="BH867" t="s">
        <v>142</v>
      </c>
      <c r="BI867" s="2">
        <v>46026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s="1">
        <v>23098.83</v>
      </c>
      <c r="BQ867" s="1">
        <v>23098.83</v>
      </c>
      <c r="BR867">
        <v>0</v>
      </c>
      <c r="BS867">
        <v>0</v>
      </c>
      <c r="BT867">
        <v>0</v>
      </c>
      <c r="BU867">
        <v>0</v>
      </c>
      <c r="BV867" s="1">
        <v>27484.94</v>
      </c>
      <c r="BW867" s="1">
        <v>27484.94</v>
      </c>
      <c r="BX867">
        <v>0</v>
      </c>
      <c r="BY867">
        <v>0</v>
      </c>
      <c r="BZ867">
        <v>0</v>
      </c>
      <c r="CA867">
        <v>0</v>
      </c>
      <c r="CB867" s="1">
        <v>47767.46</v>
      </c>
      <c r="CC867" t="s">
        <v>161</v>
      </c>
    </row>
    <row r="868" spans="1:81" x14ac:dyDescent="0.25">
      <c r="A868">
        <v>345</v>
      </c>
      <c r="B868">
        <v>2</v>
      </c>
      <c r="C868">
        <v>2465</v>
      </c>
      <c r="D868" t="s">
        <v>4941</v>
      </c>
      <c r="E868" t="s">
        <v>121</v>
      </c>
      <c r="F868" t="s">
        <v>4942</v>
      </c>
      <c r="G868" t="s">
        <v>4943</v>
      </c>
      <c r="H868" t="s">
        <v>4944</v>
      </c>
      <c r="I868" t="s">
        <v>4945</v>
      </c>
      <c r="J868" t="s">
        <v>126</v>
      </c>
      <c r="K868" t="s">
        <v>1853</v>
      </c>
      <c r="L868" t="s">
        <v>128</v>
      </c>
      <c r="M868" t="s">
        <v>1854</v>
      </c>
      <c r="N868" t="s">
        <v>4946</v>
      </c>
      <c r="O868" t="s">
        <v>131</v>
      </c>
      <c r="P868">
        <v>0</v>
      </c>
      <c r="Q868" t="s">
        <v>125</v>
      </c>
      <c r="R868">
        <v>6</v>
      </c>
      <c r="S868">
        <v>40</v>
      </c>
      <c r="T868" t="s">
        <v>132</v>
      </c>
      <c r="U868" t="s">
        <v>133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134</v>
      </c>
      <c r="AE868" t="s">
        <v>134</v>
      </c>
      <c r="AF868" s="2">
        <v>45518</v>
      </c>
      <c r="AG868" s="2">
        <v>46004</v>
      </c>
      <c r="AH868" s="1">
        <v>3302.02</v>
      </c>
      <c r="AI868" s="1">
        <v>5248.03</v>
      </c>
      <c r="AJ868" s="1">
        <v>16510.14</v>
      </c>
      <c r="AK868">
        <v>0</v>
      </c>
      <c r="AL868">
        <v>0</v>
      </c>
      <c r="AM868">
        <v>0</v>
      </c>
      <c r="AN868" t="s">
        <v>135</v>
      </c>
      <c r="AO868" t="s">
        <v>135</v>
      </c>
      <c r="AP868" t="s">
        <v>136</v>
      </c>
      <c r="AQ868" t="s">
        <v>137</v>
      </c>
      <c r="AR868" t="s">
        <v>138</v>
      </c>
      <c r="AS868" t="s">
        <v>139</v>
      </c>
      <c r="AT868" t="s">
        <v>140</v>
      </c>
      <c r="AU868">
        <v>103</v>
      </c>
      <c r="AV868">
        <v>10</v>
      </c>
      <c r="AW868">
        <v>1</v>
      </c>
      <c r="AX868" s="2">
        <v>45814</v>
      </c>
      <c r="AY868" t="s">
        <v>151</v>
      </c>
      <c r="AZ868" s="2">
        <v>46024</v>
      </c>
      <c r="BA868">
        <v>0</v>
      </c>
      <c r="BB868">
        <v>0</v>
      </c>
      <c r="BC868">
        <v>0</v>
      </c>
      <c r="BD868">
        <v>700</v>
      </c>
      <c r="BE868">
        <v>70</v>
      </c>
      <c r="BF868">
        <v>9</v>
      </c>
      <c r="BG868" s="2">
        <v>45536</v>
      </c>
      <c r="BH868" t="s">
        <v>142</v>
      </c>
      <c r="BI868" s="2">
        <v>46026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s="1">
        <v>4371.16</v>
      </c>
      <c r="BQ868" s="1">
        <v>4371.16</v>
      </c>
      <c r="BR868">
        <v>0</v>
      </c>
      <c r="BS868">
        <v>0</v>
      </c>
      <c r="BT868">
        <v>0</v>
      </c>
      <c r="BU868">
        <v>0</v>
      </c>
      <c r="BV868" s="1">
        <v>5198.4399999999996</v>
      </c>
      <c r="BW868" s="1">
        <v>6546.94</v>
      </c>
      <c r="BX868">
        <v>0</v>
      </c>
      <c r="BY868">
        <v>0</v>
      </c>
      <c r="BZ868">
        <v>0</v>
      </c>
      <c r="CA868">
        <v>0</v>
      </c>
      <c r="CB868" s="1">
        <v>3596.61</v>
      </c>
      <c r="CC868" t="s">
        <v>143</v>
      </c>
    </row>
    <row r="869" spans="1:81" x14ac:dyDescent="0.25">
      <c r="A869">
        <v>345</v>
      </c>
      <c r="B869">
        <v>2</v>
      </c>
      <c r="C869">
        <v>2466</v>
      </c>
      <c r="D869" t="s">
        <v>4947</v>
      </c>
      <c r="E869" t="s">
        <v>121</v>
      </c>
      <c r="F869" t="s">
        <v>4948</v>
      </c>
      <c r="G869" t="s">
        <v>4949</v>
      </c>
      <c r="H869" t="s">
        <v>4950</v>
      </c>
      <c r="I869" t="s">
        <v>4951</v>
      </c>
      <c r="J869" t="s">
        <v>126</v>
      </c>
      <c r="K869" t="s">
        <v>1853</v>
      </c>
      <c r="L869" t="s">
        <v>128</v>
      </c>
      <c r="M869" t="s">
        <v>1854</v>
      </c>
      <c r="N869" t="s">
        <v>4952</v>
      </c>
      <c r="O869" t="s">
        <v>131</v>
      </c>
      <c r="P869">
        <v>0</v>
      </c>
      <c r="Q869" t="s">
        <v>125</v>
      </c>
      <c r="R869">
        <v>6</v>
      </c>
      <c r="S869">
        <v>40</v>
      </c>
      <c r="T869" t="s">
        <v>132</v>
      </c>
      <c r="U869" t="s">
        <v>133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134</v>
      </c>
      <c r="AE869" t="s">
        <v>134</v>
      </c>
      <c r="AF869" s="2">
        <v>45518</v>
      </c>
      <c r="AG869" s="2">
        <v>46020</v>
      </c>
      <c r="AH869">
        <v>269.7</v>
      </c>
      <c r="AI869">
        <v>412.26</v>
      </c>
      <c r="AJ869" s="1">
        <v>1887.9</v>
      </c>
      <c r="AK869">
        <v>0</v>
      </c>
      <c r="AL869">
        <v>0</v>
      </c>
      <c r="AM869">
        <v>0</v>
      </c>
      <c r="AN869" t="s">
        <v>135</v>
      </c>
      <c r="AO869" t="s">
        <v>135</v>
      </c>
      <c r="AP869" t="s">
        <v>136</v>
      </c>
      <c r="AQ869" t="s">
        <v>137</v>
      </c>
      <c r="AR869" t="s">
        <v>138</v>
      </c>
      <c r="AS869" t="s">
        <v>139</v>
      </c>
      <c r="AT869" t="s">
        <v>140</v>
      </c>
      <c r="AU869">
        <v>103</v>
      </c>
      <c r="AV869">
        <v>10</v>
      </c>
      <c r="AW869">
        <v>1</v>
      </c>
      <c r="AX869" s="2">
        <v>45535</v>
      </c>
      <c r="AY869" t="s">
        <v>160</v>
      </c>
      <c r="AZ869" s="2">
        <v>46025</v>
      </c>
      <c r="BA869">
        <v>0</v>
      </c>
      <c r="BB869">
        <v>0</v>
      </c>
      <c r="BC869">
        <v>0</v>
      </c>
      <c r="BD869">
        <v>700</v>
      </c>
      <c r="BE869">
        <v>70</v>
      </c>
      <c r="BF869">
        <v>9</v>
      </c>
      <c r="BG869" s="2">
        <v>45536</v>
      </c>
      <c r="BH869" t="s">
        <v>142</v>
      </c>
      <c r="BI869" s="2">
        <v>46026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544.27</v>
      </c>
      <c r="BQ869">
        <v>544.27</v>
      </c>
      <c r="BR869">
        <v>0</v>
      </c>
      <c r="BS869">
        <v>0</v>
      </c>
      <c r="BT869">
        <v>0</v>
      </c>
      <c r="BU869">
        <v>0</v>
      </c>
      <c r="BV869">
        <v>514.77</v>
      </c>
      <c r="BW869">
        <v>514.77</v>
      </c>
      <c r="BX869">
        <v>0</v>
      </c>
      <c r="BY869">
        <v>0</v>
      </c>
      <c r="BZ869">
        <v>0</v>
      </c>
      <c r="CA869">
        <v>0</v>
      </c>
      <c r="CB869">
        <v>588.83000000000004</v>
      </c>
      <c r="CC869" t="s">
        <v>143</v>
      </c>
    </row>
    <row r="870" spans="1:81" x14ac:dyDescent="0.25">
      <c r="A870">
        <v>345</v>
      </c>
      <c r="B870">
        <v>2</v>
      </c>
      <c r="C870">
        <v>2469</v>
      </c>
      <c r="D870" t="s">
        <v>4953</v>
      </c>
      <c r="E870" t="s">
        <v>121</v>
      </c>
      <c r="F870" t="s">
        <v>4954</v>
      </c>
      <c r="G870" t="s">
        <v>4955</v>
      </c>
      <c r="H870" t="s">
        <v>4956</v>
      </c>
      <c r="I870" t="s">
        <v>4957</v>
      </c>
      <c r="J870" t="s">
        <v>126</v>
      </c>
      <c r="K870" t="s">
        <v>1853</v>
      </c>
      <c r="L870" t="s">
        <v>128</v>
      </c>
      <c r="M870" t="s">
        <v>1854</v>
      </c>
      <c r="N870" t="s">
        <v>4958</v>
      </c>
      <c r="O870" t="s">
        <v>167</v>
      </c>
      <c r="P870">
        <v>0</v>
      </c>
      <c r="Q870" t="s">
        <v>125</v>
      </c>
      <c r="R870">
        <v>3</v>
      </c>
      <c r="S870">
        <v>83</v>
      </c>
      <c r="T870" t="s">
        <v>132</v>
      </c>
      <c r="U870" t="s">
        <v>133</v>
      </c>
      <c r="V870" s="1">
        <v>1000</v>
      </c>
      <c r="W870">
        <v>0</v>
      </c>
      <c r="X870" s="1">
        <v>1000</v>
      </c>
      <c r="Y870">
        <v>7</v>
      </c>
      <c r="Z870">
        <v>0</v>
      </c>
      <c r="AA870">
        <v>0</v>
      </c>
      <c r="AB870">
        <v>0</v>
      </c>
      <c r="AC870">
        <v>0</v>
      </c>
      <c r="AD870" t="s">
        <v>134</v>
      </c>
      <c r="AE870" t="s">
        <v>134</v>
      </c>
      <c r="AF870" s="2">
        <v>45518</v>
      </c>
      <c r="AG870" s="2">
        <v>46008</v>
      </c>
      <c r="AH870">
        <v>262.45999999999998</v>
      </c>
      <c r="AI870">
        <v>386.72</v>
      </c>
      <c r="AJ870" s="1">
        <v>1837.25</v>
      </c>
      <c r="AK870">
        <v>0</v>
      </c>
      <c r="AL870">
        <v>0</v>
      </c>
      <c r="AM870">
        <v>0</v>
      </c>
      <c r="AN870" t="s">
        <v>135</v>
      </c>
      <c r="AO870" t="s">
        <v>135</v>
      </c>
      <c r="AP870" t="s">
        <v>136</v>
      </c>
      <c r="AQ870" t="s">
        <v>137</v>
      </c>
      <c r="AR870" t="s">
        <v>138</v>
      </c>
      <c r="AS870" t="s">
        <v>139</v>
      </c>
      <c r="AT870" t="s">
        <v>140</v>
      </c>
      <c r="AU870">
        <v>103</v>
      </c>
      <c r="AV870">
        <v>10</v>
      </c>
      <c r="AW870">
        <v>1</v>
      </c>
      <c r="AX870" s="2">
        <v>45972</v>
      </c>
      <c r="AY870" t="s">
        <v>377</v>
      </c>
      <c r="AZ870" s="2">
        <v>46028</v>
      </c>
      <c r="BA870">
        <v>0</v>
      </c>
      <c r="BB870">
        <v>0</v>
      </c>
      <c r="BC870">
        <v>0</v>
      </c>
      <c r="BD870">
        <v>700</v>
      </c>
      <c r="BE870">
        <v>70</v>
      </c>
      <c r="BF870">
        <v>9</v>
      </c>
      <c r="BG870" s="2">
        <v>45536</v>
      </c>
      <c r="BH870" t="s">
        <v>142</v>
      </c>
      <c r="BI870" s="2">
        <v>46026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683.16</v>
      </c>
      <c r="BQ870">
        <v>683.16</v>
      </c>
      <c r="BR870">
        <v>0</v>
      </c>
      <c r="BS870">
        <v>0</v>
      </c>
      <c r="BT870">
        <v>0</v>
      </c>
      <c r="BU870">
        <v>0</v>
      </c>
      <c r="BV870">
        <v>884.55</v>
      </c>
      <c r="BW870">
        <v>884.55</v>
      </c>
      <c r="BX870">
        <v>0</v>
      </c>
      <c r="BY870">
        <v>0</v>
      </c>
      <c r="BZ870">
        <v>0</v>
      </c>
      <c r="CA870">
        <v>0</v>
      </c>
      <c r="CB870">
        <v>446.62</v>
      </c>
      <c r="CC870" t="s">
        <v>161</v>
      </c>
    </row>
    <row r="871" spans="1:81" x14ac:dyDescent="0.25">
      <c r="A871">
        <v>345</v>
      </c>
      <c r="B871">
        <v>2</v>
      </c>
      <c r="C871">
        <v>2476</v>
      </c>
      <c r="D871" t="s">
        <v>4959</v>
      </c>
      <c r="E871" t="s">
        <v>121</v>
      </c>
      <c r="F871" t="s">
        <v>4960</v>
      </c>
      <c r="G871" t="s">
        <v>4961</v>
      </c>
      <c r="H871" t="s">
        <v>4962</v>
      </c>
      <c r="I871" t="s">
        <v>4963</v>
      </c>
      <c r="J871" t="s">
        <v>126</v>
      </c>
      <c r="K871" t="s">
        <v>1853</v>
      </c>
      <c r="L871" t="s">
        <v>128</v>
      </c>
      <c r="M871" t="s">
        <v>1854</v>
      </c>
      <c r="N871" t="s">
        <v>4964</v>
      </c>
      <c r="O871" t="s">
        <v>167</v>
      </c>
      <c r="P871">
        <v>0</v>
      </c>
      <c r="Q871" t="s">
        <v>125</v>
      </c>
      <c r="R871">
        <v>3</v>
      </c>
      <c r="S871">
        <v>84</v>
      </c>
      <c r="T871" t="s">
        <v>132</v>
      </c>
      <c r="U871" t="s">
        <v>133</v>
      </c>
      <c r="V871" s="1">
        <v>1400</v>
      </c>
      <c r="W871" s="1">
        <v>1205.92</v>
      </c>
      <c r="X871">
        <v>194.08</v>
      </c>
      <c r="Y871">
        <v>7</v>
      </c>
      <c r="Z871">
        <v>0</v>
      </c>
      <c r="AA871">
        <v>5</v>
      </c>
      <c r="AB871">
        <v>0</v>
      </c>
      <c r="AC871">
        <v>0</v>
      </c>
      <c r="AD871" t="s">
        <v>134</v>
      </c>
      <c r="AE871" t="s">
        <v>134</v>
      </c>
      <c r="AF871" s="2">
        <v>45518</v>
      </c>
      <c r="AG871" s="2">
        <v>46008</v>
      </c>
      <c r="AH871" s="1">
        <v>1063.8</v>
      </c>
      <c r="AI871" s="1">
        <v>3161.28</v>
      </c>
      <c r="AJ871" s="1">
        <v>12765.67</v>
      </c>
      <c r="AK871">
        <v>0</v>
      </c>
      <c r="AL871" s="1">
        <v>2222.36</v>
      </c>
      <c r="AM871">
        <v>21.51</v>
      </c>
      <c r="AN871" t="s">
        <v>135</v>
      </c>
      <c r="AO871" t="s">
        <v>135</v>
      </c>
      <c r="AP871" t="s">
        <v>136</v>
      </c>
      <c r="AQ871" t="s">
        <v>137</v>
      </c>
      <c r="AR871" t="s">
        <v>138</v>
      </c>
      <c r="AS871" t="s">
        <v>139</v>
      </c>
      <c r="AT871" t="s">
        <v>140</v>
      </c>
      <c r="AU871">
        <v>103</v>
      </c>
      <c r="AV871">
        <v>10</v>
      </c>
      <c r="AW871">
        <v>1</v>
      </c>
      <c r="AX871" s="2">
        <v>45867</v>
      </c>
      <c r="AY871" t="s">
        <v>377</v>
      </c>
      <c r="AZ871" s="2">
        <v>46028</v>
      </c>
      <c r="BA871">
        <v>0</v>
      </c>
      <c r="BB871">
        <v>0</v>
      </c>
      <c r="BC871">
        <v>0</v>
      </c>
      <c r="BD871">
        <v>700</v>
      </c>
      <c r="BE871">
        <v>70</v>
      </c>
      <c r="BF871">
        <v>9</v>
      </c>
      <c r="BG871" s="2">
        <v>45536</v>
      </c>
      <c r="BH871" t="s">
        <v>142</v>
      </c>
      <c r="BI871" s="2">
        <v>46026</v>
      </c>
      <c r="BJ871">
        <v>0</v>
      </c>
      <c r="BK871">
        <v>0</v>
      </c>
      <c r="BL871">
        <v>0</v>
      </c>
      <c r="BM871">
        <v>4.76</v>
      </c>
      <c r="BN871">
        <v>4.76</v>
      </c>
      <c r="BO871" s="1">
        <v>1554.87</v>
      </c>
      <c r="BP871">
        <v>0</v>
      </c>
      <c r="BQ871" s="1">
        <v>1554.87</v>
      </c>
      <c r="BR871">
        <v>477.96</v>
      </c>
      <c r="BS871">
        <v>4.74</v>
      </c>
      <c r="BT871">
        <v>2.99</v>
      </c>
      <c r="BU871" s="1">
        <v>5366.07</v>
      </c>
      <c r="BV871" s="1">
        <v>3153.65</v>
      </c>
      <c r="BW871" s="1">
        <v>8519.7199999999993</v>
      </c>
      <c r="BX871" s="1">
        <v>1205.92</v>
      </c>
      <c r="BY871">
        <v>22.47</v>
      </c>
      <c r="BZ871">
        <v>0</v>
      </c>
      <c r="CA871">
        <v>0</v>
      </c>
      <c r="CB871" s="1">
        <v>2403.7199999999998</v>
      </c>
      <c r="CC871" t="s">
        <v>161</v>
      </c>
    </row>
    <row r="872" spans="1:81" x14ac:dyDescent="0.25">
      <c r="A872">
        <v>345</v>
      </c>
      <c r="B872">
        <v>2</v>
      </c>
      <c r="C872">
        <v>2482</v>
      </c>
      <c r="D872" t="s">
        <v>4965</v>
      </c>
      <c r="E872" t="s">
        <v>121</v>
      </c>
      <c r="F872" t="s">
        <v>4966</v>
      </c>
      <c r="G872" t="s">
        <v>4967</v>
      </c>
      <c r="H872" t="s">
        <v>4968</v>
      </c>
      <c r="I872" t="s">
        <v>4969</v>
      </c>
      <c r="J872" t="s">
        <v>126</v>
      </c>
      <c r="K872" t="s">
        <v>1853</v>
      </c>
      <c r="L872" t="s">
        <v>128</v>
      </c>
      <c r="M872" t="s">
        <v>1854</v>
      </c>
      <c r="N872" t="s">
        <v>4970</v>
      </c>
      <c r="O872" t="s">
        <v>167</v>
      </c>
      <c r="P872">
        <v>0</v>
      </c>
      <c r="Q872" t="s">
        <v>125</v>
      </c>
      <c r="R872">
        <v>6</v>
      </c>
      <c r="S872">
        <v>36</v>
      </c>
      <c r="T872" t="s">
        <v>132</v>
      </c>
      <c r="U872" t="s">
        <v>133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134</v>
      </c>
      <c r="AE872" t="s">
        <v>134</v>
      </c>
      <c r="AF872" s="2">
        <v>45518</v>
      </c>
      <c r="AG872" s="2">
        <v>46018</v>
      </c>
      <c r="AH872">
        <v>933.76</v>
      </c>
      <c r="AI872" s="1">
        <v>1126.0999999999999</v>
      </c>
      <c r="AJ872" s="1">
        <v>10271.36</v>
      </c>
      <c r="AK872">
        <v>0</v>
      </c>
      <c r="AL872">
        <v>0</v>
      </c>
      <c r="AM872">
        <v>0</v>
      </c>
      <c r="AN872" t="s">
        <v>135</v>
      </c>
      <c r="AO872" t="s">
        <v>135</v>
      </c>
      <c r="AP872" t="s">
        <v>136</v>
      </c>
      <c r="AQ872" t="s">
        <v>137</v>
      </c>
      <c r="AR872" t="s">
        <v>138</v>
      </c>
      <c r="AS872" t="s">
        <v>139</v>
      </c>
      <c r="AT872" t="s">
        <v>140</v>
      </c>
      <c r="AU872">
        <v>103</v>
      </c>
      <c r="AV872">
        <v>10</v>
      </c>
      <c r="AW872">
        <v>1</v>
      </c>
      <c r="AX872" s="2">
        <v>45820</v>
      </c>
      <c r="AY872" t="s">
        <v>308</v>
      </c>
      <c r="AZ872" s="2">
        <v>46023</v>
      </c>
      <c r="BA872">
        <v>0</v>
      </c>
      <c r="BB872">
        <v>0</v>
      </c>
      <c r="BC872">
        <v>0</v>
      </c>
      <c r="BD872">
        <v>700</v>
      </c>
      <c r="BE872">
        <v>70</v>
      </c>
      <c r="BF872">
        <v>9</v>
      </c>
      <c r="BG872" s="2">
        <v>45536</v>
      </c>
      <c r="BH872" t="s">
        <v>142</v>
      </c>
      <c r="BI872" s="2">
        <v>46026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 s="1">
        <v>2640.2</v>
      </c>
      <c r="BQ872" s="1">
        <v>2640.2</v>
      </c>
      <c r="BR872">
        <v>0</v>
      </c>
      <c r="BS872">
        <v>0</v>
      </c>
      <c r="BT872">
        <v>0</v>
      </c>
      <c r="BU872">
        <v>0</v>
      </c>
      <c r="BV872" s="1">
        <v>4206.57</v>
      </c>
      <c r="BW872" s="1">
        <v>4206.57</v>
      </c>
      <c r="BX872">
        <v>0</v>
      </c>
      <c r="BY872">
        <v>0</v>
      </c>
      <c r="BZ872">
        <v>0</v>
      </c>
      <c r="CA872">
        <v>0</v>
      </c>
      <c r="CB872" s="1">
        <v>2896.4</v>
      </c>
      <c r="CC872" t="s">
        <v>161</v>
      </c>
    </row>
    <row r="873" spans="1:81" x14ac:dyDescent="0.25">
      <c r="A873">
        <v>345</v>
      </c>
      <c r="B873">
        <v>2</v>
      </c>
      <c r="C873">
        <v>2483</v>
      </c>
      <c r="D873" t="s">
        <v>4971</v>
      </c>
      <c r="E873" t="s">
        <v>121</v>
      </c>
      <c r="F873" t="s">
        <v>4916</v>
      </c>
      <c r="G873" t="s">
        <v>4972</v>
      </c>
      <c r="H873" t="s">
        <v>4973</v>
      </c>
      <c r="I873" t="s">
        <v>4919</v>
      </c>
      <c r="J873" t="s">
        <v>126</v>
      </c>
      <c r="K873" t="s">
        <v>1853</v>
      </c>
      <c r="L873" t="s">
        <v>128</v>
      </c>
      <c r="M873" t="s">
        <v>1854</v>
      </c>
      <c r="N873" t="s">
        <v>4974</v>
      </c>
      <c r="O873" t="s">
        <v>167</v>
      </c>
      <c r="P873">
        <v>0</v>
      </c>
      <c r="Q873" t="s">
        <v>125</v>
      </c>
      <c r="R873">
        <v>6</v>
      </c>
      <c r="S873">
        <v>37</v>
      </c>
      <c r="T873" t="s">
        <v>132</v>
      </c>
      <c r="U873" t="s">
        <v>133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134</v>
      </c>
      <c r="AE873" t="s">
        <v>134</v>
      </c>
      <c r="AF873" s="2">
        <v>45518</v>
      </c>
      <c r="AG873" s="2">
        <v>46018</v>
      </c>
      <c r="AH873" s="1">
        <v>6995.39</v>
      </c>
      <c r="AI873" s="1">
        <v>13082.36</v>
      </c>
      <c r="AJ873" s="1">
        <v>62958.52</v>
      </c>
      <c r="AK873">
        <v>0</v>
      </c>
      <c r="AL873">
        <v>0</v>
      </c>
      <c r="AM873">
        <v>0</v>
      </c>
      <c r="AN873" t="s">
        <v>135</v>
      </c>
      <c r="AO873" t="s">
        <v>135</v>
      </c>
      <c r="AP873" t="s">
        <v>136</v>
      </c>
      <c r="AQ873" t="s">
        <v>137</v>
      </c>
      <c r="AR873" t="s">
        <v>138</v>
      </c>
      <c r="AS873" t="s">
        <v>139</v>
      </c>
      <c r="AT873" t="s">
        <v>140</v>
      </c>
      <c r="AU873">
        <v>500</v>
      </c>
      <c r="AV873">
        <v>10</v>
      </c>
      <c r="AW873">
        <v>1</v>
      </c>
      <c r="AX873" s="2">
        <v>45849</v>
      </c>
      <c r="AY873" t="s">
        <v>151</v>
      </c>
      <c r="AZ873" s="2">
        <v>46024</v>
      </c>
      <c r="BA873">
        <v>0</v>
      </c>
      <c r="BB873">
        <v>0</v>
      </c>
      <c r="BC873">
        <v>0</v>
      </c>
      <c r="BD873">
        <v>700</v>
      </c>
      <c r="BE873">
        <v>70</v>
      </c>
      <c r="BF873">
        <v>9</v>
      </c>
      <c r="BG873" s="2">
        <v>45536</v>
      </c>
      <c r="BH873" t="s">
        <v>142</v>
      </c>
      <c r="BI873" s="2">
        <v>46026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 s="1">
        <v>13922.2</v>
      </c>
      <c r="BQ873" s="1">
        <v>13922.2</v>
      </c>
      <c r="BR873">
        <v>0</v>
      </c>
      <c r="BS873">
        <v>0</v>
      </c>
      <c r="BT873">
        <v>0</v>
      </c>
      <c r="BU873">
        <v>0</v>
      </c>
      <c r="BV873" s="1">
        <v>37919.339999999997</v>
      </c>
      <c r="BW873" s="1">
        <v>37919.339999999997</v>
      </c>
      <c r="BX873">
        <v>0</v>
      </c>
      <c r="BY873">
        <v>0</v>
      </c>
      <c r="BZ873">
        <v>0</v>
      </c>
      <c r="CA873">
        <v>0</v>
      </c>
      <c r="CB873" s="1">
        <v>13996.73</v>
      </c>
      <c r="CC873" t="s">
        <v>161</v>
      </c>
    </row>
    <row r="874" spans="1:81" x14ac:dyDescent="0.25">
      <c r="A874">
        <v>345</v>
      </c>
      <c r="B874">
        <v>2</v>
      </c>
      <c r="C874">
        <v>2492</v>
      </c>
      <c r="D874" t="s">
        <v>4975</v>
      </c>
      <c r="E874" t="s">
        <v>121</v>
      </c>
      <c r="F874" t="s">
        <v>4976</v>
      </c>
      <c r="G874" t="s">
        <v>4977</v>
      </c>
      <c r="H874" t="s">
        <v>4978</v>
      </c>
      <c r="I874" t="s">
        <v>125</v>
      </c>
      <c r="J874" t="s">
        <v>126</v>
      </c>
      <c r="K874" t="s">
        <v>1853</v>
      </c>
      <c r="L874" t="s">
        <v>128</v>
      </c>
      <c r="M874" t="s">
        <v>1854</v>
      </c>
      <c r="N874" t="s">
        <v>4979</v>
      </c>
      <c r="O874" t="s">
        <v>167</v>
      </c>
      <c r="P874">
        <v>0</v>
      </c>
      <c r="Q874" t="s">
        <v>125</v>
      </c>
      <c r="R874">
        <v>6</v>
      </c>
      <c r="S874">
        <v>34</v>
      </c>
      <c r="T874" t="s">
        <v>132</v>
      </c>
      <c r="U874" t="s">
        <v>133</v>
      </c>
      <c r="V874" s="1">
        <v>1400</v>
      </c>
      <c r="W874">
        <v>0</v>
      </c>
      <c r="X874" s="1">
        <v>1400</v>
      </c>
      <c r="Y874">
        <v>7</v>
      </c>
      <c r="Z874">
        <v>0</v>
      </c>
      <c r="AA874">
        <v>0</v>
      </c>
      <c r="AB874">
        <v>0</v>
      </c>
      <c r="AC874">
        <v>0</v>
      </c>
      <c r="AD874" t="s">
        <v>134</v>
      </c>
      <c r="AE874" t="s">
        <v>134</v>
      </c>
      <c r="AF874" s="2">
        <v>45518</v>
      </c>
      <c r="AG874" s="2">
        <v>46018</v>
      </c>
      <c r="AH874" s="1">
        <v>1129.83</v>
      </c>
      <c r="AI874" s="1">
        <v>2491.4299999999998</v>
      </c>
      <c r="AJ874" s="1">
        <v>9038.7099999999991</v>
      </c>
      <c r="AK874">
        <v>0</v>
      </c>
      <c r="AL874">
        <v>0</v>
      </c>
      <c r="AM874">
        <v>0</v>
      </c>
      <c r="AN874" t="s">
        <v>135</v>
      </c>
      <c r="AO874" t="s">
        <v>135</v>
      </c>
      <c r="AP874" t="s">
        <v>136</v>
      </c>
      <c r="AQ874" t="s">
        <v>137</v>
      </c>
      <c r="AR874" t="s">
        <v>138</v>
      </c>
      <c r="AS874" t="s">
        <v>139</v>
      </c>
      <c r="AT874" t="s">
        <v>140</v>
      </c>
      <c r="AU874">
        <v>103</v>
      </c>
      <c r="AV874">
        <v>10</v>
      </c>
      <c r="AW874">
        <v>1</v>
      </c>
      <c r="AX874" s="2">
        <v>45813</v>
      </c>
      <c r="AY874" t="s">
        <v>308</v>
      </c>
      <c r="AZ874" s="2">
        <v>46023</v>
      </c>
      <c r="BA874">
        <v>0</v>
      </c>
      <c r="BB874">
        <v>0</v>
      </c>
      <c r="BC874">
        <v>0</v>
      </c>
      <c r="BD874">
        <v>700</v>
      </c>
      <c r="BE874">
        <v>70</v>
      </c>
      <c r="BF874">
        <v>9</v>
      </c>
      <c r="BG874" s="2">
        <v>45536</v>
      </c>
      <c r="BH874" t="s">
        <v>142</v>
      </c>
      <c r="BI874" s="2">
        <v>46026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 s="1">
        <v>1478.12</v>
      </c>
      <c r="BQ874" s="1">
        <v>1478.12</v>
      </c>
      <c r="BR874">
        <v>0</v>
      </c>
      <c r="BS874">
        <v>0</v>
      </c>
      <c r="BT874">
        <v>0</v>
      </c>
      <c r="BU874">
        <v>0</v>
      </c>
      <c r="BV874" s="1">
        <v>2376.96</v>
      </c>
      <c r="BW874" s="1">
        <v>2376.96</v>
      </c>
      <c r="BX874">
        <v>0</v>
      </c>
      <c r="BY874">
        <v>0</v>
      </c>
      <c r="BZ874">
        <v>0</v>
      </c>
      <c r="CA874">
        <v>0</v>
      </c>
      <c r="CB874" s="1">
        <v>2556.0100000000002</v>
      </c>
      <c r="CC874" t="s">
        <v>161</v>
      </c>
    </row>
    <row r="875" spans="1:81" x14ac:dyDescent="0.25">
      <c r="A875">
        <v>345</v>
      </c>
      <c r="B875">
        <v>2</v>
      </c>
      <c r="C875">
        <v>2493</v>
      </c>
      <c r="D875" t="s">
        <v>4980</v>
      </c>
      <c r="E875" t="s">
        <v>121</v>
      </c>
      <c r="F875" t="s">
        <v>4981</v>
      </c>
      <c r="G875" t="s">
        <v>4982</v>
      </c>
      <c r="H875" t="s">
        <v>4983</v>
      </c>
      <c r="I875" t="s">
        <v>125</v>
      </c>
      <c r="J875" t="s">
        <v>126</v>
      </c>
      <c r="K875" t="s">
        <v>1853</v>
      </c>
      <c r="L875" t="s">
        <v>128</v>
      </c>
      <c r="M875" t="s">
        <v>1854</v>
      </c>
      <c r="N875" t="s">
        <v>4984</v>
      </c>
      <c r="O875" t="s">
        <v>167</v>
      </c>
      <c r="P875">
        <v>0</v>
      </c>
      <c r="Q875" t="s">
        <v>125</v>
      </c>
      <c r="R875">
        <v>6</v>
      </c>
      <c r="S875">
        <v>35</v>
      </c>
      <c r="T875" t="s">
        <v>132</v>
      </c>
      <c r="U875" t="s">
        <v>133</v>
      </c>
      <c r="V875" s="1">
        <v>7800</v>
      </c>
      <c r="W875">
        <v>0</v>
      </c>
      <c r="X875" s="1">
        <v>7800</v>
      </c>
      <c r="Y875">
        <v>7</v>
      </c>
      <c r="Z875">
        <v>0</v>
      </c>
      <c r="AA875">
        <v>0</v>
      </c>
      <c r="AB875">
        <v>0</v>
      </c>
      <c r="AC875">
        <v>0</v>
      </c>
      <c r="AD875" t="s">
        <v>134</v>
      </c>
      <c r="AE875" t="s">
        <v>134</v>
      </c>
      <c r="AF875" s="2">
        <v>45518</v>
      </c>
      <c r="AG875" s="2">
        <v>46020</v>
      </c>
      <c r="AH875" s="1">
        <v>2932.85</v>
      </c>
      <c r="AI875" s="1">
        <v>7301.76</v>
      </c>
      <c r="AJ875" s="1">
        <v>32261.35</v>
      </c>
      <c r="AK875">
        <v>0</v>
      </c>
      <c r="AL875">
        <v>0</v>
      </c>
      <c r="AM875">
        <v>0</v>
      </c>
      <c r="AN875" t="s">
        <v>135</v>
      </c>
      <c r="AO875" t="s">
        <v>135</v>
      </c>
      <c r="AP875" t="s">
        <v>136</v>
      </c>
      <c r="AQ875" t="s">
        <v>137</v>
      </c>
      <c r="AR875" t="s">
        <v>138</v>
      </c>
      <c r="AS875" t="s">
        <v>139</v>
      </c>
      <c r="AT875" t="s">
        <v>140</v>
      </c>
      <c r="AU875">
        <v>103</v>
      </c>
      <c r="AV875">
        <v>10</v>
      </c>
      <c r="AW875">
        <v>1</v>
      </c>
      <c r="AX875" s="2">
        <v>45815</v>
      </c>
      <c r="AY875" t="s">
        <v>160</v>
      </c>
      <c r="AZ875" s="2">
        <v>46025</v>
      </c>
      <c r="BA875">
        <v>0</v>
      </c>
      <c r="BB875">
        <v>0</v>
      </c>
      <c r="BC875">
        <v>0</v>
      </c>
      <c r="BD875">
        <v>700</v>
      </c>
      <c r="BE875">
        <v>70</v>
      </c>
      <c r="BF875">
        <v>9</v>
      </c>
      <c r="BG875" s="2">
        <v>45536</v>
      </c>
      <c r="BH875" t="s">
        <v>142</v>
      </c>
      <c r="BI875" s="2">
        <v>46026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s="1">
        <v>7216.48</v>
      </c>
      <c r="BQ875" s="1">
        <v>7216.48</v>
      </c>
      <c r="BR875">
        <v>0</v>
      </c>
      <c r="BS875">
        <v>0</v>
      </c>
      <c r="BT875">
        <v>0</v>
      </c>
      <c r="BU875">
        <v>0</v>
      </c>
      <c r="BV875" s="1">
        <v>16116.88</v>
      </c>
      <c r="BW875" s="1">
        <v>16116.88</v>
      </c>
      <c r="BX875">
        <v>0</v>
      </c>
      <c r="BY875">
        <v>0</v>
      </c>
      <c r="BZ875">
        <v>0</v>
      </c>
      <c r="CA875">
        <v>0</v>
      </c>
      <c r="CB875" s="1">
        <v>14271.55</v>
      </c>
      <c r="CC875" t="s">
        <v>161</v>
      </c>
    </row>
    <row r="876" spans="1:81" x14ac:dyDescent="0.25">
      <c r="A876">
        <v>345</v>
      </c>
      <c r="B876">
        <v>2</v>
      </c>
      <c r="C876">
        <v>2495</v>
      </c>
      <c r="D876" t="s">
        <v>4985</v>
      </c>
      <c r="E876" t="s">
        <v>121</v>
      </c>
      <c r="F876" t="s">
        <v>4986</v>
      </c>
      <c r="G876" t="s">
        <v>4987</v>
      </c>
      <c r="H876" t="s">
        <v>4988</v>
      </c>
      <c r="I876" t="s">
        <v>4989</v>
      </c>
      <c r="J876" t="s">
        <v>126</v>
      </c>
      <c r="K876" t="s">
        <v>1853</v>
      </c>
      <c r="L876" t="s">
        <v>128</v>
      </c>
      <c r="M876" t="s">
        <v>1854</v>
      </c>
      <c r="N876" t="s">
        <v>4990</v>
      </c>
      <c r="O876" t="s">
        <v>167</v>
      </c>
      <c r="P876">
        <v>0</v>
      </c>
      <c r="Q876" t="s">
        <v>125</v>
      </c>
      <c r="R876">
        <v>6</v>
      </c>
      <c r="S876">
        <v>29</v>
      </c>
      <c r="T876" t="s">
        <v>132</v>
      </c>
      <c r="U876" t="s">
        <v>133</v>
      </c>
      <c r="V876" s="1">
        <v>1000</v>
      </c>
      <c r="W876">
        <v>0</v>
      </c>
      <c r="X876" s="1">
        <v>1000</v>
      </c>
      <c r="Y876">
        <v>3</v>
      </c>
      <c r="Z876">
        <v>0</v>
      </c>
      <c r="AA876">
        <v>3</v>
      </c>
      <c r="AB876">
        <v>0</v>
      </c>
      <c r="AC876">
        <v>13</v>
      </c>
      <c r="AD876" t="s">
        <v>134</v>
      </c>
      <c r="AE876" t="s">
        <v>134</v>
      </c>
      <c r="AF876" s="2">
        <v>45518</v>
      </c>
      <c r="AG876" s="2">
        <v>46013</v>
      </c>
      <c r="AH876">
        <v>194.67</v>
      </c>
      <c r="AI876">
        <v>231.9</v>
      </c>
      <c r="AJ876">
        <v>584.02</v>
      </c>
      <c r="AK876">
        <v>0</v>
      </c>
      <c r="AL876">
        <v>0</v>
      </c>
      <c r="AM876">
        <v>0</v>
      </c>
      <c r="AN876" t="s">
        <v>135</v>
      </c>
      <c r="AO876" t="s">
        <v>135</v>
      </c>
      <c r="AP876" t="s">
        <v>136</v>
      </c>
      <c r="AQ876" t="s">
        <v>137</v>
      </c>
      <c r="AR876" t="s">
        <v>138</v>
      </c>
      <c r="AS876" t="s">
        <v>139</v>
      </c>
      <c r="AT876" t="s">
        <v>140</v>
      </c>
      <c r="AU876">
        <v>103</v>
      </c>
      <c r="AV876">
        <v>10</v>
      </c>
      <c r="AW876">
        <v>1</v>
      </c>
      <c r="AX876" s="2">
        <v>45843</v>
      </c>
      <c r="AY876" t="s">
        <v>160</v>
      </c>
      <c r="AZ876" s="2">
        <v>46025</v>
      </c>
      <c r="BA876">
        <v>0</v>
      </c>
      <c r="BB876">
        <v>0</v>
      </c>
      <c r="BC876">
        <v>0</v>
      </c>
      <c r="BD876">
        <v>700</v>
      </c>
      <c r="BE876">
        <v>70</v>
      </c>
      <c r="BF876">
        <v>9</v>
      </c>
      <c r="BG876" s="2">
        <v>45536</v>
      </c>
      <c r="BH876" t="s">
        <v>142</v>
      </c>
      <c r="BI876" s="2">
        <v>46026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156.34</v>
      </c>
      <c r="BQ876">
        <v>156.34</v>
      </c>
      <c r="BR876">
        <v>0</v>
      </c>
      <c r="BS876">
        <v>0</v>
      </c>
      <c r="BT876">
        <v>0</v>
      </c>
      <c r="BU876">
        <v>0</v>
      </c>
      <c r="BV876">
        <v>231.9</v>
      </c>
      <c r="BW876">
        <v>231.9</v>
      </c>
      <c r="BX876">
        <v>0</v>
      </c>
      <c r="BY876">
        <v>0</v>
      </c>
      <c r="BZ876">
        <v>0</v>
      </c>
      <c r="CA876">
        <v>0</v>
      </c>
      <c r="CB876">
        <v>166.81</v>
      </c>
      <c r="CC876" t="s">
        <v>161</v>
      </c>
    </row>
    <row r="877" spans="1:81" x14ac:dyDescent="0.25">
      <c r="A877">
        <v>345</v>
      </c>
      <c r="B877">
        <v>2</v>
      </c>
      <c r="C877">
        <v>2496</v>
      </c>
      <c r="D877" t="s">
        <v>4991</v>
      </c>
      <c r="E877" t="s">
        <v>121</v>
      </c>
      <c r="F877" t="s">
        <v>4992</v>
      </c>
      <c r="G877" t="s">
        <v>4993</v>
      </c>
      <c r="H877" t="s">
        <v>4994</v>
      </c>
      <c r="I877" t="s">
        <v>4995</v>
      </c>
      <c r="J877" t="s">
        <v>4996</v>
      </c>
      <c r="K877" t="s">
        <v>1853</v>
      </c>
      <c r="L877" t="s">
        <v>128</v>
      </c>
      <c r="M877" t="s">
        <v>1854</v>
      </c>
      <c r="N877" t="s">
        <v>4997</v>
      </c>
      <c r="O877" t="s">
        <v>167</v>
      </c>
      <c r="P877">
        <v>0</v>
      </c>
      <c r="Q877" t="s">
        <v>125</v>
      </c>
      <c r="R877">
        <v>6</v>
      </c>
      <c r="S877">
        <v>33</v>
      </c>
      <c r="T877" t="s">
        <v>132</v>
      </c>
      <c r="U877" t="s">
        <v>133</v>
      </c>
      <c r="V877" s="1">
        <v>1800</v>
      </c>
      <c r="W877">
        <v>0</v>
      </c>
      <c r="X877" s="1">
        <v>1800</v>
      </c>
      <c r="Y877">
        <v>7</v>
      </c>
      <c r="Z877">
        <v>0</v>
      </c>
      <c r="AA877">
        <v>0</v>
      </c>
      <c r="AB877">
        <v>0</v>
      </c>
      <c r="AC877">
        <v>0</v>
      </c>
      <c r="AD877" t="s">
        <v>134</v>
      </c>
      <c r="AE877" t="s">
        <v>134</v>
      </c>
      <c r="AF877" s="2">
        <v>45518</v>
      </c>
      <c r="AG877" s="2">
        <v>46018</v>
      </c>
      <c r="AH877">
        <v>482.89</v>
      </c>
      <c r="AI877">
        <v>793.05</v>
      </c>
      <c r="AJ877" s="1">
        <v>3863.19</v>
      </c>
      <c r="AK877">
        <v>0</v>
      </c>
      <c r="AL877">
        <v>0</v>
      </c>
      <c r="AM877">
        <v>0</v>
      </c>
      <c r="AN877" t="s">
        <v>135</v>
      </c>
      <c r="AO877" t="s">
        <v>135</v>
      </c>
      <c r="AP877" t="s">
        <v>136</v>
      </c>
      <c r="AQ877" t="s">
        <v>137</v>
      </c>
      <c r="AR877" t="s">
        <v>138</v>
      </c>
      <c r="AS877" t="s">
        <v>139</v>
      </c>
      <c r="AT877" t="s">
        <v>140</v>
      </c>
      <c r="AU877">
        <v>103</v>
      </c>
      <c r="AV877">
        <v>10</v>
      </c>
      <c r="AW877">
        <v>1</v>
      </c>
      <c r="AX877" s="2">
        <v>45841</v>
      </c>
      <c r="AY877" t="s">
        <v>308</v>
      </c>
      <c r="AZ877" s="2">
        <v>46023</v>
      </c>
      <c r="BA877">
        <v>0</v>
      </c>
      <c r="BB877">
        <v>0</v>
      </c>
      <c r="BC877">
        <v>0</v>
      </c>
      <c r="BD877">
        <v>700</v>
      </c>
      <c r="BE877">
        <v>70</v>
      </c>
      <c r="BF877">
        <v>9</v>
      </c>
      <c r="BG877" s="2">
        <v>45536</v>
      </c>
      <c r="BH877" t="s">
        <v>142</v>
      </c>
      <c r="BI877" s="2">
        <v>46026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272.26</v>
      </c>
      <c r="BQ877">
        <v>272.26</v>
      </c>
      <c r="BR877">
        <v>0</v>
      </c>
      <c r="BS877">
        <v>0</v>
      </c>
      <c r="BT877">
        <v>0</v>
      </c>
      <c r="BU877">
        <v>0</v>
      </c>
      <c r="BV877" s="1">
        <v>2766.07</v>
      </c>
      <c r="BW877" s="1">
        <v>2766.07</v>
      </c>
      <c r="BX877">
        <v>0</v>
      </c>
      <c r="BY877">
        <v>0</v>
      </c>
      <c r="BZ877">
        <v>0</v>
      </c>
      <c r="CA877">
        <v>0</v>
      </c>
      <c r="CB877">
        <v>483.02</v>
      </c>
      <c r="CC877" t="s">
        <v>161</v>
      </c>
    </row>
    <row r="878" spans="1:81" x14ac:dyDescent="0.25">
      <c r="A878">
        <v>345</v>
      </c>
      <c r="B878">
        <v>2</v>
      </c>
      <c r="C878">
        <v>2512</v>
      </c>
      <c r="D878" t="s">
        <v>4998</v>
      </c>
      <c r="E878" t="s">
        <v>121</v>
      </c>
      <c r="F878" t="s">
        <v>4999</v>
      </c>
      <c r="G878" t="s">
        <v>5000</v>
      </c>
      <c r="H878" t="s">
        <v>5001</v>
      </c>
      <c r="I878" t="s">
        <v>5002</v>
      </c>
      <c r="J878" t="s">
        <v>126</v>
      </c>
      <c r="K878" t="s">
        <v>1853</v>
      </c>
      <c r="L878" t="s">
        <v>128</v>
      </c>
      <c r="M878" t="s">
        <v>1854</v>
      </c>
      <c r="N878" t="s">
        <v>5003</v>
      </c>
      <c r="O878" t="s">
        <v>167</v>
      </c>
      <c r="P878">
        <v>0</v>
      </c>
      <c r="Q878" t="s">
        <v>125</v>
      </c>
      <c r="R878">
        <v>3</v>
      </c>
      <c r="S878">
        <v>83</v>
      </c>
      <c r="T878" t="s">
        <v>132</v>
      </c>
      <c r="U878" t="s">
        <v>133</v>
      </c>
      <c r="V878" s="1">
        <v>1000</v>
      </c>
      <c r="W878">
        <v>0</v>
      </c>
      <c r="X878" s="1">
        <v>1000</v>
      </c>
      <c r="Y878">
        <v>7</v>
      </c>
      <c r="Z878">
        <v>0</v>
      </c>
      <c r="AA878">
        <v>0</v>
      </c>
      <c r="AB878">
        <v>0</v>
      </c>
      <c r="AC878">
        <v>0</v>
      </c>
      <c r="AD878" t="s">
        <v>134</v>
      </c>
      <c r="AE878" t="s">
        <v>134</v>
      </c>
      <c r="AF878" s="2">
        <v>45518</v>
      </c>
      <c r="AG878" s="2">
        <v>45999</v>
      </c>
      <c r="AH878">
        <v>186.41</v>
      </c>
      <c r="AI878">
        <v>262.2</v>
      </c>
      <c r="AJ878">
        <v>372.82</v>
      </c>
      <c r="AK878">
        <v>0</v>
      </c>
      <c r="AL878">
        <v>0</v>
      </c>
      <c r="AM878">
        <v>0</v>
      </c>
      <c r="AN878" t="s">
        <v>135</v>
      </c>
      <c r="AO878" t="s">
        <v>135</v>
      </c>
      <c r="AP878" t="s">
        <v>136</v>
      </c>
      <c r="AQ878" t="s">
        <v>137</v>
      </c>
      <c r="AR878" t="s">
        <v>138</v>
      </c>
      <c r="AS878" t="s">
        <v>139</v>
      </c>
      <c r="AT878" t="s">
        <v>140</v>
      </c>
      <c r="AU878">
        <v>103</v>
      </c>
      <c r="AV878">
        <v>10</v>
      </c>
      <c r="AW878">
        <v>1</v>
      </c>
      <c r="AX878" s="2">
        <v>45815</v>
      </c>
      <c r="AY878" t="s">
        <v>160</v>
      </c>
      <c r="AZ878" s="2">
        <v>46025</v>
      </c>
      <c r="BA878">
        <v>0</v>
      </c>
      <c r="BB878">
        <v>0</v>
      </c>
      <c r="BC878">
        <v>0</v>
      </c>
      <c r="BD878">
        <v>700</v>
      </c>
      <c r="BE878">
        <v>70</v>
      </c>
      <c r="BF878">
        <v>9</v>
      </c>
      <c r="BG878" s="2">
        <v>45809</v>
      </c>
      <c r="BH878" t="s">
        <v>142</v>
      </c>
      <c r="BI878" s="2">
        <v>46026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262.2</v>
      </c>
      <c r="BW878">
        <v>262.2</v>
      </c>
      <c r="BX878">
        <v>0</v>
      </c>
      <c r="BY878">
        <v>0</v>
      </c>
      <c r="BZ878">
        <v>0</v>
      </c>
      <c r="CA878">
        <v>0</v>
      </c>
      <c r="CB878">
        <v>209.87</v>
      </c>
      <c r="CC878" t="s">
        <v>161</v>
      </c>
    </row>
    <row r="879" spans="1:81" x14ac:dyDescent="0.25">
      <c r="A879">
        <v>345</v>
      </c>
      <c r="B879">
        <v>2</v>
      </c>
      <c r="C879">
        <v>2516</v>
      </c>
      <c r="D879" t="s">
        <v>5004</v>
      </c>
      <c r="E879" t="s">
        <v>121</v>
      </c>
      <c r="F879" t="s">
        <v>5005</v>
      </c>
      <c r="G879" t="s">
        <v>5006</v>
      </c>
      <c r="H879" t="s">
        <v>5007</v>
      </c>
      <c r="I879" t="s">
        <v>125</v>
      </c>
      <c r="J879" t="s">
        <v>126</v>
      </c>
      <c r="K879" t="s">
        <v>1853</v>
      </c>
      <c r="L879" t="s">
        <v>128</v>
      </c>
      <c r="M879" t="s">
        <v>1854</v>
      </c>
      <c r="N879" t="s">
        <v>5008</v>
      </c>
      <c r="O879" t="s">
        <v>1146</v>
      </c>
      <c r="P879">
        <v>0</v>
      </c>
      <c r="Q879" t="s">
        <v>125</v>
      </c>
      <c r="R879">
        <v>4</v>
      </c>
      <c r="S879">
        <v>79</v>
      </c>
      <c r="T879" t="s">
        <v>132</v>
      </c>
      <c r="U879" t="s">
        <v>133</v>
      </c>
      <c r="V879" s="1">
        <v>1000</v>
      </c>
      <c r="W879">
        <v>352.1</v>
      </c>
      <c r="X879">
        <v>647.9</v>
      </c>
      <c r="Y879">
        <v>7</v>
      </c>
      <c r="Z879">
        <v>0</v>
      </c>
      <c r="AA879">
        <v>6</v>
      </c>
      <c r="AB879">
        <v>0</v>
      </c>
      <c r="AC879">
        <v>0</v>
      </c>
      <c r="AD879" t="s">
        <v>134</v>
      </c>
      <c r="AE879" t="s">
        <v>134</v>
      </c>
      <c r="AF879" s="2">
        <v>45518</v>
      </c>
      <c r="AG879" s="2">
        <v>46021</v>
      </c>
      <c r="AH879">
        <v>487.72</v>
      </c>
      <c r="AI879">
        <v>598.46</v>
      </c>
      <c r="AJ879" s="1">
        <v>1950.9</v>
      </c>
      <c r="AK879">
        <v>0</v>
      </c>
      <c r="AL879">
        <v>352.1</v>
      </c>
      <c r="AM879">
        <v>0</v>
      </c>
      <c r="AN879" t="s">
        <v>135</v>
      </c>
      <c r="AO879" t="s">
        <v>135</v>
      </c>
      <c r="AP879" t="s">
        <v>136</v>
      </c>
      <c r="AQ879" t="s">
        <v>137</v>
      </c>
      <c r="AR879" t="s">
        <v>138</v>
      </c>
      <c r="AS879" t="s">
        <v>150</v>
      </c>
      <c r="AT879" t="s">
        <v>140</v>
      </c>
      <c r="AU879">
        <v>103</v>
      </c>
      <c r="AV879">
        <v>10</v>
      </c>
      <c r="AW879">
        <v>1</v>
      </c>
      <c r="AX879" s="2">
        <v>45889</v>
      </c>
      <c r="AY879" t="s">
        <v>168</v>
      </c>
      <c r="AZ879" s="2">
        <v>46022</v>
      </c>
      <c r="BA879">
        <v>0</v>
      </c>
      <c r="BB879">
        <v>0</v>
      </c>
      <c r="BC879">
        <v>0</v>
      </c>
      <c r="BD879">
        <v>999</v>
      </c>
      <c r="BE879">
        <v>99</v>
      </c>
      <c r="BF879">
        <v>9</v>
      </c>
      <c r="BG879" t="s">
        <v>135</v>
      </c>
      <c r="BH879" t="s">
        <v>250</v>
      </c>
      <c r="BI879" t="s">
        <v>135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6</v>
      </c>
      <c r="BT879">
        <v>6</v>
      </c>
      <c r="BU879">
        <v>352.1</v>
      </c>
      <c r="BV879">
        <v>0</v>
      </c>
      <c r="BW879">
        <v>352.1</v>
      </c>
      <c r="BX879">
        <v>352.1</v>
      </c>
      <c r="BY879">
        <v>100</v>
      </c>
      <c r="BZ879">
        <v>0</v>
      </c>
      <c r="CA879">
        <v>0</v>
      </c>
      <c r="CB879">
        <v>673.42</v>
      </c>
      <c r="CC879" t="s">
        <v>161</v>
      </c>
    </row>
    <row r="880" spans="1:81" x14ac:dyDescent="0.25">
      <c r="A880">
        <v>345</v>
      </c>
      <c r="B880">
        <v>2</v>
      </c>
      <c r="C880">
        <v>2517</v>
      </c>
      <c r="D880" t="s">
        <v>5009</v>
      </c>
      <c r="E880" t="s">
        <v>121</v>
      </c>
      <c r="F880" t="s">
        <v>5010</v>
      </c>
      <c r="G880" t="s">
        <v>5011</v>
      </c>
      <c r="H880" t="s">
        <v>5012</v>
      </c>
      <c r="I880" t="s">
        <v>125</v>
      </c>
      <c r="J880" t="s">
        <v>126</v>
      </c>
      <c r="K880" t="s">
        <v>1853</v>
      </c>
      <c r="L880" t="s">
        <v>128</v>
      </c>
      <c r="M880" t="s">
        <v>1854</v>
      </c>
      <c r="N880" t="s">
        <v>5013</v>
      </c>
      <c r="O880" t="s">
        <v>167</v>
      </c>
      <c r="P880">
        <v>0</v>
      </c>
      <c r="Q880" t="s">
        <v>125</v>
      </c>
      <c r="R880">
        <v>6</v>
      </c>
      <c r="S880">
        <v>35</v>
      </c>
      <c r="T880" t="s">
        <v>132</v>
      </c>
      <c r="U880" t="s">
        <v>133</v>
      </c>
      <c r="V880" s="1">
        <v>1000</v>
      </c>
      <c r="W880">
        <v>0</v>
      </c>
      <c r="X880" s="1">
        <v>1000</v>
      </c>
      <c r="Y880">
        <v>7</v>
      </c>
      <c r="Z880">
        <v>0</v>
      </c>
      <c r="AA880">
        <v>0</v>
      </c>
      <c r="AB880">
        <v>0</v>
      </c>
      <c r="AC880">
        <v>0</v>
      </c>
      <c r="AD880" t="s">
        <v>134</v>
      </c>
      <c r="AE880" t="s">
        <v>134</v>
      </c>
      <c r="AF880" s="2">
        <v>45518</v>
      </c>
      <c r="AG880" s="2">
        <v>46010</v>
      </c>
      <c r="AH880">
        <v>54.18</v>
      </c>
      <c r="AI880">
        <v>54.88</v>
      </c>
      <c r="AJ880">
        <v>108.36</v>
      </c>
      <c r="AK880">
        <v>0</v>
      </c>
      <c r="AL880">
        <v>0</v>
      </c>
      <c r="AM880">
        <v>0</v>
      </c>
      <c r="AN880" t="s">
        <v>135</v>
      </c>
      <c r="AO880" t="s">
        <v>135</v>
      </c>
      <c r="AP880" t="s">
        <v>136</v>
      </c>
      <c r="AQ880" t="s">
        <v>137</v>
      </c>
      <c r="AR880" t="s">
        <v>138</v>
      </c>
      <c r="AS880" t="s">
        <v>139</v>
      </c>
      <c r="AT880" t="s">
        <v>140</v>
      </c>
      <c r="AU880">
        <v>103</v>
      </c>
      <c r="AV880">
        <v>10</v>
      </c>
      <c r="AW880">
        <v>1</v>
      </c>
      <c r="AX880" s="2">
        <v>45813</v>
      </c>
      <c r="AY880" t="s">
        <v>308</v>
      </c>
      <c r="AZ880" s="2">
        <v>46023</v>
      </c>
      <c r="BA880">
        <v>0</v>
      </c>
      <c r="BB880">
        <v>0</v>
      </c>
      <c r="BC880">
        <v>0</v>
      </c>
      <c r="BD880">
        <v>700</v>
      </c>
      <c r="BE880">
        <v>70</v>
      </c>
      <c r="BF880">
        <v>9</v>
      </c>
      <c r="BG880" s="2">
        <v>45536</v>
      </c>
      <c r="BH880" t="s">
        <v>142</v>
      </c>
      <c r="BI880" s="2">
        <v>46026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54.88</v>
      </c>
      <c r="BW880">
        <v>54.88</v>
      </c>
      <c r="BX880">
        <v>0</v>
      </c>
      <c r="BY880">
        <v>0</v>
      </c>
      <c r="BZ880">
        <v>0</v>
      </c>
      <c r="CA880">
        <v>0</v>
      </c>
      <c r="CB880">
        <v>35.65</v>
      </c>
      <c r="CC880" t="s">
        <v>161</v>
      </c>
    </row>
    <row r="881" spans="1:81" x14ac:dyDescent="0.25">
      <c r="A881">
        <v>345</v>
      </c>
      <c r="B881">
        <v>2</v>
      </c>
      <c r="C881">
        <v>2520</v>
      </c>
      <c r="D881" t="s">
        <v>5014</v>
      </c>
      <c r="E881" t="s">
        <v>121</v>
      </c>
      <c r="F881" t="s">
        <v>5015</v>
      </c>
      <c r="G881" t="s">
        <v>5016</v>
      </c>
      <c r="H881" t="s">
        <v>5017</v>
      </c>
      <c r="I881" t="s">
        <v>5018</v>
      </c>
      <c r="J881" t="s">
        <v>4569</v>
      </c>
      <c r="K881" t="s">
        <v>1853</v>
      </c>
      <c r="L881" t="s">
        <v>128</v>
      </c>
      <c r="M881" t="s">
        <v>1854</v>
      </c>
      <c r="N881" t="s">
        <v>5019</v>
      </c>
      <c r="O881" t="s">
        <v>201</v>
      </c>
      <c r="P881">
        <v>0</v>
      </c>
      <c r="Q881" t="s">
        <v>125</v>
      </c>
      <c r="R881">
        <v>6</v>
      </c>
      <c r="S881">
        <v>42</v>
      </c>
      <c r="T881" t="s">
        <v>132</v>
      </c>
      <c r="U881" t="s">
        <v>133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134</v>
      </c>
      <c r="AE881" t="s">
        <v>134</v>
      </c>
      <c r="AF881" s="2">
        <v>45518</v>
      </c>
      <c r="AG881" s="2">
        <v>45988</v>
      </c>
      <c r="AH881">
        <v>195.36</v>
      </c>
      <c r="AI881">
        <v>222.49</v>
      </c>
      <c r="AJ881">
        <v>586.08000000000004</v>
      </c>
      <c r="AK881">
        <v>0</v>
      </c>
      <c r="AL881">
        <v>0</v>
      </c>
      <c r="AM881">
        <v>0</v>
      </c>
      <c r="AN881" t="s">
        <v>135</v>
      </c>
      <c r="AO881" t="s">
        <v>135</v>
      </c>
      <c r="AP881" t="s">
        <v>136</v>
      </c>
      <c r="AQ881" t="s">
        <v>137</v>
      </c>
      <c r="AR881" t="s">
        <v>138</v>
      </c>
      <c r="AS881" t="s">
        <v>150</v>
      </c>
      <c r="AT881" t="s">
        <v>140</v>
      </c>
      <c r="AU881">
        <v>103</v>
      </c>
      <c r="AV881">
        <v>10</v>
      </c>
      <c r="AW881">
        <v>1</v>
      </c>
      <c r="AX881" s="2">
        <v>45819</v>
      </c>
      <c r="AY881" t="s">
        <v>168</v>
      </c>
      <c r="AZ881" s="2">
        <v>46022</v>
      </c>
      <c r="BA881">
        <v>0</v>
      </c>
      <c r="BB881">
        <v>0</v>
      </c>
      <c r="BC881">
        <v>0</v>
      </c>
      <c r="BD881">
        <v>700</v>
      </c>
      <c r="BE881">
        <v>70</v>
      </c>
      <c r="BF881">
        <v>9</v>
      </c>
      <c r="BG881" s="2">
        <v>45536</v>
      </c>
      <c r="BH881" t="s">
        <v>142</v>
      </c>
      <c r="BI881" s="2">
        <v>46026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442.54</v>
      </c>
      <c r="BQ881">
        <v>442.54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236.9</v>
      </c>
      <c r="CC881" t="s">
        <v>143</v>
      </c>
    </row>
    <row r="882" spans="1:81" x14ac:dyDescent="0.25">
      <c r="A882">
        <v>345</v>
      </c>
      <c r="B882">
        <v>2</v>
      </c>
      <c r="C882">
        <v>2523</v>
      </c>
      <c r="D882" t="s">
        <v>5020</v>
      </c>
      <c r="E882" t="s">
        <v>121</v>
      </c>
      <c r="F882" t="s">
        <v>5021</v>
      </c>
      <c r="G882" t="s">
        <v>5022</v>
      </c>
      <c r="H882" t="s">
        <v>5023</v>
      </c>
      <c r="I882" t="s">
        <v>125</v>
      </c>
      <c r="J882" t="s">
        <v>5024</v>
      </c>
      <c r="K882" t="s">
        <v>1853</v>
      </c>
      <c r="L882" t="s">
        <v>128</v>
      </c>
      <c r="M882" t="s">
        <v>1854</v>
      </c>
      <c r="N882" t="s">
        <v>5025</v>
      </c>
      <c r="O882" t="s">
        <v>167</v>
      </c>
      <c r="P882">
        <v>0</v>
      </c>
      <c r="Q882" t="s">
        <v>125</v>
      </c>
      <c r="R882">
        <v>6</v>
      </c>
      <c r="S882">
        <v>35</v>
      </c>
      <c r="T882" t="s">
        <v>132</v>
      </c>
      <c r="U882" t="s">
        <v>133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134</v>
      </c>
      <c r="AE882" t="s">
        <v>134</v>
      </c>
      <c r="AF882" s="2">
        <v>45518</v>
      </c>
      <c r="AG882" s="2">
        <v>46003</v>
      </c>
      <c r="AH882">
        <v>693.89</v>
      </c>
      <c r="AI882" s="1">
        <v>1001.79</v>
      </c>
      <c r="AJ882" s="1">
        <v>4857.24</v>
      </c>
      <c r="AK882">
        <v>0</v>
      </c>
      <c r="AL882">
        <v>0</v>
      </c>
      <c r="AM882">
        <v>0</v>
      </c>
      <c r="AN882" t="s">
        <v>135</v>
      </c>
      <c r="AO882" t="s">
        <v>135</v>
      </c>
      <c r="AP882" t="s">
        <v>136</v>
      </c>
      <c r="AQ882" t="s">
        <v>137</v>
      </c>
      <c r="AR882" t="s">
        <v>138</v>
      </c>
      <c r="AS882" t="s">
        <v>139</v>
      </c>
      <c r="AT882" t="s">
        <v>140</v>
      </c>
      <c r="AU882">
        <v>500</v>
      </c>
      <c r="AV882">
        <v>10</v>
      </c>
      <c r="AW882">
        <v>1</v>
      </c>
      <c r="AX882" s="2">
        <v>45841</v>
      </c>
      <c r="AY882" t="s">
        <v>308</v>
      </c>
      <c r="AZ882" s="2">
        <v>46023</v>
      </c>
      <c r="BA882">
        <v>0</v>
      </c>
      <c r="BB882">
        <v>0</v>
      </c>
      <c r="BC882">
        <v>0</v>
      </c>
      <c r="BD882">
        <v>700</v>
      </c>
      <c r="BE882">
        <v>70</v>
      </c>
      <c r="BF882">
        <v>9</v>
      </c>
      <c r="BG882" s="2">
        <v>45536</v>
      </c>
      <c r="BH882" t="s">
        <v>142</v>
      </c>
      <c r="BI882" s="2">
        <v>46026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s="1">
        <v>1665.96</v>
      </c>
      <c r="BQ882" s="1">
        <v>1665.96</v>
      </c>
      <c r="BR882">
        <v>0</v>
      </c>
      <c r="BS882">
        <v>0</v>
      </c>
      <c r="BT882">
        <v>0</v>
      </c>
      <c r="BU882">
        <v>0</v>
      </c>
      <c r="BV882" s="1">
        <v>1477.73</v>
      </c>
      <c r="BW882" s="1">
        <v>1477.73</v>
      </c>
      <c r="BX882">
        <v>0</v>
      </c>
      <c r="BY882">
        <v>0</v>
      </c>
      <c r="BZ882">
        <v>0</v>
      </c>
      <c r="CA882">
        <v>0</v>
      </c>
      <c r="CB882" s="1">
        <v>1373.11</v>
      </c>
      <c r="CC882" t="s">
        <v>161</v>
      </c>
    </row>
    <row r="883" spans="1:81" x14ac:dyDescent="0.25">
      <c r="A883">
        <v>345</v>
      </c>
      <c r="B883">
        <v>2</v>
      </c>
      <c r="C883">
        <v>2531</v>
      </c>
      <c r="D883" t="s">
        <v>5026</v>
      </c>
      <c r="E883" t="s">
        <v>121</v>
      </c>
      <c r="F883" t="s">
        <v>5027</v>
      </c>
      <c r="G883" t="s">
        <v>5028</v>
      </c>
      <c r="H883" t="s">
        <v>5029</v>
      </c>
      <c r="I883" t="s">
        <v>125</v>
      </c>
      <c r="J883" t="s">
        <v>126</v>
      </c>
      <c r="K883" t="s">
        <v>1853</v>
      </c>
      <c r="L883" t="s">
        <v>128</v>
      </c>
      <c r="M883" t="s">
        <v>1854</v>
      </c>
      <c r="N883" t="s">
        <v>5030</v>
      </c>
      <c r="O883" t="s">
        <v>195</v>
      </c>
      <c r="P883">
        <v>0</v>
      </c>
      <c r="Q883" t="s">
        <v>125</v>
      </c>
      <c r="R883">
        <v>6</v>
      </c>
      <c r="S883">
        <v>40</v>
      </c>
      <c r="T883" t="s">
        <v>132</v>
      </c>
      <c r="U883" t="s">
        <v>133</v>
      </c>
      <c r="V883" s="1">
        <v>1000</v>
      </c>
      <c r="W883">
        <v>0</v>
      </c>
      <c r="X883" s="1">
        <v>1000</v>
      </c>
      <c r="Y883">
        <v>7</v>
      </c>
      <c r="Z883">
        <v>0</v>
      </c>
      <c r="AA883">
        <v>5</v>
      </c>
      <c r="AB883">
        <v>0</v>
      </c>
      <c r="AC883">
        <v>4</v>
      </c>
      <c r="AD883" t="s">
        <v>134</v>
      </c>
      <c r="AE883" t="s">
        <v>134</v>
      </c>
      <c r="AF883" s="2">
        <v>45518</v>
      </c>
      <c r="AG883" s="2">
        <v>46009</v>
      </c>
      <c r="AH883">
        <v>468.16</v>
      </c>
      <c r="AI883">
        <v>710.33</v>
      </c>
      <c r="AJ883" s="1">
        <v>5149.78</v>
      </c>
      <c r="AK883">
        <v>0</v>
      </c>
      <c r="AL883">
        <v>0</v>
      </c>
      <c r="AM883">
        <v>0</v>
      </c>
      <c r="AN883" t="s">
        <v>135</v>
      </c>
      <c r="AO883" t="s">
        <v>135</v>
      </c>
      <c r="AP883" t="s">
        <v>136</v>
      </c>
      <c r="AQ883" t="s">
        <v>137</v>
      </c>
      <c r="AR883" t="s">
        <v>138</v>
      </c>
      <c r="AS883" t="s">
        <v>150</v>
      </c>
      <c r="AT883" t="s">
        <v>140</v>
      </c>
      <c r="AU883">
        <v>103</v>
      </c>
      <c r="AV883">
        <v>10</v>
      </c>
      <c r="AW883">
        <v>1</v>
      </c>
      <c r="AX883" s="2">
        <v>45840</v>
      </c>
      <c r="AY883" t="s">
        <v>168</v>
      </c>
      <c r="AZ883" s="2">
        <v>46022</v>
      </c>
      <c r="BA883">
        <v>0</v>
      </c>
      <c r="BB883">
        <v>0</v>
      </c>
      <c r="BC883">
        <v>0</v>
      </c>
      <c r="BD883">
        <v>700</v>
      </c>
      <c r="BE883">
        <v>70</v>
      </c>
      <c r="BF883">
        <v>9</v>
      </c>
      <c r="BG883" s="2">
        <v>45536</v>
      </c>
      <c r="BH883" t="s">
        <v>142</v>
      </c>
      <c r="BI883" s="2">
        <v>46026</v>
      </c>
      <c r="BJ883">
        <v>0</v>
      </c>
      <c r="BK883">
        <v>0</v>
      </c>
      <c r="BL883">
        <v>0</v>
      </c>
      <c r="BM883">
        <v>4</v>
      </c>
      <c r="BN883">
        <v>4</v>
      </c>
      <c r="BO883" s="1">
        <v>1454.73</v>
      </c>
      <c r="BP883">
        <v>0</v>
      </c>
      <c r="BQ883" s="1">
        <v>1454.73</v>
      </c>
      <c r="BR883">
        <v>265.5</v>
      </c>
      <c r="BS883">
        <v>4</v>
      </c>
      <c r="BT883">
        <v>4</v>
      </c>
      <c r="BU883" s="1">
        <v>1385.56</v>
      </c>
      <c r="BV883">
        <v>0</v>
      </c>
      <c r="BW883" s="1">
        <v>1385.56</v>
      </c>
      <c r="BX883">
        <v>0</v>
      </c>
      <c r="BY883">
        <v>0</v>
      </c>
      <c r="BZ883">
        <v>0</v>
      </c>
      <c r="CA883">
        <v>0</v>
      </c>
      <c r="CB883" s="1">
        <v>1847.41</v>
      </c>
      <c r="CC883" t="s">
        <v>161</v>
      </c>
    </row>
    <row r="884" spans="1:81" x14ac:dyDescent="0.25">
      <c r="A884">
        <v>345</v>
      </c>
      <c r="B884">
        <v>2</v>
      </c>
      <c r="C884">
        <v>2537</v>
      </c>
      <c r="D884" t="s">
        <v>5031</v>
      </c>
      <c r="E884" t="s">
        <v>121</v>
      </c>
      <c r="F884" t="s">
        <v>5032</v>
      </c>
      <c r="G884" t="s">
        <v>5033</v>
      </c>
      <c r="H884" t="s">
        <v>5034</v>
      </c>
      <c r="I884" t="s">
        <v>125</v>
      </c>
      <c r="J884" t="s">
        <v>5035</v>
      </c>
      <c r="K884" t="s">
        <v>1853</v>
      </c>
      <c r="L884" t="s">
        <v>128</v>
      </c>
      <c r="M884" t="s">
        <v>1854</v>
      </c>
      <c r="N884" t="s">
        <v>5036</v>
      </c>
      <c r="O884" t="s">
        <v>167</v>
      </c>
      <c r="P884">
        <v>0</v>
      </c>
      <c r="Q884" t="s">
        <v>125</v>
      </c>
      <c r="R884">
        <v>6</v>
      </c>
      <c r="S884">
        <v>34</v>
      </c>
      <c r="T884" t="s">
        <v>132</v>
      </c>
      <c r="U884" t="s">
        <v>133</v>
      </c>
      <c r="V884" s="1">
        <v>1500</v>
      </c>
      <c r="W884">
        <v>0</v>
      </c>
      <c r="X884" s="1">
        <v>1500</v>
      </c>
      <c r="Y884">
        <v>7</v>
      </c>
      <c r="Z884">
        <v>0</v>
      </c>
      <c r="AA884">
        <v>7</v>
      </c>
      <c r="AB884">
        <v>0</v>
      </c>
      <c r="AC884">
        <v>0</v>
      </c>
      <c r="AD884" t="s">
        <v>134</v>
      </c>
      <c r="AE884" t="s">
        <v>134</v>
      </c>
      <c r="AF884" s="2">
        <v>45518</v>
      </c>
      <c r="AG884" s="2">
        <v>46018</v>
      </c>
      <c r="AH884">
        <v>450.97</v>
      </c>
      <c r="AI884" s="1">
        <v>1984.52</v>
      </c>
      <c r="AJ884" s="1">
        <v>3607.76</v>
      </c>
      <c r="AK884">
        <v>0</v>
      </c>
      <c r="AL884">
        <v>0</v>
      </c>
      <c r="AM884">
        <v>0</v>
      </c>
      <c r="AN884" t="s">
        <v>135</v>
      </c>
      <c r="AO884" t="s">
        <v>135</v>
      </c>
      <c r="AP884" t="s">
        <v>136</v>
      </c>
      <c r="AQ884" t="s">
        <v>137</v>
      </c>
      <c r="AR884" t="s">
        <v>138</v>
      </c>
      <c r="AS884" t="s">
        <v>139</v>
      </c>
      <c r="AT884" t="s">
        <v>140</v>
      </c>
      <c r="AU884">
        <v>103</v>
      </c>
      <c r="AV884">
        <v>10</v>
      </c>
      <c r="AW884">
        <v>1</v>
      </c>
      <c r="AX884" s="2">
        <v>45819</v>
      </c>
      <c r="AY884" t="s">
        <v>168</v>
      </c>
      <c r="AZ884" s="2">
        <v>46022</v>
      </c>
      <c r="BA884">
        <v>0</v>
      </c>
      <c r="BB884">
        <v>0</v>
      </c>
      <c r="BC884">
        <v>0</v>
      </c>
      <c r="BD884">
        <v>700</v>
      </c>
      <c r="BE884">
        <v>70</v>
      </c>
      <c r="BF884">
        <v>9</v>
      </c>
      <c r="BG884" s="2">
        <v>45536</v>
      </c>
      <c r="BH884" t="s">
        <v>142</v>
      </c>
      <c r="BI884" s="2">
        <v>46026</v>
      </c>
      <c r="BJ884">
        <v>0</v>
      </c>
      <c r="BK884">
        <v>0</v>
      </c>
      <c r="BL884">
        <v>0</v>
      </c>
      <c r="BM884">
        <v>7</v>
      </c>
      <c r="BN884">
        <v>0.55000000000000004</v>
      </c>
      <c r="BO884">
        <v>181.59</v>
      </c>
      <c r="BP884" s="1">
        <v>2127.42</v>
      </c>
      <c r="BQ884" s="1">
        <v>2309.0100000000002</v>
      </c>
      <c r="BR884">
        <v>181.59</v>
      </c>
      <c r="BS884">
        <v>7</v>
      </c>
      <c r="BT884">
        <v>3.36</v>
      </c>
      <c r="BU884">
        <v>312.08999999999997</v>
      </c>
      <c r="BV884">
        <v>338.84</v>
      </c>
      <c r="BW884">
        <v>650.92999999999995</v>
      </c>
      <c r="BX884">
        <v>0</v>
      </c>
      <c r="BY884">
        <v>0</v>
      </c>
      <c r="BZ884">
        <v>0</v>
      </c>
      <c r="CA884">
        <v>0</v>
      </c>
      <c r="CB884" s="1">
        <v>1984.87</v>
      </c>
      <c r="CC884" t="s">
        <v>161</v>
      </c>
    </row>
    <row r="885" spans="1:81" x14ac:dyDescent="0.25">
      <c r="A885">
        <v>345</v>
      </c>
      <c r="B885">
        <v>2</v>
      </c>
      <c r="C885">
        <v>2551</v>
      </c>
      <c r="D885" t="s">
        <v>5037</v>
      </c>
      <c r="E885" t="s">
        <v>121</v>
      </c>
      <c r="F885" t="s">
        <v>5038</v>
      </c>
      <c r="G885" t="s">
        <v>5039</v>
      </c>
      <c r="H885" t="s">
        <v>5040</v>
      </c>
      <c r="I885" t="s">
        <v>125</v>
      </c>
      <c r="J885" t="s">
        <v>126</v>
      </c>
      <c r="K885" t="s">
        <v>1853</v>
      </c>
      <c r="L885" t="s">
        <v>128</v>
      </c>
      <c r="M885" t="s">
        <v>1854</v>
      </c>
      <c r="N885" t="s">
        <v>5041</v>
      </c>
      <c r="O885" t="s">
        <v>167</v>
      </c>
      <c r="P885">
        <v>0</v>
      </c>
      <c r="Q885" t="s">
        <v>125</v>
      </c>
      <c r="R885">
        <v>6</v>
      </c>
      <c r="S885">
        <v>37</v>
      </c>
      <c r="T885" t="s">
        <v>132</v>
      </c>
      <c r="U885" t="s">
        <v>133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134</v>
      </c>
      <c r="AE885" t="s">
        <v>134</v>
      </c>
      <c r="AF885" s="2">
        <v>45518</v>
      </c>
      <c r="AG885" s="2">
        <v>46020</v>
      </c>
      <c r="AH885" s="1">
        <v>6771.9</v>
      </c>
      <c r="AI885" s="1">
        <v>17367.7</v>
      </c>
      <c r="AJ885" s="1">
        <v>81262.880000000005</v>
      </c>
      <c r="AK885">
        <v>0</v>
      </c>
      <c r="AL885">
        <v>0</v>
      </c>
      <c r="AM885">
        <v>0</v>
      </c>
      <c r="AN885" t="s">
        <v>135</v>
      </c>
      <c r="AO885" t="s">
        <v>135</v>
      </c>
      <c r="AP885" t="s">
        <v>136</v>
      </c>
      <c r="AQ885" t="s">
        <v>137</v>
      </c>
      <c r="AR885" t="s">
        <v>138</v>
      </c>
      <c r="AS885" t="s">
        <v>139</v>
      </c>
      <c r="AT885" t="s">
        <v>140</v>
      </c>
      <c r="AU885">
        <v>103</v>
      </c>
      <c r="AV885">
        <v>10</v>
      </c>
      <c r="AW885">
        <v>1</v>
      </c>
      <c r="AX885" s="2">
        <v>45815</v>
      </c>
      <c r="AY885" t="s">
        <v>160</v>
      </c>
      <c r="AZ885" s="2">
        <v>46025</v>
      </c>
      <c r="BA885">
        <v>0</v>
      </c>
      <c r="BB885">
        <v>0</v>
      </c>
      <c r="BC885">
        <v>0</v>
      </c>
      <c r="BD885">
        <v>700</v>
      </c>
      <c r="BE885">
        <v>70</v>
      </c>
      <c r="BF885">
        <v>9</v>
      </c>
      <c r="BG885" s="2">
        <v>45536</v>
      </c>
      <c r="BH885" t="s">
        <v>142</v>
      </c>
      <c r="BI885" s="2">
        <v>46026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s="1">
        <v>6852.38</v>
      </c>
      <c r="BQ885" s="1">
        <v>6852.38</v>
      </c>
      <c r="BR885">
        <v>0</v>
      </c>
      <c r="BS885">
        <v>0</v>
      </c>
      <c r="BT885">
        <v>0</v>
      </c>
      <c r="BU885">
        <v>0</v>
      </c>
      <c r="BV885" s="1">
        <v>61721.94</v>
      </c>
      <c r="BW885" s="1">
        <v>61721.94</v>
      </c>
      <c r="BX885">
        <v>0</v>
      </c>
      <c r="BY885">
        <v>0</v>
      </c>
      <c r="BZ885">
        <v>0</v>
      </c>
      <c r="CA885">
        <v>0</v>
      </c>
      <c r="CB885" s="1">
        <v>13538.63</v>
      </c>
      <c r="CC885" t="s">
        <v>161</v>
      </c>
    </row>
    <row r="886" spans="1:81" x14ac:dyDescent="0.25">
      <c r="A886">
        <v>345</v>
      </c>
      <c r="B886">
        <v>2</v>
      </c>
      <c r="C886">
        <v>2553</v>
      </c>
      <c r="D886" t="s">
        <v>5042</v>
      </c>
      <c r="E886" t="s">
        <v>121</v>
      </c>
      <c r="F886" t="s">
        <v>5043</v>
      </c>
      <c r="G886" t="s">
        <v>5044</v>
      </c>
      <c r="H886" t="s">
        <v>5045</v>
      </c>
      <c r="I886" t="s">
        <v>125</v>
      </c>
      <c r="J886" t="s">
        <v>126</v>
      </c>
      <c r="K886" t="s">
        <v>1853</v>
      </c>
      <c r="L886" t="s">
        <v>128</v>
      </c>
      <c r="M886" t="s">
        <v>5046</v>
      </c>
      <c r="N886" t="s">
        <v>5047</v>
      </c>
      <c r="O886" t="s">
        <v>131</v>
      </c>
      <c r="P886">
        <v>0</v>
      </c>
      <c r="Q886" t="s">
        <v>125</v>
      </c>
      <c r="R886">
        <v>6</v>
      </c>
      <c r="S886">
        <v>40</v>
      </c>
      <c r="T886" t="s">
        <v>132</v>
      </c>
      <c r="U886" t="s">
        <v>133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134</v>
      </c>
      <c r="AE886" t="s">
        <v>134</v>
      </c>
      <c r="AF886" s="2">
        <v>45518</v>
      </c>
      <c r="AG886" s="2">
        <v>46014</v>
      </c>
      <c r="AH886">
        <v>692.17</v>
      </c>
      <c r="AI886" s="1">
        <v>1280.71</v>
      </c>
      <c r="AJ886" s="1">
        <v>8306.07</v>
      </c>
      <c r="AK886">
        <v>0</v>
      </c>
      <c r="AL886">
        <v>0</v>
      </c>
      <c r="AM886">
        <v>0</v>
      </c>
      <c r="AN886" t="s">
        <v>135</v>
      </c>
      <c r="AO886" t="s">
        <v>135</v>
      </c>
      <c r="AP886" t="s">
        <v>136</v>
      </c>
      <c r="AQ886" t="s">
        <v>137</v>
      </c>
      <c r="AR886" t="s">
        <v>138</v>
      </c>
      <c r="AS886" t="s">
        <v>139</v>
      </c>
      <c r="AT886" t="s">
        <v>140</v>
      </c>
      <c r="AU886">
        <v>103</v>
      </c>
      <c r="AV886">
        <v>10</v>
      </c>
      <c r="AW886">
        <v>1</v>
      </c>
      <c r="AX886" s="2">
        <v>45824</v>
      </c>
      <c r="AY886" t="s">
        <v>141</v>
      </c>
      <c r="AZ886" s="2">
        <v>46027</v>
      </c>
      <c r="BA886">
        <v>0</v>
      </c>
      <c r="BB886">
        <v>0</v>
      </c>
      <c r="BC886">
        <v>0</v>
      </c>
      <c r="BD886">
        <v>700</v>
      </c>
      <c r="BE886">
        <v>70</v>
      </c>
      <c r="BF886">
        <v>9</v>
      </c>
      <c r="BG886" s="2">
        <v>45536</v>
      </c>
      <c r="BH886" t="s">
        <v>142</v>
      </c>
      <c r="BI886" s="2">
        <v>46026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s="1">
        <v>2047.08</v>
      </c>
      <c r="BQ886" s="1">
        <v>2047.08</v>
      </c>
      <c r="BR886">
        <v>0</v>
      </c>
      <c r="BS886">
        <v>0</v>
      </c>
      <c r="BT886">
        <v>0</v>
      </c>
      <c r="BU886">
        <v>0</v>
      </c>
      <c r="BV886" s="1">
        <v>3913.11</v>
      </c>
      <c r="BW886" s="1">
        <v>3913.11</v>
      </c>
      <c r="BX886">
        <v>0</v>
      </c>
      <c r="BY886">
        <v>0</v>
      </c>
      <c r="BZ886">
        <v>0</v>
      </c>
      <c r="CA886">
        <v>0</v>
      </c>
      <c r="CB886" s="1">
        <v>2150.85</v>
      </c>
      <c r="CC886" t="s">
        <v>143</v>
      </c>
    </row>
    <row r="887" spans="1:81" x14ac:dyDescent="0.25">
      <c r="A887">
        <v>345</v>
      </c>
      <c r="B887">
        <v>2</v>
      </c>
      <c r="C887">
        <v>2557</v>
      </c>
      <c r="D887" t="s">
        <v>5048</v>
      </c>
      <c r="E887" t="s">
        <v>121</v>
      </c>
      <c r="F887" t="s">
        <v>5049</v>
      </c>
      <c r="G887" t="s">
        <v>5050</v>
      </c>
      <c r="H887" t="s">
        <v>5051</v>
      </c>
      <c r="I887" t="s">
        <v>125</v>
      </c>
      <c r="J887" t="s">
        <v>126</v>
      </c>
      <c r="K887" t="s">
        <v>1853</v>
      </c>
      <c r="L887" t="s">
        <v>128</v>
      </c>
      <c r="M887" t="s">
        <v>1854</v>
      </c>
      <c r="N887" t="s">
        <v>5052</v>
      </c>
      <c r="O887" t="s">
        <v>201</v>
      </c>
      <c r="P887">
        <v>0</v>
      </c>
      <c r="Q887" t="s">
        <v>125</v>
      </c>
      <c r="R887">
        <v>6</v>
      </c>
      <c r="S887">
        <v>45</v>
      </c>
      <c r="T887" t="s">
        <v>132</v>
      </c>
      <c r="U887" t="s">
        <v>133</v>
      </c>
      <c r="V887" s="1">
        <v>21200</v>
      </c>
      <c r="W887">
        <v>0</v>
      </c>
      <c r="X887" s="1">
        <v>21200</v>
      </c>
      <c r="Y887">
        <v>7</v>
      </c>
      <c r="Z887">
        <v>0</v>
      </c>
      <c r="AA887">
        <v>0</v>
      </c>
      <c r="AB887">
        <v>0</v>
      </c>
      <c r="AC887">
        <v>0</v>
      </c>
      <c r="AD887" t="s">
        <v>134</v>
      </c>
      <c r="AE887" t="s">
        <v>134</v>
      </c>
      <c r="AF887" s="2">
        <v>45518</v>
      </c>
      <c r="AG887" s="2">
        <v>46020</v>
      </c>
      <c r="AH887" s="1">
        <v>11520.08</v>
      </c>
      <c r="AI887" s="1">
        <v>30232.799999999999</v>
      </c>
      <c r="AJ887" s="1">
        <v>230401.62</v>
      </c>
      <c r="AK887">
        <v>0</v>
      </c>
      <c r="AL887">
        <v>0</v>
      </c>
      <c r="AM887">
        <v>0</v>
      </c>
      <c r="AN887" t="s">
        <v>135</v>
      </c>
      <c r="AO887" t="s">
        <v>135</v>
      </c>
      <c r="AP887" t="s">
        <v>136</v>
      </c>
      <c r="AQ887" t="s">
        <v>137</v>
      </c>
      <c r="AR887" t="s">
        <v>138</v>
      </c>
      <c r="AS887" t="s">
        <v>150</v>
      </c>
      <c r="AT887" t="s">
        <v>140</v>
      </c>
      <c r="AU887">
        <v>500</v>
      </c>
      <c r="AV887">
        <v>10</v>
      </c>
      <c r="AW887">
        <v>1</v>
      </c>
      <c r="AX887" s="2">
        <v>45863</v>
      </c>
      <c r="AY887" t="s">
        <v>151</v>
      </c>
      <c r="AZ887" s="2">
        <v>46024</v>
      </c>
      <c r="BA887">
        <v>0</v>
      </c>
      <c r="BB887">
        <v>0</v>
      </c>
      <c r="BC887">
        <v>0</v>
      </c>
      <c r="BD887">
        <v>700</v>
      </c>
      <c r="BE887">
        <v>70</v>
      </c>
      <c r="BF887">
        <v>9</v>
      </c>
      <c r="BG887" s="2">
        <v>45536</v>
      </c>
      <c r="BH887" t="s">
        <v>142</v>
      </c>
      <c r="BI887" s="2">
        <v>46026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s="1">
        <v>117823.28</v>
      </c>
      <c r="BQ887" s="1">
        <v>117823.28</v>
      </c>
      <c r="BR887">
        <v>0</v>
      </c>
      <c r="BS887">
        <v>0</v>
      </c>
      <c r="BT887">
        <v>0</v>
      </c>
      <c r="BU887">
        <v>0</v>
      </c>
      <c r="BV887" s="1">
        <v>57226.51</v>
      </c>
      <c r="BW887" s="1">
        <v>57226.51</v>
      </c>
      <c r="BX887">
        <v>0</v>
      </c>
      <c r="BY887">
        <v>0</v>
      </c>
      <c r="BZ887">
        <v>0</v>
      </c>
      <c r="CA887">
        <v>0</v>
      </c>
      <c r="CB887" s="1">
        <v>70527.08</v>
      </c>
      <c r="CC887" t="s">
        <v>143</v>
      </c>
    </row>
    <row r="888" spans="1:81" x14ac:dyDescent="0.25">
      <c r="A888">
        <v>345</v>
      </c>
      <c r="B888">
        <v>2</v>
      </c>
      <c r="C888">
        <v>2559</v>
      </c>
      <c r="D888" t="s">
        <v>5053</v>
      </c>
      <c r="E888" t="s">
        <v>121</v>
      </c>
      <c r="F888" t="s">
        <v>5054</v>
      </c>
      <c r="G888" t="s">
        <v>5055</v>
      </c>
      <c r="H888" t="s">
        <v>5056</v>
      </c>
      <c r="I888">
        <v>0</v>
      </c>
      <c r="J888" t="s">
        <v>126</v>
      </c>
      <c r="K888" t="s">
        <v>1853</v>
      </c>
      <c r="L888" t="s">
        <v>128</v>
      </c>
      <c r="M888" t="s">
        <v>5057</v>
      </c>
      <c r="N888" t="s">
        <v>5058</v>
      </c>
      <c r="O888" t="s">
        <v>131</v>
      </c>
      <c r="P888">
        <v>0</v>
      </c>
      <c r="Q888" t="s">
        <v>125</v>
      </c>
      <c r="R888">
        <v>3</v>
      </c>
      <c r="S888">
        <v>88</v>
      </c>
      <c r="T888" t="s">
        <v>132</v>
      </c>
      <c r="U888" t="s">
        <v>133</v>
      </c>
      <c r="V888" s="1">
        <v>1000</v>
      </c>
      <c r="W888">
        <v>0</v>
      </c>
      <c r="X888" s="1">
        <v>1000</v>
      </c>
      <c r="Y888">
        <v>7</v>
      </c>
      <c r="Z888">
        <v>0</v>
      </c>
      <c r="AA888">
        <v>0</v>
      </c>
      <c r="AB888">
        <v>0</v>
      </c>
      <c r="AC888">
        <v>0</v>
      </c>
      <c r="AD888" t="s">
        <v>134</v>
      </c>
      <c r="AE888" t="s">
        <v>134</v>
      </c>
      <c r="AF888" s="2">
        <v>45518</v>
      </c>
      <c r="AG888" s="2">
        <v>46021</v>
      </c>
      <c r="AH888">
        <v>217.04</v>
      </c>
      <c r="AI888">
        <v>463.8</v>
      </c>
      <c r="AJ888" s="1">
        <v>1953.43</v>
      </c>
      <c r="AK888">
        <v>0</v>
      </c>
      <c r="AL888">
        <v>0</v>
      </c>
      <c r="AM888">
        <v>0</v>
      </c>
      <c r="AN888" t="s">
        <v>135</v>
      </c>
      <c r="AO888" t="s">
        <v>135</v>
      </c>
      <c r="AP888" t="s">
        <v>136</v>
      </c>
      <c r="AQ888" t="s">
        <v>137</v>
      </c>
      <c r="AR888" t="s">
        <v>138</v>
      </c>
      <c r="AS888" t="s">
        <v>139</v>
      </c>
      <c r="AT888" t="s">
        <v>140</v>
      </c>
      <c r="AU888">
        <v>103</v>
      </c>
      <c r="AV888">
        <v>10</v>
      </c>
      <c r="AW888">
        <v>1</v>
      </c>
      <c r="AX888" s="2">
        <v>45810</v>
      </c>
      <c r="AY888" t="s">
        <v>141</v>
      </c>
      <c r="AZ888" s="2">
        <v>46027</v>
      </c>
      <c r="BA888">
        <v>0</v>
      </c>
      <c r="BB888">
        <v>0</v>
      </c>
      <c r="BC888">
        <v>0</v>
      </c>
      <c r="BD888">
        <v>700</v>
      </c>
      <c r="BE888">
        <v>70</v>
      </c>
      <c r="BF888">
        <v>9</v>
      </c>
      <c r="BG888" s="2">
        <v>45536</v>
      </c>
      <c r="BH888" t="s">
        <v>142</v>
      </c>
      <c r="BI888" s="2">
        <v>46026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578.26</v>
      </c>
      <c r="BQ888">
        <v>578.26</v>
      </c>
      <c r="BR888">
        <v>0</v>
      </c>
      <c r="BS888">
        <v>0</v>
      </c>
      <c r="BT888">
        <v>0</v>
      </c>
      <c r="BU888">
        <v>0</v>
      </c>
      <c r="BV888">
        <v>363.73</v>
      </c>
      <c r="BW888">
        <v>363.73</v>
      </c>
      <c r="BX888">
        <v>0</v>
      </c>
      <c r="BY888">
        <v>0</v>
      </c>
      <c r="BZ888">
        <v>0</v>
      </c>
      <c r="CA888">
        <v>0</v>
      </c>
      <c r="CB888">
        <v>858.2</v>
      </c>
      <c r="CC888" t="s">
        <v>143</v>
      </c>
    </row>
    <row r="889" spans="1:81" x14ac:dyDescent="0.25">
      <c r="A889">
        <v>345</v>
      </c>
      <c r="B889">
        <v>2</v>
      </c>
      <c r="C889">
        <v>2566</v>
      </c>
      <c r="D889" t="s">
        <v>5059</v>
      </c>
      <c r="E889" t="s">
        <v>121</v>
      </c>
      <c r="F889" t="s">
        <v>361</v>
      </c>
      <c r="G889" t="s">
        <v>5060</v>
      </c>
      <c r="H889" t="s">
        <v>5061</v>
      </c>
      <c r="I889" t="s">
        <v>125</v>
      </c>
      <c r="J889" t="s">
        <v>126</v>
      </c>
      <c r="K889" t="s">
        <v>1853</v>
      </c>
      <c r="L889" t="s">
        <v>128</v>
      </c>
      <c r="M889" t="s">
        <v>5062</v>
      </c>
      <c r="N889" t="s">
        <v>5063</v>
      </c>
      <c r="O889" t="s">
        <v>201</v>
      </c>
      <c r="P889">
        <v>0</v>
      </c>
      <c r="Q889" t="s">
        <v>125</v>
      </c>
      <c r="R889">
        <v>3</v>
      </c>
      <c r="S889">
        <v>88</v>
      </c>
      <c r="T889" t="s">
        <v>132</v>
      </c>
      <c r="U889" t="s">
        <v>133</v>
      </c>
      <c r="V889" s="1">
        <v>1000</v>
      </c>
      <c r="W889">
        <v>0</v>
      </c>
      <c r="X889" s="1">
        <v>1000</v>
      </c>
      <c r="Y889">
        <v>7</v>
      </c>
      <c r="Z889">
        <v>0</v>
      </c>
      <c r="AA889">
        <v>0</v>
      </c>
      <c r="AB889">
        <v>0</v>
      </c>
      <c r="AC889">
        <v>0</v>
      </c>
      <c r="AD889" t="s">
        <v>134</v>
      </c>
      <c r="AE889" t="s">
        <v>134</v>
      </c>
      <c r="AF889" s="2">
        <v>45518</v>
      </c>
      <c r="AG889" s="2">
        <v>46021</v>
      </c>
      <c r="AH889">
        <v>176.03</v>
      </c>
      <c r="AI889">
        <v>235.66</v>
      </c>
      <c r="AJ889">
        <v>704.14</v>
      </c>
      <c r="AK889">
        <v>0</v>
      </c>
      <c r="AL889">
        <v>0</v>
      </c>
      <c r="AM889">
        <v>0</v>
      </c>
      <c r="AN889" t="s">
        <v>135</v>
      </c>
      <c r="AO889" t="s">
        <v>135</v>
      </c>
      <c r="AP889" t="s">
        <v>136</v>
      </c>
      <c r="AQ889" t="s">
        <v>137</v>
      </c>
      <c r="AR889" t="s">
        <v>138</v>
      </c>
      <c r="AS889" t="s">
        <v>139</v>
      </c>
      <c r="AT889" t="s">
        <v>140</v>
      </c>
      <c r="AU889">
        <v>103</v>
      </c>
      <c r="AV889">
        <v>10</v>
      </c>
      <c r="AW889">
        <v>1</v>
      </c>
      <c r="AX889" s="2">
        <v>45810</v>
      </c>
      <c r="AY889" t="s">
        <v>141</v>
      </c>
      <c r="AZ889" s="2">
        <v>46027</v>
      </c>
      <c r="BA889">
        <v>0</v>
      </c>
      <c r="BB889">
        <v>0</v>
      </c>
      <c r="BC889">
        <v>0</v>
      </c>
      <c r="BD889">
        <v>700</v>
      </c>
      <c r="BE889">
        <v>70</v>
      </c>
      <c r="BF889">
        <v>9</v>
      </c>
      <c r="BG889" s="2">
        <v>45536</v>
      </c>
      <c r="BH889" t="s">
        <v>142</v>
      </c>
      <c r="BI889" s="2">
        <v>46026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365.86</v>
      </c>
      <c r="BQ889">
        <v>365.86</v>
      </c>
      <c r="BR889">
        <v>0</v>
      </c>
      <c r="BS889">
        <v>0</v>
      </c>
      <c r="BT889">
        <v>0</v>
      </c>
      <c r="BU889">
        <v>0</v>
      </c>
      <c r="BV889">
        <v>133.56</v>
      </c>
      <c r="BW889">
        <v>133.56</v>
      </c>
      <c r="BX889">
        <v>0</v>
      </c>
      <c r="BY889">
        <v>0</v>
      </c>
      <c r="BZ889">
        <v>0</v>
      </c>
      <c r="CA889">
        <v>0</v>
      </c>
      <c r="CB889">
        <v>233.31</v>
      </c>
      <c r="CC889" t="s">
        <v>143</v>
      </c>
    </row>
    <row r="890" spans="1:81" x14ac:dyDescent="0.25">
      <c r="A890">
        <v>345</v>
      </c>
      <c r="B890">
        <v>2</v>
      </c>
      <c r="C890">
        <v>2568</v>
      </c>
      <c r="D890" t="s">
        <v>5064</v>
      </c>
      <c r="E890" t="s">
        <v>121</v>
      </c>
      <c r="F890" t="s">
        <v>5065</v>
      </c>
      <c r="G890" t="s">
        <v>4040</v>
      </c>
      <c r="H890" t="s">
        <v>5066</v>
      </c>
      <c r="I890" t="s">
        <v>125</v>
      </c>
      <c r="J890" t="s">
        <v>126</v>
      </c>
      <c r="K890" t="s">
        <v>1853</v>
      </c>
      <c r="L890" t="s">
        <v>128</v>
      </c>
      <c r="M890" t="s">
        <v>5062</v>
      </c>
      <c r="N890" t="s">
        <v>5067</v>
      </c>
      <c r="O890" t="s">
        <v>201</v>
      </c>
      <c r="P890">
        <v>0</v>
      </c>
      <c r="Q890" t="s">
        <v>125</v>
      </c>
      <c r="R890">
        <v>6</v>
      </c>
      <c r="S890">
        <v>42</v>
      </c>
      <c r="T890" t="s">
        <v>132</v>
      </c>
      <c r="U890" t="s">
        <v>133</v>
      </c>
      <c r="V890" s="1">
        <v>5000</v>
      </c>
      <c r="W890">
        <v>0</v>
      </c>
      <c r="X890" s="1">
        <v>5000</v>
      </c>
      <c r="Y890">
        <v>7</v>
      </c>
      <c r="Z890">
        <v>0</v>
      </c>
      <c r="AA890">
        <v>0</v>
      </c>
      <c r="AB890">
        <v>0</v>
      </c>
      <c r="AC890">
        <v>0</v>
      </c>
      <c r="AD890" t="s">
        <v>134</v>
      </c>
      <c r="AE890" t="s">
        <v>134</v>
      </c>
      <c r="AF890" s="2">
        <v>45518</v>
      </c>
      <c r="AG890" s="2">
        <v>46014</v>
      </c>
      <c r="AH890" s="1">
        <v>3928.01</v>
      </c>
      <c r="AI890" s="1">
        <v>9837.91</v>
      </c>
      <c r="AJ890" s="1">
        <v>39280.129999999997</v>
      </c>
      <c r="AK890">
        <v>0</v>
      </c>
      <c r="AL890">
        <v>0</v>
      </c>
      <c r="AM890">
        <v>0</v>
      </c>
      <c r="AN890" t="s">
        <v>135</v>
      </c>
      <c r="AO890" t="s">
        <v>135</v>
      </c>
      <c r="AP890" t="s">
        <v>136</v>
      </c>
      <c r="AQ890" t="s">
        <v>137</v>
      </c>
      <c r="AR890" t="s">
        <v>138</v>
      </c>
      <c r="AS890" t="s">
        <v>150</v>
      </c>
      <c r="AT890" t="s">
        <v>140</v>
      </c>
      <c r="AU890">
        <v>103</v>
      </c>
      <c r="AV890">
        <v>10</v>
      </c>
      <c r="AW890">
        <v>1</v>
      </c>
      <c r="AX890" s="2">
        <v>45824</v>
      </c>
      <c r="AY890" t="s">
        <v>141</v>
      </c>
      <c r="AZ890" s="2">
        <v>46027</v>
      </c>
      <c r="BA890">
        <v>0</v>
      </c>
      <c r="BB890">
        <v>0</v>
      </c>
      <c r="BC890">
        <v>0</v>
      </c>
      <c r="BD890">
        <v>700</v>
      </c>
      <c r="BE890">
        <v>70</v>
      </c>
      <c r="BF890">
        <v>9</v>
      </c>
      <c r="BG890" s="2">
        <v>45536</v>
      </c>
      <c r="BH890" t="s">
        <v>142</v>
      </c>
      <c r="BI890" s="2">
        <v>46026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s="1">
        <v>8730.9699999999993</v>
      </c>
      <c r="BQ890" s="1">
        <v>8730.9699999999993</v>
      </c>
      <c r="BR890">
        <v>0</v>
      </c>
      <c r="BS890">
        <v>0</v>
      </c>
      <c r="BT890">
        <v>0</v>
      </c>
      <c r="BU890">
        <v>0</v>
      </c>
      <c r="BV890" s="1">
        <v>22287.33</v>
      </c>
      <c r="BW890" s="1">
        <v>22287.33</v>
      </c>
      <c r="BX890">
        <v>0</v>
      </c>
      <c r="BY890">
        <v>0</v>
      </c>
      <c r="BZ890">
        <v>0</v>
      </c>
      <c r="CA890">
        <v>0</v>
      </c>
      <c r="CB890" s="1">
        <v>7355.93</v>
      </c>
      <c r="CC890" t="s">
        <v>339</v>
      </c>
    </row>
    <row r="891" spans="1:81" x14ac:dyDescent="0.25">
      <c r="A891">
        <v>345</v>
      </c>
      <c r="B891">
        <v>2</v>
      </c>
      <c r="C891">
        <v>2569</v>
      </c>
      <c r="D891" t="s">
        <v>5068</v>
      </c>
      <c r="E891" t="s">
        <v>121</v>
      </c>
      <c r="F891" t="s">
        <v>5069</v>
      </c>
      <c r="G891" t="s">
        <v>5070</v>
      </c>
      <c r="H891" t="s">
        <v>4983</v>
      </c>
      <c r="I891" t="s">
        <v>125</v>
      </c>
      <c r="J891" t="s">
        <v>126</v>
      </c>
      <c r="K891" t="s">
        <v>1853</v>
      </c>
      <c r="L891" t="s">
        <v>128</v>
      </c>
      <c r="M891" t="s">
        <v>5062</v>
      </c>
      <c r="N891" t="s">
        <v>5071</v>
      </c>
      <c r="O891" t="s">
        <v>3269</v>
      </c>
      <c r="P891">
        <v>0</v>
      </c>
      <c r="Q891" t="s">
        <v>125</v>
      </c>
      <c r="R891">
        <v>2</v>
      </c>
      <c r="S891">
        <v>91</v>
      </c>
      <c r="T891" t="s">
        <v>132</v>
      </c>
      <c r="U891" t="s">
        <v>133</v>
      </c>
      <c r="V891" s="1">
        <v>4100</v>
      </c>
      <c r="W891">
        <v>0</v>
      </c>
      <c r="X891" s="1">
        <v>4100</v>
      </c>
      <c r="Y891">
        <v>7</v>
      </c>
      <c r="Z891">
        <v>0</v>
      </c>
      <c r="AA891">
        <v>0</v>
      </c>
      <c r="AB891">
        <v>0</v>
      </c>
      <c r="AC891">
        <v>0</v>
      </c>
      <c r="AD891" t="s">
        <v>134</v>
      </c>
      <c r="AE891" t="s">
        <v>134</v>
      </c>
      <c r="AF891" s="2">
        <v>45518</v>
      </c>
      <c r="AG891" s="2">
        <v>46021</v>
      </c>
      <c r="AH891" s="1">
        <v>2040.33</v>
      </c>
      <c r="AI891" s="1">
        <v>3928.27</v>
      </c>
      <c r="AJ891" s="1">
        <v>26524.37</v>
      </c>
      <c r="AK891">
        <v>0</v>
      </c>
      <c r="AL891">
        <v>0</v>
      </c>
      <c r="AM891">
        <v>0</v>
      </c>
      <c r="AN891" t="s">
        <v>135</v>
      </c>
      <c r="AO891" t="s">
        <v>135</v>
      </c>
      <c r="AP891" t="s">
        <v>136</v>
      </c>
      <c r="AQ891" t="s">
        <v>137</v>
      </c>
      <c r="AR891" t="s">
        <v>138</v>
      </c>
      <c r="AS891" t="s">
        <v>139</v>
      </c>
      <c r="AT891" t="s">
        <v>140</v>
      </c>
      <c r="AU891">
        <v>103</v>
      </c>
      <c r="AV891">
        <v>10</v>
      </c>
      <c r="AW891">
        <v>1</v>
      </c>
      <c r="AX891" s="2">
        <v>45824</v>
      </c>
      <c r="AY891" t="s">
        <v>141</v>
      </c>
      <c r="AZ891" s="2">
        <v>46027</v>
      </c>
      <c r="BA891">
        <v>0</v>
      </c>
      <c r="BB891">
        <v>0</v>
      </c>
      <c r="BC891">
        <v>0</v>
      </c>
      <c r="BD891">
        <v>700</v>
      </c>
      <c r="BE891">
        <v>70</v>
      </c>
      <c r="BF891">
        <v>9</v>
      </c>
      <c r="BG891" s="2">
        <v>45536</v>
      </c>
      <c r="BH891" t="s">
        <v>142</v>
      </c>
      <c r="BI891" s="2">
        <v>46026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s="1">
        <v>10847.77</v>
      </c>
      <c r="BQ891" s="1">
        <v>10847.77</v>
      </c>
      <c r="BR891">
        <v>0</v>
      </c>
      <c r="BS891">
        <v>0</v>
      </c>
      <c r="BT891">
        <v>0</v>
      </c>
      <c r="BU891">
        <v>0</v>
      </c>
      <c r="BV891" s="1">
        <v>11645.32</v>
      </c>
      <c r="BW891" s="1">
        <v>11645.32</v>
      </c>
      <c r="BX891">
        <v>0</v>
      </c>
      <c r="BY891">
        <v>0</v>
      </c>
      <c r="BZ891">
        <v>0</v>
      </c>
      <c r="CA891">
        <v>0</v>
      </c>
      <c r="CB891" s="1">
        <v>8734.1200000000008</v>
      </c>
      <c r="CC891" t="s">
        <v>5072</v>
      </c>
    </row>
    <row r="892" spans="1:81" x14ac:dyDescent="0.25">
      <c r="A892">
        <v>345</v>
      </c>
      <c r="B892">
        <v>2</v>
      </c>
      <c r="C892">
        <v>2576</v>
      </c>
      <c r="D892" t="s">
        <v>5073</v>
      </c>
      <c r="E892" t="s">
        <v>121</v>
      </c>
      <c r="F892" t="s">
        <v>5074</v>
      </c>
      <c r="G892" t="s">
        <v>5075</v>
      </c>
      <c r="H892" t="s">
        <v>5076</v>
      </c>
      <c r="I892" t="s">
        <v>125</v>
      </c>
      <c r="J892" t="s">
        <v>4569</v>
      </c>
      <c r="K892" t="s">
        <v>1853</v>
      </c>
      <c r="L892" t="s">
        <v>128</v>
      </c>
      <c r="M892" t="s">
        <v>5077</v>
      </c>
      <c r="N892" t="s">
        <v>5078</v>
      </c>
      <c r="O892" t="s">
        <v>149</v>
      </c>
      <c r="P892">
        <v>0</v>
      </c>
      <c r="Q892" t="s">
        <v>125</v>
      </c>
      <c r="R892">
        <v>2</v>
      </c>
      <c r="S892">
        <v>91</v>
      </c>
      <c r="T892" t="s">
        <v>132</v>
      </c>
      <c r="U892" t="s">
        <v>133</v>
      </c>
      <c r="V892" s="1">
        <v>5000</v>
      </c>
      <c r="W892">
        <v>0</v>
      </c>
      <c r="X892" s="1">
        <v>5000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134</v>
      </c>
      <c r="AE892" t="s">
        <v>134</v>
      </c>
      <c r="AF892" s="2">
        <v>45518</v>
      </c>
      <c r="AG892" s="2">
        <v>46021</v>
      </c>
      <c r="AH892" s="1">
        <v>6373.96</v>
      </c>
      <c r="AI892" s="1">
        <v>15345</v>
      </c>
      <c r="AJ892" s="1">
        <v>76487.58</v>
      </c>
      <c r="AK892">
        <v>0</v>
      </c>
      <c r="AL892">
        <v>0</v>
      </c>
      <c r="AM892">
        <v>0</v>
      </c>
      <c r="AN892" t="s">
        <v>135</v>
      </c>
      <c r="AO892" t="s">
        <v>135</v>
      </c>
      <c r="AP892" t="s">
        <v>136</v>
      </c>
      <c r="AQ892" t="s">
        <v>137</v>
      </c>
      <c r="AR892" t="s">
        <v>138</v>
      </c>
      <c r="AS892" t="s">
        <v>139</v>
      </c>
      <c r="AT892" t="s">
        <v>140</v>
      </c>
      <c r="AU892">
        <v>103</v>
      </c>
      <c r="AV892">
        <v>10</v>
      </c>
      <c r="AW892">
        <v>1</v>
      </c>
      <c r="AX892" s="2">
        <v>45854</v>
      </c>
      <c r="AY892" t="s">
        <v>168</v>
      </c>
      <c r="AZ892" s="2">
        <v>46022</v>
      </c>
      <c r="BA892">
        <v>0</v>
      </c>
      <c r="BB892">
        <v>0</v>
      </c>
      <c r="BC892">
        <v>0</v>
      </c>
      <c r="BD892">
        <v>700</v>
      </c>
      <c r="BE892">
        <v>70</v>
      </c>
      <c r="BF892">
        <v>9</v>
      </c>
      <c r="BG892" s="2">
        <v>45536</v>
      </c>
      <c r="BH892" t="s">
        <v>142</v>
      </c>
      <c r="BI892" s="2">
        <v>46026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s="1">
        <v>28869.279999999999</v>
      </c>
      <c r="BQ892" s="1">
        <v>28869.279999999999</v>
      </c>
      <c r="BR892">
        <v>0</v>
      </c>
      <c r="BS892">
        <v>0</v>
      </c>
      <c r="BT892">
        <v>0</v>
      </c>
      <c r="BU892">
        <v>0</v>
      </c>
      <c r="BV892" s="1">
        <v>29014.73</v>
      </c>
      <c r="BW892" s="1">
        <v>29014.73</v>
      </c>
      <c r="BX892">
        <v>0</v>
      </c>
      <c r="BY892">
        <v>0</v>
      </c>
      <c r="BZ892">
        <v>0</v>
      </c>
      <c r="CA892">
        <v>0</v>
      </c>
      <c r="CB892" s="1">
        <v>22408.33</v>
      </c>
      <c r="CC892" t="s">
        <v>152</v>
      </c>
    </row>
    <row r="893" spans="1:81" x14ac:dyDescent="0.25">
      <c r="A893">
        <v>345</v>
      </c>
      <c r="B893">
        <v>2</v>
      </c>
      <c r="C893">
        <v>2582</v>
      </c>
      <c r="D893" t="s">
        <v>5079</v>
      </c>
      <c r="E893" t="s">
        <v>121</v>
      </c>
      <c r="F893" t="s">
        <v>5080</v>
      </c>
      <c r="G893" t="s">
        <v>5081</v>
      </c>
      <c r="H893" t="s">
        <v>5082</v>
      </c>
      <c r="I893" t="s">
        <v>5083</v>
      </c>
      <c r="J893" t="s">
        <v>126</v>
      </c>
      <c r="K893" t="s">
        <v>1853</v>
      </c>
      <c r="L893" t="s">
        <v>128</v>
      </c>
      <c r="M893" t="s">
        <v>5062</v>
      </c>
      <c r="N893" t="s">
        <v>5084</v>
      </c>
      <c r="O893" t="s">
        <v>167</v>
      </c>
      <c r="P893">
        <v>0</v>
      </c>
      <c r="Q893" t="s">
        <v>125</v>
      </c>
      <c r="R893">
        <v>6</v>
      </c>
      <c r="S893">
        <v>38</v>
      </c>
      <c r="T893" t="s">
        <v>132</v>
      </c>
      <c r="U893" t="s">
        <v>133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134</v>
      </c>
      <c r="AE893" t="s">
        <v>134</v>
      </c>
      <c r="AF893" s="2">
        <v>45518</v>
      </c>
      <c r="AG893" s="2">
        <v>46021</v>
      </c>
      <c r="AH893" s="1">
        <v>6800.46</v>
      </c>
      <c r="AI893" s="1">
        <v>12410.34</v>
      </c>
      <c r="AJ893" s="1">
        <v>102007.03</v>
      </c>
      <c r="AK893" s="1">
        <v>11490.9</v>
      </c>
      <c r="AL893">
        <v>0</v>
      </c>
      <c r="AM893">
        <v>0</v>
      </c>
      <c r="AN893" t="s">
        <v>135</v>
      </c>
      <c r="AO893" t="s">
        <v>135</v>
      </c>
      <c r="AP893" t="s">
        <v>136</v>
      </c>
      <c r="AQ893" t="s">
        <v>137</v>
      </c>
      <c r="AR893" t="s">
        <v>138</v>
      </c>
      <c r="AS893" t="s">
        <v>139</v>
      </c>
      <c r="AT893" t="s">
        <v>140</v>
      </c>
      <c r="AU893">
        <v>103</v>
      </c>
      <c r="AV893">
        <v>10</v>
      </c>
      <c r="AW893">
        <v>1</v>
      </c>
      <c r="AX893" s="2">
        <v>45810</v>
      </c>
      <c r="AY893" t="s">
        <v>141</v>
      </c>
      <c r="AZ893" s="2">
        <v>46027</v>
      </c>
      <c r="BA893">
        <v>0</v>
      </c>
      <c r="BB893">
        <v>0</v>
      </c>
      <c r="BC893">
        <v>0</v>
      </c>
      <c r="BD893">
        <v>700</v>
      </c>
      <c r="BE893">
        <v>70</v>
      </c>
      <c r="BF893">
        <v>9</v>
      </c>
      <c r="BG893" s="2">
        <v>45536</v>
      </c>
      <c r="BH893" t="s">
        <v>142</v>
      </c>
      <c r="BI893" s="2">
        <v>46026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s="1">
        <v>36204.28</v>
      </c>
      <c r="BQ893" s="1">
        <v>36204.28</v>
      </c>
      <c r="BR893">
        <v>0</v>
      </c>
      <c r="BS893">
        <v>0</v>
      </c>
      <c r="BT893">
        <v>0</v>
      </c>
      <c r="BU893">
        <v>0</v>
      </c>
      <c r="BV893" s="1">
        <v>39449.35</v>
      </c>
      <c r="BW893" s="1">
        <v>39449.35</v>
      </c>
      <c r="BX893">
        <v>0</v>
      </c>
      <c r="BY893">
        <v>0</v>
      </c>
      <c r="BZ893">
        <v>0</v>
      </c>
      <c r="CA893">
        <v>0</v>
      </c>
      <c r="CB893" s="1">
        <v>31013.86</v>
      </c>
      <c r="CC893" t="s">
        <v>152</v>
      </c>
    </row>
    <row r="894" spans="1:81" x14ac:dyDescent="0.25">
      <c r="A894">
        <v>345</v>
      </c>
      <c r="B894">
        <v>2</v>
      </c>
      <c r="C894">
        <v>2584</v>
      </c>
      <c r="D894" t="s">
        <v>5085</v>
      </c>
      <c r="E894" t="s">
        <v>121</v>
      </c>
      <c r="F894" t="s">
        <v>5086</v>
      </c>
      <c r="G894" t="s">
        <v>5087</v>
      </c>
      <c r="H894" t="s">
        <v>5088</v>
      </c>
      <c r="I894" t="s">
        <v>5089</v>
      </c>
      <c r="J894" t="s">
        <v>126</v>
      </c>
      <c r="K894" t="s">
        <v>1853</v>
      </c>
      <c r="L894" t="s">
        <v>128</v>
      </c>
      <c r="M894" t="s">
        <v>5062</v>
      </c>
      <c r="N894" t="s">
        <v>5090</v>
      </c>
      <c r="O894" t="s">
        <v>167</v>
      </c>
      <c r="P894">
        <v>0</v>
      </c>
      <c r="Q894" t="s">
        <v>125</v>
      </c>
      <c r="R894">
        <v>3</v>
      </c>
      <c r="S894">
        <v>85</v>
      </c>
      <c r="T894" t="s">
        <v>132</v>
      </c>
      <c r="U894" t="s">
        <v>133</v>
      </c>
      <c r="V894" s="1">
        <v>1000</v>
      </c>
      <c r="W894">
        <v>0</v>
      </c>
      <c r="X894" s="1">
        <v>1000</v>
      </c>
      <c r="Y894">
        <v>7</v>
      </c>
      <c r="Z894">
        <v>0</v>
      </c>
      <c r="AA894">
        <v>0</v>
      </c>
      <c r="AB894">
        <v>0</v>
      </c>
      <c r="AC894">
        <v>0</v>
      </c>
      <c r="AD894" t="s">
        <v>134</v>
      </c>
      <c r="AE894" t="s">
        <v>134</v>
      </c>
      <c r="AF894" s="2">
        <v>45518</v>
      </c>
      <c r="AG894" s="2">
        <v>46007</v>
      </c>
      <c r="AH894">
        <v>489.9</v>
      </c>
      <c r="AI894">
        <v>683.41</v>
      </c>
      <c r="AJ894" s="1">
        <v>2449.54</v>
      </c>
      <c r="AK894">
        <v>0</v>
      </c>
      <c r="AL894">
        <v>0</v>
      </c>
      <c r="AM894">
        <v>0</v>
      </c>
      <c r="AN894" t="s">
        <v>135</v>
      </c>
      <c r="AO894" t="s">
        <v>135</v>
      </c>
      <c r="AP894" t="s">
        <v>136</v>
      </c>
      <c r="AQ894" t="s">
        <v>137</v>
      </c>
      <c r="AR894" t="s">
        <v>138</v>
      </c>
      <c r="AS894" t="s">
        <v>139</v>
      </c>
      <c r="AT894" t="s">
        <v>140</v>
      </c>
      <c r="AU894">
        <v>103</v>
      </c>
      <c r="AV894">
        <v>10</v>
      </c>
      <c r="AW894">
        <v>1</v>
      </c>
      <c r="AX894" s="2">
        <v>45824</v>
      </c>
      <c r="AY894" t="s">
        <v>141</v>
      </c>
      <c r="AZ894" s="2">
        <v>46027</v>
      </c>
      <c r="BA894">
        <v>0</v>
      </c>
      <c r="BB894">
        <v>0</v>
      </c>
      <c r="BC894">
        <v>0</v>
      </c>
      <c r="BD894">
        <v>700</v>
      </c>
      <c r="BE894">
        <v>70</v>
      </c>
      <c r="BF894">
        <v>9</v>
      </c>
      <c r="BG894" s="2">
        <v>45536</v>
      </c>
      <c r="BH894" t="s">
        <v>142</v>
      </c>
      <c r="BI894" s="2">
        <v>46026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930.45</v>
      </c>
      <c r="BQ894">
        <v>930.45</v>
      </c>
      <c r="BR894">
        <v>0</v>
      </c>
      <c r="BS894">
        <v>0</v>
      </c>
      <c r="BT894">
        <v>0</v>
      </c>
      <c r="BU894">
        <v>0</v>
      </c>
      <c r="BV894">
        <v>314.14999999999998</v>
      </c>
      <c r="BW894">
        <v>314.14999999999998</v>
      </c>
      <c r="BX894">
        <v>0</v>
      </c>
      <c r="BY894">
        <v>0</v>
      </c>
      <c r="BZ894">
        <v>0</v>
      </c>
      <c r="CA894">
        <v>0</v>
      </c>
      <c r="CB894">
        <v>818.4</v>
      </c>
      <c r="CC894" t="s">
        <v>161</v>
      </c>
    </row>
    <row r="895" spans="1:81" x14ac:dyDescent="0.25">
      <c r="A895">
        <v>345</v>
      </c>
      <c r="B895">
        <v>2</v>
      </c>
      <c r="C895">
        <v>2589</v>
      </c>
      <c r="D895" t="s">
        <v>5091</v>
      </c>
      <c r="E895" t="s">
        <v>121</v>
      </c>
      <c r="F895" t="s">
        <v>5092</v>
      </c>
      <c r="G895" t="s">
        <v>5093</v>
      </c>
      <c r="H895" t="s">
        <v>5094</v>
      </c>
      <c r="I895" t="s">
        <v>5095</v>
      </c>
      <c r="J895" t="s">
        <v>126</v>
      </c>
      <c r="K895" t="s">
        <v>1853</v>
      </c>
      <c r="L895" t="s">
        <v>128</v>
      </c>
      <c r="M895" t="s">
        <v>5096</v>
      </c>
      <c r="N895" t="s">
        <v>5097</v>
      </c>
      <c r="O895" t="s">
        <v>131</v>
      </c>
      <c r="P895">
        <v>0</v>
      </c>
      <c r="Q895" t="s">
        <v>125</v>
      </c>
      <c r="R895">
        <v>6</v>
      </c>
      <c r="S895">
        <v>38</v>
      </c>
      <c r="T895" t="s">
        <v>132</v>
      </c>
      <c r="U895" t="s">
        <v>133</v>
      </c>
      <c r="V895" s="1">
        <v>1100</v>
      </c>
      <c r="W895">
        <v>0</v>
      </c>
      <c r="X895" s="1">
        <v>1100</v>
      </c>
      <c r="Y895">
        <v>7</v>
      </c>
      <c r="Z895">
        <v>0</v>
      </c>
      <c r="AA895">
        <v>0</v>
      </c>
      <c r="AB895">
        <v>0</v>
      </c>
      <c r="AC895">
        <v>0</v>
      </c>
      <c r="AD895" t="s">
        <v>134</v>
      </c>
      <c r="AE895" t="s">
        <v>134</v>
      </c>
      <c r="AF895" s="2">
        <v>45518</v>
      </c>
      <c r="AG895" s="2">
        <v>46020</v>
      </c>
      <c r="AH895">
        <v>462.09</v>
      </c>
      <c r="AI895" s="1">
        <v>1116.32</v>
      </c>
      <c r="AJ895" s="1">
        <v>4158.8900000000003</v>
      </c>
      <c r="AK895">
        <v>0</v>
      </c>
      <c r="AL895">
        <v>0</v>
      </c>
      <c r="AM895">
        <v>0</v>
      </c>
      <c r="AN895" t="s">
        <v>135</v>
      </c>
      <c r="AO895" t="s">
        <v>135</v>
      </c>
      <c r="AP895" t="s">
        <v>136</v>
      </c>
      <c r="AQ895" t="s">
        <v>137</v>
      </c>
      <c r="AR895" t="s">
        <v>138</v>
      </c>
      <c r="AS895" t="s">
        <v>139</v>
      </c>
      <c r="AT895" t="s">
        <v>140</v>
      </c>
      <c r="AU895">
        <v>500</v>
      </c>
      <c r="AV895">
        <v>10</v>
      </c>
      <c r="AW895">
        <v>1</v>
      </c>
      <c r="AX895" s="2">
        <v>45863</v>
      </c>
      <c r="AY895" t="s">
        <v>151</v>
      </c>
      <c r="AZ895" s="2">
        <v>46024</v>
      </c>
      <c r="BA895">
        <v>0</v>
      </c>
      <c r="BB895">
        <v>0</v>
      </c>
      <c r="BC895">
        <v>0</v>
      </c>
      <c r="BD895">
        <v>700</v>
      </c>
      <c r="BE895">
        <v>70</v>
      </c>
      <c r="BF895">
        <v>9</v>
      </c>
      <c r="BG895" s="2">
        <v>45536</v>
      </c>
      <c r="BH895" t="s">
        <v>142</v>
      </c>
      <c r="BI895" s="2">
        <v>46026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s="1">
        <v>1281.8599999999999</v>
      </c>
      <c r="BQ895" s="1">
        <v>1281.8599999999999</v>
      </c>
      <c r="BR895">
        <v>0</v>
      </c>
      <c r="BS895">
        <v>0</v>
      </c>
      <c r="BT895">
        <v>0</v>
      </c>
      <c r="BU895">
        <v>0</v>
      </c>
      <c r="BV895" s="1">
        <v>1453.15</v>
      </c>
      <c r="BW895" s="1">
        <v>1453.15</v>
      </c>
      <c r="BX895">
        <v>0</v>
      </c>
      <c r="BY895">
        <v>0</v>
      </c>
      <c r="BZ895">
        <v>0</v>
      </c>
      <c r="CA895">
        <v>0</v>
      </c>
      <c r="CB895" s="1">
        <v>1447.16</v>
      </c>
      <c r="CC895" t="s">
        <v>143</v>
      </c>
    </row>
    <row r="896" spans="1:81" x14ac:dyDescent="0.25">
      <c r="A896">
        <v>345</v>
      </c>
      <c r="B896">
        <v>2</v>
      </c>
      <c r="C896">
        <v>2590</v>
      </c>
      <c r="D896" t="s">
        <v>5098</v>
      </c>
      <c r="E896" t="s">
        <v>121</v>
      </c>
      <c r="F896" t="s">
        <v>5099</v>
      </c>
      <c r="G896" t="s">
        <v>5100</v>
      </c>
      <c r="H896" t="s">
        <v>5101</v>
      </c>
      <c r="I896" t="s">
        <v>5095</v>
      </c>
      <c r="J896" t="s">
        <v>126</v>
      </c>
      <c r="K896" t="s">
        <v>1853</v>
      </c>
      <c r="L896" t="s">
        <v>128</v>
      </c>
      <c r="M896" t="s">
        <v>5062</v>
      </c>
      <c r="N896" t="s">
        <v>5102</v>
      </c>
      <c r="O896" t="s">
        <v>167</v>
      </c>
      <c r="P896">
        <v>0</v>
      </c>
      <c r="Q896" t="s">
        <v>125</v>
      </c>
      <c r="R896">
        <v>4</v>
      </c>
      <c r="S896">
        <v>78</v>
      </c>
      <c r="T896" t="s">
        <v>132</v>
      </c>
      <c r="U896" t="s">
        <v>133</v>
      </c>
      <c r="V896" s="1">
        <v>1000</v>
      </c>
      <c r="W896">
        <v>0</v>
      </c>
      <c r="X896" s="1">
        <v>1000</v>
      </c>
      <c r="Y896">
        <v>7</v>
      </c>
      <c r="Z896">
        <v>0</v>
      </c>
      <c r="AA896">
        <v>0</v>
      </c>
      <c r="AB896">
        <v>0</v>
      </c>
      <c r="AC896">
        <v>0</v>
      </c>
      <c r="AD896" t="s">
        <v>134</v>
      </c>
      <c r="AE896" t="s">
        <v>134</v>
      </c>
      <c r="AF896" s="2">
        <v>45518</v>
      </c>
      <c r="AG896" s="2">
        <v>45947</v>
      </c>
      <c r="AH896">
        <v>132.72</v>
      </c>
      <c r="AI896">
        <v>132.72</v>
      </c>
      <c r="AJ896">
        <v>132.72</v>
      </c>
      <c r="AK896">
        <v>0</v>
      </c>
      <c r="AL896">
        <v>0</v>
      </c>
      <c r="AM896">
        <v>0</v>
      </c>
      <c r="AN896" t="s">
        <v>135</v>
      </c>
      <c r="AO896" t="s">
        <v>135</v>
      </c>
      <c r="AP896" t="s">
        <v>136</v>
      </c>
      <c r="AQ896" t="s">
        <v>137</v>
      </c>
      <c r="AR896" t="s">
        <v>138</v>
      </c>
      <c r="AS896" t="s">
        <v>139</v>
      </c>
      <c r="AT896" t="s">
        <v>140</v>
      </c>
      <c r="AU896">
        <v>103</v>
      </c>
      <c r="AV896">
        <v>10</v>
      </c>
      <c r="AW896">
        <v>1</v>
      </c>
      <c r="AX896" s="2">
        <v>45820</v>
      </c>
      <c r="AY896" t="s">
        <v>308</v>
      </c>
      <c r="AZ896" s="2">
        <v>46023</v>
      </c>
      <c r="BA896">
        <v>0</v>
      </c>
      <c r="BB896">
        <v>0</v>
      </c>
      <c r="BC896">
        <v>0</v>
      </c>
      <c r="BD896">
        <v>999</v>
      </c>
      <c r="BE896">
        <v>99</v>
      </c>
      <c r="BF896">
        <v>9</v>
      </c>
      <c r="BG896" t="s">
        <v>135</v>
      </c>
      <c r="BH896" t="s">
        <v>250</v>
      </c>
      <c r="BI896" t="s">
        <v>135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64.5</v>
      </c>
      <c r="CC896" t="s">
        <v>161</v>
      </c>
    </row>
    <row r="897" spans="1:81" x14ac:dyDescent="0.25">
      <c r="A897">
        <v>345</v>
      </c>
      <c r="B897">
        <v>2</v>
      </c>
      <c r="C897">
        <v>2591</v>
      </c>
      <c r="D897" t="s">
        <v>5103</v>
      </c>
      <c r="E897" t="s">
        <v>121</v>
      </c>
      <c r="F897" t="s">
        <v>5104</v>
      </c>
      <c r="G897" t="s">
        <v>5105</v>
      </c>
      <c r="H897" t="s">
        <v>5106</v>
      </c>
      <c r="I897" t="s">
        <v>5089</v>
      </c>
      <c r="J897" t="s">
        <v>126</v>
      </c>
      <c r="K897" t="s">
        <v>1853</v>
      </c>
      <c r="L897" t="s">
        <v>128</v>
      </c>
      <c r="M897" t="s">
        <v>5107</v>
      </c>
      <c r="N897" t="s">
        <v>5108</v>
      </c>
      <c r="O897" t="s">
        <v>167</v>
      </c>
      <c r="P897">
        <v>0</v>
      </c>
      <c r="Q897" t="s">
        <v>125</v>
      </c>
      <c r="R897">
        <v>3</v>
      </c>
      <c r="S897">
        <v>87</v>
      </c>
      <c r="T897" t="s">
        <v>132</v>
      </c>
      <c r="U897" t="s">
        <v>133</v>
      </c>
      <c r="V897" s="1">
        <v>1000</v>
      </c>
      <c r="W897">
        <v>0</v>
      </c>
      <c r="X897" s="1">
        <v>1000</v>
      </c>
      <c r="Y897">
        <v>7</v>
      </c>
      <c r="Z897">
        <v>0</v>
      </c>
      <c r="AA897">
        <v>0</v>
      </c>
      <c r="AB897">
        <v>0</v>
      </c>
      <c r="AC897">
        <v>0</v>
      </c>
      <c r="AD897" t="s">
        <v>134</v>
      </c>
      <c r="AE897" t="s">
        <v>134</v>
      </c>
      <c r="AF897" s="2">
        <v>45518</v>
      </c>
      <c r="AG897" s="2">
        <v>45962</v>
      </c>
      <c r="AH897">
        <v>118.6</v>
      </c>
      <c r="AI897">
        <v>118.6</v>
      </c>
      <c r="AJ897">
        <v>118.6</v>
      </c>
      <c r="AK897">
        <v>0</v>
      </c>
      <c r="AL897">
        <v>0</v>
      </c>
      <c r="AM897">
        <v>0</v>
      </c>
      <c r="AN897" t="s">
        <v>135</v>
      </c>
      <c r="AO897" t="s">
        <v>135</v>
      </c>
      <c r="AP897" t="s">
        <v>136</v>
      </c>
      <c r="AQ897" t="s">
        <v>137</v>
      </c>
      <c r="AR897" t="s">
        <v>138</v>
      </c>
      <c r="AS897" t="s">
        <v>139</v>
      </c>
      <c r="AT897" t="s">
        <v>140</v>
      </c>
      <c r="AU897">
        <v>103</v>
      </c>
      <c r="AV897">
        <v>10</v>
      </c>
      <c r="AW897">
        <v>1</v>
      </c>
      <c r="AX897" s="2">
        <v>45856</v>
      </c>
      <c r="AY897" t="s">
        <v>151</v>
      </c>
      <c r="AZ897" s="2">
        <v>46024</v>
      </c>
      <c r="BA897">
        <v>0</v>
      </c>
      <c r="BB897">
        <v>0</v>
      </c>
      <c r="BC897">
        <v>0</v>
      </c>
      <c r="BD897">
        <v>700</v>
      </c>
      <c r="BE897">
        <v>70</v>
      </c>
      <c r="BF897">
        <v>9</v>
      </c>
      <c r="BG897" s="2">
        <v>45536</v>
      </c>
      <c r="BH897" t="s">
        <v>142</v>
      </c>
      <c r="BI897" s="2">
        <v>46026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118.6</v>
      </c>
      <c r="BQ897">
        <v>118.6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77.88</v>
      </c>
      <c r="CC897" t="s">
        <v>161</v>
      </c>
    </row>
    <row r="898" spans="1:81" x14ac:dyDescent="0.25">
      <c r="A898">
        <v>345</v>
      </c>
      <c r="B898">
        <v>2</v>
      </c>
      <c r="C898">
        <v>2597</v>
      </c>
      <c r="D898" t="s">
        <v>5109</v>
      </c>
      <c r="E898" t="s">
        <v>121</v>
      </c>
      <c r="F898" t="s">
        <v>5110</v>
      </c>
      <c r="G898" t="s">
        <v>5111</v>
      </c>
      <c r="H898" t="s">
        <v>5112</v>
      </c>
      <c r="I898" t="s">
        <v>125</v>
      </c>
      <c r="J898" t="s">
        <v>126</v>
      </c>
      <c r="K898" t="s">
        <v>1853</v>
      </c>
      <c r="L898" t="s">
        <v>128</v>
      </c>
      <c r="M898" t="s">
        <v>5062</v>
      </c>
      <c r="N898" t="s">
        <v>5113</v>
      </c>
      <c r="O898" t="s">
        <v>149</v>
      </c>
      <c r="P898">
        <v>0</v>
      </c>
      <c r="Q898" t="s">
        <v>125</v>
      </c>
      <c r="R898">
        <v>2</v>
      </c>
      <c r="S898">
        <v>90</v>
      </c>
      <c r="T898" t="s">
        <v>132</v>
      </c>
      <c r="U898" t="s">
        <v>133</v>
      </c>
      <c r="V898" s="1">
        <v>1700</v>
      </c>
      <c r="W898">
        <v>0</v>
      </c>
      <c r="X898" s="1">
        <v>1700</v>
      </c>
      <c r="Y898">
        <v>7</v>
      </c>
      <c r="Z898">
        <v>0</v>
      </c>
      <c r="AA898">
        <v>0</v>
      </c>
      <c r="AB898">
        <v>0</v>
      </c>
      <c r="AC898">
        <v>0</v>
      </c>
      <c r="AD898" t="s">
        <v>134</v>
      </c>
      <c r="AE898" t="s">
        <v>134</v>
      </c>
      <c r="AF898" s="2">
        <v>45518</v>
      </c>
      <c r="AG898" s="2">
        <v>46018</v>
      </c>
      <c r="AH898">
        <v>779.58</v>
      </c>
      <c r="AI898" s="1">
        <v>2577.2600000000002</v>
      </c>
      <c r="AJ898" s="1">
        <v>8575.39</v>
      </c>
      <c r="AK898">
        <v>0</v>
      </c>
      <c r="AL898">
        <v>0</v>
      </c>
      <c r="AM898">
        <v>0</v>
      </c>
      <c r="AN898" t="s">
        <v>135</v>
      </c>
      <c r="AO898" t="s">
        <v>135</v>
      </c>
      <c r="AP898" t="s">
        <v>136</v>
      </c>
      <c r="AQ898" t="s">
        <v>137</v>
      </c>
      <c r="AR898" t="s">
        <v>138</v>
      </c>
      <c r="AS898" t="s">
        <v>139</v>
      </c>
      <c r="AT898" t="s">
        <v>140</v>
      </c>
      <c r="AU898">
        <v>103</v>
      </c>
      <c r="AV898">
        <v>10</v>
      </c>
      <c r="AW898">
        <v>1</v>
      </c>
      <c r="AX898" s="2">
        <v>45840</v>
      </c>
      <c r="AY898" t="s">
        <v>168</v>
      </c>
      <c r="AZ898" s="2">
        <v>46022</v>
      </c>
      <c r="BA898">
        <v>0</v>
      </c>
      <c r="BB898">
        <v>0</v>
      </c>
      <c r="BC898">
        <v>0</v>
      </c>
      <c r="BD898">
        <v>700</v>
      </c>
      <c r="BE898">
        <v>70</v>
      </c>
      <c r="BF898">
        <v>9</v>
      </c>
      <c r="BG898" s="2">
        <v>45536</v>
      </c>
      <c r="BH898" t="s">
        <v>142</v>
      </c>
      <c r="BI898" s="2">
        <v>46026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s="1">
        <v>2128.86</v>
      </c>
      <c r="BQ898" s="1">
        <v>2128.86</v>
      </c>
      <c r="BR898">
        <v>0</v>
      </c>
      <c r="BS898">
        <v>0</v>
      </c>
      <c r="BT898">
        <v>0</v>
      </c>
      <c r="BU898">
        <v>0</v>
      </c>
      <c r="BV898" s="1">
        <v>5325.42</v>
      </c>
      <c r="BW898" s="1">
        <v>5325.42</v>
      </c>
      <c r="BX898">
        <v>0</v>
      </c>
      <c r="BY898">
        <v>0</v>
      </c>
      <c r="BZ898">
        <v>0</v>
      </c>
      <c r="CA898">
        <v>0</v>
      </c>
      <c r="CB898" s="1">
        <v>3062.37</v>
      </c>
      <c r="CC898" t="s">
        <v>152</v>
      </c>
    </row>
    <row r="899" spans="1:81" x14ac:dyDescent="0.25">
      <c r="A899">
        <v>345</v>
      </c>
      <c r="B899">
        <v>2</v>
      </c>
      <c r="C899">
        <v>2600</v>
      </c>
      <c r="D899" t="s">
        <v>5114</v>
      </c>
      <c r="E899" t="s">
        <v>121</v>
      </c>
      <c r="F899" t="s">
        <v>5115</v>
      </c>
      <c r="G899" t="s">
        <v>5116</v>
      </c>
      <c r="H899" t="s">
        <v>5117</v>
      </c>
      <c r="I899" t="s">
        <v>5118</v>
      </c>
      <c r="J899" t="s">
        <v>126</v>
      </c>
      <c r="K899" t="s">
        <v>1853</v>
      </c>
      <c r="L899" t="s">
        <v>128</v>
      </c>
      <c r="M899" t="s">
        <v>5062</v>
      </c>
      <c r="N899" t="s">
        <v>5119</v>
      </c>
      <c r="O899" t="s">
        <v>159</v>
      </c>
      <c r="P899">
        <v>0</v>
      </c>
      <c r="Q899" t="s">
        <v>125</v>
      </c>
      <c r="R899">
        <v>5</v>
      </c>
      <c r="S899">
        <v>69</v>
      </c>
      <c r="T899" t="s">
        <v>132</v>
      </c>
      <c r="U899" t="s">
        <v>133</v>
      </c>
      <c r="V899" s="1">
        <v>1882</v>
      </c>
      <c r="W899">
        <v>0</v>
      </c>
      <c r="X899" s="1">
        <v>1882</v>
      </c>
      <c r="Y899">
        <v>7</v>
      </c>
      <c r="Z899">
        <v>0</v>
      </c>
      <c r="AA899">
        <v>7</v>
      </c>
      <c r="AB899">
        <v>3</v>
      </c>
      <c r="AC899">
        <v>14</v>
      </c>
      <c r="AD899" t="s">
        <v>134</v>
      </c>
      <c r="AE899" t="s">
        <v>134</v>
      </c>
      <c r="AF899" s="2">
        <v>45518</v>
      </c>
      <c r="AG899" s="2">
        <v>46006</v>
      </c>
      <c r="AH899" s="1">
        <v>2596.58</v>
      </c>
      <c r="AI899" s="1">
        <v>3002.23</v>
      </c>
      <c r="AJ899" s="1">
        <v>7789.74</v>
      </c>
      <c r="AK899">
        <v>0</v>
      </c>
      <c r="AL899">
        <v>0</v>
      </c>
      <c r="AM899">
        <v>0</v>
      </c>
      <c r="AN899" t="s">
        <v>135</v>
      </c>
      <c r="AO899" t="s">
        <v>135</v>
      </c>
      <c r="AP899" t="s">
        <v>136</v>
      </c>
      <c r="AQ899" t="s">
        <v>137</v>
      </c>
      <c r="AR899" t="s">
        <v>138</v>
      </c>
      <c r="AS899" t="s">
        <v>150</v>
      </c>
      <c r="AT899" t="s">
        <v>140</v>
      </c>
      <c r="AU899">
        <v>103</v>
      </c>
      <c r="AV899">
        <v>10</v>
      </c>
      <c r="AW899">
        <v>1</v>
      </c>
      <c r="AX899" s="2">
        <v>45948</v>
      </c>
      <c r="AY899" t="s">
        <v>160</v>
      </c>
      <c r="AZ899" s="2">
        <v>46025</v>
      </c>
      <c r="BA899">
        <v>0</v>
      </c>
      <c r="BB899">
        <v>0</v>
      </c>
      <c r="BC899">
        <v>0</v>
      </c>
      <c r="BD899">
        <v>700</v>
      </c>
      <c r="BE899">
        <v>70</v>
      </c>
      <c r="BF899">
        <v>9</v>
      </c>
      <c r="BG899" s="2">
        <v>45536</v>
      </c>
      <c r="BH899" t="s">
        <v>142</v>
      </c>
      <c r="BI899" s="2">
        <v>46026</v>
      </c>
      <c r="BJ899">
        <v>0</v>
      </c>
      <c r="BK899">
        <v>0</v>
      </c>
      <c r="BL899">
        <v>0</v>
      </c>
      <c r="BM899">
        <v>7</v>
      </c>
      <c r="BN899">
        <v>7</v>
      </c>
      <c r="BO899" s="1">
        <v>3002.23</v>
      </c>
      <c r="BP899">
        <v>0</v>
      </c>
      <c r="BQ899" s="1">
        <v>3002.23</v>
      </c>
      <c r="BR899">
        <v>0</v>
      </c>
      <c r="BS899">
        <v>0</v>
      </c>
      <c r="BT899">
        <v>0</v>
      </c>
      <c r="BU899">
        <v>0</v>
      </c>
      <c r="BV899" s="1">
        <v>2785.2</v>
      </c>
      <c r="BW899" s="1">
        <v>2785.2</v>
      </c>
      <c r="BX899">
        <v>0</v>
      </c>
      <c r="BY899">
        <v>0</v>
      </c>
      <c r="BZ899">
        <v>0</v>
      </c>
      <c r="CA899">
        <v>0</v>
      </c>
      <c r="CB899" s="1">
        <v>2510.42</v>
      </c>
      <c r="CC899" t="s">
        <v>3116</v>
      </c>
    </row>
    <row r="900" spans="1:81" x14ac:dyDescent="0.25">
      <c r="A900">
        <v>345</v>
      </c>
      <c r="B900">
        <v>2</v>
      </c>
      <c r="C900">
        <v>2608</v>
      </c>
      <c r="D900" t="s">
        <v>5120</v>
      </c>
      <c r="E900" t="s">
        <v>121</v>
      </c>
      <c r="F900" t="s">
        <v>5121</v>
      </c>
      <c r="G900" t="s">
        <v>5122</v>
      </c>
      <c r="H900" t="s">
        <v>5123</v>
      </c>
      <c r="I900" t="s">
        <v>5124</v>
      </c>
      <c r="J900" t="s">
        <v>126</v>
      </c>
      <c r="K900" t="s">
        <v>1853</v>
      </c>
      <c r="L900" t="s">
        <v>128</v>
      </c>
      <c r="M900" t="s">
        <v>5062</v>
      </c>
      <c r="N900" t="s">
        <v>5125</v>
      </c>
      <c r="O900" t="s">
        <v>131</v>
      </c>
      <c r="P900">
        <v>0</v>
      </c>
      <c r="Q900" t="s">
        <v>125</v>
      </c>
      <c r="R900">
        <v>2</v>
      </c>
      <c r="S900">
        <v>91</v>
      </c>
      <c r="T900" t="s">
        <v>132</v>
      </c>
      <c r="U900" t="s">
        <v>133</v>
      </c>
      <c r="V900" s="1">
        <v>4943</v>
      </c>
      <c r="W900">
        <v>0</v>
      </c>
      <c r="X900" s="1">
        <v>4943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134</v>
      </c>
      <c r="AE900" t="s">
        <v>134</v>
      </c>
      <c r="AF900" s="2">
        <v>45518</v>
      </c>
      <c r="AG900" s="2">
        <v>46018</v>
      </c>
      <c r="AH900" s="1">
        <v>2661.09</v>
      </c>
      <c r="AI900" s="1">
        <v>4151.5</v>
      </c>
      <c r="AJ900" s="1">
        <v>18627.68</v>
      </c>
      <c r="AK900">
        <v>0</v>
      </c>
      <c r="AL900">
        <v>0</v>
      </c>
      <c r="AM900">
        <v>0</v>
      </c>
      <c r="AN900" t="s">
        <v>135</v>
      </c>
      <c r="AO900" t="s">
        <v>135</v>
      </c>
      <c r="AP900" t="s">
        <v>136</v>
      </c>
      <c r="AQ900" t="s">
        <v>137</v>
      </c>
      <c r="AR900" t="s">
        <v>138</v>
      </c>
      <c r="AS900" t="s">
        <v>139</v>
      </c>
      <c r="AT900" t="s">
        <v>140</v>
      </c>
      <c r="AU900">
        <v>103</v>
      </c>
      <c r="AV900">
        <v>10</v>
      </c>
      <c r="AW900">
        <v>1</v>
      </c>
      <c r="AX900" s="2">
        <v>45533</v>
      </c>
      <c r="AY900" t="s">
        <v>308</v>
      </c>
      <c r="AZ900" s="2">
        <v>46023</v>
      </c>
      <c r="BA900">
        <v>0</v>
      </c>
      <c r="BB900">
        <v>0</v>
      </c>
      <c r="BC900">
        <v>0</v>
      </c>
      <c r="BD900">
        <v>700</v>
      </c>
      <c r="BE900">
        <v>70</v>
      </c>
      <c r="BF900">
        <v>9</v>
      </c>
      <c r="BG900" s="2">
        <v>45536</v>
      </c>
      <c r="BH900" t="s">
        <v>142</v>
      </c>
      <c r="BI900" s="2">
        <v>46026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s="1">
        <v>6246.5</v>
      </c>
      <c r="BQ900" s="1">
        <v>6246.5</v>
      </c>
      <c r="BR900">
        <v>0</v>
      </c>
      <c r="BS900">
        <v>0</v>
      </c>
      <c r="BT900">
        <v>0</v>
      </c>
      <c r="BU900">
        <v>0</v>
      </c>
      <c r="BV900" s="1">
        <v>2310.1799999999998</v>
      </c>
      <c r="BW900" s="1">
        <v>2310.1799999999998</v>
      </c>
      <c r="BX900">
        <v>0</v>
      </c>
      <c r="BY900">
        <v>0</v>
      </c>
      <c r="BZ900">
        <v>0</v>
      </c>
      <c r="CA900">
        <v>0</v>
      </c>
      <c r="CB900" s="1">
        <v>8597.2800000000007</v>
      </c>
      <c r="CC900" t="s">
        <v>143</v>
      </c>
    </row>
    <row r="901" spans="1:81" x14ac:dyDescent="0.25">
      <c r="A901">
        <v>345</v>
      </c>
      <c r="B901">
        <v>2</v>
      </c>
      <c r="C901">
        <v>2609</v>
      </c>
      <c r="D901" t="s">
        <v>5126</v>
      </c>
      <c r="E901" t="s">
        <v>121</v>
      </c>
      <c r="F901" t="s">
        <v>5127</v>
      </c>
      <c r="G901" t="s">
        <v>5128</v>
      </c>
      <c r="H901" t="s">
        <v>5056</v>
      </c>
      <c r="I901" t="s">
        <v>5095</v>
      </c>
      <c r="J901" t="s">
        <v>126</v>
      </c>
      <c r="K901" t="s">
        <v>1853</v>
      </c>
      <c r="L901" t="s">
        <v>128</v>
      </c>
      <c r="M901" t="s">
        <v>5062</v>
      </c>
      <c r="N901" t="s">
        <v>5129</v>
      </c>
      <c r="O901" t="s">
        <v>201</v>
      </c>
      <c r="P901">
        <v>0</v>
      </c>
      <c r="Q901" t="s">
        <v>125</v>
      </c>
      <c r="R901">
        <v>3</v>
      </c>
      <c r="S901">
        <v>89</v>
      </c>
      <c r="T901" t="s">
        <v>132</v>
      </c>
      <c r="U901" t="s">
        <v>133</v>
      </c>
      <c r="V901" s="1">
        <v>1100</v>
      </c>
      <c r="W901">
        <v>0</v>
      </c>
      <c r="X901" s="1">
        <v>1100</v>
      </c>
      <c r="Y901">
        <v>7</v>
      </c>
      <c r="Z901">
        <v>0</v>
      </c>
      <c r="AA901">
        <v>0</v>
      </c>
      <c r="AB901">
        <v>0</v>
      </c>
      <c r="AC901">
        <v>0</v>
      </c>
      <c r="AD901" t="s">
        <v>134</v>
      </c>
      <c r="AE901" t="s">
        <v>134</v>
      </c>
      <c r="AF901" s="2">
        <v>45518</v>
      </c>
      <c r="AG901" s="2">
        <v>46021</v>
      </c>
      <c r="AH901">
        <v>508.76</v>
      </c>
      <c r="AI901">
        <v>830.14</v>
      </c>
      <c r="AJ901" s="1">
        <v>4578.8900000000003</v>
      </c>
      <c r="AK901">
        <v>462.41</v>
      </c>
      <c r="AL901">
        <v>0</v>
      </c>
      <c r="AM901">
        <v>0</v>
      </c>
      <c r="AN901" t="s">
        <v>135</v>
      </c>
      <c r="AO901" t="s">
        <v>135</v>
      </c>
      <c r="AP901" t="s">
        <v>136</v>
      </c>
      <c r="AQ901" t="s">
        <v>137</v>
      </c>
      <c r="AR901" t="s">
        <v>138</v>
      </c>
      <c r="AS901" t="s">
        <v>139</v>
      </c>
      <c r="AT901" t="s">
        <v>140</v>
      </c>
      <c r="AU901">
        <v>103</v>
      </c>
      <c r="AV901">
        <v>10</v>
      </c>
      <c r="AW901">
        <v>1</v>
      </c>
      <c r="AX901" s="2">
        <v>45845</v>
      </c>
      <c r="AY901" t="s">
        <v>141</v>
      </c>
      <c r="AZ901" s="2">
        <v>46027</v>
      </c>
      <c r="BA901">
        <v>0</v>
      </c>
      <c r="BB901">
        <v>0</v>
      </c>
      <c r="BC901">
        <v>0</v>
      </c>
      <c r="BD901">
        <v>700</v>
      </c>
      <c r="BE901">
        <v>70</v>
      </c>
      <c r="BF901">
        <v>9</v>
      </c>
      <c r="BG901" s="2">
        <v>45536</v>
      </c>
      <c r="BH901" t="s">
        <v>142</v>
      </c>
      <c r="BI901" s="2">
        <v>46026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s="1">
        <v>1253.1099999999999</v>
      </c>
      <c r="BQ901" s="1">
        <v>1253.1099999999999</v>
      </c>
      <c r="BR901">
        <v>0</v>
      </c>
      <c r="BS901">
        <v>0</v>
      </c>
      <c r="BT901">
        <v>0</v>
      </c>
      <c r="BU901">
        <v>0</v>
      </c>
      <c r="BV901" s="1">
        <v>1260.25</v>
      </c>
      <c r="BW901" s="1">
        <v>1260.25</v>
      </c>
      <c r="BX901">
        <v>0</v>
      </c>
      <c r="BY901">
        <v>0</v>
      </c>
      <c r="BZ901">
        <v>0</v>
      </c>
      <c r="CA901">
        <v>0</v>
      </c>
      <c r="CB901" s="1">
        <v>1870.01</v>
      </c>
      <c r="CC901" t="s">
        <v>339</v>
      </c>
    </row>
    <row r="902" spans="1:81" x14ac:dyDescent="0.25">
      <c r="A902">
        <v>345</v>
      </c>
      <c r="B902">
        <v>2</v>
      </c>
      <c r="C902">
        <v>2611</v>
      </c>
      <c r="D902" t="s">
        <v>5130</v>
      </c>
      <c r="E902" t="s">
        <v>121</v>
      </c>
      <c r="F902" t="s">
        <v>5131</v>
      </c>
      <c r="G902" t="s">
        <v>5132</v>
      </c>
      <c r="H902" t="s">
        <v>5133</v>
      </c>
      <c r="I902" t="s">
        <v>5089</v>
      </c>
      <c r="J902" t="s">
        <v>5134</v>
      </c>
      <c r="K902" t="s">
        <v>1853</v>
      </c>
      <c r="L902" t="s">
        <v>128</v>
      </c>
      <c r="M902" t="s">
        <v>5062</v>
      </c>
      <c r="N902" t="s">
        <v>5135</v>
      </c>
      <c r="O902" t="s">
        <v>167</v>
      </c>
      <c r="P902">
        <v>0</v>
      </c>
      <c r="Q902" t="s">
        <v>125</v>
      </c>
      <c r="R902">
        <v>3</v>
      </c>
      <c r="S902">
        <v>83</v>
      </c>
      <c r="T902" t="s">
        <v>132</v>
      </c>
      <c r="U902" t="s">
        <v>133</v>
      </c>
      <c r="V902" s="1">
        <v>2700</v>
      </c>
      <c r="W902">
        <v>0</v>
      </c>
      <c r="X902" s="1">
        <v>2700</v>
      </c>
      <c r="Y902">
        <v>7</v>
      </c>
      <c r="Z902">
        <v>0</v>
      </c>
      <c r="AA902">
        <v>0</v>
      </c>
      <c r="AB902">
        <v>0</v>
      </c>
      <c r="AC902">
        <v>0</v>
      </c>
      <c r="AD902" t="s">
        <v>134</v>
      </c>
      <c r="AE902" t="s">
        <v>134</v>
      </c>
      <c r="AF902" s="2">
        <v>45518</v>
      </c>
      <c r="AG902" s="2">
        <v>46009</v>
      </c>
      <c r="AH902" s="1">
        <v>1440.39</v>
      </c>
      <c r="AI902" s="1">
        <v>9173</v>
      </c>
      <c r="AJ902" s="1">
        <v>14403.9</v>
      </c>
      <c r="AK902">
        <v>0</v>
      </c>
      <c r="AL902">
        <v>0</v>
      </c>
      <c r="AM902">
        <v>0</v>
      </c>
      <c r="AN902" t="s">
        <v>135</v>
      </c>
      <c r="AO902" t="s">
        <v>135</v>
      </c>
      <c r="AP902" t="s">
        <v>136</v>
      </c>
      <c r="AQ902" t="s">
        <v>137</v>
      </c>
      <c r="AR902" t="s">
        <v>138</v>
      </c>
      <c r="AS902" t="s">
        <v>150</v>
      </c>
      <c r="AT902" t="s">
        <v>140</v>
      </c>
      <c r="AU902">
        <v>103</v>
      </c>
      <c r="AV902">
        <v>10</v>
      </c>
      <c r="AW902">
        <v>1</v>
      </c>
      <c r="AX902" s="2">
        <v>45875</v>
      </c>
      <c r="AY902" t="s">
        <v>168</v>
      </c>
      <c r="AZ902" s="2">
        <v>46022</v>
      </c>
      <c r="BA902">
        <v>0</v>
      </c>
      <c r="BB902">
        <v>0</v>
      </c>
      <c r="BC902">
        <v>0</v>
      </c>
      <c r="BD902">
        <v>700</v>
      </c>
      <c r="BE902">
        <v>70</v>
      </c>
      <c r="BF902">
        <v>9</v>
      </c>
      <c r="BG902" s="2">
        <v>45536</v>
      </c>
      <c r="BH902" t="s">
        <v>142</v>
      </c>
      <c r="BI902" s="2">
        <v>46026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s="1">
        <v>9457.86</v>
      </c>
      <c r="BQ902" s="1">
        <v>9457.86</v>
      </c>
      <c r="BR902">
        <v>0</v>
      </c>
      <c r="BS902">
        <v>0</v>
      </c>
      <c r="BT902">
        <v>0</v>
      </c>
      <c r="BU902">
        <v>0</v>
      </c>
      <c r="BV902" s="1">
        <v>2615.13</v>
      </c>
      <c r="BW902" s="1">
        <v>2615.13</v>
      </c>
      <c r="BX902">
        <v>0</v>
      </c>
      <c r="BY902">
        <v>0</v>
      </c>
      <c r="BZ902">
        <v>0</v>
      </c>
      <c r="CA902">
        <v>0</v>
      </c>
      <c r="CB902" s="1">
        <v>4448.7299999999996</v>
      </c>
      <c r="CC902" t="s">
        <v>161</v>
      </c>
    </row>
    <row r="903" spans="1:81" x14ac:dyDescent="0.25">
      <c r="A903">
        <v>345</v>
      </c>
      <c r="B903">
        <v>2</v>
      </c>
      <c r="C903">
        <v>2626</v>
      </c>
      <c r="D903" t="s">
        <v>5136</v>
      </c>
      <c r="E903" t="s">
        <v>121</v>
      </c>
      <c r="F903" t="s">
        <v>5137</v>
      </c>
      <c r="G903" t="s">
        <v>5138</v>
      </c>
      <c r="H903" t="s">
        <v>5139</v>
      </c>
      <c r="I903" t="s">
        <v>5095</v>
      </c>
      <c r="J903" t="s">
        <v>5140</v>
      </c>
      <c r="K903" t="s">
        <v>1853</v>
      </c>
      <c r="L903" t="s">
        <v>128</v>
      </c>
      <c r="M903" t="s">
        <v>1854</v>
      </c>
      <c r="N903" t="s">
        <v>5141</v>
      </c>
      <c r="O903" t="s">
        <v>201</v>
      </c>
      <c r="P903">
        <v>0</v>
      </c>
      <c r="Q903" t="s">
        <v>125</v>
      </c>
      <c r="R903">
        <v>6</v>
      </c>
      <c r="S903">
        <v>38</v>
      </c>
      <c r="T903" t="s">
        <v>132</v>
      </c>
      <c r="U903" t="s">
        <v>133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134</v>
      </c>
      <c r="AE903" t="s">
        <v>134</v>
      </c>
      <c r="AF903" s="2">
        <v>45518</v>
      </c>
      <c r="AG903" s="2">
        <v>46021</v>
      </c>
      <c r="AH903">
        <v>308.27999999999997</v>
      </c>
      <c r="AI903">
        <v>467.06</v>
      </c>
      <c r="AJ903">
        <v>616.57000000000005</v>
      </c>
      <c r="AK903">
        <v>0</v>
      </c>
      <c r="AL903">
        <v>0</v>
      </c>
      <c r="AM903">
        <v>0</v>
      </c>
      <c r="AN903" t="s">
        <v>135</v>
      </c>
      <c r="AO903" t="s">
        <v>135</v>
      </c>
      <c r="AP903" t="s">
        <v>136</v>
      </c>
      <c r="AQ903" t="s">
        <v>137</v>
      </c>
      <c r="AR903" t="s">
        <v>138</v>
      </c>
      <c r="AS903" t="s">
        <v>139</v>
      </c>
      <c r="AT903" t="s">
        <v>140</v>
      </c>
      <c r="AU903">
        <v>103</v>
      </c>
      <c r="AV903">
        <v>10</v>
      </c>
      <c r="AW903">
        <v>1</v>
      </c>
      <c r="AX903" s="2">
        <v>45845</v>
      </c>
      <c r="AY903" t="s">
        <v>141</v>
      </c>
      <c r="AZ903" s="2">
        <v>46027</v>
      </c>
      <c r="BA903">
        <v>0</v>
      </c>
      <c r="BB903">
        <v>0</v>
      </c>
      <c r="BC903">
        <v>0</v>
      </c>
      <c r="BD903">
        <v>700</v>
      </c>
      <c r="BE903">
        <v>70</v>
      </c>
      <c r="BF903">
        <v>9</v>
      </c>
      <c r="BG903" s="2">
        <v>45536</v>
      </c>
      <c r="BH903" t="s">
        <v>142</v>
      </c>
      <c r="BI903" s="2">
        <v>46026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467.06</v>
      </c>
      <c r="BW903">
        <v>467.06</v>
      </c>
      <c r="BX903">
        <v>0</v>
      </c>
      <c r="BY903">
        <v>0</v>
      </c>
      <c r="BZ903">
        <v>0</v>
      </c>
      <c r="CA903">
        <v>0</v>
      </c>
      <c r="CB903">
        <v>116.24</v>
      </c>
      <c r="CC903" t="s">
        <v>143</v>
      </c>
    </row>
    <row r="904" spans="1:81" x14ac:dyDescent="0.25">
      <c r="A904">
        <v>345</v>
      </c>
      <c r="B904">
        <v>2</v>
      </c>
      <c r="C904">
        <v>2629</v>
      </c>
      <c r="D904" t="s">
        <v>5142</v>
      </c>
      <c r="E904" t="s">
        <v>121</v>
      </c>
      <c r="F904" t="s">
        <v>5143</v>
      </c>
      <c r="G904" t="s">
        <v>5144</v>
      </c>
      <c r="H904" t="s">
        <v>5145</v>
      </c>
      <c r="I904" t="s">
        <v>5095</v>
      </c>
      <c r="J904" t="s">
        <v>126</v>
      </c>
      <c r="K904" t="s">
        <v>1853</v>
      </c>
      <c r="L904" t="s">
        <v>128</v>
      </c>
      <c r="M904" t="s">
        <v>1854</v>
      </c>
      <c r="N904" t="s">
        <v>5146</v>
      </c>
      <c r="O904" t="s">
        <v>201</v>
      </c>
      <c r="P904">
        <v>0</v>
      </c>
      <c r="Q904" t="s">
        <v>125</v>
      </c>
      <c r="R904">
        <v>3</v>
      </c>
      <c r="S904">
        <v>86</v>
      </c>
      <c r="T904" t="s">
        <v>132</v>
      </c>
      <c r="U904" t="s">
        <v>133</v>
      </c>
      <c r="V904" s="1">
        <v>1000</v>
      </c>
      <c r="W904">
        <v>0</v>
      </c>
      <c r="X904" s="1">
        <v>1000</v>
      </c>
      <c r="Y904">
        <v>7</v>
      </c>
      <c r="Z904">
        <v>0</v>
      </c>
      <c r="AA904">
        <v>0</v>
      </c>
      <c r="AB904">
        <v>0</v>
      </c>
      <c r="AC904">
        <v>0</v>
      </c>
      <c r="AD904" t="s">
        <v>134</v>
      </c>
      <c r="AE904" t="s">
        <v>134</v>
      </c>
      <c r="AF904" s="2">
        <v>45518</v>
      </c>
      <c r="AG904" s="2">
        <v>45996</v>
      </c>
      <c r="AH904">
        <v>333.98</v>
      </c>
      <c r="AI904">
        <v>605.66</v>
      </c>
      <c r="AJ904" s="1">
        <v>1001.96</v>
      </c>
      <c r="AK904">
        <v>0</v>
      </c>
      <c r="AL904">
        <v>0</v>
      </c>
      <c r="AM904">
        <v>0</v>
      </c>
      <c r="AN904" t="s">
        <v>135</v>
      </c>
      <c r="AO904" t="s">
        <v>135</v>
      </c>
      <c r="AP904" t="s">
        <v>136</v>
      </c>
      <c r="AQ904" t="s">
        <v>137</v>
      </c>
      <c r="AR904" t="s">
        <v>138</v>
      </c>
      <c r="AS904" t="s">
        <v>139</v>
      </c>
      <c r="AT904" t="s">
        <v>140</v>
      </c>
      <c r="AU904">
        <v>103</v>
      </c>
      <c r="AV904">
        <v>10</v>
      </c>
      <c r="AW904">
        <v>1</v>
      </c>
      <c r="AX904" s="2">
        <v>45841</v>
      </c>
      <c r="AY904" t="s">
        <v>308</v>
      </c>
      <c r="AZ904" s="2">
        <v>46023</v>
      </c>
      <c r="BA904">
        <v>0</v>
      </c>
      <c r="BB904">
        <v>0</v>
      </c>
      <c r="BC904">
        <v>0</v>
      </c>
      <c r="BD904">
        <v>999</v>
      </c>
      <c r="BE904">
        <v>99</v>
      </c>
      <c r="BF904">
        <v>9</v>
      </c>
      <c r="BG904" t="s">
        <v>135</v>
      </c>
      <c r="BH904" t="s">
        <v>250</v>
      </c>
      <c r="BI904" t="s">
        <v>135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135.80000000000001</v>
      </c>
      <c r="BQ904">
        <v>135.80000000000001</v>
      </c>
      <c r="BR904">
        <v>0</v>
      </c>
      <c r="BS904">
        <v>0</v>
      </c>
      <c r="BT904">
        <v>0</v>
      </c>
      <c r="BU904">
        <v>0</v>
      </c>
      <c r="BV904">
        <v>605.66</v>
      </c>
      <c r="BW904">
        <v>605.66</v>
      </c>
      <c r="BX904">
        <v>0</v>
      </c>
      <c r="BY904">
        <v>0</v>
      </c>
      <c r="BZ904">
        <v>0</v>
      </c>
      <c r="CA904">
        <v>0</v>
      </c>
      <c r="CB904">
        <v>284.14</v>
      </c>
      <c r="CC904" t="s">
        <v>143</v>
      </c>
    </row>
    <row r="905" spans="1:81" x14ac:dyDescent="0.25">
      <c r="A905">
        <v>345</v>
      </c>
      <c r="B905">
        <v>2</v>
      </c>
      <c r="C905">
        <v>2630</v>
      </c>
      <c r="D905" t="s">
        <v>5147</v>
      </c>
      <c r="E905" t="s">
        <v>121</v>
      </c>
      <c r="F905" t="s">
        <v>5148</v>
      </c>
      <c r="G905" t="s">
        <v>5149</v>
      </c>
      <c r="H905" t="s">
        <v>5150</v>
      </c>
      <c r="I905" t="s">
        <v>5095</v>
      </c>
      <c r="J905" t="s">
        <v>126</v>
      </c>
      <c r="K905" t="s">
        <v>1853</v>
      </c>
      <c r="L905" t="s">
        <v>128</v>
      </c>
      <c r="M905" t="s">
        <v>1854</v>
      </c>
      <c r="N905" t="s">
        <v>5151</v>
      </c>
      <c r="O905" t="s">
        <v>131</v>
      </c>
      <c r="P905">
        <v>0</v>
      </c>
      <c r="Q905" t="s">
        <v>125</v>
      </c>
      <c r="R905">
        <v>6</v>
      </c>
      <c r="S905">
        <v>40</v>
      </c>
      <c r="T905" t="s">
        <v>132</v>
      </c>
      <c r="U905" t="s">
        <v>133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134</v>
      </c>
      <c r="AE905" t="s">
        <v>134</v>
      </c>
      <c r="AF905" s="2">
        <v>45518</v>
      </c>
      <c r="AG905" s="2">
        <v>46008</v>
      </c>
      <c r="AH905">
        <v>701.49</v>
      </c>
      <c r="AI905" s="1">
        <v>1157.01</v>
      </c>
      <c r="AJ905" s="1">
        <v>7014.93</v>
      </c>
      <c r="AK905">
        <v>0</v>
      </c>
      <c r="AL905">
        <v>908.34</v>
      </c>
      <c r="AM905">
        <v>0</v>
      </c>
      <c r="AN905" t="s">
        <v>135</v>
      </c>
      <c r="AO905" t="s">
        <v>135</v>
      </c>
      <c r="AP905" t="s">
        <v>136</v>
      </c>
      <c r="AQ905" t="s">
        <v>137</v>
      </c>
      <c r="AR905" t="s">
        <v>138</v>
      </c>
      <c r="AS905" t="s">
        <v>139</v>
      </c>
      <c r="AT905" t="s">
        <v>140</v>
      </c>
      <c r="AU905">
        <v>103</v>
      </c>
      <c r="AV905">
        <v>10</v>
      </c>
      <c r="AW905">
        <v>1</v>
      </c>
      <c r="AX905" s="2">
        <v>45867</v>
      </c>
      <c r="AY905" t="s">
        <v>377</v>
      </c>
      <c r="AZ905" s="2">
        <v>46028</v>
      </c>
      <c r="BA905">
        <v>0</v>
      </c>
      <c r="BB905">
        <v>0</v>
      </c>
      <c r="BC905">
        <v>0</v>
      </c>
      <c r="BD905">
        <v>700</v>
      </c>
      <c r="BE905">
        <v>70</v>
      </c>
      <c r="BF905">
        <v>9</v>
      </c>
      <c r="BG905" s="2">
        <v>45536</v>
      </c>
      <c r="BH905" t="s">
        <v>142</v>
      </c>
      <c r="BI905" s="2">
        <v>46026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s="1">
        <v>1513.79</v>
      </c>
      <c r="BQ905" s="1">
        <v>1513.79</v>
      </c>
      <c r="BR905">
        <v>0</v>
      </c>
      <c r="BS905">
        <v>0</v>
      </c>
      <c r="BT905">
        <v>0</v>
      </c>
      <c r="BU905">
        <v>0</v>
      </c>
      <c r="BV905" s="1">
        <v>3495.36</v>
      </c>
      <c r="BW905" s="1">
        <v>3495.36</v>
      </c>
      <c r="BX905">
        <v>0</v>
      </c>
      <c r="BY905">
        <v>0</v>
      </c>
      <c r="BZ905">
        <v>0</v>
      </c>
      <c r="CA905">
        <v>0</v>
      </c>
      <c r="CB905" s="1">
        <v>2479.73</v>
      </c>
      <c r="CC905" t="s">
        <v>143</v>
      </c>
    </row>
    <row r="906" spans="1:81" x14ac:dyDescent="0.25">
      <c r="A906">
        <v>345</v>
      </c>
      <c r="B906">
        <v>2</v>
      </c>
      <c r="C906">
        <v>2631</v>
      </c>
      <c r="D906" t="s">
        <v>5152</v>
      </c>
      <c r="E906" t="s">
        <v>121</v>
      </c>
      <c r="F906" t="s">
        <v>5153</v>
      </c>
      <c r="G906" t="s">
        <v>5154</v>
      </c>
      <c r="H906" t="s">
        <v>5155</v>
      </c>
      <c r="I906" t="s">
        <v>5089</v>
      </c>
      <c r="J906" t="s">
        <v>126</v>
      </c>
      <c r="K906" t="s">
        <v>1853</v>
      </c>
      <c r="L906" t="s">
        <v>128</v>
      </c>
      <c r="M906" t="s">
        <v>5062</v>
      </c>
      <c r="N906" t="s">
        <v>5156</v>
      </c>
      <c r="O906" t="s">
        <v>201</v>
      </c>
      <c r="P906">
        <v>0</v>
      </c>
      <c r="Q906" t="s">
        <v>125</v>
      </c>
      <c r="R906">
        <v>3</v>
      </c>
      <c r="S906">
        <v>89</v>
      </c>
      <c r="T906" t="s">
        <v>132</v>
      </c>
      <c r="U906" t="s">
        <v>133</v>
      </c>
      <c r="V906" s="1">
        <v>1000</v>
      </c>
      <c r="W906">
        <v>0</v>
      </c>
      <c r="X906" s="1">
        <v>1000</v>
      </c>
      <c r="Y906">
        <v>7</v>
      </c>
      <c r="Z906">
        <v>0</v>
      </c>
      <c r="AA906">
        <v>0</v>
      </c>
      <c r="AB906">
        <v>0</v>
      </c>
      <c r="AC906">
        <v>0</v>
      </c>
      <c r="AD906" t="s">
        <v>134</v>
      </c>
      <c r="AE906" t="s">
        <v>134</v>
      </c>
      <c r="AF906" s="2">
        <v>45518</v>
      </c>
      <c r="AG906" s="2">
        <v>46017</v>
      </c>
      <c r="AH906">
        <v>281.32</v>
      </c>
      <c r="AI906">
        <v>517.54999999999995</v>
      </c>
      <c r="AJ906" s="1">
        <v>2531.91</v>
      </c>
      <c r="AK906">
        <v>0</v>
      </c>
      <c r="AL906">
        <v>0</v>
      </c>
      <c r="AM906">
        <v>0</v>
      </c>
      <c r="AN906" t="s">
        <v>135</v>
      </c>
      <c r="AO906" t="s">
        <v>135</v>
      </c>
      <c r="AP906" t="s">
        <v>136</v>
      </c>
      <c r="AQ906" t="s">
        <v>137</v>
      </c>
      <c r="AR906" t="s">
        <v>138</v>
      </c>
      <c r="AS906" t="s">
        <v>139</v>
      </c>
      <c r="AT906" t="s">
        <v>140</v>
      </c>
      <c r="AU906">
        <v>103</v>
      </c>
      <c r="AV906">
        <v>10</v>
      </c>
      <c r="AW906">
        <v>1</v>
      </c>
      <c r="AX906" s="2">
        <v>45979</v>
      </c>
      <c r="AY906" t="s">
        <v>377</v>
      </c>
      <c r="AZ906" s="2">
        <v>46028</v>
      </c>
      <c r="BA906">
        <v>0</v>
      </c>
      <c r="BB906">
        <v>0</v>
      </c>
      <c r="BC906">
        <v>0</v>
      </c>
      <c r="BD906">
        <v>700</v>
      </c>
      <c r="BE906">
        <v>70</v>
      </c>
      <c r="BF906">
        <v>9</v>
      </c>
      <c r="BG906" s="2">
        <v>45536</v>
      </c>
      <c r="BH906" t="s">
        <v>142</v>
      </c>
      <c r="BI906" s="2">
        <v>46026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392.8</v>
      </c>
      <c r="BQ906">
        <v>392.8</v>
      </c>
      <c r="BR906">
        <v>0</v>
      </c>
      <c r="BS906">
        <v>0</v>
      </c>
      <c r="BT906">
        <v>0</v>
      </c>
      <c r="BU906">
        <v>0</v>
      </c>
      <c r="BV906" s="1">
        <v>1176.43</v>
      </c>
      <c r="BW906" s="1">
        <v>1176.43</v>
      </c>
      <c r="BX906">
        <v>0</v>
      </c>
      <c r="BY906">
        <v>0</v>
      </c>
      <c r="BZ906">
        <v>0</v>
      </c>
      <c r="CA906">
        <v>0</v>
      </c>
      <c r="CB906" s="1">
        <v>1070.26</v>
      </c>
      <c r="CC906" t="s">
        <v>143</v>
      </c>
    </row>
    <row r="907" spans="1:81" x14ac:dyDescent="0.25">
      <c r="A907">
        <v>345</v>
      </c>
      <c r="B907">
        <v>2</v>
      </c>
      <c r="C907">
        <v>2632</v>
      </c>
      <c r="D907" t="s">
        <v>5157</v>
      </c>
      <c r="E907" t="s">
        <v>121</v>
      </c>
      <c r="F907" t="s">
        <v>5158</v>
      </c>
      <c r="G907" t="s">
        <v>5159</v>
      </c>
      <c r="H907" t="s">
        <v>5160</v>
      </c>
      <c r="I907" t="s">
        <v>5095</v>
      </c>
      <c r="J907" t="s">
        <v>126</v>
      </c>
      <c r="K907" t="s">
        <v>1853</v>
      </c>
      <c r="L907" t="s">
        <v>128</v>
      </c>
      <c r="M907" t="s">
        <v>5062</v>
      </c>
      <c r="N907" t="s">
        <v>5161</v>
      </c>
      <c r="O907" t="s">
        <v>167</v>
      </c>
      <c r="P907">
        <v>0</v>
      </c>
      <c r="Q907" t="s">
        <v>125</v>
      </c>
      <c r="R907">
        <v>6</v>
      </c>
      <c r="S907">
        <v>37</v>
      </c>
      <c r="T907" t="s">
        <v>132</v>
      </c>
      <c r="U907" t="s">
        <v>133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134</v>
      </c>
      <c r="AE907" t="s">
        <v>134</v>
      </c>
      <c r="AF907" s="2">
        <v>45518</v>
      </c>
      <c r="AG907" s="2">
        <v>46018</v>
      </c>
      <c r="AH907" s="1">
        <v>1260.31</v>
      </c>
      <c r="AI907" s="1">
        <v>1982.6</v>
      </c>
      <c r="AJ907" s="1">
        <v>16384.060000000001</v>
      </c>
      <c r="AK907">
        <v>0</v>
      </c>
      <c r="AL907">
        <v>0</v>
      </c>
      <c r="AM907">
        <v>0</v>
      </c>
      <c r="AN907" t="s">
        <v>135</v>
      </c>
      <c r="AO907" t="s">
        <v>135</v>
      </c>
      <c r="AP907" t="s">
        <v>136</v>
      </c>
      <c r="AQ907" t="s">
        <v>137</v>
      </c>
      <c r="AR907" t="s">
        <v>138</v>
      </c>
      <c r="AS907" t="s">
        <v>139</v>
      </c>
      <c r="AT907" t="s">
        <v>140</v>
      </c>
      <c r="AU907">
        <v>103</v>
      </c>
      <c r="AV907">
        <v>10</v>
      </c>
      <c r="AW907">
        <v>1</v>
      </c>
      <c r="AX907" s="2">
        <v>45820</v>
      </c>
      <c r="AY907" t="s">
        <v>308</v>
      </c>
      <c r="AZ907" s="2">
        <v>46023</v>
      </c>
      <c r="BA907">
        <v>0</v>
      </c>
      <c r="BB907">
        <v>0</v>
      </c>
      <c r="BC907">
        <v>0</v>
      </c>
      <c r="BD907">
        <v>700</v>
      </c>
      <c r="BE907">
        <v>70</v>
      </c>
      <c r="BF907">
        <v>9</v>
      </c>
      <c r="BG907" s="2">
        <v>45536</v>
      </c>
      <c r="BH907" t="s">
        <v>142</v>
      </c>
      <c r="BI907" s="2">
        <v>46026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s="1">
        <v>6127.56</v>
      </c>
      <c r="BQ907" s="1">
        <v>6127.56</v>
      </c>
      <c r="BR907">
        <v>0</v>
      </c>
      <c r="BS907">
        <v>0</v>
      </c>
      <c r="BT907">
        <v>0</v>
      </c>
      <c r="BU907">
        <v>0</v>
      </c>
      <c r="BV907" s="1">
        <v>5062.99</v>
      </c>
      <c r="BW907" s="1">
        <v>5062.99</v>
      </c>
      <c r="BX907">
        <v>0</v>
      </c>
      <c r="BY907">
        <v>0</v>
      </c>
      <c r="BZ907">
        <v>0</v>
      </c>
      <c r="CA907">
        <v>0</v>
      </c>
      <c r="CB907" s="1">
        <v>5122.6499999999996</v>
      </c>
      <c r="CC907" t="s">
        <v>161</v>
      </c>
    </row>
    <row r="908" spans="1:81" x14ac:dyDescent="0.25">
      <c r="A908">
        <v>345</v>
      </c>
      <c r="B908">
        <v>2</v>
      </c>
      <c r="C908">
        <v>2635</v>
      </c>
      <c r="D908" t="s">
        <v>5162</v>
      </c>
      <c r="E908" t="s">
        <v>121</v>
      </c>
      <c r="F908" t="s">
        <v>5163</v>
      </c>
      <c r="G908" t="s">
        <v>5164</v>
      </c>
      <c r="H908" t="s">
        <v>5165</v>
      </c>
      <c r="I908" t="s">
        <v>5166</v>
      </c>
      <c r="J908" t="s">
        <v>126</v>
      </c>
      <c r="K908" t="s">
        <v>1853</v>
      </c>
      <c r="L908" t="s">
        <v>128</v>
      </c>
      <c r="M908" t="s">
        <v>1854</v>
      </c>
      <c r="N908" t="s">
        <v>5167</v>
      </c>
      <c r="O908" t="s">
        <v>167</v>
      </c>
      <c r="P908">
        <v>0</v>
      </c>
      <c r="Q908" t="s">
        <v>125</v>
      </c>
      <c r="R908">
        <v>6</v>
      </c>
      <c r="S908">
        <v>35</v>
      </c>
      <c r="T908" t="s">
        <v>132</v>
      </c>
      <c r="U908" t="s">
        <v>133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134</v>
      </c>
      <c r="AE908" t="s">
        <v>134</v>
      </c>
      <c r="AF908" s="2">
        <v>45518</v>
      </c>
      <c r="AG908" s="2">
        <v>46002</v>
      </c>
      <c r="AH908">
        <v>629.96</v>
      </c>
      <c r="AI908">
        <v>747.48</v>
      </c>
      <c r="AJ908" s="1">
        <v>1889.89</v>
      </c>
      <c r="AK908">
        <v>0</v>
      </c>
      <c r="AL908">
        <v>0</v>
      </c>
      <c r="AM908">
        <v>0</v>
      </c>
      <c r="AN908" t="s">
        <v>135</v>
      </c>
      <c r="AO908" t="s">
        <v>135</v>
      </c>
      <c r="AP908" t="s">
        <v>136</v>
      </c>
      <c r="AQ908" t="s">
        <v>137</v>
      </c>
      <c r="AR908" t="s">
        <v>138</v>
      </c>
      <c r="AS908" t="s">
        <v>139</v>
      </c>
      <c r="AT908" t="s">
        <v>140</v>
      </c>
      <c r="AU908">
        <v>103</v>
      </c>
      <c r="AV908">
        <v>10</v>
      </c>
      <c r="AW908">
        <v>1</v>
      </c>
      <c r="AX908" s="2">
        <v>45854</v>
      </c>
      <c r="AY908" t="s">
        <v>168</v>
      </c>
      <c r="AZ908" s="2">
        <v>46022</v>
      </c>
      <c r="BA908">
        <v>0</v>
      </c>
      <c r="BB908">
        <v>0</v>
      </c>
      <c r="BC908">
        <v>0</v>
      </c>
      <c r="BD908">
        <v>700</v>
      </c>
      <c r="BE908">
        <v>70</v>
      </c>
      <c r="BF908">
        <v>9</v>
      </c>
      <c r="BG908" s="2">
        <v>45536</v>
      </c>
      <c r="BH908" t="s">
        <v>142</v>
      </c>
      <c r="BI908" s="2">
        <v>46026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747.48</v>
      </c>
      <c r="BW908">
        <v>747.48</v>
      </c>
      <c r="BX908">
        <v>0</v>
      </c>
      <c r="BY908">
        <v>0</v>
      </c>
      <c r="BZ908">
        <v>0</v>
      </c>
      <c r="CA908">
        <v>0</v>
      </c>
      <c r="CB908">
        <v>639.49</v>
      </c>
      <c r="CC908" t="s">
        <v>161</v>
      </c>
    </row>
    <row r="909" spans="1:81" x14ac:dyDescent="0.25">
      <c r="A909">
        <v>345</v>
      </c>
      <c r="B909">
        <v>2</v>
      </c>
      <c r="C909">
        <v>2645</v>
      </c>
      <c r="D909" t="s">
        <v>5168</v>
      </c>
      <c r="E909" t="s">
        <v>121</v>
      </c>
      <c r="F909" t="s">
        <v>5169</v>
      </c>
      <c r="G909" t="s">
        <v>5170</v>
      </c>
      <c r="H909" t="s">
        <v>5171</v>
      </c>
      <c r="I909" t="s">
        <v>5124</v>
      </c>
      <c r="J909" t="s">
        <v>126</v>
      </c>
      <c r="K909" t="s">
        <v>1853</v>
      </c>
      <c r="L909" t="s">
        <v>128</v>
      </c>
      <c r="M909" t="s">
        <v>1854</v>
      </c>
      <c r="N909" t="s">
        <v>5113</v>
      </c>
      <c r="O909" t="s">
        <v>201</v>
      </c>
      <c r="P909">
        <v>0</v>
      </c>
      <c r="Q909" t="s">
        <v>125</v>
      </c>
      <c r="R909">
        <v>6</v>
      </c>
      <c r="S909">
        <v>41</v>
      </c>
      <c r="T909" t="s">
        <v>132</v>
      </c>
      <c r="U909" t="s">
        <v>133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134</v>
      </c>
      <c r="AE909" t="s">
        <v>134</v>
      </c>
      <c r="AF909" s="2">
        <v>45518</v>
      </c>
      <c r="AG909" s="2">
        <v>46014</v>
      </c>
      <c r="AH909" s="1">
        <v>1634.27</v>
      </c>
      <c r="AI909" s="1">
        <v>3441.5</v>
      </c>
      <c r="AJ909" s="1">
        <v>21245.55</v>
      </c>
      <c r="AK909">
        <v>0</v>
      </c>
      <c r="AL909" s="1">
        <v>3441.5</v>
      </c>
      <c r="AM909">
        <v>0</v>
      </c>
      <c r="AN909" t="s">
        <v>135</v>
      </c>
      <c r="AO909" t="s">
        <v>135</v>
      </c>
      <c r="AP909" t="s">
        <v>136</v>
      </c>
      <c r="AQ909" t="s">
        <v>137</v>
      </c>
      <c r="AR909" t="s">
        <v>138</v>
      </c>
      <c r="AS909" t="s">
        <v>139</v>
      </c>
      <c r="AT909" t="s">
        <v>140</v>
      </c>
      <c r="AU909">
        <v>103</v>
      </c>
      <c r="AV909">
        <v>10</v>
      </c>
      <c r="AW909">
        <v>1</v>
      </c>
      <c r="AX909" s="2">
        <v>45824</v>
      </c>
      <c r="AY909" t="s">
        <v>141</v>
      </c>
      <c r="AZ909" s="2">
        <v>46027</v>
      </c>
      <c r="BA909">
        <v>0</v>
      </c>
      <c r="BB909">
        <v>0</v>
      </c>
      <c r="BC909">
        <v>0</v>
      </c>
      <c r="BD909">
        <v>700</v>
      </c>
      <c r="BE909">
        <v>70</v>
      </c>
      <c r="BF909">
        <v>9</v>
      </c>
      <c r="BG909" s="2">
        <v>45536</v>
      </c>
      <c r="BH909" t="s">
        <v>142</v>
      </c>
      <c r="BI909" s="2">
        <v>46026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s="1">
        <v>5281.31</v>
      </c>
      <c r="BQ909" s="1">
        <v>5281.31</v>
      </c>
      <c r="BR909">
        <v>0</v>
      </c>
      <c r="BS909">
        <v>0</v>
      </c>
      <c r="BT909">
        <v>0</v>
      </c>
      <c r="BU909">
        <v>0</v>
      </c>
      <c r="BV909" s="1">
        <v>10429.459999999999</v>
      </c>
      <c r="BW909" s="1">
        <v>10429.459999999999</v>
      </c>
      <c r="BX909">
        <v>0</v>
      </c>
      <c r="BY909">
        <v>0</v>
      </c>
      <c r="BZ909">
        <v>0</v>
      </c>
      <c r="CA909">
        <v>0</v>
      </c>
      <c r="CB909" s="1">
        <v>6129.39</v>
      </c>
      <c r="CC909" t="s">
        <v>152</v>
      </c>
    </row>
    <row r="910" spans="1:81" x14ac:dyDescent="0.25">
      <c r="A910">
        <v>345</v>
      </c>
      <c r="B910">
        <v>2</v>
      </c>
      <c r="C910">
        <v>2652</v>
      </c>
      <c r="D910" t="s">
        <v>5172</v>
      </c>
      <c r="E910" t="s">
        <v>121</v>
      </c>
      <c r="F910" t="s">
        <v>5173</v>
      </c>
      <c r="G910" t="s">
        <v>5174</v>
      </c>
      <c r="H910" t="s">
        <v>5175</v>
      </c>
      <c r="I910" t="s">
        <v>4742</v>
      </c>
      <c r="J910" t="s">
        <v>126</v>
      </c>
      <c r="K910" t="s">
        <v>1853</v>
      </c>
      <c r="L910" t="s">
        <v>128</v>
      </c>
      <c r="M910" t="s">
        <v>1854</v>
      </c>
      <c r="N910" t="s">
        <v>5176</v>
      </c>
      <c r="O910" t="s">
        <v>3269</v>
      </c>
      <c r="P910">
        <v>0</v>
      </c>
      <c r="Q910" t="s">
        <v>125</v>
      </c>
      <c r="R910">
        <v>3</v>
      </c>
      <c r="S910">
        <v>86</v>
      </c>
      <c r="T910" t="s">
        <v>132</v>
      </c>
      <c r="U910" t="s">
        <v>133</v>
      </c>
      <c r="V910" s="1">
        <v>50000</v>
      </c>
      <c r="W910">
        <v>0</v>
      </c>
      <c r="X910" s="1">
        <v>50000</v>
      </c>
      <c r="Y910">
        <v>7</v>
      </c>
      <c r="Z910">
        <v>0</v>
      </c>
      <c r="AA910">
        <v>3</v>
      </c>
      <c r="AB910">
        <v>0</v>
      </c>
      <c r="AC910">
        <v>0</v>
      </c>
      <c r="AD910" t="s">
        <v>134</v>
      </c>
      <c r="AE910" t="s">
        <v>134</v>
      </c>
      <c r="AF910" s="2">
        <v>45518</v>
      </c>
      <c r="AG910" s="2">
        <v>46015</v>
      </c>
      <c r="AH910" s="1">
        <v>24013.63</v>
      </c>
      <c r="AI910" s="1">
        <v>49459.78</v>
      </c>
      <c r="AJ910" s="1">
        <v>96054.54</v>
      </c>
      <c r="AK910">
        <v>0</v>
      </c>
      <c r="AL910">
        <v>0</v>
      </c>
      <c r="AM910">
        <v>0</v>
      </c>
      <c r="AN910" t="s">
        <v>135</v>
      </c>
      <c r="AO910" t="s">
        <v>135</v>
      </c>
      <c r="AP910" t="s">
        <v>136</v>
      </c>
      <c r="AQ910" t="s">
        <v>137</v>
      </c>
      <c r="AR910" t="s">
        <v>138</v>
      </c>
      <c r="AS910" t="s">
        <v>150</v>
      </c>
      <c r="AT910" t="s">
        <v>140</v>
      </c>
      <c r="AU910">
        <v>500</v>
      </c>
      <c r="AV910">
        <v>10</v>
      </c>
      <c r="AW910">
        <v>1</v>
      </c>
      <c r="AX910" s="2">
        <v>45813</v>
      </c>
      <c r="AY910" t="s">
        <v>308</v>
      </c>
      <c r="AZ910" s="2">
        <v>46023</v>
      </c>
      <c r="BA910">
        <v>0</v>
      </c>
      <c r="BB910">
        <v>0</v>
      </c>
      <c r="BC910">
        <v>0</v>
      </c>
      <c r="BD910">
        <v>700</v>
      </c>
      <c r="BE910">
        <v>70</v>
      </c>
      <c r="BF910">
        <v>9</v>
      </c>
      <c r="BG910" s="2">
        <v>45536</v>
      </c>
      <c r="BH910" t="s">
        <v>142</v>
      </c>
      <c r="BI910" s="2">
        <v>46026</v>
      </c>
      <c r="BJ910">
        <v>0</v>
      </c>
      <c r="BK910">
        <v>0</v>
      </c>
      <c r="BL910">
        <v>0</v>
      </c>
      <c r="BM910">
        <v>3</v>
      </c>
      <c r="BN910">
        <v>3</v>
      </c>
      <c r="BO910" s="1">
        <v>34720.949999999997</v>
      </c>
      <c r="BP910">
        <v>0</v>
      </c>
      <c r="BQ910" s="1">
        <v>34720.949999999997</v>
      </c>
      <c r="BR910" s="1">
        <v>28590.67</v>
      </c>
      <c r="BS910">
        <v>2</v>
      </c>
      <c r="BT910">
        <v>2</v>
      </c>
      <c r="BU910" s="1">
        <v>49459.78</v>
      </c>
      <c r="BV910">
        <v>0</v>
      </c>
      <c r="BW910" s="1">
        <v>49459.78</v>
      </c>
      <c r="BX910">
        <v>0</v>
      </c>
      <c r="BY910">
        <v>0</v>
      </c>
      <c r="BZ910">
        <v>0</v>
      </c>
      <c r="CA910">
        <v>0</v>
      </c>
      <c r="CB910" s="1">
        <v>36333.129999999997</v>
      </c>
      <c r="CC910" t="s">
        <v>339</v>
      </c>
    </row>
    <row r="911" spans="1:81" x14ac:dyDescent="0.25">
      <c r="A911">
        <v>345</v>
      </c>
      <c r="B911">
        <v>2</v>
      </c>
      <c r="C911">
        <v>2659</v>
      </c>
      <c r="D911" t="s">
        <v>5177</v>
      </c>
      <c r="E911" t="s">
        <v>121</v>
      </c>
      <c r="F911" t="s">
        <v>5178</v>
      </c>
      <c r="G911" t="s">
        <v>5179</v>
      </c>
      <c r="H911" t="s">
        <v>5180</v>
      </c>
      <c r="I911" t="s">
        <v>5181</v>
      </c>
      <c r="J911" t="s">
        <v>5182</v>
      </c>
      <c r="K911" t="s">
        <v>1853</v>
      </c>
      <c r="L911" t="s">
        <v>128</v>
      </c>
      <c r="M911" t="s">
        <v>1854</v>
      </c>
      <c r="N911" t="s">
        <v>5183</v>
      </c>
      <c r="O911" t="s">
        <v>131</v>
      </c>
      <c r="P911">
        <v>0</v>
      </c>
      <c r="Q911" t="s">
        <v>125</v>
      </c>
      <c r="R911">
        <v>6</v>
      </c>
      <c r="S911">
        <v>40</v>
      </c>
      <c r="T911" t="s">
        <v>132</v>
      </c>
      <c r="U911" t="s">
        <v>133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134</v>
      </c>
      <c r="AE911" t="s">
        <v>134</v>
      </c>
      <c r="AF911" s="2">
        <v>45518</v>
      </c>
      <c r="AG911" s="2">
        <v>46020</v>
      </c>
      <c r="AH911">
        <v>284.99</v>
      </c>
      <c r="AI911">
        <v>361.34</v>
      </c>
      <c r="AJ911" s="1">
        <v>1994.97</v>
      </c>
      <c r="AK911">
        <v>0</v>
      </c>
      <c r="AL911">
        <v>0</v>
      </c>
      <c r="AM911">
        <v>0</v>
      </c>
      <c r="AN911" t="s">
        <v>135</v>
      </c>
      <c r="AO911" t="s">
        <v>135</v>
      </c>
      <c r="AP911" t="s">
        <v>136</v>
      </c>
      <c r="AQ911" t="s">
        <v>137</v>
      </c>
      <c r="AR911" t="s">
        <v>138</v>
      </c>
      <c r="AS911" t="s">
        <v>139</v>
      </c>
      <c r="AT911" t="s">
        <v>140</v>
      </c>
      <c r="AU911">
        <v>103</v>
      </c>
      <c r="AV911">
        <v>10</v>
      </c>
      <c r="AW911">
        <v>1</v>
      </c>
      <c r="AX911" s="2">
        <v>45856</v>
      </c>
      <c r="AY911" t="s">
        <v>151</v>
      </c>
      <c r="AZ911" s="2">
        <v>46024</v>
      </c>
      <c r="BA911">
        <v>0</v>
      </c>
      <c r="BB911">
        <v>0</v>
      </c>
      <c r="BC911">
        <v>0</v>
      </c>
      <c r="BD911">
        <v>700</v>
      </c>
      <c r="BE911">
        <v>70</v>
      </c>
      <c r="BF911">
        <v>9</v>
      </c>
      <c r="BG911" s="2">
        <v>45536</v>
      </c>
      <c r="BH911" t="s">
        <v>142</v>
      </c>
      <c r="BI911" s="2">
        <v>46026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561.09</v>
      </c>
      <c r="BQ911">
        <v>561.09</v>
      </c>
      <c r="BR911">
        <v>0</v>
      </c>
      <c r="BS911">
        <v>0</v>
      </c>
      <c r="BT911">
        <v>0</v>
      </c>
      <c r="BU911">
        <v>0</v>
      </c>
      <c r="BV911">
        <v>754.02</v>
      </c>
      <c r="BW911">
        <v>754.02</v>
      </c>
      <c r="BX911">
        <v>0</v>
      </c>
      <c r="BY911">
        <v>0</v>
      </c>
      <c r="BZ911">
        <v>0</v>
      </c>
      <c r="CA911">
        <v>0</v>
      </c>
      <c r="CB911">
        <v>777.91</v>
      </c>
      <c r="CC911" t="s">
        <v>143</v>
      </c>
    </row>
    <row r="912" spans="1:81" x14ac:dyDescent="0.25">
      <c r="A912">
        <v>345</v>
      </c>
      <c r="B912">
        <v>2</v>
      </c>
      <c r="C912">
        <v>2660</v>
      </c>
      <c r="D912" t="s">
        <v>5184</v>
      </c>
      <c r="E912" t="s">
        <v>121</v>
      </c>
      <c r="F912" t="s">
        <v>5185</v>
      </c>
      <c r="G912" t="s">
        <v>5186</v>
      </c>
      <c r="H912" t="s">
        <v>5187</v>
      </c>
      <c r="I912" t="s">
        <v>5188</v>
      </c>
      <c r="J912" t="s">
        <v>5189</v>
      </c>
      <c r="K912" t="s">
        <v>1853</v>
      </c>
      <c r="L912" t="s">
        <v>128</v>
      </c>
      <c r="M912" t="s">
        <v>1854</v>
      </c>
      <c r="N912" t="s">
        <v>5190</v>
      </c>
      <c r="O912" t="s">
        <v>167</v>
      </c>
      <c r="P912">
        <v>0</v>
      </c>
      <c r="Q912" t="s">
        <v>125</v>
      </c>
      <c r="R912">
        <v>6</v>
      </c>
      <c r="S912">
        <v>36</v>
      </c>
      <c r="T912" t="s">
        <v>132</v>
      </c>
      <c r="U912" t="s">
        <v>133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134</v>
      </c>
      <c r="AE912" t="s">
        <v>134</v>
      </c>
      <c r="AF912" s="2">
        <v>45518</v>
      </c>
      <c r="AG912" s="2">
        <v>46018</v>
      </c>
      <c r="AH912">
        <v>306.39</v>
      </c>
      <c r="AI912">
        <v>423.88</v>
      </c>
      <c r="AJ912" s="1">
        <v>2451.12</v>
      </c>
      <c r="AK912">
        <v>0</v>
      </c>
      <c r="AL912">
        <v>0</v>
      </c>
      <c r="AM912">
        <v>0</v>
      </c>
      <c r="AN912" t="s">
        <v>135</v>
      </c>
      <c r="AO912" t="s">
        <v>135</v>
      </c>
      <c r="AP912" t="s">
        <v>136</v>
      </c>
      <c r="AQ912" t="s">
        <v>137</v>
      </c>
      <c r="AR912" t="s">
        <v>138</v>
      </c>
      <c r="AS912" t="s">
        <v>139</v>
      </c>
      <c r="AT912" t="s">
        <v>140</v>
      </c>
      <c r="AU912">
        <v>103</v>
      </c>
      <c r="AV912">
        <v>10</v>
      </c>
      <c r="AW912">
        <v>1</v>
      </c>
      <c r="AX912" s="2">
        <v>45854</v>
      </c>
      <c r="AY912" t="s">
        <v>168</v>
      </c>
      <c r="AZ912" s="2">
        <v>46022</v>
      </c>
      <c r="BA912">
        <v>0</v>
      </c>
      <c r="BB912">
        <v>0</v>
      </c>
      <c r="BC912">
        <v>0</v>
      </c>
      <c r="BD912">
        <v>700</v>
      </c>
      <c r="BE912">
        <v>70</v>
      </c>
      <c r="BF912">
        <v>9</v>
      </c>
      <c r="BG912" s="2">
        <v>45536</v>
      </c>
      <c r="BH912" t="s">
        <v>142</v>
      </c>
      <c r="BI912" s="2">
        <v>46026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811.44</v>
      </c>
      <c r="BQ912">
        <v>811.44</v>
      </c>
      <c r="BR912">
        <v>0</v>
      </c>
      <c r="BS912">
        <v>0</v>
      </c>
      <c r="BT912">
        <v>0</v>
      </c>
      <c r="BU912">
        <v>0</v>
      </c>
      <c r="BV912">
        <v>880.2</v>
      </c>
      <c r="BW912">
        <v>880.2</v>
      </c>
      <c r="BX912">
        <v>0</v>
      </c>
      <c r="BY912">
        <v>0</v>
      </c>
      <c r="BZ912">
        <v>0</v>
      </c>
      <c r="CA912">
        <v>0</v>
      </c>
      <c r="CB912">
        <v>891.42</v>
      </c>
      <c r="CC912" t="s">
        <v>161</v>
      </c>
    </row>
    <row r="913" spans="1:81" x14ac:dyDescent="0.25">
      <c r="A913">
        <v>345</v>
      </c>
      <c r="B913">
        <v>2</v>
      </c>
      <c r="C913">
        <v>2663</v>
      </c>
      <c r="D913" t="s">
        <v>5191</v>
      </c>
      <c r="E913" t="s">
        <v>121</v>
      </c>
      <c r="F913" t="s">
        <v>5192</v>
      </c>
      <c r="G913" t="s">
        <v>5193</v>
      </c>
      <c r="H913" t="s">
        <v>5194</v>
      </c>
      <c r="I913" t="s">
        <v>1304</v>
      </c>
      <c r="J913" t="s">
        <v>126</v>
      </c>
      <c r="K913" t="s">
        <v>1853</v>
      </c>
      <c r="L913" t="s">
        <v>128</v>
      </c>
      <c r="M913" t="s">
        <v>1854</v>
      </c>
      <c r="N913" t="s">
        <v>5195</v>
      </c>
      <c r="O913" t="s">
        <v>159</v>
      </c>
      <c r="P913">
        <v>0</v>
      </c>
      <c r="Q913" t="s">
        <v>125</v>
      </c>
      <c r="R913">
        <v>6</v>
      </c>
      <c r="S913">
        <v>21</v>
      </c>
      <c r="T913" t="s">
        <v>132</v>
      </c>
      <c r="U913" t="s">
        <v>133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5</v>
      </c>
      <c r="AC913">
        <v>38</v>
      </c>
      <c r="AD913" t="s">
        <v>134</v>
      </c>
      <c r="AE913" t="s">
        <v>134</v>
      </c>
      <c r="AF913" s="2">
        <v>45518</v>
      </c>
      <c r="AG913" s="2">
        <v>46020</v>
      </c>
      <c r="AH913">
        <v>726.98</v>
      </c>
      <c r="AI913" s="1">
        <v>1110.74</v>
      </c>
      <c r="AJ913" s="1">
        <v>2907.93</v>
      </c>
      <c r="AK913">
        <v>0</v>
      </c>
      <c r="AL913">
        <v>0</v>
      </c>
      <c r="AM913">
        <v>0</v>
      </c>
      <c r="AN913" t="s">
        <v>135</v>
      </c>
      <c r="AO913" t="s">
        <v>135</v>
      </c>
      <c r="AP913" t="s">
        <v>136</v>
      </c>
      <c r="AQ913" t="s">
        <v>137</v>
      </c>
      <c r="AR913" t="s">
        <v>138</v>
      </c>
      <c r="AS913" t="s">
        <v>150</v>
      </c>
      <c r="AT913" t="s">
        <v>140</v>
      </c>
      <c r="AU913">
        <v>103</v>
      </c>
      <c r="AV913">
        <v>10</v>
      </c>
      <c r="AW913">
        <v>1</v>
      </c>
      <c r="AX913" s="2">
        <v>45814</v>
      </c>
      <c r="AY913" t="s">
        <v>151</v>
      </c>
      <c r="AZ913" s="2">
        <v>46024</v>
      </c>
      <c r="BA913">
        <v>0</v>
      </c>
      <c r="BB913">
        <v>0</v>
      </c>
      <c r="BC913">
        <v>0</v>
      </c>
      <c r="BD913">
        <v>700</v>
      </c>
      <c r="BE913">
        <v>70</v>
      </c>
      <c r="BF913">
        <v>9</v>
      </c>
      <c r="BG913" s="2">
        <v>45536</v>
      </c>
      <c r="BH913" t="s">
        <v>142</v>
      </c>
      <c r="BI913" s="2">
        <v>46026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s="1">
        <v>1747.36</v>
      </c>
      <c r="BQ913" s="1">
        <v>1747.36</v>
      </c>
      <c r="BR913">
        <v>0</v>
      </c>
      <c r="BS913">
        <v>0</v>
      </c>
      <c r="BT913">
        <v>0</v>
      </c>
      <c r="BU913">
        <v>0</v>
      </c>
      <c r="BV913">
        <v>617.38</v>
      </c>
      <c r="BW913">
        <v>617.38</v>
      </c>
      <c r="BX913">
        <v>0</v>
      </c>
      <c r="BY913">
        <v>0</v>
      </c>
      <c r="BZ913">
        <v>0</v>
      </c>
      <c r="CA913">
        <v>0</v>
      </c>
      <c r="CB913">
        <v>763.51</v>
      </c>
      <c r="CC913" t="s">
        <v>161</v>
      </c>
    </row>
    <row r="914" spans="1:81" x14ac:dyDescent="0.25">
      <c r="A914">
        <v>345</v>
      </c>
      <c r="B914">
        <v>2</v>
      </c>
      <c r="C914">
        <v>2666</v>
      </c>
      <c r="D914" t="s">
        <v>5196</v>
      </c>
      <c r="E914" t="s">
        <v>121</v>
      </c>
      <c r="F914" t="s">
        <v>5197</v>
      </c>
      <c r="G914" t="s">
        <v>5198</v>
      </c>
      <c r="H914" t="s">
        <v>5199</v>
      </c>
      <c r="I914" t="s">
        <v>5200</v>
      </c>
      <c r="J914" t="s">
        <v>126</v>
      </c>
      <c r="K914" t="s">
        <v>1853</v>
      </c>
      <c r="L914" t="s">
        <v>128</v>
      </c>
      <c r="M914" t="s">
        <v>1854</v>
      </c>
      <c r="N914" t="s">
        <v>5201</v>
      </c>
      <c r="O914" t="s">
        <v>167</v>
      </c>
      <c r="P914">
        <v>0</v>
      </c>
      <c r="Q914" t="s">
        <v>125</v>
      </c>
      <c r="R914">
        <v>6</v>
      </c>
      <c r="S914">
        <v>36</v>
      </c>
      <c r="T914" t="s">
        <v>132</v>
      </c>
      <c r="U914" t="s">
        <v>133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134</v>
      </c>
      <c r="AE914" t="s">
        <v>134</v>
      </c>
      <c r="AF914" s="2">
        <v>45518</v>
      </c>
      <c r="AG914" s="2">
        <v>46010</v>
      </c>
      <c r="AH914">
        <v>477.57</v>
      </c>
      <c r="AI914" s="1">
        <v>1035.05</v>
      </c>
      <c r="AJ914" s="1">
        <v>3820.57</v>
      </c>
      <c r="AK914">
        <v>0</v>
      </c>
      <c r="AL914">
        <v>0</v>
      </c>
      <c r="AM914">
        <v>0</v>
      </c>
      <c r="AN914" t="s">
        <v>135</v>
      </c>
      <c r="AO914" t="s">
        <v>135</v>
      </c>
      <c r="AP914" t="s">
        <v>136</v>
      </c>
      <c r="AQ914" t="s">
        <v>137</v>
      </c>
      <c r="AR914" t="s">
        <v>138</v>
      </c>
      <c r="AS914" t="s">
        <v>139</v>
      </c>
      <c r="AT914" t="s">
        <v>140</v>
      </c>
      <c r="AU914">
        <v>103</v>
      </c>
      <c r="AV914">
        <v>10</v>
      </c>
      <c r="AW914">
        <v>1</v>
      </c>
      <c r="AX914" s="2">
        <v>45813</v>
      </c>
      <c r="AY914" t="s">
        <v>308</v>
      </c>
      <c r="AZ914" s="2">
        <v>46023</v>
      </c>
      <c r="BA914">
        <v>0</v>
      </c>
      <c r="BB914">
        <v>0</v>
      </c>
      <c r="BC914">
        <v>0</v>
      </c>
      <c r="BD914">
        <v>700</v>
      </c>
      <c r="BE914">
        <v>70</v>
      </c>
      <c r="BF914">
        <v>9</v>
      </c>
      <c r="BG914" s="2">
        <v>45536</v>
      </c>
      <c r="BH914" t="s">
        <v>142</v>
      </c>
      <c r="BI914" s="2">
        <v>46026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 s="1">
        <v>1574.13</v>
      </c>
      <c r="BQ914" s="1">
        <v>1574.13</v>
      </c>
      <c r="BR914">
        <v>0</v>
      </c>
      <c r="BS914">
        <v>0</v>
      </c>
      <c r="BT914">
        <v>0</v>
      </c>
      <c r="BU914">
        <v>0</v>
      </c>
      <c r="BV914" s="1">
        <v>1105.42</v>
      </c>
      <c r="BW914" s="1">
        <v>1105.42</v>
      </c>
      <c r="BX914">
        <v>0</v>
      </c>
      <c r="BY914">
        <v>0</v>
      </c>
      <c r="BZ914">
        <v>0</v>
      </c>
      <c r="CA914">
        <v>0</v>
      </c>
      <c r="CB914" s="1">
        <v>1347.5</v>
      </c>
      <c r="CC914" t="s">
        <v>161</v>
      </c>
    </row>
    <row r="915" spans="1:81" x14ac:dyDescent="0.25">
      <c r="A915">
        <v>345</v>
      </c>
      <c r="B915">
        <v>2</v>
      </c>
      <c r="C915">
        <v>2667</v>
      </c>
      <c r="D915" t="s">
        <v>5202</v>
      </c>
      <c r="E915" t="s">
        <v>121</v>
      </c>
      <c r="F915" t="s">
        <v>5203</v>
      </c>
      <c r="G915" t="s">
        <v>5204</v>
      </c>
      <c r="H915" t="s">
        <v>5205</v>
      </c>
      <c r="I915" t="s">
        <v>125</v>
      </c>
      <c r="J915" t="s">
        <v>126</v>
      </c>
      <c r="K915" t="s">
        <v>1853</v>
      </c>
      <c r="L915" t="s">
        <v>128</v>
      </c>
      <c r="M915" t="s">
        <v>1854</v>
      </c>
      <c r="N915" t="s">
        <v>5206</v>
      </c>
      <c r="O915" t="s">
        <v>159</v>
      </c>
      <c r="P915">
        <v>0</v>
      </c>
      <c r="Q915" t="s">
        <v>125</v>
      </c>
      <c r="R915">
        <v>6</v>
      </c>
      <c r="S915">
        <v>35</v>
      </c>
      <c r="T915" t="s">
        <v>132</v>
      </c>
      <c r="U915" t="s">
        <v>133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134</v>
      </c>
      <c r="AE915" t="s">
        <v>134</v>
      </c>
      <c r="AF915" s="2">
        <v>45518</v>
      </c>
      <c r="AG915" s="2">
        <v>45989</v>
      </c>
      <c r="AH915">
        <v>228.22</v>
      </c>
      <c r="AI915">
        <v>284.10000000000002</v>
      </c>
      <c r="AJ915">
        <v>684.68</v>
      </c>
      <c r="AK915">
        <v>0</v>
      </c>
      <c r="AL915">
        <v>0</v>
      </c>
      <c r="AM915">
        <v>0</v>
      </c>
      <c r="AN915" t="s">
        <v>135</v>
      </c>
      <c r="AO915" t="s">
        <v>135</v>
      </c>
      <c r="AP915" t="s">
        <v>136</v>
      </c>
      <c r="AQ915" t="s">
        <v>137</v>
      </c>
      <c r="AR915" t="s">
        <v>138</v>
      </c>
      <c r="AS915" t="s">
        <v>139</v>
      </c>
      <c r="AT915" t="s">
        <v>140</v>
      </c>
      <c r="AU915">
        <v>103</v>
      </c>
      <c r="AV915">
        <v>10</v>
      </c>
      <c r="AW915">
        <v>1</v>
      </c>
      <c r="AX915" s="2">
        <v>45701</v>
      </c>
      <c r="AY915" t="s">
        <v>308</v>
      </c>
      <c r="AZ915" s="2">
        <v>46023</v>
      </c>
      <c r="BA915">
        <v>0</v>
      </c>
      <c r="BB915">
        <v>0</v>
      </c>
      <c r="BC915">
        <v>0</v>
      </c>
      <c r="BD915">
        <v>700</v>
      </c>
      <c r="BE915">
        <v>70</v>
      </c>
      <c r="BF915">
        <v>9</v>
      </c>
      <c r="BG915" s="2">
        <v>45809</v>
      </c>
      <c r="BH915" t="s">
        <v>142</v>
      </c>
      <c r="BI915" s="2">
        <v>46026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511.03</v>
      </c>
      <c r="BQ915">
        <v>511.03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289.57</v>
      </c>
      <c r="CC915" t="s">
        <v>161</v>
      </c>
    </row>
    <row r="916" spans="1:81" x14ac:dyDescent="0.25">
      <c r="A916">
        <v>345</v>
      </c>
      <c r="B916">
        <v>2</v>
      </c>
      <c r="C916">
        <v>2671</v>
      </c>
      <c r="D916" t="s">
        <v>5207</v>
      </c>
      <c r="E916" t="s">
        <v>121</v>
      </c>
      <c r="F916" t="s">
        <v>5208</v>
      </c>
      <c r="G916" t="s">
        <v>5209</v>
      </c>
      <c r="H916" t="s">
        <v>5210</v>
      </c>
      <c r="I916" t="s">
        <v>125</v>
      </c>
      <c r="J916" t="s">
        <v>126</v>
      </c>
      <c r="K916" t="s">
        <v>1853</v>
      </c>
      <c r="L916" t="s">
        <v>128</v>
      </c>
      <c r="M916" t="s">
        <v>1854</v>
      </c>
      <c r="N916" t="s">
        <v>5211</v>
      </c>
      <c r="O916" t="s">
        <v>201</v>
      </c>
      <c r="P916">
        <v>0</v>
      </c>
      <c r="Q916" t="s">
        <v>125</v>
      </c>
      <c r="R916">
        <v>3</v>
      </c>
      <c r="S916">
        <v>84</v>
      </c>
      <c r="T916" t="s">
        <v>132</v>
      </c>
      <c r="U916" t="s">
        <v>133</v>
      </c>
      <c r="V916" s="1">
        <v>1000</v>
      </c>
      <c r="W916">
        <v>0</v>
      </c>
      <c r="X916" s="1">
        <v>1000</v>
      </c>
      <c r="Y916">
        <v>7</v>
      </c>
      <c r="Z916">
        <v>0</v>
      </c>
      <c r="AA916">
        <v>0</v>
      </c>
      <c r="AB916">
        <v>0</v>
      </c>
      <c r="AC916">
        <v>0</v>
      </c>
      <c r="AD916" t="s">
        <v>134</v>
      </c>
      <c r="AE916" t="s">
        <v>134</v>
      </c>
      <c r="AF916" s="2">
        <v>45518</v>
      </c>
      <c r="AG916" s="2">
        <v>45997</v>
      </c>
      <c r="AH916">
        <v>203.21</v>
      </c>
      <c r="AI916">
        <v>366.76</v>
      </c>
      <c r="AJ916">
        <v>609.63</v>
      </c>
      <c r="AK916">
        <v>0</v>
      </c>
      <c r="AL916">
        <v>0</v>
      </c>
      <c r="AM916">
        <v>0</v>
      </c>
      <c r="AN916" t="s">
        <v>135</v>
      </c>
      <c r="AO916" t="s">
        <v>135</v>
      </c>
      <c r="AP916" t="s">
        <v>136</v>
      </c>
      <c r="AQ916" t="s">
        <v>137</v>
      </c>
      <c r="AR916" t="s">
        <v>138</v>
      </c>
      <c r="AS916" t="s">
        <v>150</v>
      </c>
      <c r="AT916" t="s">
        <v>140</v>
      </c>
      <c r="AU916">
        <v>500</v>
      </c>
      <c r="AV916">
        <v>10</v>
      </c>
      <c r="AW916">
        <v>1</v>
      </c>
      <c r="AX916" s="2">
        <v>45863</v>
      </c>
      <c r="AY916" t="s">
        <v>151</v>
      </c>
      <c r="AZ916" s="2">
        <v>46024</v>
      </c>
      <c r="BA916">
        <v>0</v>
      </c>
      <c r="BB916">
        <v>0</v>
      </c>
      <c r="BC916">
        <v>0</v>
      </c>
      <c r="BD916">
        <v>700</v>
      </c>
      <c r="BE916">
        <v>70</v>
      </c>
      <c r="BF916">
        <v>9</v>
      </c>
      <c r="BG916" s="2">
        <v>45536</v>
      </c>
      <c r="BH916" t="s">
        <v>142</v>
      </c>
      <c r="BI916" s="2">
        <v>46026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242.87</v>
      </c>
      <c r="BQ916">
        <v>242.87</v>
      </c>
      <c r="BR916">
        <v>0</v>
      </c>
      <c r="BS916">
        <v>0</v>
      </c>
      <c r="BT916">
        <v>0</v>
      </c>
      <c r="BU916">
        <v>0</v>
      </c>
      <c r="BV916">
        <v>366.76</v>
      </c>
      <c r="BW916">
        <v>366.76</v>
      </c>
      <c r="BX916">
        <v>0</v>
      </c>
      <c r="BY916">
        <v>0</v>
      </c>
      <c r="BZ916">
        <v>0</v>
      </c>
      <c r="CA916">
        <v>0</v>
      </c>
      <c r="CB916">
        <v>174.48</v>
      </c>
      <c r="CC916" t="s">
        <v>143</v>
      </c>
    </row>
    <row r="917" spans="1:81" x14ac:dyDescent="0.25">
      <c r="A917">
        <v>345</v>
      </c>
      <c r="B917">
        <v>2</v>
      </c>
      <c r="C917">
        <v>2673</v>
      </c>
      <c r="D917" t="s">
        <v>5212</v>
      </c>
      <c r="E917" t="s">
        <v>121</v>
      </c>
      <c r="F917" t="s">
        <v>5213</v>
      </c>
      <c r="G917" t="s">
        <v>5214</v>
      </c>
      <c r="H917" t="s">
        <v>5215</v>
      </c>
      <c r="I917" t="s">
        <v>125</v>
      </c>
      <c r="J917" t="s">
        <v>126</v>
      </c>
      <c r="K917" t="s">
        <v>1853</v>
      </c>
      <c r="L917" t="s">
        <v>128</v>
      </c>
      <c r="M917" t="s">
        <v>1854</v>
      </c>
      <c r="N917" t="s">
        <v>5216</v>
      </c>
      <c r="O917" t="s">
        <v>167</v>
      </c>
      <c r="P917">
        <v>0</v>
      </c>
      <c r="Q917" t="s">
        <v>125</v>
      </c>
      <c r="R917">
        <v>6</v>
      </c>
      <c r="S917">
        <v>35</v>
      </c>
      <c r="T917" t="s">
        <v>132</v>
      </c>
      <c r="U917" t="s">
        <v>133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134</v>
      </c>
      <c r="AE917" t="s">
        <v>134</v>
      </c>
      <c r="AF917" s="2">
        <v>45518</v>
      </c>
      <c r="AG917" s="2">
        <v>46014</v>
      </c>
      <c r="AH917">
        <v>440.98</v>
      </c>
      <c r="AI917">
        <v>955.67</v>
      </c>
      <c r="AJ917" s="1">
        <v>1763.92</v>
      </c>
      <c r="AK917">
        <v>0</v>
      </c>
      <c r="AL917">
        <v>0</v>
      </c>
      <c r="AM917">
        <v>0</v>
      </c>
      <c r="AN917" t="s">
        <v>135</v>
      </c>
      <c r="AO917" t="s">
        <v>135</v>
      </c>
      <c r="AP917" t="s">
        <v>136</v>
      </c>
      <c r="AQ917" t="s">
        <v>137</v>
      </c>
      <c r="AR917" t="s">
        <v>138</v>
      </c>
      <c r="AS917" t="s">
        <v>139</v>
      </c>
      <c r="AT917" t="s">
        <v>140</v>
      </c>
      <c r="AU917">
        <v>103</v>
      </c>
      <c r="AV917">
        <v>10</v>
      </c>
      <c r="AW917">
        <v>1</v>
      </c>
      <c r="AX917" s="2">
        <v>45971</v>
      </c>
      <c r="AY917" t="s">
        <v>141</v>
      </c>
      <c r="AZ917" s="2">
        <v>46027</v>
      </c>
      <c r="BA917">
        <v>0</v>
      </c>
      <c r="BB917">
        <v>0</v>
      </c>
      <c r="BC917">
        <v>0</v>
      </c>
      <c r="BD917">
        <v>700</v>
      </c>
      <c r="BE917">
        <v>70</v>
      </c>
      <c r="BF917">
        <v>9</v>
      </c>
      <c r="BG917" s="2">
        <v>45536</v>
      </c>
      <c r="BH917" t="s">
        <v>142</v>
      </c>
      <c r="BI917" s="2">
        <v>46026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955.67</v>
      </c>
      <c r="BQ917">
        <v>955.67</v>
      </c>
      <c r="BR917">
        <v>0</v>
      </c>
      <c r="BS917">
        <v>0</v>
      </c>
      <c r="BT917">
        <v>0</v>
      </c>
      <c r="BU917">
        <v>0</v>
      </c>
      <c r="BV917">
        <v>451.97</v>
      </c>
      <c r="BW917">
        <v>451.97</v>
      </c>
      <c r="BX917">
        <v>0</v>
      </c>
      <c r="BY917">
        <v>0</v>
      </c>
      <c r="BZ917">
        <v>0</v>
      </c>
      <c r="CA917">
        <v>0</v>
      </c>
      <c r="CB917">
        <v>437.31</v>
      </c>
      <c r="CC917" t="s">
        <v>161</v>
      </c>
    </row>
    <row r="918" spans="1:81" x14ac:dyDescent="0.25">
      <c r="A918">
        <v>345</v>
      </c>
      <c r="B918">
        <v>2</v>
      </c>
      <c r="C918">
        <v>2677</v>
      </c>
      <c r="D918" t="s">
        <v>5217</v>
      </c>
      <c r="E918" t="s">
        <v>121</v>
      </c>
      <c r="F918" t="s">
        <v>5218</v>
      </c>
      <c r="G918" t="s">
        <v>5219</v>
      </c>
      <c r="H918" t="s">
        <v>5220</v>
      </c>
      <c r="I918" t="s">
        <v>5221</v>
      </c>
      <c r="J918" t="s">
        <v>4932</v>
      </c>
      <c r="K918" t="s">
        <v>1853</v>
      </c>
      <c r="L918" t="s">
        <v>128</v>
      </c>
      <c r="M918" t="s">
        <v>1854</v>
      </c>
      <c r="N918" t="s">
        <v>5222</v>
      </c>
      <c r="O918" t="s">
        <v>2996</v>
      </c>
      <c r="P918">
        <v>0</v>
      </c>
      <c r="Q918" t="s">
        <v>125</v>
      </c>
      <c r="R918">
        <v>6</v>
      </c>
      <c r="S918">
        <v>43</v>
      </c>
      <c r="T918" t="s">
        <v>132</v>
      </c>
      <c r="U918" t="s">
        <v>133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134</v>
      </c>
      <c r="AE918" t="s">
        <v>134</v>
      </c>
      <c r="AF918" s="2">
        <v>45518</v>
      </c>
      <c r="AG918" s="2">
        <v>46018</v>
      </c>
      <c r="AH918" s="1">
        <v>1124.1199999999999</v>
      </c>
      <c r="AI918" s="1">
        <v>1638.95</v>
      </c>
      <c r="AJ918" s="1">
        <v>13489.47</v>
      </c>
      <c r="AK918">
        <v>0</v>
      </c>
      <c r="AL918">
        <v>0</v>
      </c>
      <c r="AM918">
        <v>0</v>
      </c>
      <c r="AN918" t="s">
        <v>135</v>
      </c>
      <c r="AO918" t="s">
        <v>135</v>
      </c>
      <c r="AP918" t="s">
        <v>136</v>
      </c>
      <c r="AQ918" t="s">
        <v>137</v>
      </c>
      <c r="AR918" t="s">
        <v>138</v>
      </c>
      <c r="AS918" t="s">
        <v>150</v>
      </c>
      <c r="AT918" t="s">
        <v>140</v>
      </c>
      <c r="AU918">
        <v>103</v>
      </c>
      <c r="AV918">
        <v>10</v>
      </c>
      <c r="AW918">
        <v>1</v>
      </c>
      <c r="AX918" s="2">
        <v>45813</v>
      </c>
      <c r="AY918" t="s">
        <v>308</v>
      </c>
      <c r="AZ918" s="2">
        <v>46023</v>
      </c>
      <c r="BA918">
        <v>0</v>
      </c>
      <c r="BB918">
        <v>0</v>
      </c>
      <c r="BC918">
        <v>0</v>
      </c>
      <c r="BD918">
        <v>700</v>
      </c>
      <c r="BE918">
        <v>70</v>
      </c>
      <c r="BF918">
        <v>9</v>
      </c>
      <c r="BG918" s="2">
        <v>45536</v>
      </c>
      <c r="BH918" t="s">
        <v>142</v>
      </c>
      <c r="BI918" s="2">
        <v>46026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s="1">
        <v>5510.43</v>
      </c>
      <c r="BQ918" s="1">
        <v>5510.43</v>
      </c>
      <c r="BR918">
        <v>0</v>
      </c>
      <c r="BS918">
        <v>0</v>
      </c>
      <c r="BT918">
        <v>0</v>
      </c>
      <c r="BU918">
        <v>0</v>
      </c>
      <c r="BV918" s="1">
        <v>3116.19</v>
      </c>
      <c r="BW918" s="1">
        <v>3116.19</v>
      </c>
      <c r="BX918">
        <v>0</v>
      </c>
      <c r="BY918">
        <v>0</v>
      </c>
      <c r="BZ918">
        <v>0</v>
      </c>
      <c r="CA918">
        <v>0</v>
      </c>
      <c r="CB918" s="1">
        <v>4890.5200000000004</v>
      </c>
      <c r="CC918" t="s">
        <v>4520</v>
      </c>
    </row>
    <row r="919" spans="1:81" x14ac:dyDescent="0.25">
      <c r="A919">
        <v>345</v>
      </c>
      <c r="B919">
        <v>2</v>
      </c>
      <c r="C919">
        <v>2681</v>
      </c>
      <c r="D919" t="s">
        <v>5223</v>
      </c>
      <c r="E919" t="s">
        <v>121</v>
      </c>
      <c r="F919" t="s">
        <v>5224</v>
      </c>
      <c r="G919" t="s">
        <v>5225</v>
      </c>
      <c r="H919" t="s">
        <v>5226</v>
      </c>
      <c r="I919" t="s">
        <v>5227</v>
      </c>
      <c r="J919" t="s">
        <v>5228</v>
      </c>
      <c r="K919" t="s">
        <v>1853</v>
      </c>
      <c r="L919" t="s">
        <v>128</v>
      </c>
      <c r="M919" t="s">
        <v>1854</v>
      </c>
      <c r="N919" t="s">
        <v>5036</v>
      </c>
      <c r="O919" t="s">
        <v>167</v>
      </c>
      <c r="P919">
        <v>0</v>
      </c>
      <c r="Q919" t="s">
        <v>125</v>
      </c>
      <c r="R919">
        <v>3</v>
      </c>
      <c r="S919">
        <v>84</v>
      </c>
      <c r="T919" t="s">
        <v>132</v>
      </c>
      <c r="U919" t="s">
        <v>133</v>
      </c>
      <c r="V919" s="1">
        <v>1000</v>
      </c>
      <c r="W919">
        <v>380.09</v>
      </c>
      <c r="X919">
        <v>619.91</v>
      </c>
      <c r="Y919">
        <v>7</v>
      </c>
      <c r="Z919">
        <v>0</v>
      </c>
      <c r="AA919">
        <v>9</v>
      </c>
      <c r="AB919">
        <v>0</v>
      </c>
      <c r="AC919">
        <v>0</v>
      </c>
      <c r="AD919" t="s">
        <v>134</v>
      </c>
      <c r="AE919" t="s">
        <v>134</v>
      </c>
      <c r="AF919" s="2">
        <v>45518</v>
      </c>
      <c r="AG919" s="2">
        <v>46018</v>
      </c>
      <c r="AH919">
        <v>506.16</v>
      </c>
      <c r="AI919">
        <v>731.78</v>
      </c>
      <c r="AJ919" s="1">
        <v>4555.5</v>
      </c>
      <c r="AK919">
        <v>0</v>
      </c>
      <c r="AL919">
        <v>380.09</v>
      </c>
      <c r="AM919">
        <v>49.28</v>
      </c>
      <c r="AN919" t="s">
        <v>135</v>
      </c>
      <c r="AO919" t="s">
        <v>135</v>
      </c>
      <c r="AP919" t="s">
        <v>136</v>
      </c>
      <c r="AQ919" t="s">
        <v>137</v>
      </c>
      <c r="AR919" t="s">
        <v>138</v>
      </c>
      <c r="AS919" t="s">
        <v>139</v>
      </c>
      <c r="AT919" t="s">
        <v>140</v>
      </c>
      <c r="AU919">
        <v>103</v>
      </c>
      <c r="AV919">
        <v>10</v>
      </c>
      <c r="AW919">
        <v>1</v>
      </c>
      <c r="AX919" s="2">
        <v>45819</v>
      </c>
      <c r="AY919" t="s">
        <v>168</v>
      </c>
      <c r="AZ919" s="2">
        <v>46022</v>
      </c>
      <c r="BA919">
        <v>0</v>
      </c>
      <c r="BB919">
        <v>0</v>
      </c>
      <c r="BC919">
        <v>0</v>
      </c>
      <c r="BD919">
        <v>700</v>
      </c>
      <c r="BE919">
        <v>70</v>
      </c>
      <c r="BF919">
        <v>9</v>
      </c>
      <c r="BG919" s="2">
        <v>45536</v>
      </c>
      <c r="BH919" t="s">
        <v>142</v>
      </c>
      <c r="BI919" s="2">
        <v>46026</v>
      </c>
      <c r="BJ919">
        <v>0</v>
      </c>
      <c r="BK919">
        <v>0</v>
      </c>
      <c r="BL919">
        <v>0</v>
      </c>
      <c r="BM919">
        <v>6.59</v>
      </c>
      <c r="BN919">
        <v>4.8499999999999996</v>
      </c>
      <c r="BO919" s="1">
        <v>1385.77</v>
      </c>
      <c r="BP919">
        <v>499.08</v>
      </c>
      <c r="BQ919" s="1">
        <v>1884.85</v>
      </c>
      <c r="BR919">
        <v>187.29</v>
      </c>
      <c r="BS919">
        <v>7.4</v>
      </c>
      <c r="BT919">
        <v>6.24</v>
      </c>
      <c r="BU919" s="1">
        <v>1878.19</v>
      </c>
      <c r="BV919">
        <v>350.54</v>
      </c>
      <c r="BW919" s="1">
        <v>2228.73</v>
      </c>
      <c r="BX919">
        <v>380.09</v>
      </c>
      <c r="BY919">
        <v>20.239999999999998</v>
      </c>
      <c r="BZ919">
        <v>0</v>
      </c>
      <c r="CA919">
        <v>0</v>
      </c>
      <c r="CB919">
        <v>927.7</v>
      </c>
      <c r="CC919" t="s">
        <v>161</v>
      </c>
    </row>
    <row r="920" spans="1:81" x14ac:dyDescent="0.25">
      <c r="A920">
        <v>345</v>
      </c>
      <c r="B920">
        <v>2</v>
      </c>
      <c r="C920">
        <v>2687</v>
      </c>
      <c r="D920" t="s">
        <v>5229</v>
      </c>
      <c r="E920" t="s">
        <v>121</v>
      </c>
      <c r="F920" t="s">
        <v>4916</v>
      </c>
      <c r="G920" t="s">
        <v>5230</v>
      </c>
      <c r="H920" t="s">
        <v>5231</v>
      </c>
      <c r="I920" t="s">
        <v>125</v>
      </c>
      <c r="J920" t="s">
        <v>126</v>
      </c>
      <c r="K920" t="s">
        <v>1853</v>
      </c>
      <c r="L920" t="s">
        <v>128</v>
      </c>
      <c r="M920" t="s">
        <v>1854</v>
      </c>
      <c r="N920" t="s">
        <v>5232</v>
      </c>
      <c r="O920" t="s">
        <v>149</v>
      </c>
      <c r="P920">
        <v>0</v>
      </c>
      <c r="Q920" t="s">
        <v>125</v>
      </c>
      <c r="R920">
        <v>6</v>
      </c>
      <c r="S920">
        <v>46</v>
      </c>
      <c r="T920" t="s">
        <v>132</v>
      </c>
      <c r="U920" t="s">
        <v>133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134</v>
      </c>
      <c r="AE920" t="s">
        <v>134</v>
      </c>
      <c r="AF920" s="2">
        <v>45518</v>
      </c>
      <c r="AG920" s="2">
        <v>46017</v>
      </c>
      <c r="AH920" s="1">
        <v>12297.9</v>
      </c>
      <c r="AI920" s="1">
        <v>34397.879999999997</v>
      </c>
      <c r="AJ920" s="1">
        <v>319745.5</v>
      </c>
      <c r="AK920">
        <v>0</v>
      </c>
      <c r="AL920">
        <v>0</v>
      </c>
      <c r="AM920">
        <v>0</v>
      </c>
      <c r="AN920" t="s">
        <v>135</v>
      </c>
      <c r="AO920" t="s">
        <v>135</v>
      </c>
      <c r="AP920" t="s">
        <v>136</v>
      </c>
      <c r="AQ920" t="s">
        <v>137</v>
      </c>
      <c r="AR920" t="s">
        <v>138</v>
      </c>
      <c r="AS920" t="s">
        <v>139</v>
      </c>
      <c r="AT920" t="s">
        <v>140</v>
      </c>
      <c r="AU920">
        <v>500</v>
      </c>
      <c r="AV920">
        <v>10</v>
      </c>
      <c r="AW920">
        <v>1</v>
      </c>
      <c r="AX920" s="2">
        <v>45841</v>
      </c>
      <c r="AY920" t="s">
        <v>308</v>
      </c>
      <c r="AZ920" s="2">
        <v>46023</v>
      </c>
      <c r="BA920">
        <v>0</v>
      </c>
      <c r="BB920">
        <v>0</v>
      </c>
      <c r="BC920">
        <v>0</v>
      </c>
      <c r="BD920">
        <v>700</v>
      </c>
      <c r="BE920">
        <v>70</v>
      </c>
      <c r="BF920">
        <v>9</v>
      </c>
      <c r="BG920" s="2">
        <v>45536</v>
      </c>
      <c r="BH920" t="s">
        <v>142</v>
      </c>
      <c r="BI920" s="2">
        <v>46026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 s="1">
        <v>104134.42</v>
      </c>
      <c r="BQ920" s="1">
        <v>104134.42</v>
      </c>
      <c r="BR920">
        <v>0</v>
      </c>
      <c r="BS920">
        <v>0</v>
      </c>
      <c r="BT920">
        <v>0</v>
      </c>
      <c r="BU920">
        <v>0</v>
      </c>
      <c r="BV920" s="1">
        <v>131039.45</v>
      </c>
      <c r="BW920" s="1">
        <v>131039.45</v>
      </c>
      <c r="BX920">
        <v>0</v>
      </c>
      <c r="BY920">
        <v>0</v>
      </c>
      <c r="BZ920">
        <v>0</v>
      </c>
      <c r="CA920">
        <v>0</v>
      </c>
      <c r="CB920" s="1">
        <v>88235.22</v>
      </c>
      <c r="CC920" t="s">
        <v>152</v>
      </c>
    </row>
    <row r="921" spans="1:81" x14ac:dyDescent="0.25">
      <c r="A921">
        <v>345</v>
      </c>
      <c r="B921">
        <v>2</v>
      </c>
      <c r="C921">
        <v>2691</v>
      </c>
      <c r="D921" t="s">
        <v>5233</v>
      </c>
      <c r="E921" t="s">
        <v>121</v>
      </c>
      <c r="F921" t="s">
        <v>5005</v>
      </c>
      <c r="G921" t="s">
        <v>5234</v>
      </c>
      <c r="H921" t="s">
        <v>5235</v>
      </c>
      <c r="I921" t="s">
        <v>125</v>
      </c>
      <c r="J921" t="s">
        <v>126</v>
      </c>
      <c r="K921" t="s">
        <v>1853</v>
      </c>
      <c r="L921" t="s">
        <v>128</v>
      </c>
      <c r="M921" t="s">
        <v>1854</v>
      </c>
      <c r="N921" t="s">
        <v>5236</v>
      </c>
      <c r="O921" t="s">
        <v>2996</v>
      </c>
      <c r="P921">
        <v>0</v>
      </c>
      <c r="Q921" t="s">
        <v>125</v>
      </c>
      <c r="R921">
        <v>6</v>
      </c>
      <c r="S921">
        <v>41</v>
      </c>
      <c r="T921" t="s">
        <v>132</v>
      </c>
      <c r="U921" t="s">
        <v>133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134</v>
      </c>
      <c r="AE921" t="s">
        <v>134</v>
      </c>
      <c r="AF921" s="2">
        <v>45518</v>
      </c>
      <c r="AG921" s="2">
        <v>46021</v>
      </c>
      <c r="AH921">
        <v>390.12</v>
      </c>
      <c r="AI921">
        <v>440.4</v>
      </c>
      <c r="AJ921">
        <v>780.25</v>
      </c>
      <c r="AK921">
        <v>0</v>
      </c>
      <c r="AL921">
        <v>0</v>
      </c>
      <c r="AM921">
        <v>0</v>
      </c>
      <c r="AN921" t="s">
        <v>135</v>
      </c>
      <c r="AO921" t="s">
        <v>135</v>
      </c>
      <c r="AP921" t="s">
        <v>136</v>
      </c>
      <c r="AQ921" t="s">
        <v>137</v>
      </c>
      <c r="AR921" t="s">
        <v>138</v>
      </c>
      <c r="AS921" t="s">
        <v>150</v>
      </c>
      <c r="AT921" t="s">
        <v>140</v>
      </c>
      <c r="AU921">
        <v>103</v>
      </c>
      <c r="AV921">
        <v>10</v>
      </c>
      <c r="AW921">
        <v>1</v>
      </c>
      <c r="AX921" s="2">
        <v>45824</v>
      </c>
      <c r="AY921" t="s">
        <v>141</v>
      </c>
      <c r="AZ921" s="2">
        <v>46027</v>
      </c>
      <c r="BA921">
        <v>0</v>
      </c>
      <c r="BB921">
        <v>0</v>
      </c>
      <c r="BC921">
        <v>0</v>
      </c>
      <c r="BD921">
        <v>700</v>
      </c>
      <c r="BE921">
        <v>70</v>
      </c>
      <c r="BF921">
        <v>9</v>
      </c>
      <c r="BG921" s="2">
        <v>45536</v>
      </c>
      <c r="BH921" t="s">
        <v>142</v>
      </c>
      <c r="BI921" s="2">
        <v>46026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440.4</v>
      </c>
      <c r="BW921">
        <v>440.4</v>
      </c>
      <c r="BX921">
        <v>0</v>
      </c>
      <c r="BY921">
        <v>0</v>
      </c>
      <c r="BZ921">
        <v>0</v>
      </c>
      <c r="CA921">
        <v>0</v>
      </c>
      <c r="CB921">
        <v>318.2</v>
      </c>
      <c r="CC921" t="s">
        <v>4520</v>
      </c>
    </row>
    <row r="922" spans="1:81" x14ac:dyDescent="0.25">
      <c r="A922">
        <v>345</v>
      </c>
      <c r="B922">
        <v>2</v>
      </c>
      <c r="C922">
        <v>2697</v>
      </c>
      <c r="D922" t="s">
        <v>5237</v>
      </c>
      <c r="E922" t="s">
        <v>121</v>
      </c>
      <c r="F922" t="s">
        <v>5238</v>
      </c>
      <c r="G922" t="s">
        <v>5239</v>
      </c>
      <c r="H922" t="s">
        <v>5240</v>
      </c>
      <c r="I922" t="s">
        <v>125</v>
      </c>
      <c r="J922" t="s">
        <v>5241</v>
      </c>
      <c r="K922" t="s">
        <v>1853</v>
      </c>
      <c r="L922" t="s">
        <v>128</v>
      </c>
      <c r="M922" t="s">
        <v>1854</v>
      </c>
      <c r="N922" t="s">
        <v>5242</v>
      </c>
      <c r="O922" t="s">
        <v>131</v>
      </c>
      <c r="P922">
        <v>0</v>
      </c>
      <c r="Q922" t="s">
        <v>125</v>
      </c>
      <c r="R922">
        <v>6</v>
      </c>
      <c r="S922">
        <v>39</v>
      </c>
      <c r="T922" t="s">
        <v>132</v>
      </c>
      <c r="U922" t="s">
        <v>133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134</v>
      </c>
      <c r="AE922" t="s">
        <v>134</v>
      </c>
      <c r="AF922" s="2">
        <v>45518</v>
      </c>
      <c r="AG922" s="2">
        <v>46018</v>
      </c>
      <c r="AH922">
        <v>129.6</v>
      </c>
      <c r="AI922">
        <v>155.74</v>
      </c>
      <c r="AJ922">
        <v>259.20999999999998</v>
      </c>
      <c r="AK922">
        <v>0</v>
      </c>
      <c r="AL922">
        <v>0</v>
      </c>
      <c r="AM922">
        <v>0</v>
      </c>
      <c r="AN922" t="s">
        <v>135</v>
      </c>
      <c r="AO922" t="s">
        <v>135</v>
      </c>
      <c r="AP922" t="s">
        <v>136</v>
      </c>
      <c r="AQ922" t="s">
        <v>137</v>
      </c>
      <c r="AR922" t="s">
        <v>138</v>
      </c>
      <c r="AS922" t="s">
        <v>139</v>
      </c>
      <c r="AT922" t="s">
        <v>140</v>
      </c>
      <c r="AU922">
        <v>103</v>
      </c>
      <c r="AV922">
        <v>10</v>
      </c>
      <c r="AW922">
        <v>1</v>
      </c>
      <c r="AX922" s="2">
        <v>45819</v>
      </c>
      <c r="AY922" t="s">
        <v>168</v>
      </c>
      <c r="AZ922" s="2">
        <v>46022</v>
      </c>
      <c r="BA922">
        <v>0</v>
      </c>
      <c r="BB922">
        <v>0</v>
      </c>
      <c r="BC922">
        <v>0</v>
      </c>
      <c r="BD922">
        <v>700</v>
      </c>
      <c r="BE922">
        <v>70</v>
      </c>
      <c r="BF922">
        <v>9</v>
      </c>
      <c r="BG922" s="2">
        <v>45536</v>
      </c>
      <c r="BH922" t="s">
        <v>142</v>
      </c>
      <c r="BI922" s="2">
        <v>46026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103.47</v>
      </c>
      <c r="BW922">
        <v>103.47</v>
      </c>
      <c r="BX922">
        <v>0</v>
      </c>
      <c r="BY922">
        <v>0</v>
      </c>
      <c r="BZ922">
        <v>0</v>
      </c>
      <c r="CA922">
        <v>0</v>
      </c>
      <c r="CB922">
        <v>328.94</v>
      </c>
      <c r="CC922" t="s">
        <v>143</v>
      </c>
    </row>
    <row r="923" spans="1:81" x14ac:dyDescent="0.25">
      <c r="A923">
        <v>345</v>
      </c>
      <c r="B923">
        <v>2</v>
      </c>
      <c r="C923">
        <v>2704</v>
      </c>
      <c r="D923" t="s">
        <v>5243</v>
      </c>
      <c r="E923" t="s">
        <v>121</v>
      </c>
      <c r="F923" t="s">
        <v>5244</v>
      </c>
      <c r="G923" t="s">
        <v>5245</v>
      </c>
      <c r="H923" t="s">
        <v>5246</v>
      </c>
      <c r="I923" t="s">
        <v>5247</v>
      </c>
      <c r="J923" t="s">
        <v>126</v>
      </c>
      <c r="K923" t="s">
        <v>1853</v>
      </c>
      <c r="L923" t="s">
        <v>128</v>
      </c>
      <c r="M923" t="s">
        <v>1854</v>
      </c>
      <c r="N923" t="s">
        <v>5248</v>
      </c>
      <c r="O923" t="s">
        <v>159</v>
      </c>
      <c r="P923">
        <v>0</v>
      </c>
      <c r="Q923" t="s">
        <v>125</v>
      </c>
      <c r="R923">
        <v>4</v>
      </c>
      <c r="S923">
        <v>79</v>
      </c>
      <c r="T923" t="s">
        <v>132</v>
      </c>
      <c r="U923" t="s">
        <v>133</v>
      </c>
      <c r="V923" s="1">
        <v>1000</v>
      </c>
      <c r="W923">
        <v>0</v>
      </c>
      <c r="X923" s="1">
        <v>1000</v>
      </c>
      <c r="Y923">
        <v>7</v>
      </c>
      <c r="Z923">
        <v>0</v>
      </c>
      <c r="AA923">
        <v>0</v>
      </c>
      <c r="AB923">
        <v>0</v>
      </c>
      <c r="AC923">
        <v>0</v>
      </c>
      <c r="AD923" t="s">
        <v>134</v>
      </c>
      <c r="AE923" t="s">
        <v>134</v>
      </c>
      <c r="AF923" s="2">
        <v>45518</v>
      </c>
      <c r="AG923" s="2">
        <v>46010</v>
      </c>
      <c r="AH923">
        <v>453.21</v>
      </c>
      <c r="AI923">
        <v>605.41999999999996</v>
      </c>
      <c r="AJ923" s="1">
        <v>3172.52</v>
      </c>
      <c r="AK923">
        <v>0</v>
      </c>
      <c r="AL923">
        <v>0</v>
      </c>
      <c r="AM923">
        <v>0</v>
      </c>
      <c r="AN923" t="s">
        <v>135</v>
      </c>
      <c r="AO923" t="s">
        <v>135</v>
      </c>
      <c r="AP923" t="s">
        <v>136</v>
      </c>
      <c r="AQ923" t="s">
        <v>137</v>
      </c>
      <c r="AR923" t="s">
        <v>138</v>
      </c>
      <c r="AS923" t="s">
        <v>150</v>
      </c>
      <c r="AT923" t="s">
        <v>140</v>
      </c>
      <c r="AU923">
        <v>500</v>
      </c>
      <c r="AV923">
        <v>10</v>
      </c>
      <c r="AW923">
        <v>1</v>
      </c>
      <c r="AX923" s="2">
        <v>45813</v>
      </c>
      <c r="AY923" t="s">
        <v>308</v>
      </c>
      <c r="AZ923" s="2">
        <v>46023</v>
      </c>
      <c r="BA923">
        <v>0</v>
      </c>
      <c r="BB923">
        <v>0</v>
      </c>
      <c r="BC923">
        <v>0</v>
      </c>
      <c r="BD923">
        <v>700</v>
      </c>
      <c r="BE923">
        <v>70</v>
      </c>
      <c r="BF923">
        <v>9</v>
      </c>
      <c r="BG923" s="2">
        <v>45809</v>
      </c>
      <c r="BH923" t="s">
        <v>142</v>
      </c>
      <c r="BI923" s="2">
        <v>46026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501.29</v>
      </c>
      <c r="BQ923">
        <v>501.29</v>
      </c>
      <c r="BR923">
        <v>0</v>
      </c>
      <c r="BS923">
        <v>0</v>
      </c>
      <c r="BT923">
        <v>0</v>
      </c>
      <c r="BU923">
        <v>0</v>
      </c>
      <c r="BV923">
        <v>769.89</v>
      </c>
      <c r="BW923">
        <v>769.89</v>
      </c>
      <c r="BX923">
        <v>0</v>
      </c>
      <c r="BY923">
        <v>0</v>
      </c>
      <c r="BZ923">
        <v>0</v>
      </c>
      <c r="CA923">
        <v>0</v>
      </c>
      <c r="CB923" s="1">
        <v>1016.08</v>
      </c>
      <c r="CC923" t="s">
        <v>161</v>
      </c>
    </row>
    <row r="924" spans="1:81" x14ac:dyDescent="0.25">
      <c r="A924">
        <v>345</v>
      </c>
      <c r="B924">
        <v>2</v>
      </c>
      <c r="C924">
        <v>2705</v>
      </c>
      <c r="D924" t="s">
        <v>5249</v>
      </c>
      <c r="E924" t="s">
        <v>121</v>
      </c>
      <c r="F924" t="s">
        <v>5250</v>
      </c>
      <c r="G924" t="s">
        <v>5251</v>
      </c>
      <c r="H924" t="s">
        <v>5252</v>
      </c>
      <c r="I924" t="s">
        <v>5253</v>
      </c>
      <c r="J924" t="s">
        <v>126</v>
      </c>
      <c r="K924" t="s">
        <v>1853</v>
      </c>
      <c r="L924" t="s">
        <v>128</v>
      </c>
      <c r="M924" t="s">
        <v>1854</v>
      </c>
      <c r="N924" t="s">
        <v>5254</v>
      </c>
      <c r="O924" t="s">
        <v>131</v>
      </c>
      <c r="P924">
        <v>0</v>
      </c>
      <c r="Q924" t="s">
        <v>125</v>
      </c>
      <c r="R924">
        <v>4</v>
      </c>
      <c r="S924">
        <v>81</v>
      </c>
      <c r="T924" t="s">
        <v>132</v>
      </c>
      <c r="U924" t="s">
        <v>133</v>
      </c>
      <c r="V924" s="1">
        <v>1500</v>
      </c>
      <c r="W924">
        <v>0</v>
      </c>
      <c r="X924" s="1">
        <v>1500</v>
      </c>
      <c r="Y924">
        <v>7</v>
      </c>
      <c r="Z924">
        <v>0</v>
      </c>
      <c r="AA924">
        <v>6</v>
      </c>
      <c r="AB924">
        <v>0</v>
      </c>
      <c r="AC924">
        <v>11</v>
      </c>
      <c r="AD924" t="s">
        <v>134</v>
      </c>
      <c r="AE924" t="s">
        <v>134</v>
      </c>
      <c r="AF924" s="2">
        <v>45518</v>
      </c>
      <c r="AG924" s="2">
        <v>46014</v>
      </c>
      <c r="AH924">
        <v>638</v>
      </c>
      <c r="AI924" s="1">
        <v>1561.48</v>
      </c>
      <c r="AJ924" s="1">
        <v>2552.0300000000002</v>
      </c>
      <c r="AK924">
        <v>0</v>
      </c>
      <c r="AL924">
        <v>0</v>
      </c>
      <c r="AM924">
        <v>0</v>
      </c>
      <c r="AN924" t="s">
        <v>135</v>
      </c>
      <c r="AO924" t="s">
        <v>135</v>
      </c>
      <c r="AP924" t="s">
        <v>136</v>
      </c>
      <c r="AQ924" t="s">
        <v>137</v>
      </c>
      <c r="AR924" t="s">
        <v>138</v>
      </c>
      <c r="AS924" t="s">
        <v>150</v>
      </c>
      <c r="AT924" t="s">
        <v>140</v>
      </c>
      <c r="AU924">
        <v>103</v>
      </c>
      <c r="AV924">
        <v>10</v>
      </c>
      <c r="AW924">
        <v>1</v>
      </c>
      <c r="AX924" s="2">
        <v>45824</v>
      </c>
      <c r="AY924" t="s">
        <v>141</v>
      </c>
      <c r="AZ924" s="2">
        <v>46027</v>
      </c>
      <c r="BA924">
        <v>0</v>
      </c>
      <c r="BB924">
        <v>0</v>
      </c>
      <c r="BC924">
        <v>0</v>
      </c>
      <c r="BD924">
        <v>700</v>
      </c>
      <c r="BE924">
        <v>70</v>
      </c>
      <c r="BF924">
        <v>9</v>
      </c>
      <c r="BG924" s="2">
        <v>45809</v>
      </c>
      <c r="BH924" t="s">
        <v>142</v>
      </c>
      <c r="BI924" s="2">
        <v>46026</v>
      </c>
      <c r="BJ924">
        <v>0</v>
      </c>
      <c r="BK924">
        <v>0</v>
      </c>
      <c r="BL924">
        <v>0</v>
      </c>
      <c r="BM924">
        <v>2</v>
      </c>
      <c r="BN924">
        <v>2</v>
      </c>
      <c r="BO924">
        <v>165.98</v>
      </c>
      <c r="BP924">
        <v>0</v>
      </c>
      <c r="BQ924">
        <v>165.98</v>
      </c>
      <c r="BR924">
        <v>0</v>
      </c>
      <c r="BS924">
        <v>2</v>
      </c>
      <c r="BT924">
        <v>0.39</v>
      </c>
      <c r="BU924">
        <v>382.84</v>
      </c>
      <c r="BV924" s="1">
        <v>1561.48</v>
      </c>
      <c r="BW924" s="1">
        <v>1944.32</v>
      </c>
      <c r="BX924">
        <v>0</v>
      </c>
      <c r="BY924">
        <v>0</v>
      </c>
      <c r="BZ924">
        <v>0</v>
      </c>
      <c r="CA924">
        <v>0</v>
      </c>
      <c r="CB924">
        <v>496.71</v>
      </c>
      <c r="CC924" t="s">
        <v>152</v>
      </c>
    </row>
    <row r="925" spans="1:81" x14ac:dyDescent="0.25">
      <c r="A925">
        <v>345</v>
      </c>
      <c r="B925">
        <v>2</v>
      </c>
      <c r="C925">
        <v>2707</v>
      </c>
      <c r="D925" t="s">
        <v>5255</v>
      </c>
      <c r="E925" t="s">
        <v>121</v>
      </c>
      <c r="F925" t="s">
        <v>5256</v>
      </c>
      <c r="G925" t="s">
        <v>5257</v>
      </c>
      <c r="H925" t="s">
        <v>5258</v>
      </c>
      <c r="I925" t="s">
        <v>5259</v>
      </c>
      <c r="J925" t="s">
        <v>126</v>
      </c>
      <c r="K925" t="s">
        <v>1853</v>
      </c>
      <c r="L925" t="s">
        <v>128</v>
      </c>
      <c r="M925" t="s">
        <v>1854</v>
      </c>
      <c r="N925" t="s">
        <v>5260</v>
      </c>
      <c r="O925" t="s">
        <v>296</v>
      </c>
      <c r="P925">
        <v>0</v>
      </c>
      <c r="Q925" t="s">
        <v>125</v>
      </c>
      <c r="R925">
        <v>4</v>
      </c>
      <c r="S925">
        <v>76</v>
      </c>
      <c r="T925" t="s">
        <v>132</v>
      </c>
      <c r="U925" t="s">
        <v>133</v>
      </c>
      <c r="V925" s="1">
        <v>1500</v>
      </c>
      <c r="W925" s="1">
        <v>1257.97</v>
      </c>
      <c r="X925">
        <v>242.03</v>
      </c>
      <c r="Y925">
        <v>0</v>
      </c>
      <c r="Z925">
        <v>0</v>
      </c>
      <c r="AA925">
        <v>7</v>
      </c>
      <c r="AB925">
        <v>3</v>
      </c>
      <c r="AC925">
        <v>55</v>
      </c>
      <c r="AD925" t="s">
        <v>234</v>
      </c>
      <c r="AE925" t="s">
        <v>134</v>
      </c>
      <c r="AF925" s="2">
        <v>45518</v>
      </c>
      <c r="AG925" s="2">
        <v>46008</v>
      </c>
      <c r="AH925" s="1">
        <v>1071.18</v>
      </c>
      <c r="AI925" s="1">
        <v>1257.97</v>
      </c>
      <c r="AJ925" s="1">
        <v>4284.72</v>
      </c>
      <c r="AK925" s="1">
        <v>1257.97</v>
      </c>
      <c r="AL925">
        <v>0</v>
      </c>
      <c r="AM925">
        <v>0</v>
      </c>
      <c r="AN925" t="s">
        <v>135</v>
      </c>
      <c r="AO925" t="s">
        <v>135</v>
      </c>
      <c r="AP925" t="s">
        <v>136</v>
      </c>
      <c r="AQ925" t="s">
        <v>137</v>
      </c>
      <c r="AR925" t="s">
        <v>138</v>
      </c>
      <c r="AS925" t="s">
        <v>150</v>
      </c>
      <c r="AT925" t="s">
        <v>140</v>
      </c>
      <c r="AU925">
        <v>103</v>
      </c>
      <c r="AV925">
        <v>10</v>
      </c>
      <c r="AW925">
        <v>1</v>
      </c>
      <c r="AX925" s="2">
        <v>45972</v>
      </c>
      <c r="AY925" t="s">
        <v>377</v>
      </c>
      <c r="AZ925" s="2">
        <v>46028</v>
      </c>
      <c r="BA925">
        <v>0</v>
      </c>
      <c r="BB925">
        <v>0</v>
      </c>
      <c r="BC925">
        <v>0</v>
      </c>
      <c r="BD925">
        <v>700</v>
      </c>
      <c r="BE925">
        <v>70</v>
      </c>
      <c r="BF925">
        <v>9</v>
      </c>
      <c r="BG925" s="2">
        <v>45809</v>
      </c>
      <c r="BH925" t="s">
        <v>142</v>
      </c>
      <c r="BI925" s="2">
        <v>46026</v>
      </c>
      <c r="BJ925">
        <v>0</v>
      </c>
      <c r="BK925">
        <v>0</v>
      </c>
      <c r="BL925">
        <v>0</v>
      </c>
      <c r="BM925">
        <v>5</v>
      </c>
      <c r="BN925">
        <v>5</v>
      </c>
      <c r="BO925" s="1">
        <v>1010.3</v>
      </c>
      <c r="BP925">
        <v>0</v>
      </c>
      <c r="BQ925" s="1">
        <v>1010.3</v>
      </c>
      <c r="BR925" s="1">
        <v>1010.3</v>
      </c>
      <c r="BS925">
        <v>7</v>
      </c>
      <c r="BT925">
        <v>7</v>
      </c>
      <c r="BU925" s="1">
        <v>1257.97</v>
      </c>
      <c r="BV925">
        <v>0</v>
      </c>
      <c r="BW925" s="1">
        <v>1257.97</v>
      </c>
      <c r="BX925">
        <v>0</v>
      </c>
      <c r="BY925">
        <v>0</v>
      </c>
      <c r="BZ925">
        <v>0</v>
      </c>
      <c r="CA925">
        <v>0</v>
      </c>
      <c r="CB925" s="1">
        <v>1627.76</v>
      </c>
      <c r="CC925" t="s">
        <v>297</v>
      </c>
    </row>
    <row r="926" spans="1:81" x14ac:dyDescent="0.25">
      <c r="A926">
        <v>345</v>
      </c>
      <c r="B926">
        <v>2</v>
      </c>
      <c r="C926">
        <v>2718</v>
      </c>
      <c r="D926" t="s">
        <v>5261</v>
      </c>
      <c r="E926" t="s">
        <v>121</v>
      </c>
      <c r="F926" t="s">
        <v>5262</v>
      </c>
      <c r="G926" t="s">
        <v>5263</v>
      </c>
      <c r="H926" t="s">
        <v>5264</v>
      </c>
      <c r="I926" t="s">
        <v>5265</v>
      </c>
      <c r="J926" t="s">
        <v>126</v>
      </c>
      <c r="K926" t="s">
        <v>1853</v>
      </c>
      <c r="L926" t="s">
        <v>128</v>
      </c>
      <c r="M926" t="s">
        <v>1854</v>
      </c>
      <c r="N926" t="s">
        <v>5266</v>
      </c>
      <c r="O926" t="s">
        <v>159</v>
      </c>
      <c r="P926">
        <v>0</v>
      </c>
      <c r="Q926" t="s">
        <v>125</v>
      </c>
      <c r="R926">
        <v>3</v>
      </c>
      <c r="S926">
        <v>86</v>
      </c>
      <c r="T926" t="s">
        <v>132</v>
      </c>
      <c r="U926" t="s">
        <v>133</v>
      </c>
      <c r="V926">
        <v>501</v>
      </c>
      <c r="W926">
        <v>0</v>
      </c>
      <c r="X926">
        <v>501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134</v>
      </c>
      <c r="AE926" t="s">
        <v>134</v>
      </c>
      <c r="AF926" s="2">
        <v>45518</v>
      </c>
      <c r="AG926" s="2">
        <v>46008</v>
      </c>
      <c r="AH926">
        <v>187.3</v>
      </c>
      <c r="AI926">
        <v>345.93</v>
      </c>
      <c r="AJ926" s="1">
        <v>1873.07</v>
      </c>
      <c r="AK926">
        <v>0</v>
      </c>
      <c r="AL926">
        <v>345.93</v>
      </c>
      <c r="AM926">
        <v>0</v>
      </c>
      <c r="AN926" t="s">
        <v>135</v>
      </c>
      <c r="AO926" t="s">
        <v>135</v>
      </c>
      <c r="AP926" t="s">
        <v>136</v>
      </c>
      <c r="AQ926" t="s">
        <v>137</v>
      </c>
      <c r="AR926" t="s">
        <v>138</v>
      </c>
      <c r="AS926" t="s">
        <v>139</v>
      </c>
      <c r="AT926" t="s">
        <v>140</v>
      </c>
      <c r="AU926">
        <v>103</v>
      </c>
      <c r="AV926">
        <v>10</v>
      </c>
      <c r="AW926">
        <v>1</v>
      </c>
      <c r="AX926" s="2">
        <v>45972</v>
      </c>
      <c r="AY926" t="s">
        <v>377</v>
      </c>
      <c r="AZ926" s="2">
        <v>46028</v>
      </c>
      <c r="BA926">
        <v>0</v>
      </c>
      <c r="BB926">
        <v>0</v>
      </c>
      <c r="BC926">
        <v>0</v>
      </c>
      <c r="BD926">
        <v>700</v>
      </c>
      <c r="BE926">
        <v>70</v>
      </c>
      <c r="BF926">
        <v>9</v>
      </c>
      <c r="BG926" s="2">
        <v>45536</v>
      </c>
      <c r="BH926" t="s">
        <v>142</v>
      </c>
      <c r="BI926" s="2">
        <v>46026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337.56</v>
      </c>
      <c r="BQ926">
        <v>337.56</v>
      </c>
      <c r="BR926">
        <v>0</v>
      </c>
      <c r="BS926">
        <v>0</v>
      </c>
      <c r="BT926">
        <v>0</v>
      </c>
      <c r="BU926">
        <v>0</v>
      </c>
      <c r="BV926">
        <v>921.77</v>
      </c>
      <c r="BW926">
        <v>921.77</v>
      </c>
      <c r="BX926">
        <v>0</v>
      </c>
      <c r="BY926">
        <v>0</v>
      </c>
      <c r="BZ926">
        <v>0</v>
      </c>
      <c r="CA926">
        <v>0</v>
      </c>
      <c r="CB926">
        <v>843.89</v>
      </c>
      <c r="CC926" t="s">
        <v>161</v>
      </c>
    </row>
    <row r="927" spans="1:81" x14ac:dyDescent="0.25">
      <c r="A927">
        <v>345</v>
      </c>
      <c r="B927">
        <v>2</v>
      </c>
      <c r="C927">
        <v>2721</v>
      </c>
      <c r="D927" t="s">
        <v>5267</v>
      </c>
      <c r="E927" t="s">
        <v>121</v>
      </c>
      <c r="F927" t="s">
        <v>5268</v>
      </c>
      <c r="G927" t="s">
        <v>5269</v>
      </c>
      <c r="H927" t="s">
        <v>5270</v>
      </c>
      <c r="I927" t="s">
        <v>5271</v>
      </c>
      <c r="J927" t="s">
        <v>126</v>
      </c>
      <c r="K927" t="s">
        <v>1853</v>
      </c>
      <c r="L927" t="s">
        <v>128</v>
      </c>
      <c r="M927" t="s">
        <v>1854</v>
      </c>
      <c r="N927" t="s">
        <v>5272</v>
      </c>
      <c r="O927" t="s">
        <v>131</v>
      </c>
      <c r="P927">
        <v>0</v>
      </c>
      <c r="Q927" t="s">
        <v>125</v>
      </c>
      <c r="R927">
        <v>6</v>
      </c>
      <c r="S927">
        <v>39</v>
      </c>
      <c r="T927" t="s">
        <v>132</v>
      </c>
      <c r="U927" t="s">
        <v>133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134</v>
      </c>
      <c r="AE927" t="s">
        <v>134</v>
      </c>
      <c r="AF927" s="2">
        <v>45518</v>
      </c>
      <c r="AG927" s="2">
        <v>46014</v>
      </c>
      <c r="AH927">
        <v>212.95</v>
      </c>
      <c r="AI927">
        <v>281.32</v>
      </c>
      <c r="AJ927">
        <v>851.81</v>
      </c>
      <c r="AK927">
        <v>0</v>
      </c>
      <c r="AL927">
        <v>0</v>
      </c>
      <c r="AM927">
        <v>0</v>
      </c>
      <c r="AN927" t="s">
        <v>135</v>
      </c>
      <c r="AO927" t="s">
        <v>135</v>
      </c>
      <c r="AP927" t="s">
        <v>136</v>
      </c>
      <c r="AQ927" t="s">
        <v>137</v>
      </c>
      <c r="AR927" t="s">
        <v>138</v>
      </c>
      <c r="AS927" t="s">
        <v>139</v>
      </c>
      <c r="AT927" t="s">
        <v>140</v>
      </c>
      <c r="AU927">
        <v>103</v>
      </c>
      <c r="AV927">
        <v>10</v>
      </c>
      <c r="AW927">
        <v>1</v>
      </c>
      <c r="AX927" s="2">
        <v>45845</v>
      </c>
      <c r="AY927" t="s">
        <v>141</v>
      </c>
      <c r="AZ927" s="2">
        <v>46027</v>
      </c>
      <c r="BA927">
        <v>0</v>
      </c>
      <c r="BB927">
        <v>0</v>
      </c>
      <c r="BC927">
        <v>0</v>
      </c>
      <c r="BD927">
        <v>700</v>
      </c>
      <c r="BE927">
        <v>70</v>
      </c>
      <c r="BF927">
        <v>9</v>
      </c>
      <c r="BG927" s="2">
        <v>45536</v>
      </c>
      <c r="BH927" t="s">
        <v>142</v>
      </c>
      <c r="BI927" s="2">
        <v>46026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281.32</v>
      </c>
      <c r="BQ927">
        <v>281.32</v>
      </c>
      <c r="BR927">
        <v>0</v>
      </c>
      <c r="BS927">
        <v>0</v>
      </c>
      <c r="BT927">
        <v>0</v>
      </c>
      <c r="BU927">
        <v>0</v>
      </c>
      <c r="BV927">
        <v>359.35</v>
      </c>
      <c r="BW927">
        <v>359.35</v>
      </c>
      <c r="BX927">
        <v>0</v>
      </c>
      <c r="BY927">
        <v>0</v>
      </c>
      <c r="BZ927">
        <v>0</v>
      </c>
      <c r="CA927">
        <v>0</v>
      </c>
      <c r="CB927">
        <v>314.64</v>
      </c>
      <c r="CC927" t="s">
        <v>143</v>
      </c>
    </row>
    <row r="928" spans="1:81" x14ac:dyDescent="0.25">
      <c r="A928">
        <v>345</v>
      </c>
      <c r="B928">
        <v>2</v>
      </c>
      <c r="C928">
        <v>2725</v>
      </c>
      <c r="D928" t="s">
        <v>5273</v>
      </c>
      <c r="E928" t="s">
        <v>121</v>
      </c>
      <c r="F928" t="s">
        <v>5274</v>
      </c>
      <c r="G928" t="s">
        <v>5275</v>
      </c>
      <c r="H928" t="s">
        <v>5276</v>
      </c>
      <c r="I928" t="s">
        <v>125</v>
      </c>
      <c r="J928" t="s">
        <v>126</v>
      </c>
      <c r="K928" t="s">
        <v>1853</v>
      </c>
      <c r="L928" t="s">
        <v>128</v>
      </c>
      <c r="M928" t="s">
        <v>1854</v>
      </c>
      <c r="N928" t="s">
        <v>5277</v>
      </c>
      <c r="O928" t="s">
        <v>195</v>
      </c>
      <c r="P928">
        <v>0</v>
      </c>
      <c r="Q928" t="s">
        <v>125</v>
      </c>
      <c r="R928">
        <v>4</v>
      </c>
      <c r="S928">
        <v>80</v>
      </c>
      <c r="T928" t="s">
        <v>132</v>
      </c>
      <c r="U928" t="s">
        <v>133</v>
      </c>
      <c r="V928" s="1">
        <v>1100</v>
      </c>
      <c r="W928">
        <v>0</v>
      </c>
      <c r="X928" s="1">
        <v>1100</v>
      </c>
      <c r="Y928">
        <v>7</v>
      </c>
      <c r="Z928">
        <v>0</v>
      </c>
      <c r="AA928">
        <v>5</v>
      </c>
      <c r="AB928">
        <v>1</v>
      </c>
      <c r="AC928">
        <v>9</v>
      </c>
      <c r="AD928" t="s">
        <v>134</v>
      </c>
      <c r="AE928" t="s">
        <v>134</v>
      </c>
      <c r="AF928" s="2">
        <v>45518</v>
      </c>
      <c r="AG928" s="2">
        <v>46010</v>
      </c>
      <c r="AH928">
        <v>512.97</v>
      </c>
      <c r="AI928">
        <v>884.84</v>
      </c>
      <c r="AJ928" s="1">
        <v>3077.84</v>
      </c>
      <c r="AK928">
        <v>0</v>
      </c>
      <c r="AL928">
        <v>0</v>
      </c>
      <c r="AM928">
        <v>0</v>
      </c>
      <c r="AN928" t="s">
        <v>135</v>
      </c>
      <c r="AO928" t="s">
        <v>135</v>
      </c>
      <c r="AP928" t="s">
        <v>136</v>
      </c>
      <c r="AQ928" t="s">
        <v>137</v>
      </c>
      <c r="AR928" t="s">
        <v>138</v>
      </c>
      <c r="AS928" t="s">
        <v>150</v>
      </c>
      <c r="AT928" t="s">
        <v>140</v>
      </c>
      <c r="AU928">
        <v>103</v>
      </c>
      <c r="AV928">
        <v>10</v>
      </c>
      <c r="AW928">
        <v>1</v>
      </c>
      <c r="AX928" s="2">
        <v>45974</v>
      </c>
      <c r="AY928" t="s">
        <v>308</v>
      </c>
      <c r="AZ928" s="2">
        <v>46023</v>
      </c>
      <c r="BA928">
        <v>0</v>
      </c>
      <c r="BB928">
        <v>0</v>
      </c>
      <c r="BC928">
        <v>0</v>
      </c>
      <c r="BD928">
        <v>999</v>
      </c>
      <c r="BE928">
        <v>99</v>
      </c>
      <c r="BF928">
        <v>9</v>
      </c>
      <c r="BG928" t="s">
        <v>135</v>
      </c>
      <c r="BH928" t="s">
        <v>250</v>
      </c>
      <c r="BI928" t="s">
        <v>135</v>
      </c>
      <c r="BJ928">
        <v>0</v>
      </c>
      <c r="BK928">
        <v>0</v>
      </c>
      <c r="BL928">
        <v>0</v>
      </c>
      <c r="BM928">
        <v>2</v>
      </c>
      <c r="BN928">
        <v>0.44</v>
      </c>
      <c r="BO928">
        <v>251.94</v>
      </c>
      <c r="BP928">
        <v>884.84</v>
      </c>
      <c r="BQ928" s="1">
        <v>1136.78</v>
      </c>
      <c r="BR928">
        <v>0</v>
      </c>
      <c r="BS928">
        <v>3.73</v>
      </c>
      <c r="BT928">
        <v>3.73</v>
      </c>
      <c r="BU928">
        <v>879.9</v>
      </c>
      <c r="BV928">
        <v>0</v>
      </c>
      <c r="BW928">
        <v>879.9</v>
      </c>
      <c r="BX928">
        <v>0</v>
      </c>
      <c r="BY928">
        <v>0</v>
      </c>
      <c r="BZ928">
        <v>0</v>
      </c>
      <c r="CA928">
        <v>0</v>
      </c>
      <c r="CB928" s="1">
        <v>1069.3599999999999</v>
      </c>
      <c r="CC928" t="s">
        <v>161</v>
      </c>
    </row>
    <row r="929" spans="1:81" x14ac:dyDescent="0.25">
      <c r="A929">
        <v>345</v>
      </c>
      <c r="B929">
        <v>2</v>
      </c>
      <c r="C929">
        <v>2726</v>
      </c>
      <c r="D929" t="s">
        <v>5278</v>
      </c>
      <c r="E929" t="s">
        <v>121</v>
      </c>
      <c r="F929" t="s">
        <v>5279</v>
      </c>
      <c r="G929" t="s">
        <v>5280</v>
      </c>
      <c r="H929" t="s">
        <v>5281</v>
      </c>
      <c r="I929" t="s">
        <v>5282</v>
      </c>
      <c r="J929" t="s">
        <v>126</v>
      </c>
      <c r="K929" t="s">
        <v>1853</v>
      </c>
      <c r="L929" t="s">
        <v>128</v>
      </c>
      <c r="M929" t="s">
        <v>1854</v>
      </c>
      <c r="N929" t="s">
        <v>5283</v>
      </c>
      <c r="O929" t="s">
        <v>159</v>
      </c>
      <c r="P929">
        <v>0</v>
      </c>
      <c r="Q929" t="s">
        <v>125</v>
      </c>
      <c r="R929">
        <v>6</v>
      </c>
      <c r="S929">
        <v>35</v>
      </c>
      <c r="T929" t="s">
        <v>132</v>
      </c>
      <c r="U929" t="s">
        <v>133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134</v>
      </c>
      <c r="AE929" t="s">
        <v>134</v>
      </c>
      <c r="AF929" s="2">
        <v>45518</v>
      </c>
      <c r="AG929" s="2">
        <v>46006</v>
      </c>
      <c r="AH929">
        <v>229.86</v>
      </c>
      <c r="AI929">
        <v>405.91</v>
      </c>
      <c r="AJ929" s="1">
        <v>1149.31</v>
      </c>
      <c r="AK929">
        <v>0</v>
      </c>
      <c r="AL929">
        <v>0</v>
      </c>
      <c r="AM929">
        <v>0</v>
      </c>
      <c r="AN929" t="s">
        <v>135</v>
      </c>
      <c r="AO929" t="s">
        <v>135</v>
      </c>
      <c r="AP929" t="s">
        <v>136</v>
      </c>
      <c r="AQ929" t="s">
        <v>137</v>
      </c>
      <c r="AR929" t="s">
        <v>138</v>
      </c>
      <c r="AS929" t="s">
        <v>139</v>
      </c>
      <c r="AT929" t="s">
        <v>140</v>
      </c>
      <c r="AU929">
        <v>103</v>
      </c>
      <c r="AV929">
        <v>10</v>
      </c>
      <c r="AW929">
        <v>1</v>
      </c>
      <c r="AX929" s="2">
        <v>45843</v>
      </c>
      <c r="AY929" t="s">
        <v>160</v>
      </c>
      <c r="AZ929" s="2">
        <v>46025</v>
      </c>
      <c r="BA929">
        <v>0</v>
      </c>
      <c r="BB929">
        <v>0</v>
      </c>
      <c r="BC929">
        <v>0</v>
      </c>
      <c r="BD929">
        <v>700</v>
      </c>
      <c r="BE929">
        <v>70</v>
      </c>
      <c r="BF929">
        <v>9</v>
      </c>
      <c r="BG929" s="2">
        <v>45536</v>
      </c>
      <c r="BH929" t="s">
        <v>142</v>
      </c>
      <c r="BI929" s="2">
        <v>46026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109.2</v>
      </c>
      <c r="BQ929">
        <v>109.2</v>
      </c>
      <c r="BR929">
        <v>0</v>
      </c>
      <c r="BS929">
        <v>0</v>
      </c>
      <c r="BT929">
        <v>0</v>
      </c>
      <c r="BU929">
        <v>0</v>
      </c>
      <c r="BV929">
        <v>676.39</v>
      </c>
      <c r="BW929">
        <v>676.39</v>
      </c>
      <c r="BX929">
        <v>0</v>
      </c>
      <c r="BY929">
        <v>0</v>
      </c>
      <c r="BZ929">
        <v>0</v>
      </c>
      <c r="CA929">
        <v>0</v>
      </c>
      <c r="CB929">
        <v>219.5</v>
      </c>
      <c r="CC929" t="s">
        <v>161</v>
      </c>
    </row>
    <row r="930" spans="1:81" x14ac:dyDescent="0.25">
      <c r="A930">
        <v>345</v>
      </c>
      <c r="B930">
        <v>2</v>
      </c>
      <c r="C930">
        <v>2728</v>
      </c>
      <c r="D930" t="s">
        <v>5284</v>
      </c>
      <c r="E930" t="s">
        <v>121</v>
      </c>
      <c r="F930" t="s">
        <v>5285</v>
      </c>
      <c r="G930" t="s">
        <v>5286</v>
      </c>
      <c r="H930" t="s">
        <v>5287</v>
      </c>
      <c r="I930" t="s">
        <v>5288</v>
      </c>
      <c r="J930" t="s">
        <v>126</v>
      </c>
      <c r="K930" t="s">
        <v>1853</v>
      </c>
      <c r="L930" t="s">
        <v>128</v>
      </c>
      <c r="M930" t="s">
        <v>1854</v>
      </c>
      <c r="N930" t="s">
        <v>5289</v>
      </c>
      <c r="O930" t="s">
        <v>201</v>
      </c>
      <c r="P930">
        <v>0</v>
      </c>
      <c r="Q930" t="s">
        <v>125</v>
      </c>
      <c r="R930">
        <v>3</v>
      </c>
      <c r="S930">
        <v>86</v>
      </c>
      <c r="T930" t="s">
        <v>132</v>
      </c>
      <c r="U930" t="s">
        <v>133</v>
      </c>
      <c r="V930" s="1">
        <v>1400</v>
      </c>
      <c r="W930">
        <v>0</v>
      </c>
      <c r="X930" s="1">
        <v>1400</v>
      </c>
      <c r="Y930">
        <v>7</v>
      </c>
      <c r="Z930">
        <v>0</v>
      </c>
      <c r="AA930">
        <v>0</v>
      </c>
      <c r="AB930">
        <v>0</v>
      </c>
      <c r="AC930">
        <v>0</v>
      </c>
      <c r="AD930" t="s">
        <v>134</v>
      </c>
      <c r="AE930" t="s">
        <v>134</v>
      </c>
      <c r="AF930" s="2">
        <v>45518</v>
      </c>
      <c r="AG930" s="2">
        <v>46011</v>
      </c>
      <c r="AH930">
        <v>436.1</v>
      </c>
      <c r="AI930">
        <v>822.8</v>
      </c>
      <c r="AJ930" s="1">
        <v>1308.3</v>
      </c>
      <c r="AK930">
        <v>0</v>
      </c>
      <c r="AL930">
        <v>0</v>
      </c>
      <c r="AM930">
        <v>0</v>
      </c>
      <c r="AN930" t="s">
        <v>135</v>
      </c>
      <c r="AO930" t="s">
        <v>135</v>
      </c>
      <c r="AP930" t="s">
        <v>136</v>
      </c>
      <c r="AQ930" t="s">
        <v>137</v>
      </c>
      <c r="AR930" t="s">
        <v>138</v>
      </c>
      <c r="AS930" t="s">
        <v>139</v>
      </c>
      <c r="AT930" t="s">
        <v>140</v>
      </c>
      <c r="AU930">
        <v>500</v>
      </c>
      <c r="AV930">
        <v>10</v>
      </c>
      <c r="AW930">
        <v>1</v>
      </c>
      <c r="AX930" s="2">
        <v>45863</v>
      </c>
      <c r="AY930" t="s">
        <v>151</v>
      </c>
      <c r="AZ930" s="2">
        <v>46024</v>
      </c>
      <c r="BA930">
        <v>0</v>
      </c>
      <c r="BB930">
        <v>0</v>
      </c>
      <c r="BC930">
        <v>0</v>
      </c>
      <c r="BD930">
        <v>700</v>
      </c>
      <c r="BE930">
        <v>70</v>
      </c>
      <c r="BF930">
        <v>9</v>
      </c>
      <c r="BG930" s="2">
        <v>45809</v>
      </c>
      <c r="BH930" t="s">
        <v>142</v>
      </c>
      <c r="BI930" s="2">
        <v>46026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262.35000000000002</v>
      </c>
      <c r="BQ930">
        <v>262.35000000000002</v>
      </c>
      <c r="BR930">
        <v>0</v>
      </c>
      <c r="BS930">
        <v>0</v>
      </c>
      <c r="BT930">
        <v>0</v>
      </c>
      <c r="BU930">
        <v>0</v>
      </c>
      <c r="BV930">
        <v>223.15</v>
      </c>
      <c r="BW930">
        <v>223.15</v>
      </c>
      <c r="BX930">
        <v>0</v>
      </c>
      <c r="BY930">
        <v>0</v>
      </c>
      <c r="BZ930">
        <v>0</v>
      </c>
      <c r="CA930">
        <v>0</v>
      </c>
      <c r="CB930">
        <v>561.11</v>
      </c>
      <c r="CC930" t="s">
        <v>143</v>
      </c>
    </row>
    <row r="931" spans="1:81" x14ac:dyDescent="0.25">
      <c r="A931">
        <v>345</v>
      </c>
      <c r="B931">
        <v>2</v>
      </c>
      <c r="C931">
        <v>2733</v>
      </c>
      <c r="D931" t="s">
        <v>5290</v>
      </c>
      <c r="E931" t="s">
        <v>121</v>
      </c>
      <c r="F931" t="s">
        <v>5291</v>
      </c>
      <c r="G931" t="s">
        <v>5292</v>
      </c>
      <c r="H931" t="s">
        <v>5293</v>
      </c>
      <c r="I931" t="s">
        <v>125</v>
      </c>
      <c r="J931" t="s">
        <v>126</v>
      </c>
      <c r="K931" t="s">
        <v>1853</v>
      </c>
      <c r="L931" t="s">
        <v>128</v>
      </c>
      <c r="M931" t="s">
        <v>1854</v>
      </c>
      <c r="N931" t="s">
        <v>5294</v>
      </c>
      <c r="O931" t="s">
        <v>149</v>
      </c>
      <c r="P931">
        <v>0</v>
      </c>
      <c r="Q931" t="s">
        <v>125</v>
      </c>
      <c r="R931">
        <v>6</v>
      </c>
      <c r="S931">
        <v>39</v>
      </c>
      <c r="T931" t="s">
        <v>132</v>
      </c>
      <c r="U931" t="s">
        <v>133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134</v>
      </c>
      <c r="AE931" t="s">
        <v>134</v>
      </c>
      <c r="AF931" s="2">
        <v>45518</v>
      </c>
      <c r="AG931" s="2">
        <v>46008</v>
      </c>
      <c r="AH931">
        <v>383.2</v>
      </c>
      <c r="AI931">
        <v>458.3</v>
      </c>
      <c r="AJ931">
        <v>766.41</v>
      </c>
      <c r="AK931">
        <v>0</v>
      </c>
      <c r="AL931">
        <v>0</v>
      </c>
      <c r="AM931">
        <v>0</v>
      </c>
      <c r="AN931" t="s">
        <v>135</v>
      </c>
      <c r="AO931" t="s">
        <v>135</v>
      </c>
      <c r="AP931" t="s">
        <v>136</v>
      </c>
      <c r="AQ931" t="s">
        <v>137</v>
      </c>
      <c r="AR931" t="s">
        <v>138</v>
      </c>
      <c r="AS931" t="s">
        <v>139</v>
      </c>
      <c r="AT931" t="s">
        <v>140</v>
      </c>
      <c r="AU931">
        <v>103</v>
      </c>
      <c r="AV931">
        <v>10</v>
      </c>
      <c r="AW931">
        <v>1</v>
      </c>
      <c r="AX931" s="2">
        <v>45867</v>
      </c>
      <c r="AY931" t="s">
        <v>377</v>
      </c>
      <c r="AZ931" s="2">
        <v>46028</v>
      </c>
      <c r="BA931">
        <v>0</v>
      </c>
      <c r="BB931">
        <v>0</v>
      </c>
      <c r="BC931">
        <v>0</v>
      </c>
      <c r="BD931">
        <v>700</v>
      </c>
      <c r="BE931">
        <v>70</v>
      </c>
      <c r="BF931">
        <v>9</v>
      </c>
      <c r="BG931" s="2">
        <v>45536</v>
      </c>
      <c r="BH931" t="s">
        <v>142</v>
      </c>
      <c r="BI931" s="2">
        <v>46026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458.3</v>
      </c>
      <c r="BW931">
        <v>458.3</v>
      </c>
      <c r="BX931">
        <v>0</v>
      </c>
      <c r="BY931">
        <v>0</v>
      </c>
      <c r="BZ931">
        <v>0</v>
      </c>
      <c r="CA931">
        <v>0</v>
      </c>
      <c r="CB931">
        <v>124.43</v>
      </c>
      <c r="CC931" t="s">
        <v>152</v>
      </c>
    </row>
    <row r="932" spans="1:81" x14ac:dyDescent="0.25">
      <c r="A932">
        <v>345</v>
      </c>
      <c r="B932">
        <v>2</v>
      </c>
      <c r="C932">
        <v>2734</v>
      </c>
      <c r="D932" t="s">
        <v>5295</v>
      </c>
      <c r="E932" t="s">
        <v>121</v>
      </c>
      <c r="F932" t="s">
        <v>5296</v>
      </c>
      <c r="G932" t="s">
        <v>5297</v>
      </c>
      <c r="H932" t="s">
        <v>5298</v>
      </c>
      <c r="I932" t="s">
        <v>5299</v>
      </c>
      <c r="J932" t="s">
        <v>126</v>
      </c>
      <c r="K932" t="s">
        <v>1853</v>
      </c>
      <c r="L932" t="s">
        <v>128</v>
      </c>
      <c r="M932" t="s">
        <v>1854</v>
      </c>
      <c r="N932" t="s">
        <v>5300</v>
      </c>
      <c r="O932" t="s">
        <v>159</v>
      </c>
      <c r="P932">
        <v>0</v>
      </c>
      <c r="Q932" t="s">
        <v>125</v>
      </c>
      <c r="R932">
        <v>6</v>
      </c>
      <c r="S932">
        <v>36</v>
      </c>
      <c r="T932" t="s">
        <v>132</v>
      </c>
      <c r="U932" t="s">
        <v>133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134</v>
      </c>
      <c r="AE932" t="s">
        <v>134</v>
      </c>
      <c r="AF932" s="2">
        <v>45518</v>
      </c>
      <c r="AG932" s="2">
        <v>46010</v>
      </c>
      <c r="AH932">
        <v>332.48</v>
      </c>
      <c r="AI932">
        <v>384.34</v>
      </c>
      <c r="AJ932" s="1">
        <v>2327.4</v>
      </c>
      <c r="AK932">
        <v>0</v>
      </c>
      <c r="AL932">
        <v>0</v>
      </c>
      <c r="AM932">
        <v>0</v>
      </c>
      <c r="AN932" t="s">
        <v>135</v>
      </c>
      <c r="AO932" t="s">
        <v>135</v>
      </c>
      <c r="AP932" t="s">
        <v>136</v>
      </c>
      <c r="AQ932" t="s">
        <v>137</v>
      </c>
      <c r="AR932" t="s">
        <v>138</v>
      </c>
      <c r="AS932" t="s">
        <v>139</v>
      </c>
      <c r="AT932" t="s">
        <v>140</v>
      </c>
      <c r="AU932">
        <v>103</v>
      </c>
      <c r="AV932">
        <v>10</v>
      </c>
      <c r="AW932">
        <v>1</v>
      </c>
      <c r="AX932" s="2">
        <v>45813</v>
      </c>
      <c r="AY932" t="s">
        <v>308</v>
      </c>
      <c r="AZ932" s="2">
        <v>46023</v>
      </c>
      <c r="BA932">
        <v>0</v>
      </c>
      <c r="BB932">
        <v>0</v>
      </c>
      <c r="BC932">
        <v>0</v>
      </c>
      <c r="BD932">
        <v>700</v>
      </c>
      <c r="BE932">
        <v>70</v>
      </c>
      <c r="BF932">
        <v>9</v>
      </c>
      <c r="BG932" s="2">
        <v>45536</v>
      </c>
      <c r="BH932" t="s">
        <v>142</v>
      </c>
      <c r="BI932" s="2">
        <v>46026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580.87</v>
      </c>
      <c r="BW932">
        <v>580.87</v>
      </c>
      <c r="BX932">
        <v>0</v>
      </c>
      <c r="BY932">
        <v>0</v>
      </c>
      <c r="BZ932">
        <v>0</v>
      </c>
      <c r="CA932">
        <v>0</v>
      </c>
      <c r="CB932">
        <v>785.61</v>
      </c>
      <c r="CC932" t="s">
        <v>3116</v>
      </c>
    </row>
    <row r="933" spans="1:81" x14ac:dyDescent="0.25">
      <c r="A933">
        <v>345</v>
      </c>
      <c r="B933">
        <v>2</v>
      </c>
      <c r="C933">
        <v>2741</v>
      </c>
      <c r="D933" t="s">
        <v>5301</v>
      </c>
      <c r="E933" t="s">
        <v>121</v>
      </c>
      <c r="F933" t="s">
        <v>5302</v>
      </c>
      <c r="G933" t="s">
        <v>5303</v>
      </c>
      <c r="H933" t="s">
        <v>5304</v>
      </c>
      <c r="I933" t="s">
        <v>5305</v>
      </c>
      <c r="J933" t="s">
        <v>126</v>
      </c>
      <c r="K933" t="s">
        <v>1853</v>
      </c>
      <c r="L933" t="s">
        <v>128</v>
      </c>
      <c r="M933" t="s">
        <v>1854</v>
      </c>
      <c r="N933" t="s">
        <v>5306</v>
      </c>
      <c r="O933" t="s">
        <v>167</v>
      </c>
      <c r="P933">
        <v>0</v>
      </c>
      <c r="Q933" t="s">
        <v>125</v>
      </c>
      <c r="R933">
        <v>3</v>
      </c>
      <c r="S933">
        <v>84</v>
      </c>
      <c r="T933" t="s">
        <v>132</v>
      </c>
      <c r="U933" t="s">
        <v>133</v>
      </c>
      <c r="V933" s="1">
        <v>1100</v>
      </c>
      <c r="W933">
        <v>0</v>
      </c>
      <c r="X933" s="1">
        <v>1100</v>
      </c>
      <c r="Y933">
        <v>7</v>
      </c>
      <c r="Z933">
        <v>0</v>
      </c>
      <c r="AA933">
        <v>0</v>
      </c>
      <c r="AB933">
        <v>0</v>
      </c>
      <c r="AC933">
        <v>0</v>
      </c>
      <c r="AD933" t="s">
        <v>134</v>
      </c>
      <c r="AE933" t="s">
        <v>134</v>
      </c>
      <c r="AF933" s="2">
        <v>45518</v>
      </c>
      <c r="AG933" s="2">
        <v>46018</v>
      </c>
      <c r="AH933">
        <v>620.07000000000005</v>
      </c>
      <c r="AI933">
        <v>910.8</v>
      </c>
      <c r="AJ933" s="1">
        <v>6200.72</v>
      </c>
      <c r="AK933">
        <v>0</v>
      </c>
      <c r="AL933">
        <v>0</v>
      </c>
      <c r="AM933">
        <v>0</v>
      </c>
      <c r="AN933" t="s">
        <v>135</v>
      </c>
      <c r="AO933" t="s">
        <v>135</v>
      </c>
      <c r="AP933" t="s">
        <v>136</v>
      </c>
      <c r="AQ933" t="s">
        <v>137</v>
      </c>
      <c r="AR933" t="s">
        <v>138</v>
      </c>
      <c r="AS933" t="s">
        <v>139</v>
      </c>
      <c r="AT933" t="s">
        <v>140</v>
      </c>
      <c r="AU933">
        <v>103</v>
      </c>
      <c r="AV933">
        <v>10</v>
      </c>
      <c r="AW933">
        <v>1</v>
      </c>
      <c r="AX933" s="2">
        <v>45840</v>
      </c>
      <c r="AY933" t="s">
        <v>168</v>
      </c>
      <c r="AZ933" s="2">
        <v>46022</v>
      </c>
      <c r="BA933">
        <v>0</v>
      </c>
      <c r="BB933">
        <v>0</v>
      </c>
      <c r="BC933">
        <v>0</v>
      </c>
      <c r="BD933">
        <v>700</v>
      </c>
      <c r="BE933">
        <v>70</v>
      </c>
      <c r="BF933">
        <v>9</v>
      </c>
      <c r="BG933" s="2">
        <v>45809</v>
      </c>
      <c r="BH933" t="s">
        <v>142</v>
      </c>
      <c r="BI933" s="2">
        <v>46026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 s="1">
        <v>1472.08</v>
      </c>
      <c r="BQ933" s="1">
        <v>1472.08</v>
      </c>
      <c r="BR933">
        <v>0</v>
      </c>
      <c r="BS933">
        <v>0</v>
      </c>
      <c r="BT933">
        <v>0</v>
      </c>
      <c r="BU933">
        <v>0</v>
      </c>
      <c r="BV933" s="1">
        <v>2844.12</v>
      </c>
      <c r="BW933" s="1">
        <v>2844.12</v>
      </c>
      <c r="BX933">
        <v>0</v>
      </c>
      <c r="BY933">
        <v>0</v>
      </c>
      <c r="BZ933">
        <v>0</v>
      </c>
      <c r="CA933">
        <v>0</v>
      </c>
      <c r="CB933" s="1">
        <v>1354.9</v>
      </c>
      <c r="CC933" t="s">
        <v>152</v>
      </c>
    </row>
    <row r="934" spans="1:81" x14ac:dyDescent="0.25">
      <c r="A934">
        <v>345</v>
      </c>
      <c r="B934">
        <v>2</v>
      </c>
      <c r="C934">
        <v>2742</v>
      </c>
      <c r="D934" t="s">
        <v>5307</v>
      </c>
      <c r="E934" t="s">
        <v>121</v>
      </c>
      <c r="F934" t="s">
        <v>5308</v>
      </c>
      <c r="G934" t="s">
        <v>5309</v>
      </c>
      <c r="H934" t="s">
        <v>5310</v>
      </c>
      <c r="I934" t="s">
        <v>5311</v>
      </c>
      <c r="J934" t="s">
        <v>126</v>
      </c>
      <c r="K934" t="s">
        <v>1853</v>
      </c>
      <c r="L934" t="s">
        <v>128</v>
      </c>
      <c r="M934" t="s">
        <v>1854</v>
      </c>
      <c r="N934" t="s">
        <v>5312</v>
      </c>
      <c r="O934" t="s">
        <v>201</v>
      </c>
      <c r="P934">
        <v>0</v>
      </c>
      <c r="Q934" t="s">
        <v>125</v>
      </c>
      <c r="R934">
        <v>2</v>
      </c>
      <c r="S934">
        <v>90</v>
      </c>
      <c r="T934" t="s">
        <v>132</v>
      </c>
      <c r="U934" t="s">
        <v>133</v>
      </c>
      <c r="V934" s="1">
        <v>5000</v>
      </c>
      <c r="W934">
        <v>0</v>
      </c>
      <c r="X934" s="1">
        <v>5000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134</v>
      </c>
      <c r="AE934" t="s">
        <v>134</v>
      </c>
      <c r="AF934" s="2">
        <v>45518</v>
      </c>
      <c r="AG934" s="2">
        <v>46007</v>
      </c>
      <c r="AH934" s="1">
        <v>4615.1099999999997</v>
      </c>
      <c r="AI934" s="1">
        <v>7132.16</v>
      </c>
      <c r="AJ934" s="1">
        <v>23075.57</v>
      </c>
      <c r="AK934">
        <v>0</v>
      </c>
      <c r="AL934">
        <v>0</v>
      </c>
      <c r="AM934">
        <v>0</v>
      </c>
      <c r="AN934" t="s">
        <v>135</v>
      </c>
      <c r="AO934" t="s">
        <v>135</v>
      </c>
      <c r="AP934" t="s">
        <v>136</v>
      </c>
      <c r="AQ934" t="s">
        <v>137</v>
      </c>
      <c r="AR934" t="s">
        <v>138</v>
      </c>
      <c r="AS934" t="s">
        <v>139</v>
      </c>
      <c r="AT934" t="s">
        <v>140</v>
      </c>
      <c r="AU934">
        <v>103</v>
      </c>
      <c r="AV934">
        <v>10</v>
      </c>
      <c r="AW934">
        <v>1</v>
      </c>
      <c r="AX934" s="2">
        <v>45978</v>
      </c>
      <c r="AY934" t="s">
        <v>141</v>
      </c>
      <c r="AZ934" s="2">
        <v>46027</v>
      </c>
      <c r="BA934">
        <v>0</v>
      </c>
      <c r="BB934">
        <v>0</v>
      </c>
      <c r="BC934">
        <v>0</v>
      </c>
      <c r="BD934">
        <v>700</v>
      </c>
      <c r="BE934">
        <v>70</v>
      </c>
      <c r="BF934">
        <v>9</v>
      </c>
      <c r="BG934" s="2">
        <v>45536</v>
      </c>
      <c r="BH934" t="s">
        <v>142</v>
      </c>
      <c r="BI934" s="2">
        <v>46026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 s="1">
        <v>5845.25</v>
      </c>
      <c r="BQ934" s="1">
        <v>5845.25</v>
      </c>
      <c r="BR934">
        <v>0</v>
      </c>
      <c r="BS934">
        <v>0</v>
      </c>
      <c r="BT934">
        <v>0</v>
      </c>
      <c r="BU934">
        <v>0</v>
      </c>
      <c r="BV934" s="1">
        <v>7132.16</v>
      </c>
      <c r="BW934" s="1">
        <v>7132.16</v>
      </c>
      <c r="BX934">
        <v>0</v>
      </c>
      <c r="BY934">
        <v>0</v>
      </c>
      <c r="BZ934">
        <v>0</v>
      </c>
      <c r="CA934">
        <v>0</v>
      </c>
      <c r="CB934" s="1">
        <v>8124.81</v>
      </c>
      <c r="CC934" t="s">
        <v>339</v>
      </c>
    </row>
    <row r="935" spans="1:81" x14ac:dyDescent="0.25">
      <c r="A935">
        <v>345</v>
      </c>
      <c r="B935">
        <v>2</v>
      </c>
      <c r="C935">
        <v>2748</v>
      </c>
      <c r="D935" t="s">
        <v>5313</v>
      </c>
      <c r="E935" t="s">
        <v>121</v>
      </c>
      <c r="F935" t="s">
        <v>5314</v>
      </c>
      <c r="G935" t="s">
        <v>5315</v>
      </c>
      <c r="H935" t="s">
        <v>5316</v>
      </c>
      <c r="I935" t="s">
        <v>125</v>
      </c>
      <c r="J935" t="s">
        <v>126</v>
      </c>
      <c r="K935" t="s">
        <v>1853</v>
      </c>
      <c r="L935" t="s">
        <v>128</v>
      </c>
      <c r="M935" t="s">
        <v>4598</v>
      </c>
      <c r="N935" t="s">
        <v>5317</v>
      </c>
      <c r="O935" t="s">
        <v>1146</v>
      </c>
      <c r="P935">
        <v>0</v>
      </c>
      <c r="Q935" t="s">
        <v>125</v>
      </c>
      <c r="R935">
        <v>6</v>
      </c>
      <c r="S935">
        <v>33</v>
      </c>
      <c r="T935" t="s">
        <v>132</v>
      </c>
      <c r="U935" t="s">
        <v>133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134</v>
      </c>
      <c r="AE935" t="s">
        <v>134</v>
      </c>
      <c r="AF935" s="2">
        <v>45518</v>
      </c>
      <c r="AG935" s="2">
        <v>46021</v>
      </c>
      <c r="AH935">
        <v>349.02</v>
      </c>
      <c r="AI935">
        <v>574.29999999999995</v>
      </c>
      <c r="AJ935" s="1">
        <v>2094.15</v>
      </c>
      <c r="AK935">
        <v>0</v>
      </c>
      <c r="AL935">
        <v>0</v>
      </c>
      <c r="AM935">
        <v>0</v>
      </c>
      <c r="AN935" t="s">
        <v>135</v>
      </c>
      <c r="AO935" t="s">
        <v>135</v>
      </c>
      <c r="AP935" t="s">
        <v>136</v>
      </c>
      <c r="AQ935" t="s">
        <v>137</v>
      </c>
      <c r="AR935" t="s">
        <v>138</v>
      </c>
      <c r="AS935" t="s">
        <v>139</v>
      </c>
      <c r="AT935" t="s">
        <v>140</v>
      </c>
      <c r="AU935">
        <v>103</v>
      </c>
      <c r="AV935">
        <v>10</v>
      </c>
      <c r="AW935">
        <v>1</v>
      </c>
      <c r="AX935" s="2">
        <v>45845</v>
      </c>
      <c r="AY935" t="s">
        <v>141</v>
      </c>
      <c r="AZ935" s="2">
        <v>46027</v>
      </c>
      <c r="BA935">
        <v>0</v>
      </c>
      <c r="BB935">
        <v>0</v>
      </c>
      <c r="BC935">
        <v>0</v>
      </c>
      <c r="BD935">
        <v>700</v>
      </c>
      <c r="BE935">
        <v>70</v>
      </c>
      <c r="BF935">
        <v>9</v>
      </c>
      <c r="BG935" s="2">
        <v>45536</v>
      </c>
      <c r="BH935" t="s">
        <v>142</v>
      </c>
      <c r="BI935" s="2">
        <v>46026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627.4</v>
      </c>
      <c r="BQ935">
        <v>627.4</v>
      </c>
      <c r="BR935">
        <v>0</v>
      </c>
      <c r="BS935">
        <v>0</v>
      </c>
      <c r="BT935">
        <v>0</v>
      </c>
      <c r="BU935">
        <v>0</v>
      </c>
      <c r="BV935">
        <v>882.28</v>
      </c>
      <c r="BW935">
        <v>882.28</v>
      </c>
      <c r="BX935">
        <v>0</v>
      </c>
      <c r="BY935">
        <v>0</v>
      </c>
      <c r="BZ935">
        <v>0</v>
      </c>
      <c r="CA935">
        <v>0</v>
      </c>
      <c r="CB935">
        <v>476.05</v>
      </c>
      <c r="CC935" t="s">
        <v>161</v>
      </c>
    </row>
    <row r="936" spans="1:81" x14ac:dyDescent="0.25">
      <c r="A936">
        <v>345</v>
      </c>
      <c r="B936">
        <v>2</v>
      </c>
      <c r="C936">
        <v>2753</v>
      </c>
      <c r="D936" t="s">
        <v>5318</v>
      </c>
      <c r="E936" t="s">
        <v>121</v>
      </c>
      <c r="F936" t="s">
        <v>5319</v>
      </c>
      <c r="G936" t="s">
        <v>5320</v>
      </c>
      <c r="H936" t="s">
        <v>5321</v>
      </c>
      <c r="I936">
        <v>2</v>
      </c>
      <c r="J936" t="s">
        <v>5322</v>
      </c>
      <c r="K936" t="s">
        <v>1853</v>
      </c>
      <c r="L936" t="s">
        <v>128</v>
      </c>
      <c r="M936" t="s">
        <v>4598</v>
      </c>
      <c r="N936" t="s">
        <v>5323</v>
      </c>
      <c r="O936" t="s">
        <v>131</v>
      </c>
      <c r="P936">
        <v>0</v>
      </c>
      <c r="Q936" t="s">
        <v>125</v>
      </c>
      <c r="R936">
        <v>6</v>
      </c>
      <c r="S936">
        <v>37</v>
      </c>
      <c r="T936" t="s">
        <v>132</v>
      </c>
      <c r="U936" t="s">
        <v>133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134</v>
      </c>
      <c r="AE936" t="s">
        <v>134</v>
      </c>
      <c r="AF936" s="2">
        <v>45518</v>
      </c>
      <c r="AG936" s="2">
        <v>46018</v>
      </c>
      <c r="AH936">
        <v>282.02</v>
      </c>
      <c r="AI936">
        <v>502.58</v>
      </c>
      <c r="AJ936" s="1">
        <v>1974.2</v>
      </c>
      <c r="AK936">
        <v>0</v>
      </c>
      <c r="AL936">
        <v>0</v>
      </c>
      <c r="AM936">
        <v>0</v>
      </c>
      <c r="AN936" t="s">
        <v>135</v>
      </c>
      <c r="AO936" t="s">
        <v>135</v>
      </c>
      <c r="AP936" t="s">
        <v>136</v>
      </c>
      <c r="AQ936" t="s">
        <v>137</v>
      </c>
      <c r="AR936" t="s">
        <v>138</v>
      </c>
      <c r="AS936" t="s">
        <v>139</v>
      </c>
      <c r="AT936" t="s">
        <v>140</v>
      </c>
      <c r="AU936">
        <v>103</v>
      </c>
      <c r="AV936">
        <v>10</v>
      </c>
      <c r="AW936">
        <v>1</v>
      </c>
      <c r="AX936" s="2">
        <v>45820</v>
      </c>
      <c r="AY936" t="s">
        <v>308</v>
      </c>
      <c r="AZ936" s="2">
        <v>46023</v>
      </c>
      <c r="BA936">
        <v>0</v>
      </c>
      <c r="BB936">
        <v>0</v>
      </c>
      <c r="BC936">
        <v>0</v>
      </c>
      <c r="BD936">
        <v>700</v>
      </c>
      <c r="BE936">
        <v>70</v>
      </c>
      <c r="BF936">
        <v>9</v>
      </c>
      <c r="BG936" s="2">
        <v>45536</v>
      </c>
      <c r="BH936" t="s">
        <v>142</v>
      </c>
      <c r="BI936" s="2">
        <v>46026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585.1</v>
      </c>
      <c r="BQ936">
        <v>585.1</v>
      </c>
      <c r="BR936">
        <v>0</v>
      </c>
      <c r="BS936">
        <v>0</v>
      </c>
      <c r="BT936">
        <v>0</v>
      </c>
      <c r="BU936">
        <v>0</v>
      </c>
      <c r="BV936" s="1">
        <v>1090.54</v>
      </c>
      <c r="BW936" s="1">
        <v>1090.54</v>
      </c>
      <c r="BX936">
        <v>0</v>
      </c>
      <c r="BY936">
        <v>0</v>
      </c>
      <c r="BZ936">
        <v>0</v>
      </c>
      <c r="CA936">
        <v>0</v>
      </c>
      <c r="CB936">
        <v>342.55</v>
      </c>
      <c r="CC936" t="s">
        <v>143</v>
      </c>
    </row>
    <row r="937" spans="1:81" x14ac:dyDescent="0.25">
      <c r="A937">
        <v>345</v>
      </c>
      <c r="B937">
        <v>2</v>
      </c>
      <c r="C937">
        <v>2755</v>
      </c>
      <c r="D937" t="s">
        <v>5324</v>
      </c>
      <c r="E937" t="s">
        <v>121</v>
      </c>
      <c r="F937" t="s">
        <v>5325</v>
      </c>
      <c r="G937" t="s">
        <v>5326</v>
      </c>
      <c r="H937" t="s">
        <v>5327</v>
      </c>
      <c r="I937" t="s">
        <v>125</v>
      </c>
      <c r="J937" t="s">
        <v>5328</v>
      </c>
      <c r="K937" t="s">
        <v>1853</v>
      </c>
      <c r="L937" t="s">
        <v>128</v>
      </c>
      <c r="M937" t="s">
        <v>4598</v>
      </c>
      <c r="N937" t="s">
        <v>5329</v>
      </c>
      <c r="O937" t="s">
        <v>167</v>
      </c>
      <c r="P937">
        <v>0</v>
      </c>
      <c r="Q937" t="s">
        <v>125</v>
      </c>
      <c r="R937">
        <v>6</v>
      </c>
      <c r="S937">
        <v>36</v>
      </c>
      <c r="T937" t="s">
        <v>132</v>
      </c>
      <c r="U937" t="s">
        <v>133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134</v>
      </c>
      <c r="AE937" t="s">
        <v>134</v>
      </c>
      <c r="AF937" s="2">
        <v>45518</v>
      </c>
      <c r="AG937" s="2">
        <v>46018</v>
      </c>
      <c r="AH937" s="1">
        <v>1824.31</v>
      </c>
      <c r="AI937" s="1">
        <v>2344.5</v>
      </c>
      <c r="AJ937" s="1">
        <v>23716.11</v>
      </c>
      <c r="AK937">
        <v>0</v>
      </c>
      <c r="AL937">
        <v>0</v>
      </c>
      <c r="AM937">
        <v>0</v>
      </c>
      <c r="AN937" t="s">
        <v>135</v>
      </c>
      <c r="AO937" t="s">
        <v>135</v>
      </c>
      <c r="AP937" t="s">
        <v>136</v>
      </c>
      <c r="AQ937" t="s">
        <v>137</v>
      </c>
      <c r="AR937" t="s">
        <v>138</v>
      </c>
      <c r="AS937" t="s">
        <v>139</v>
      </c>
      <c r="AT937" t="s">
        <v>140</v>
      </c>
      <c r="AU937">
        <v>103</v>
      </c>
      <c r="AV937">
        <v>10</v>
      </c>
      <c r="AW937">
        <v>1</v>
      </c>
      <c r="AX937" s="2">
        <v>45820</v>
      </c>
      <c r="AY937" t="s">
        <v>308</v>
      </c>
      <c r="AZ937" s="2">
        <v>46023</v>
      </c>
      <c r="BA937">
        <v>0</v>
      </c>
      <c r="BB937">
        <v>0</v>
      </c>
      <c r="BC937">
        <v>0</v>
      </c>
      <c r="BD937">
        <v>700</v>
      </c>
      <c r="BE937">
        <v>70</v>
      </c>
      <c r="BF937">
        <v>9</v>
      </c>
      <c r="BG937" s="2">
        <v>45536</v>
      </c>
      <c r="BH937" t="s">
        <v>142</v>
      </c>
      <c r="BI937" s="2">
        <v>46026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 s="1">
        <v>7516.42</v>
      </c>
      <c r="BQ937" s="1">
        <v>7516.42</v>
      </c>
      <c r="BR937">
        <v>0</v>
      </c>
      <c r="BS937">
        <v>0</v>
      </c>
      <c r="BT937">
        <v>0</v>
      </c>
      <c r="BU937">
        <v>0</v>
      </c>
      <c r="BV937" s="1">
        <v>7963.33</v>
      </c>
      <c r="BW937" s="1">
        <v>7963.33</v>
      </c>
      <c r="BX937">
        <v>0</v>
      </c>
      <c r="BY937">
        <v>0</v>
      </c>
      <c r="BZ937">
        <v>0</v>
      </c>
      <c r="CA937">
        <v>0</v>
      </c>
      <c r="CB937" s="1">
        <v>7509.31</v>
      </c>
      <c r="CC937" t="s">
        <v>161</v>
      </c>
    </row>
    <row r="938" spans="1:81" x14ac:dyDescent="0.25">
      <c r="A938">
        <v>345</v>
      </c>
      <c r="B938">
        <v>2</v>
      </c>
      <c r="C938">
        <v>2757</v>
      </c>
      <c r="D938" t="s">
        <v>5330</v>
      </c>
      <c r="E938" t="s">
        <v>121</v>
      </c>
      <c r="F938" t="s">
        <v>5331</v>
      </c>
      <c r="G938" t="s">
        <v>5332</v>
      </c>
      <c r="H938" t="s">
        <v>5333</v>
      </c>
      <c r="I938" t="s">
        <v>5334</v>
      </c>
      <c r="J938" t="s">
        <v>4569</v>
      </c>
      <c r="K938" t="s">
        <v>1853</v>
      </c>
      <c r="L938" t="s">
        <v>128</v>
      </c>
      <c r="M938" t="s">
        <v>1854</v>
      </c>
      <c r="N938" t="s">
        <v>5335</v>
      </c>
      <c r="O938" t="s">
        <v>149</v>
      </c>
      <c r="P938">
        <v>0</v>
      </c>
      <c r="Q938" t="s">
        <v>125</v>
      </c>
      <c r="R938">
        <v>6</v>
      </c>
      <c r="S938">
        <v>37</v>
      </c>
      <c r="T938" t="s">
        <v>132</v>
      </c>
      <c r="U938" t="s">
        <v>133</v>
      </c>
      <c r="V938" s="1">
        <v>4200</v>
      </c>
      <c r="W938">
        <v>0</v>
      </c>
      <c r="X938" s="1">
        <v>4200</v>
      </c>
      <c r="Y938">
        <v>7</v>
      </c>
      <c r="Z938">
        <v>0</v>
      </c>
      <c r="AA938">
        <v>9</v>
      </c>
      <c r="AB938">
        <v>0</v>
      </c>
      <c r="AC938">
        <v>0</v>
      </c>
      <c r="AD938" t="s">
        <v>134</v>
      </c>
      <c r="AE938" t="s">
        <v>234</v>
      </c>
      <c r="AF938" s="2">
        <v>45518</v>
      </c>
      <c r="AG938" s="2">
        <v>46018</v>
      </c>
      <c r="AH938" s="1">
        <v>2181.37</v>
      </c>
      <c r="AI938" s="1">
        <v>4296.67</v>
      </c>
      <c r="AJ938" s="1">
        <v>23995.16</v>
      </c>
      <c r="AK938">
        <v>0</v>
      </c>
      <c r="AL938">
        <v>0</v>
      </c>
      <c r="AM938">
        <v>0</v>
      </c>
      <c r="AN938" t="s">
        <v>135</v>
      </c>
      <c r="AO938" t="s">
        <v>135</v>
      </c>
      <c r="AP938" t="s">
        <v>136</v>
      </c>
      <c r="AQ938" t="s">
        <v>137</v>
      </c>
      <c r="AR938" t="s">
        <v>138</v>
      </c>
      <c r="AS938" t="s">
        <v>139</v>
      </c>
      <c r="AT938" t="s">
        <v>140</v>
      </c>
      <c r="AU938">
        <v>103</v>
      </c>
      <c r="AV938">
        <v>10</v>
      </c>
      <c r="AW938">
        <v>1</v>
      </c>
      <c r="AX938" s="2">
        <v>45819</v>
      </c>
      <c r="AY938" t="s">
        <v>168</v>
      </c>
      <c r="AZ938" s="2">
        <v>46022</v>
      </c>
      <c r="BA938">
        <v>0</v>
      </c>
      <c r="BB938">
        <v>0</v>
      </c>
      <c r="BC938">
        <v>0</v>
      </c>
      <c r="BD938">
        <v>700</v>
      </c>
      <c r="BE938">
        <v>70</v>
      </c>
      <c r="BF938">
        <v>9</v>
      </c>
      <c r="BG938" s="2">
        <v>45536</v>
      </c>
      <c r="BH938" t="s">
        <v>142</v>
      </c>
      <c r="BI938" s="2">
        <v>46026</v>
      </c>
      <c r="BJ938">
        <v>0</v>
      </c>
      <c r="BK938">
        <v>0</v>
      </c>
      <c r="BL938">
        <v>0</v>
      </c>
      <c r="BM938">
        <v>7.17</v>
      </c>
      <c r="BN938">
        <v>4.66</v>
      </c>
      <c r="BO938" s="1">
        <v>4896.6000000000004</v>
      </c>
      <c r="BP938" s="1">
        <v>2641.14</v>
      </c>
      <c r="BQ938" s="1">
        <v>7537.74</v>
      </c>
      <c r="BR938" s="1">
        <v>2890.8</v>
      </c>
      <c r="BS938">
        <v>7</v>
      </c>
      <c r="BT938">
        <v>3.8</v>
      </c>
      <c r="BU938" s="1">
        <v>5125.63</v>
      </c>
      <c r="BV938" s="1">
        <v>4309.66</v>
      </c>
      <c r="BW938" s="1">
        <v>9435.2900000000009</v>
      </c>
      <c r="BX938">
        <v>0</v>
      </c>
      <c r="BY938">
        <v>0</v>
      </c>
      <c r="BZ938">
        <v>0</v>
      </c>
      <c r="CA938">
        <v>0</v>
      </c>
      <c r="CB938" s="1">
        <v>7129.18</v>
      </c>
      <c r="CC938" t="s">
        <v>152</v>
      </c>
    </row>
    <row r="939" spans="1:81" x14ac:dyDescent="0.25">
      <c r="A939">
        <v>345</v>
      </c>
      <c r="B939">
        <v>2</v>
      </c>
      <c r="C939">
        <v>2760</v>
      </c>
      <c r="D939" t="s">
        <v>5336</v>
      </c>
      <c r="E939" t="s">
        <v>121</v>
      </c>
      <c r="F939" t="s">
        <v>5337</v>
      </c>
      <c r="G939" t="s">
        <v>5338</v>
      </c>
      <c r="H939" t="s">
        <v>5339</v>
      </c>
      <c r="I939" t="s">
        <v>125</v>
      </c>
      <c r="J939" t="s">
        <v>126</v>
      </c>
      <c r="K939" t="s">
        <v>1853</v>
      </c>
      <c r="L939" t="s">
        <v>128</v>
      </c>
      <c r="M939" t="s">
        <v>1854</v>
      </c>
      <c r="N939" t="s">
        <v>5232</v>
      </c>
      <c r="O939" t="s">
        <v>149</v>
      </c>
      <c r="P939">
        <v>0</v>
      </c>
      <c r="Q939" t="s">
        <v>125</v>
      </c>
      <c r="R939">
        <v>6</v>
      </c>
      <c r="S939">
        <v>40</v>
      </c>
      <c r="T939" t="s">
        <v>132</v>
      </c>
      <c r="U939" t="s">
        <v>133</v>
      </c>
      <c r="V939" s="1">
        <v>5800</v>
      </c>
      <c r="W939">
        <v>0</v>
      </c>
      <c r="X939" s="1">
        <v>5800</v>
      </c>
      <c r="Y939">
        <v>7</v>
      </c>
      <c r="Z939">
        <v>0</v>
      </c>
      <c r="AA939">
        <v>0</v>
      </c>
      <c r="AB939">
        <v>0</v>
      </c>
      <c r="AC939">
        <v>0</v>
      </c>
      <c r="AD939" t="s">
        <v>134</v>
      </c>
      <c r="AE939" t="s">
        <v>134</v>
      </c>
      <c r="AF939" s="2">
        <v>45518</v>
      </c>
      <c r="AG939" s="2">
        <v>45969</v>
      </c>
      <c r="AH939">
        <v>726.13</v>
      </c>
      <c r="AI939">
        <v>896.88</v>
      </c>
      <c r="AJ939" s="1">
        <v>2178.39</v>
      </c>
      <c r="AK939">
        <v>0</v>
      </c>
      <c r="AL939">
        <v>0</v>
      </c>
      <c r="AM939">
        <v>0</v>
      </c>
      <c r="AN939" t="s">
        <v>135</v>
      </c>
      <c r="AO939" t="s">
        <v>135</v>
      </c>
      <c r="AP939" t="s">
        <v>136</v>
      </c>
      <c r="AQ939" t="s">
        <v>137</v>
      </c>
      <c r="AR939" t="s">
        <v>138</v>
      </c>
      <c r="AS939" t="s">
        <v>150</v>
      </c>
      <c r="AT939" t="s">
        <v>140</v>
      </c>
      <c r="AU939">
        <v>500</v>
      </c>
      <c r="AV939">
        <v>10</v>
      </c>
      <c r="AW939">
        <v>1</v>
      </c>
      <c r="AX939" s="2">
        <v>45813</v>
      </c>
      <c r="AY939" t="s">
        <v>308</v>
      </c>
      <c r="AZ939" s="2">
        <v>46023</v>
      </c>
      <c r="BA939">
        <v>0</v>
      </c>
      <c r="BB939">
        <v>0</v>
      </c>
      <c r="BC939">
        <v>0</v>
      </c>
      <c r="BD939">
        <v>700</v>
      </c>
      <c r="BE939">
        <v>70</v>
      </c>
      <c r="BF939">
        <v>9</v>
      </c>
      <c r="BG939" s="2">
        <v>45536</v>
      </c>
      <c r="BH939" t="s">
        <v>142</v>
      </c>
      <c r="BI939" s="2">
        <v>46026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411.75</v>
      </c>
      <c r="BQ939">
        <v>411.75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 s="1">
        <v>3415.68</v>
      </c>
      <c r="CC939" t="s">
        <v>152</v>
      </c>
    </row>
    <row r="940" spans="1:81" x14ac:dyDescent="0.25">
      <c r="A940">
        <v>345</v>
      </c>
      <c r="B940">
        <v>2</v>
      </c>
      <c r="C940">
        <v>2762</v>
      </c>
      <c r="D940" t="s">
        <v>5340</v>
      </c>
      <c r="E940" t="s">
        <v>121</v>
      </c>
      <c r="F940" t="s">
        <v>5341</v>
      </c>
      <c r="G940" t="s">
        <v>5342</v>
      </c>
      <c r="H940" t="s">
        <v>5343</v>
      </c>
      <c r="I940" t="s">
        <v>4787</v>
      </c>
      <c r="J940" t="s">
        <v>126</v>
      </c>
      <c r="K940" t="s">
        <v>1853</v>
      </c>
      <c r="L940" t="s">
        <v>128</v>
      </c>
      <c r="M940" t="s">
        <v>1854</v>
      </c>
      <c r="N940" t="s">
        <v>5344</v>
      </c>
      <c r="O940" t="s">
        <v>149</v>
      </c>
      <c r="P940">
        <v>0</v>
      </c>
      <c r="Q940" t="s">
        <v>125</v>
      </c>
      <c r="R940">
        <v>6</v>
      </c>
      <c r="S940">
        <v>42</v>
      </c>
      <c r="T940" t="s">
        <v>132</v>
      </c>
      <c r="U940" t="s">
        <v>133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134</v>
      </c>
      <c r="AE940" t="s">
        <v>134</v>
      </c>
      <c r="AF940" s="2">
        <v>45518</v>
      </c>
      <c r="AG940" s="2">
        <v>46014</v>
      </c>
      <c r="AH940" s="1">
        <v>1491.15</v>
      </c>
      <c r="AI940" s="1">
        <v>3563.26</v>
      </c>
      <c r="AJ940" s="1">
        <v>13420.37</v>
      </c>
      <c r="AK940">
        <v>0</v>
      </c>
      <c r="AL940">
        <v>0</v>
      </c>
      <c r="AM940">
        <v>0</v>
      </c>
      <c r="AN940" t="s">
        <v>135</v>
      </c>
      <c r="AO940" t="s">
        <v>135</v>
      </c>
      <c r="AP940" t="s">
        <v>136</v>
      </c>
      <c r="AQ940" t="s">
        <v>137</v>
      </c>
      <c r="AR940" t="s">
        <v>138</v>
      </c>
      <c r="AS940" t="s">
        <v>150</v>
      </c>
      <c r="AT940" t="s">
        <v>140</v>
      </c>
      <c r="AU940">
        <v>103</v>
      </c>
      <c r="AV940">
        <v>10</v>
      </c>
      <c r="AW940">
        <v>1</v>
      </c>
      <c r="AX940" s="2">
        <v>45838</v>
      </c>
      <c r="AY940" t="s">
        <v>141</v>
      </c>
      <c r="AZ940" s="2">
        <v>46027</v>
      </c>
      <c r="BA940">
        <v>0</v>
      </c>
      <c r="BB940">
        <v>0</v>
      </c>
      <c r="BC940">
        <v>0</v>
      </c>
      <c r="BD940">
        <v>700</v>
      </c>
      <c r="BE940">
        <v>70</v>
      </c>
      <c r="BF940">
        <v>9</v>
      </c>
      <c r="BG940" s="2">
        <v>45536</v>
      </c>
      <c r="BH940" t="s">
        <v>142</v>
      </c>
      <c r="BI940" s="2">
        <v>46026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 s="1">
        <v>6396.4</v>
      </c>
      <c r="BQ940" s="1">
        <v>6396.4</v>
      </c>
      <c r="BR940">
        <v>0</v>
      </c>
      <c r="BS940">
        <v>0</v>
      </c>
      <c r="BT940">
        <v>0</v>
      </c>
      <c r="BU940">
        <v>0</v>
      </c>
      <c r="BV940" s="1">
        <v>2699.65</v>
      </c>
      <c r="BW940" s="1">
        <v>2699.65</v>
      </c>
      <c r="BX940">
        <v>0</v>
      </c>
      <c r="BY940">
        <v>0</v>
      </c>
      <c r="BZ940">
        <v>0</v>
      </c>
      <c r="CA940">
        <v>0</v>
      </c>
      <c r="CB940" s="1">
        <v>3813.18</v>
      </c>
      <c r="CC940" t="s">
        <v>152</v>
      </c>
    </row>
    <row r="941" spans="1:81" x14ac:dyDescent="0.25">
      <c r="A941">
        <v>345</v>
      </c>
      <c r="B941">
        <v>2</v>
      </c>
      <c r="C941">
        <v>2770</v>
      </c>
      <c r="D941" t="s">
        <v>5345</v>
      </c>
      <c r="E941" t="s">
        <v>121</v>
      </c>
      <c r="F941" t="s">
        <v>5346</v>
      </c>
      <c r="G941" t="s">
        <v>5347</v>
      </c>
      <c r="H941" t="s">
        <v>5348</v>
      </c>
      <c r="I941" t="s">
        <v>125</v>
      </c>
      <c r="J941" t="s">
        <v>126</v>
      </c>
      <c r="K941" t="s">
        <v>1853</v>
      </c>
      <c r="L941" t="s">
        <v>128</v>
      </c>
      <c r="M941" t="s">
        <v>1854</v>
      </c>
      <c r="N941" t="s">
        <v>5349</v>
      </c>
      <c r="O941" t="s">
        <v>131</v>
      </c>
      <c r="P941">
        <v>0</v>
      </c>
      <c r="Q941" t="s">
        <v>125</v>
      </c>
      <c r="R941">
        <v>6</v>
      </c>
      <c r="S941">
        <v>43</v>
      </c>
      <c r="T941" t="s">
        <v>132</v>
      </c>
      <c r="U941" t="s">
        <v>133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134</v>
      </c>
      <c r="AE941" t="s">
        <v>134</v>
      </c>
      <c r="AF941" s="2">
        <v>45518</v>
      </c>
      <c r="AG941" s="2">
        <v>46011</v>
      </c>
      <c r="AH941" s="1">
        <v>1572.72</v>
      </c>
      <c r="AI941" s="1">
        <v>2056.5</v>
      </c>
      <c r="AJ941" s="1">
        <v>11009.1</v>
      </c>
      <c r="AK941">
        <v>0</v>
      </c>
      <c r="AL941">
        <v>0</v>
      </c>
      <c r="AM941">
        <v>0</v>
      </c>
      <c r="AN941" t="s">
        <v>135</v>
      </c>
      <c r="AO941" t="s">
        <v>135</v>
      </c>
      <c r="AP941" t="s">
        <v>136</v>
      </c>
      <c r="AQ941" t="s">
        <v>137</v>
      </c>
      <c r="AR941" t="s">
        <v>138</v>
      </c>
      <c r="AS941" t="s">
        <v>150</v>
      </c>
      <c r="AT941" t="s">
        <v>140</v>
      </c>
      <c r="AU941">
        <v>103</v>
      </c>
      <c r="AV941">
        <v>10</v>
      </c>
      <c r="AW941">
        <v>1</v>
      </c>
      <c r="AX941" s="2">
        <v>45814</v>
      </c>
      <c r="AY941" t="s">
        <v>151</v>
      </c>
      <c r="AZ941" s="2">
        <v>46024</v>
      </c>
      <c r="BA941">
        <v>0</v>
      </c>
      <c r="BB941">
        <v>0</v>
      </c>
      <c r="BC941">
        <v>0</v>
      </c>
      <c r="BD941">
        <v>700</v>
      </c>
      <c r="BE941">
        <v>70</v>
      </c>
      <c r="BF941">
        <v>9</v>
      </c>
      <c r="BG941" s="2">
        <v>45536</v>
      </c>
      <c r="BH941" t="s">
        <v>142</v>
      </c>
      <c r="BI941" s="2">
        <v>46026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 s="1">
        <v>3170.13</v>
      </c>
      <c r="BQ941" s="1">
        <v>3170.13</v>
      </c>
      <c r="BR941">
        <v>0</v>
      </c>
      <c r="BS941">
        <v>0</v>
      </c>
      <c r="BT941">
        <v>0</v>
      </c>
      <c r="BU941">
        <v>0</v>
      </c>
      <c r="BV941" s="1">
        <v>4514.7700000000004</v>
      </c>
      <c r="BW941" s="1">
        <v>4514.7700000000004</v>
      </c>
      <c r="BX941">
        <v>0</v>
      </c>
      <c r="BY941">
        <v>0</v>
      </c>
      <c r="BZ941">
        <v>0</v>
      </c>
      <c r="CA941">
        <v>0</v>
      </c>
      <c r="CB941" s="1">
        <v>3264.53</v>
      </c>
      <c r="CC941" t="s">
        <v>143</v>
      </c>
    </row>
    <row r="942" spans="1:81" x14ac:dyDescent="0.25">
      <c r="A942">
        <v>345</v>
      </c>
      <c r="B942">
        <v>2</v>
      </c>
      <c r="C942">
        <v>2771</v>
      </c>
      <c r="D942" t="s">
        <v>5350</v>
      </c>
      <c r="E942" t="s">
        <v>121</v>
      </c>
      <c r="F942" t="s">
        <v>5351</v>
      </c>
      <c r="G942" t="s">
        <v>5352</v>
      </c>
      <c r="H942" t="s">
        <v>5339</v>
      </c>
      <c r="I942" t="s">
        <v>125</v>
      </c>
      <c r="J942" t="s">
        <v>126</v>
      </c>
      <c r="K942" t="s">
        <v>1853</v>
      </c>
      <c r="L942" t="s">
        <v>128</v>
      </c>
      <c r="M942" t="s">
        <v>1854</v>
      </c>
      <c r="N942" t="s">
        <v>5353</v>
      </c>
      <c r="O942" t="s">
        <v>167</v>
      </c>
      <c r="P942">
        <v>0</v>
      </c>
      <c r="Q942" t="s">
        <v>125</v>
      </c>
      <c r="R942">
        <v>3</v>
      </c>
      <c r="S942">
        <v>84</v>
      </c>
      <c r="T942" t="s">
        <v>132</v>
      </c>
      <c r="U942" t="s">
        <v>133</v>
      </c>
      <c r="V942" s="1">
        <v>1000</v>
      </c>
      <c r="W942">
        <v>174.51</v>
      </c>
      <c r="X942">
        <v>825.49</v>
      </c>
      <c r="Y942">
        <v>7</v>
      </c>
      <c r="Z942">
        <v>0</v>
      </c>
      <c r="AA942">
        <v>2</v>
      </c>
      <c r="AB942">
        <v>0</v>
      </c>
      <c r="AC942">
        <v>0</v>
      </c>
      <c r="AD942" t="s">
        <v>134</v>
      </c>
      <c r="AE942" t="s">
        <v>134</v>
      </c>
      <c r="AF942" s="2">
        <v>45518</v>
      </c>
      <c r="AG942" s="2">
        <v>46020</v>
      </c>
      <c r="AH942">
        <v>286.81</v>
      </c>
      <c r="AI942">
        <v>420.17</v>
      </c>
      <c r="AJ942" s="1">
        <v>2294.52</v>
      </c>
      <c r="AK942">
        <v>0</v>
      </c>
      <c r="AL942">
        <v>174.51</v>
      </c>
      <c r="AM942">
        <v>240.77</v>
      </c>
      <c r="AN942" t="s">
        <v>135</v>
      </c>
      <c r="AO942" t="s">
        <v>135</v>
      </c>
      <c r="AP942" t="s">
        <v>136</v>
      </c>
      <c r="AQ942" t="s">
        <v>137</v>
      </c>
      <c r="AR942" t="s">
        <v>138</v>
      </c>
      <c r="AS942" t="s">
        <v>139</v>
      </c>
      <c r="AT942" t="s">
        <v>140</v>
      </c>
      <c r="AU942">
        <v>103</v>
      </c>
      <c r="AV942">
        <v>10</v>
      </c>
      <c r="AW942">
        <v>1</v>
      </c>
      <c r="AX942" s="2">
        <v>45814</v>
      </c>
      <c r="AY942" t="s">
        <v>151</v>
      </c>
      <c r="AZ942" s="2">
        <v>46024</v>
      </c>
      <c r="BA942">
        <v>0</v>
      </c>
      <c r="BB942">
        <v>0</v>
      </c>
      <c r="BC942">
        <v>0</v>
      </c>
      <c r="BD942">
        <v>700</v>
      </c>
      <c r="BE942">
        <v>70</v>
      </c>
      <c r="BF942">
        <v>9</v>
      </c>
      <c r="BG942" s="2">
        <v>45809</v>
      </c>
      <c r="BH942" t="s">
        <v>142</v>
      </c>
      <c r="BI942" s="2">
        <v>46026</v>
      </c>
      <c r="BJ942">
        <v>0</v>
      </c>
      <c r="BK942">
        <v>0</v>
      </c>
      <c r="BL942">
        <v>0</v>
      </c>
      <c r="BM942">
        <v>2</v>
      </c>
      <c r="BN942">
        <v>1.1200000000000001</v>
      </c>
      <c r="BO942">
        <v>773.53</v>
      </c>
      <c r="BP942">
        <v>610.83000000000004</v>
      </c>
      <c r="BQ942" s="1">
        <v>1384.36</v>
      </c>
      <c r="BR942">
        <v>420.17</v>
      </c>
      <c r="BS942">
        <v>2</v>
      </c>
      <c r="BT942">
        <v>2</v>
      </c>
      <c r="BU942">
        <v>493.06</v>
      </c>
      <c r="BV942">
        <v>0</v>
      </c>
      <c r="BW942">
        <v>493.06</v>
      </c>
      <c r="BX942">
        <v>0</v>
      </c>
      <c r="BY942">
        <v>0</v>
      </c>
      <c r="BZ942">
        <v>0</v>
      </c>
      <c r="CA942">
        <v>0</v>
      </c>
      <c r="CB942">
        <v>672.19</v>
      </c>
      <c r="CC942" t="s">
        <v>161</v>
      </c>
    </row>
    <row r="943" spans="1:81" x14ac:dyDescent="0.25">
      <c r="A943">
        <v>345</v>
      </c>
      <c r="B943">
        <v>2</v>
      </c>
      <c r="C943">
        <v>2774</v>
      </c>
      <c r="D943" t="s">
        <v>5354</v>
      </c>
      <c r="E943" t="s">
        <v>121</v>
      </c>
      <c r="F943" t="s">
        <v>5355</v>
      </c>
      <c r="G943" t="s">
        <v>5356</v>
      </c>
      <c r="H943" t="s">
        <v>5357</v>
      </c>
      <c r="I943" t="s">
        <v>125</v>
      </c>
      <c r="J943" t="s">
        <v>126</v>
      </c>
      <c r="K943" t="s">
        <v>1853</v>
      </c>
      <c r="L943" t="s">
        <v>128</v>
      </c>
      <c r="M943" t="s">
        <v>1854</v>
      </c>
      <c r="N943" t="s">
        <v>5358</v>
      </c>
      <c r="O943" t="s">
        <v>201</v>
      </c>
      <c r="P943">
        <v>0</v>
      </c>
      <c r="Q943" t="s">
        <v>125</v>
      </c>
      <c r="R943">
        <v>3</v>
      </c>
      <c r="S943">
        <v>85</v>
      </c>
      <c r="T943" t="s">
        <v>132</v>
      </c>
      <c r="U943" t="s">
        <v>133</v>
      </c>
      <c r="V943" s="1">
        <v>1000</v>
      </c>
      <c r="W943">
        <v>457.17</v>
      </c>
      <c r="X943">
        <v>542.83000000000004</v>
      </c>
      <c r="Y943">
        <v>7</v>
      </c>
      <c r="Z943">
        <v>0</v>
      </c>
      <c r="AA943">
        <v>9</v>
      </c>
      <c r="AB943">
        <v>0</v>
      </c>
      <c r="AC943">
        <v>0</v>
      </c>
      <c r="AD943" t="s">
        <v>134</v>
      </c>
      <c r="AE943" t="s">
        <v>134</v>
      </c>
      <c r="AF943" s="2">
        <v>45518</v>
      </c>
      <c r="AG943" s="2">
        <v>46020</v>
      </c>
      <c r="AH943">
        <v>270.24</v>
      </c>
      <c r="AI943">
        <v>457.17</v>
      </c>
      <c r="AJ943" s="1">
        <v>2161.98</v>
      </c>
      <c r="AK943">
        <v>0</v>
      </c>
      <c r="AL943">
        <v>457.17</v>
      </c>
      <c r="AM943">
        <v>99.17</v>
      </c>
      <c r="AN943" t="s">
        <v>135</v>
      </c>
      <c r="AO943" t="s">
        <v>135</v>
      </c>
      <c r="AP943" t="s">
        <v>136</v>
      </c>
      <c r="AQ943" t="s">
        <v>137</v>
      </c>
      <c r="AR943" t="s">
        <v>138</v>
      </c>
      <c r="AS943" t="s">
        <v>150</v>
      </c>
      <c r="AT943" t="s">
        <v>140</v>
      </c>
      <c r="AU943">
        <v>103</v>
      </c>
      <c r="AV943">
        <v>10</v>
      </c>
      <c r="AW943">
        <v>1</v>
      </c>
      <c r="AX943" s="2">
        <v>45863</v>
      </c>
      <c r="AY943" t="s">
        <v>151</v>
      </c>
      <c r="AZ943" s="2">
        <v>46024</v>
      </c>
      <c r="BA943">
        <v>0</v>
      </c>
      <c r="BB943">
        <v>0</v>
      </c>
      <c r="BC943">
        <v>0</v>
      </c>
      <c r="BD943">
        <v>700</v>
      </c>
      <c r="BE943">
        <v>70</v>
      </c>
      <c r="BF943">
        <v>9</v>
      </c>
      <c r="BG943" s="2">
        <v>45809</v>
      </c>
      <c r="BH943" t="s">
        <v>142</v>
      </c>
      <c r="BI943" s="2">
        <v>46026</v>
      </c>
      <c r="BJ943">
        <v>0</v>
      </c>
      <c r="BK943">
        <v>0</v>
      </c>
      <c r="BL943">
        <v>0</v>
      </c>
      <c r="BM943">
        <v>7</v>
      </c>
      <c r="BN943">
        <v>7</v>
      </c>
      <c r="BO943">
        <v>664.92</v>
      </c>
      <c r="BP943">
        <v>0</v>
      </c>
      <c r="BQ943">
        <v>664.92</v>
      </c>
      <c r="BR943">
        <v>453.36</v>
      </c>
      <c r="BS943">
        <v>7.12</v>
      </c>
      <c r="BT943">
        <v>7.12</v>
      </c>
      <c r="BU943">
        <v>977.93</v>
      </c>
      <c r="BV943">
        <v>0</v>
      </c>
      <c r="BW943">
        <v>977.93</v>
      </c>
      <c r="BX943">
        <v>457.17</v>
      </c>
      <c r="BY943">
        <v>46.75</v>
      </c>
      <c r="BZ943">
        <v>0</v>
      </c>
      <c r="CA943">
        <v>0</v>
      </c>
      <c r="CB943">
        <v>478.08</v>
      </c>
      <c r="CC943" t="s">
        <v>143</v>
      </c>
    </row>
    <row r="944" spans="1:81" x14ac:dyDescent="0.25">
      <c r="A944">
        <v>345</v>
      </c>
      <c r="B944">
        <v>2</v>
      </c>
      <c r="C944">
        <v>2775</v>
      </c>
      <c r="D944" t="s">
        <v>5359</v>
      </c>
      <c r="E944" t="s">
        <v>121</v>
      </c>
      <c r="F944" t="s">
        <v>5360</v>
      </c>
      <c r="G944" t="s">
        <v>5361</v>
      </c>
      <c r="H944" t="s">
        <v>5362</v>
      </c>
      <c r="I944" t="s">
        <v>125</v>
      </c>
      <c r="J944" t="s">
        <v>126</v>
      </c>
      <c r="K944" t="s">
        <v>1853</v>
      </c>
      <c r="L944" t="s">
        <v>128</v>
      </c>
      <c r="M944" t="s">
        <v>1854</v>
      </c>
      <c r="N944" t="s">
        <v>5363</v>
      </c>
      <c r="O944" t="s">
        <v>201</v>
      </c>
      <c r="P944">
        <v>0</v>
      </c>
      <c r="Q944" t="s">
        <v>125</v>
      </c>
      <c r="R944">
        <v>3</v>
      </c>
      <c r="S944">
        <v>82</v>
      </c>
      <c r="T944" t="s">
        <v>132</v>
      </c>
      <c r="U944" t="s">
        <v>133</v>
      </c>
      <c r="V944" s="1">
        <v>1980</v>
      </c>
      <c r="W944" s="1">
        <v>1889.75</v>
      </c>
      <c r="X944">
        <v>90.25</v>
      </c>
      <c r="Y944">
        <v>7</v>
      </c>
      <c r="Z944">
        <v>0</v>
      </c>
      <c r="AA944">
        <v>7</v>
      </c>
      <c r="AB944">
        <v>0</v>
      </c>
      <c r="AC944">
        <v>0</v>
      </c>
      <c r="AD944" t="s">
        <v>134</v>
      </c>
      <c r="AE944" t="s">
        <v>134</v>
      </c>
      <c r="AF944" s="2">
        <v>45518</v>
      </c>
      <c r="AG944" s="2">
        <v>46021</v>
      </c>
      <c r="AH944" s="1">
        <v>1097.77</v>
      </c>
      <c r="AI944" s="1">
        <v>1743.55</v>
      </c>
      <c r="AJ944" s="1">
        <v>8782.2000000000007</v>
      </c>
      <c r="AK944">
        <v>970.24</v>
      </c>
      <c r="AL944">
        <v>919.51</v>
      </c>
      <c r="AM944">
        <v>0</v>
      </c>
      <c r="AN944" t="s">
        <v>135</v>
      </c>
      <c r="AO944" t="s">
        <v>135</v>
      </c>
      <c r="AP944" t="s">
        <v>136</v>
      </c>
      <c r="AQ944" t="s">
        <v>137</v>
      </c>
      <c r="AR944" t="s">
        <v>138</v>
      </c>
      <c r="AS944" t="s">
        <v>150</v>
      </c>
      <c r="AT944" t="s">
        <v>140</v>
      </c>
      <c r="AU944">
        <v>103</v>
      </c>
      <c r="AV944">
        <v>10</v>
      </c>
      <c r="AW944">
        <v>1</v>
      </c>
      <c r="AX944" s="2">
        <v>45824</v>
      </c>
      <c r="AY944" t="s">
        <v>141</v>
      </c>
      <c r="AZ944" s="2">
        <v>46027</v>
      </c>
      <c r="BA944">
        <v>0</v>
      </c>
      <c r="BB944">
        <v>0</v>
      </c>
      <c r="BC944">
        <v>0</v>
      </c>
      <c r="BD944">
        <v>999</v>
      </c>
      <c r="BE944">
        <v>99</v>
      </c>
      <c r="BF944">
        <v>9</v>
      </c>
      <c r="BG944" t="s">
        <v>135</v>
      </c>
      <c r="BH944" t="s">
        <v>250</v>
      </c>
      <c r="BI944" t="s">
        <v>135</v>
      </c>
      <c r="BJ944">
        <v>0</v>
      </c>
      <c r="BK944">
        <v>0</v>
      </c>
      <c r="BL944">
        <v>0</v>
      </c>
      <c r="BM944">
        <v>6.73</v>
      </c>
      <c r="BN944">
        <v>6.73</v>
      </c>
      <c r="BO944" s="1">
        <v>2381.2800000000002</v>
      </c>
      <c r="BP944">
        <v>0</v>
      </c>
      <c r="BQ944" s="1">
        <v>2381.2800000000002</v>
      </c>
      <c r="BR944">
        <v>0</v>
      </c>
      <c r="BS944">
        <v>7</v>
      </c>
      <c r="BT944">
        <v>7</v>
      </c>
      <c r="BU944" s="1">
        <v>3846.43</v>
      </c>
      <c r="BV944">
        <v>0</v>
      </c>
      <c r="BW944" s="1">
        <v>3846.43</v>
      </c>
      <c r="BX944">
        <v>919.51</v>
      </c>
      <c r="BY944">
        <v>23.91</v>
      </c>
      <c r="BZ944">
        <v>0</v>
      </c>
      <c r="CA944">
        <v>0</v>
      </c>
      <c r="CB944" s="1">
        <v>2782.21</v>
      </c>
      <c r="CC944" t="s">
        <v>143</v>
      </c>
    </row>
    <row r="945" spans="1:81" x14ac:dyDescent="0.25">
      <c r="A945">
        <v>345</v>
      </c>
      <c r="B945">
        <v>2</v>
      </c>
      <c r="C945">
        <v>2787</v>
      </c>
      <c r="D945" t="s">
        <v>5364</v>
      </c>
      <c r="E945" t="s">
        <v>121</v>
      </c>
      <c r="F945" t="s">
        <v>5365</v>
      </c>
      <c r="G945" t="s">
        <v>5366</v>
      </c>
      <c r="H945" t="s">
        <v>5367</v>
      </c>
      <c r="I945" t="s">
        <v>125</v>
      </c>
      <c r="J945" t="s">
        <v>126</v>
      </c>
      <c r="K945" t="s">
        <v>1853</v>
      </c>
      <c r="L945" t="s">
        <v>128</v>
      </c>
      <c r="M945" t="s">
        <v>1854</v>
      </c>
      <c r="N945" t="s">
        <v>5368</v>
      </c>
      <c r="O945" t="s">
        <v>5369</v>
      </c>
      <c r="P945">
        <v>0</v>
      </c>
      <c r="Q945" t="s">
        <v>125</v>
      </c>
      <c r="R945">
        <v>6</v>
      </c>
      <c r="S945">
        <v>41</v>
      </c>
      <c r="T945" t="s">
        <v>132</v>
      </c>
      <c r="U945" t="s">
        <v>133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134</v>
      </c>
      <c r="AE945" t="s">
        <v>134</v>
      </c>
      <c r="AF945" s="2">
        <v>45518</v>
      </c>
      <c r="AG945" s="2">
        <v>45961</v>
      </c>
      <c r="AH945">
        <v>231.8</v>
      </c>
      <c r="AI945">
        <v>291.66000000000003</v>
      </c>
      <c r="AJ945">
        <v>463.6</v>
      </c>
      <c r="AK945">
        <v>0</v>
      </c>
      <c r="AL945">
        <v>171.94</v>
      </c>
      <c r="AM945">
        <v>0</v>
      </c>
      <c r="AN945" t="s">
        <v>135</v>
      </c>
      <c r="AO945" t="s">
        <v>135</v>
      </c>
      <c r="AP945" t="s">
        <v>136</v>
      </c>
      <c r="AQ945" t="s">
        <v>137</v>
      </c>
      <c r="AR945" t="s">
        <v>138</v>
      </c>
      <c r="AS945" t="s">
        <v>150</v>
      </c>
      <c r="AT945" t="s">
        <v>140</v>
      </c>
      <c r="AU945">
        <v>103</v>
      </c>
      <c r="AV945">
        <v>10</v>
      </c>
      <c r="AW945">
        <v>1</v>
      </c>
      <c r="AX945" s="2">
        <v>45855</v>
      </c>
      <c r="AY945" t="s">
        <v>308</v>
      </c>
      <c r="AZ945" s="2">
        <v>46023</v>
      </c>
      <c r="BA945">
        <v>0</v>
      </c>
      <c r="BB945">
        <v>0</v>
      </c>
      <c r="BC945">
        <v>0</v>
      </c>
      <c r="BD945">
        <v>700</v>
      </c>
      <c r="BE945">
        <v>70</v>
      </c>
      <c r="BF945">
        <v>9</v>
      </c>
      <c r="BG945" s="2">
        <v>45536</v>
      </c>
      <c r="BH945" t="s">
        <v>142</v>
      </c>
      <c r="BI945" s="2">
        <v>46026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171.94</v>
      </c>
      <c r="BW945">
        <v>171.94</v>
      </c>
      <c r="BX945">
        <v>0</v>
      </c>
      <c r="BY945">
        <v>0</v>
      </c>
      <c r="BZ945">
        <v>0</v>
      </c>
      <c r="CA945">
        <v>0</v>
      </c>
      <c r="CB945">
        <v>138.81</v>
      </c>
      <c r="CC945" t="s">
        <v>161</v>
      </c>
    </row>
    <row r="946" spans="1:81" x14ac:dyDescent="0.25">
      <c r="A946">
        <v>345</v>
      </c>
      <c r="B946">
        <v>2</v>
      </c>
      <c r="C946">
        <v>2800</v>
      </c>
      <c r="D946" t="s">
        <v>5370</v>
      </c>
      <c r="E946" t="s">
        <v>121</v>
      </c>
      <c r="F946" t="s">
        <v>5371</v>
      </c>
      <c r="G946" t="s">
        <v>5372</v>
      </c>
      <c r="H946" t="s">
        <v>5373</v>
      </c>
      <c r="I946" t="s">
        <v>125</v>
      </c>
      <c r="J946" t="s">
        <v>5374</v>
      </c>
      <c r="K946" t="s">
        <v>5375</v>
      </c>
      <c r="L946" t="s">
        <v>128</v>
      </c>
      <c r="M946" t="s">
        <v>5376</v>
      </c>
      <c r="N946" t="s">
        <v>2504</v>
      </c>
      <c r="O946" t="s">
        <v>149</v>
      </c>
      <c r="P946">
        <v>0</v>
      </c>
      <c r="Q946" t="s">
        <v>125</v>
      </c>
      <c r="R946">
        <v>6</v>
      </c>
      <c r="S946">
        <v>43</v>
      </c>
      <c r="T946" t="s">
        <v>132</v>
      </c>
      <c r="U946" t="s">
        <v>133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134</v>
      </c>
      <c r="AE946" t="s">
        <v>234</v>
      </c>
      <c r="AF946" s="2">
        <v>45530</v>
      </c>
      <c r="AG946" t="s">
        <v>135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t="s">
        <v>135</v>
      </c>
      <c r="AO946" t="s">
        <v>135</v>
      </c>
      <c r="AP946" t="s">
        <v>5377</v>
      </c>
      <c r="AQ946" t="s">
        <v>137</v>
      </c>
      <c r="AR946" t="s">
        <v>138</v>
      </c>
      <c r="AS946" t="s">
        <v>150</v>
      </c>
      <c r="AT946" t="s">
        <v>140</v>
      </c>
      <c r="AU946">
        <v>995</v>
      </c>
      <c r="AV946">
        <v>99</v>
      </c>
      <c r="AW946">
        <v>9</v>
      </c>
      <c r="AX946" s="2">
        <v>45531</v>
      </c>
      <c r="AY946" t="s">
        <v>377</v>
      </c>
      <c r="AZ946" s="2">
        <v>46028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 t="s">
        <v>135</v>
      </c>
      <c r="BH946" t="s">
        <v>250</v>
      </c>
      <c r="BI946" t="s">
        <v>135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 t="s">
        <v>152</v>
      </c>
    </row>
    <row r="947" spans="1:81" x14ac:dyDescent="0.25">
      <c r="A947">
        <v>345</v>
      </c>
      <c r="B947">
        <v>2</v>
      </c>
      <c r="C947">
        <v>2801</v>
      </c>
      <c r="D947" t="s">
        <v>5378</v>
      </c>
      <c r="E947" t="s">
        <v>121</v>
      </c>
      <c r="F947" t="s">
        <v>5379</v>
      </c>
      <c r="G947" t="s">
        <v>5380</v>
      </c>
      <c r="H947" t="s">
        <v>5381</v>
      </c>
      <c r="I947" t="s">
        <v>125</v>
      </c>
      <c r="J947" t="s">
        <v>5382</v>
      </c>
      <c r="K947" t="s">
        <v>5383</v>
      </c>
      <c r="L947" t="s">
        <v>5384</v>
      </c>
      <c r="M947" t="s">
        <v>5385</v>
      </c>
      <c r="N947" t="s">
        <v>2504</v>
      </c>
      <c r="O947" t="s">
        <v>149</v>
      </c>
      <c r="P947">
        <v>0</v>
      </c>
      <c r="Q947" t="s">
        <v>125</v>
      </c>
      <c r="R947">
        <v>6</v>
      </c>
      <c r="S947">
        <v>43</v>
      </c>
      <c r="T947" t="s">
        <v>132</v>
      </c>
      <c r="U947" t="s">
        <v>133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134</v>
      </c>
      <c r="AE947" t="s">
        <v>134</v>
      </c>
      <c r="AF947" s="2">
        <v>45530</v>
      </c>
      <c r="AG947" t="s">
        <v>135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 t="s">
        <v>135</v>
      </c>
      <c r="AO947" t="s">
        <v>135</v>
      </c>
      <c r="AP947" t="s">
        <v>5386</v>
      </c>
      <c r="AQ947" t="s">
        <v>137</v>
      </c>
      <c r="AR947" t="s">
        <v>138</v>
      </c>
      <c r="AS947" t="s">
        <v>150</v>
      </c>
      <c r="AT947" t="s">
        <v>140</v>
      </c>
      <c r="AU947">
        <v>995</v>
      </c>
      <c r="AV947">
        <v>99</v>
      </c>
      <c r="AW947">
        <v>9</v>
      </c>
      <c r="AX947" s="2">
        <v>45531</v>
      </c>
      <c r="AY947" t="s">
        <v>377</v>
      </c>
      <c r="AZ947" s="2">
        <v>46028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 t="s">
        <v>135</v>
      </c>
      <c r="BH947" t="s">
        <v>250</v>
      </c>
      <c r="BI947" t="s">
        <v>135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 t="s">
        <v>152</v>
      </c>
    </row>
    <row r="948" spans="1:81" x14ac:dyDescent="0.25">
      <c r="A948">
        <v>345</v>
      </c>
      <c r="B948">
        <v>2</v>
      </c>
      <c r="C948">
        <v>2802</v>
      </c>
      <c r="D948" t="s">
        <v>5387</v>
      </c>
      <c r="E948" t="s">
        <v>121</v>
      </c>
      <c r="F948" t="s">
        <v>5388</v>
      </c>
      <c r="G948" t="s">
        <v>5389</v>
      </c>
      <c r="H948" t="s">
        <v>5390</v>
      </c>
      <c r="I948" t="s">
        <v>125</v>
      </c>
      <c r="J948" t="s">
        <v>126</v>
      </c>
      <c r="K948" t="s">
        <v>1853</v>
      </c>
      <c r="L948" t="s">
        <v>128</v>
      </c>
      <c r="M948" t="s">
        <v>1854</v>
      </c>
      <c r="N948" t="s">
        <v>5391</v>
      </c>
      <c r="O948" t="s">
        <v>131</v>
      </c>
      <c r="P948">
        <v>0</v>
      </c>
      <c r="Q948" t="s">
        <v>125</v>
      </c>
      <c r="R948">
        <v>3</v>
      </c>
      <c r="S948">
        <v>87</v>
      </c>
      <c r="T948" t="s">
        <v>132</v>
      </c>
      <c r="U948" t="s">
        <v>133</v>
      </c>
      <c r="V948" s="1">
        <v>1000</v>
      </c>
      <c r="W948">
        <v>0</v>
      </c>
      <c r="X948" s="1">
        <v>1000</v>
      </c>
      <c r="Y948">
        <v>7</v>
      </c>
      <c r="Z948">
        <v>0</v>
      </c>
      <c r="AA948">
        <v>0</v>
      </c>
      <c r="AB948">
        <v>0</v>
      </c>
      <c r="AC948">
        <v>0</v>
      </c>
      <c r="AD948" t="s">
        <v>134</v>
      </c>
      <c r="AE948" t="s">
        <v>134</v>
      </c>
      <c r="AF948" s="2">
        <v>45518</v>
      </c>
      <c r="AG948" s="2">
        <v>45997</v>
      </c>
      <c r="AH948">
        <v>407.65</v>
      </c>
      <c r="AI948">
        <v>528.39</v>
      </c>
      <c r="AJ948" s="1">
        <v>1222.97</v>
      </c>
      <c r="AK948">
        <v>0</v>
      </c>
      <c r="AL948">
        <v>0</v>
      </c>
      <c r="AM948">
        <v>0</v>
      </c>
      <c r="AN948" t="s">
        <v>135</v>
      </c>
      <c r="AO948" t="s">
        <v>135</v>
      </c>
      <c r="AP948" t="s">
        <v>136</v>
      </c>
      <c r="AQ948" t="s">
        <v>137</v>
      </c>
      <c r="AR948" t="s">
        <v>138</v>
      </c>
      <c r="AS948" t="s">
        <v>139</v>
      </c>
      <c r="AT948" t="s">
        <v>140</v>
      </c>
      <c r="AU948">
        <v>103</v>
      </c>
      <c r="AV948">
        <v>10</v>
      </c>
      <c r="AW948">
        <v>1</v>
      </c>
      <c r="AX948" s="2">
        <v>45814</v>
      </c>
      <c r="AY948" t="s">
        <v>151</v>
      </c>
      <c r="AZ948" s="2">
        <v>46024</v>
      </c>
      <c r="BA948">
        <v>0</v>
      </c>
      <c r="BB948">
        <v>0</v>
      </c>
      <c r="BC948">
        <v>0</v>
      </c>
      <c r="BD948">
        <v>700</v>
      </c>
      <c r="BE948">
        <v>70</v>
      </c>
      <c r="BF948">
        <v>9</v>
      </c>
      <c r="BG948" s="2">
        <v>45809</v>
      </c>
      <c r="BH948" t="s">
        <v>142</v>
      </c>
      <c r="BI948" s="2">
        <v>46026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251.27</v>
      </c>
      <c r="BQ948">
        <v>251.27</v>
      </c>
      <c r="BR948">
        <v>0</v>
      </c>
      <c r="BS948">
        <v>0</v>
      </c>
      <c r="BT948">
        <v>0</v>
      </c>
      <c r="BU948">
        <v>0</v>
      </c>
      <c r="BV948">
        <v>528.39</v>
      </c>
      <c r="BW948">
        <v>528.39</v>
      </c>
      <c r="BX948">
        <v>0</v>
      </c>
      <c r="BY948">
        <v>0</v>
      </c>
      <c r="BZ948">
        <v>0</v>
      </c>
      <c r="CA948">
        <v>0</v>
      </c>
      <c r="CB948">
        <v>290.64</v>
      </c>
      <c r="CC948" t="s">
        <v>143</v>
      </c>
    </row>
    <row r="949" spans="1:81" x14ac:dyDescent="0.25">
      <c r="A949">
        <v>345</v>
      </c>
      <c r="B949">
        <v>2</v>
      </c>
      <c r="C949">
        <v>2804</v>
      </c>
      <c r="D949" t="s">
        <v>5392</v>
      </c>
      <c r="E949" t="s">
        <v>121</v>
      </c>
      <c r="F949" t="s">
        <v>5393</v>
      </c>
      <c r="G949" t="s">
        <v>5394</v>
      </c>
      <c r="H949" t="s">
        <v>5395</v>
      </c>
      <c r="I949" t="s">
        <v>125</v>
      </c>
      <c r="J949" t="s">
        <v>5396</v>
      </c>
      <c r="K949" t="s">
        <v>5397</v>
      </c>
      <c r="L949" t="s">
        <v>5398</v>
      </c>
      <c r="M949" t="s">
        <v>5399</v>
      </c>
      <c r="N949" t="s">
        <v>5400</v>
      </c>
      <c r="O949" t="s">
        <v>149</v>
      </c>
      <c r="P949">
        <v>0</v>
      </c>
      <c r="Q949" t="s">
        <v>125</v>
      </c>
      <c r="R949">
        <v>6</v>
      </c>
      <c r="S949">
        <v>43</v>
      </c>
      <c r="T949" t="s">
        <v>132</v>
      </c>
      <c r="U949" t="s">
        <v>133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134</v>
      </c>
      <c r="AE949" t="s">
        <v>134</v>
      </c>
      <c r="AF949" s="2">
        <v>45530</v>
      </c>
      <c r="AG949" t="s">
        <v>135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 t="s">
        <v>135</v>
      </c>
      <c r="AO949" t="s">
        <v>135</v>
      </c>
      <c r="AP949" t="s">
        <v>5401</v>
      </c>
      <c r="AQ949" t="s">
        <v>137</v>
      </c>
      <c r="AR949" t="s">
        <v>138</v>
      </c>
      <c r="AS949" t="s">
        <v>150</v>
      </c>
      <c r="AT949" t="s">
        <v>140</v>
      </c>
      <c r="AU949">
        <v>995</v>
      </c>
      <c r="AV949">
        <v>99</v>
      </c>
      <c r="AW949">
        <v>9</v>
      </c>
      <c r="AX949" s="2">
        <v>45531</v>
      </c>
      <c r="AY949" t="s">
        <v>377</v>
      </c>
      <c r="AZ949" s="2">
        <v>46028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 t="s">
        <v>135</v>
      </c>
      <c r="BH949" t="s">
        <v>250</v>
      </c>
      <c r="BI949" t="s">
        <v>135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 t="s">
        <v>161</v>
      </c>
    </row>
    <row r="950" spans="1:81" x14ac:dyDescent="0.25">
      <c r="A950">
        <v>345</v>
      </c>
      <c r="B950">
        <v>2</v>
      </c>
      <c r="C950">
        <v>2805</v>
      </c>
      <c r="D950" t="s">
        <v>5402</v>
      </c>
      <c r="E950" t="s">
        <v>121</v>
      </c>
      <c r="F950" t="s">
        <v>5403</v>
      </c>
      <c r="G950" t="s">
        <v>5404</v>
      </c>
      <c r="H950" t="s">
        <v>5405</v>
      </c>
      <c r="I950" t="s">
        <v>4787</v>
      </c>
      <c r="J950" t="s">
        <v>126</v>
      </c>
      <c r="K950" t="s">
        <v>1853</v>
      </c>
      <c r="L950" t="s">
        <v>128</v>
      </c>
      <c r="M950" t="s">
        <v>1854</v>
      </c>
      <c r="N950" t="s">
        <v>5406</v>
      </c>
      <c r="O950" t="s">
        <v>201</v>
      </c>
      <c r="P950">
        <v>0</v>
      </c>
      <c r="Q950" t="s">
        <v>125</v>
      </c>
      <c r="R950">
        <v>6</v>
      </c>
      <c r="S950">
        <v>42</v>
      </c>
      <c r="T950" t="s">
        <v>132</v>
      </c>
      <c r="U950" t="s">
        <v>133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134</v>
      </c>
      <c r="AE950" t="s">
        <v>134</v>
      </c>
      <c r="AF950" s="2">
        <v>45518</v>
      </c>
      <c r="AG950" s="2">
        <v>46020</v>
      </c>
      <c r="AH950">
        <v>272.52</v>
      </c>
      <c r="AI950">
        <v>388.27</v>
      </c>
      <c r="AJ950" s="1">
        <v>1362.63</v>
      </c>
      <c r="AK950">
        <v>0</v>
      </c>
      <c r="AL950">
        <v>0</v>
      </c>
      <c r="AM950">
        <v>0</v>
      </c>
      <c r="AN950" t="s">
        <v>135</v>
      </c>
      <c r="AO950" t="s">
        <v>135</v>
      </c>
      <c r="AP950" t="s">
        <v>136</v>
      </c>
      <c r="AQ950" t="s">
        <v>137</v>
      </c>
      <c r="AR950" t="s">
        <v>138</v>
      </c>
      <c r="AS950" t="s">
        <v>150</v>
      </c>
      <c r="AT950" t="s">
        <v>140</v>
      </c>
      <c r="AU950">
        <v>103</v>
      </c>
      <c r="AV950">
        <v>10</v>
      </c>
      <c r="AW950">
        <v>1</v>
      </c>
      <c r="AX950" s="2">
        <v>45814</v>
      </c>
      <c r="AY950" t="s">
        <v>151</v>
      </c>
      <c r="AZ950" s="2">
        <v>46024</v>
      </c>
      <c r="BA950">
        <v>0</v>
      </c>
      <c r="BB950">
        <v>0</v>
      </c>
      <c r="BC950">
        <v>0</v>
      </c>
      <c r="BD950">
        <v>700</v>
      </c>
      <c r="BE950">
        <v>70</v>
      </c>
      <c r="BF950">
        <v>9</v>
      </c>
      <c r="BG950" s="2">
        <v>45536</v>
      </c>
      <c r="BH950" t="s">
        <v>142</v>
      </c>
      <c r="BI950" s="2">
        <v>46026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451.48</v>
      </c>
      <c r="BQ950">
        <v>451.48</v>
      </c>
      <c r="BR950">
        <v>0</v>
      </c>
      <c r="BS950">
        <v>0</v>
      </c>
      <c r="BT950">
        <v>0</v>
      </c>
      <c r="BU950">
        <v>0</v>
      </c>
      <c r="BV950">
        <v>219.04</v>
      </c>
      <c r="BW950">
        <v>219.04</v>
      </c>
      <c r="BX950">
        <v>0</v>
      </c>
      <c r="BY950">
        <v>0</v>
      </c>
      <c r="BZ950">
        <v>0</v>
      </c>
      <c r="CA950">
        <v>0</v>
      </c>
      <c r="CB950">
        <v>499.48</v>
      </c>
      <c r="CC950" t="s">
        <v>143</v>
      </c>
    </row>
    <row r="951" spans="1:81" x14ac:dyDescent="0.25">
      <c r="A951">
        <v>345</v>
      </c>
      <c r="B951">
        <v>2</v>
      </c>
      <c r="C951">
        <v>2806</v>
      </c>
      <c r="D951" t="s">
        <v>5407</v>
      </c>
      <c r="E951" t="s">
        <v>121</v>
      </c>
      <c r="F951" t="s">
        <v>5408</v>
      </c>
      <c r="G951" t="s">
        <v>5409</v>
      </c>
      <c r="H951" t="s">
        <v>5410</v>
      </c>
      <c r="I951" t="s">
        <v>125</v>
      </c>
      <c r="J951" t="s">
        <v>5411</v>
      </c>
      <c r="K951" t="s">
        <v>5412</v>
      </c>
      <c r="L951" t="s">
        <v>5413</v>
      </c>
      <c r="M951" t="s">
        <v>5414</v>
      </c>
      <c r="N951" t="s">
        <v>2504</v>
      </c>
      <c r="O951" t="s">
        <v>149</v>
      </c>
      <c r="P951">
        <v>0</v>
      </c>
      <c r="Q951" t="s">
        <v>125</v>
      </c>
      <c r="R951">
        <v>6</v>
      </c>
      <c r="S951">
        <v>43</v>
      </c>
      <c r="T951" t="s">
        <v>132</v>
      </c>
      <c r="U951" t="s">
        <v>133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134</v>
      </c>
      <c r="AE951" t="s">
        <v>134</v>
      </c>
      <c r="AF951" s="2">
        <v>45530</v>
      </c>
      <c r="AG951" t="s">
        <v>135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t="s">
        <v>135</v>
      </c>
      <c r="AO951" t="s">
        <v>135</v>
      </c>
      <c r="AP951" t="s">
        <v>5415</v>
      </c>
      <c r="AQ951" t="s">
        <v>137</v>
      </c>
      <c r="AR951" t="s">
        <v>138</v>
      </c>
      <c r="AS951" t="s">
        <v>150</v>
      </c>
      <c r="AT951" t="s">
        <v>140</v>
      </c>
      <c r="AU951">
        <v>995</v>
      </c>
      <c r="AV951">
        <v>99</v>
      </c>
      <c r="AW951">
        <v>9</v>
      </c>
      <c r="AX951" s="2">
        <v>45531</v>
      </c>
      <c r="AY951" t="s">
        <v>377</v>
      </c>
      <c r="AZ951" s="2">
        <v>46028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 t="s">
        <v>135</v>
      </c>
      <c r="BH951" t="s">
        <v>250</v>
      </c>
      <c r="BI951" t="s">
        <v>135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 t="s">
        <v>152</v>
      </c>
    </row>
    <row r="952" spans="1:81" x14ac:dyDescent="0.25">
      <c r="A952">
        <v>345</v>
      </c>
      <c r="B952">
        <v>2</v>
      </c>
      <c r="C952">
        <v>2807</v>
      </c>
      <c r="D952" t="s">
        <v>5416</v>
      </c>
      <c r="E952" t="s">
        <v>121</v>
      </c>
      <c r="F952" t="s">
        <v>5417</v>
      </c>
      <c r="G952" t="s">
        <v>5418</v>
      </c>
      <c r="H952" t="s">
        <v>5419</v>
      </c>
      <c r="I952" t="s">
        <v>125</v>
      </c>
      <c r="J952" t="s">
        <v>5420</v>
      </c>
      <c r="K952" t="s">
        <v>5421</v>
      </c>
      <c r="L952" t="s">
        <v>5422</v>
      </c>
      <c r="M952" t="s">
        <v>5423</v>
      </c>
      <c r="N952" t="s">
        <v>5400</v>
      </c>
      <c r="O952" t="s">
        <v>149</v>
      </c>
      <c r="P952">
        <v>0</v>
      </c>
      <c r="Q952" t="s">
        <v>125</v>
      </c>
      <c r="R952">
        <v>6</v>
      </c>
      <c r="S952">
        <v>43</v>
      </c>
      <c r="T952" t="s">
        <v>132</v>
      </c>
      <c r="U952" t="s">
        <v>133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134</v>
      </c>
      <c r="AE952" t="s">
        <v>134</v>
      </c>
      <c r="AF952" s="2">
        <v>45530</v>
      </c>
      <c r="AG952" t="s">
        <v>135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 t="s">
        <v>135</v>
      </c>
      <c r="AO952" t="s">
        <v>135</v>
      </c>
      <c r="AP952" t="s">
        <v>5424</v>
      </c>
      <c r="AQ952" t="s">
        <v>137</v>
      </c>
      <c r="AR952" t="s">
        <v>138</v>
      </c>
      <c r="AS952" t="s">
        <v>150</v>
      </c>
      <c r="AT952" t="s">
        <v>140</v>
      </c>
      <c r="AU952">
        <v>995</v>
      </c>
      <c r="AV952">
        <v>99</v>
      </c>
      <c r="AW952">
        <v>9</v>
      </c>
      <c r="AX952" s="2">
        <v>45531</v>
      </c>
      <c r="AY952" t="s">
        <v>377</v>
      </c>
      <c r="AZ952" s="2">
        <v>46028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 t="s">
        <v>135</v>
      </c>
      <c r="BH952" t="s">
        <v>250</v>
      </c>
      <c r="BI952" t="s">
        <v>135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 t="s">
        <v>5425</v>
      </c>
    </row>
    <row r="953" spans="1:81" x14ac:dyDescent="0.25">
      <c r="A953">
        <v>345</v>
      </c>
      <c r="B953">
        <v>2</v>
      </c>
      <c r="C953">
        <v>2812</v>
      </c>
      <c r="D953" t="s">
        <v>5426</v>
      </c>
      <c r="E953" t="s">
        <v>5427</v>
      </c>
      <c r="F953" t="s">
        <v>5428</v>
      </c>
      <c r="G953" t="s">
        <v>5429</v>
      </c>
      <c r="H953" t="s">
        <v>5430</v>
      </c>
      <c r="I953" t="s">
        <v>5431</v>
      </c>
      <c r="J953" t="s">
        <v>126</v>
      </c>
      <c r="K953" t="s">
        <v>466</v>
      </c>
      <c r="L953" t="s">
        <v>128</v>
      </c>
      <c r="M953" t="s">
        <v>467</v>
      </c>
      <c r="N953" t="s">
        <v>5432</v>
      </c>
      <c r="O953" t="s">
        <v>195</v>
      </c>
      <c r="P953">
        <v>0</v>
      </c>
      <c r="Q953" t="s">
        <v>125</v>
      </c>
      <c r="R953">
        <v>6</v>
      </c>
      <c r="S953">
        <v>36</v>
      </c>
      <c r="T953" t="s">
        <v>132</v>
      </c>
      <c r="U953" t="s">
        <v>133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134</v>
      </c>
      <c r="AE953" t="s">
        <v>134</v>
      </c>
      <c r="AF953" s="2">
        <v>45540</v>
      </c>
      <c r="AG953" s="2">
        <v>46020</v>
      </c>
      <c r="AH953">
        <v>348.97</v>
      </c>
      <c r="AI953">
        <v>626.42999999999995</v>
      </c>
      <c r="AJ953" s="1">
        <v>2093.8200000000002</v>
      </c>
      <c r="AK953">
        <v>0</v>
      </c>
      <c r="AL953">
        <v>0</v>
      </c>
      <c r="AM953">
        <v>0</v>
      </c>
      <c r="AN953" t="s">
        <v>135</v>
      </c>
      <c r="AO953" t="s">
        <v>135</v>
      </c>
      <c r="AP953" t="s">
        <v>136</v>
      </c>
      <c r="AQ953" t="s">
        <v>137</v>
      </c>
      <c r="AR953" t="s">
        <v>138</v>
      </c>
      <c r="AS953" t="s">
        <v>139</v>
      </c>
      <c r="AT953" t="s">
        <v>140</v>
      </c>
      <c r="AU953">
        <v>105</v>
      </c>
      <c r="AV953">
        <v>10</v>
      </c>
      <c r="AW953">
        <v>1</v>
      </c>
      <c r="AX953" s="2">
        <v>45813</v>
      </c>
      <c r="AY953" t="s">
        <v>308</v>
      </c>
      <c r="AZ953" s="2">
        <v>46023</v>
      </c>
      <c r="BA953">
        <v>0</v>
      </c>
      <c r="BB953">
        <v>0</v>
      </c>
      <c r="BC953">
        <v>0</v>
      </c>
      <c r="BD953">
        <v>700</v>
      </c>
      <c r="BE953">
        <v>70</v>
      </c>
      <c r="BF953">
        <v>9</v>
      </c>
      <c r="BG953" s="2">
        <v>45809</v>
      </c>
      <c r="BH953" t="s">
        <v>142</v>
      </c>
      <c r="BI953" s="2">
        <v>46026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682.05</v>
      </c>
      <c r="BQ953">
        <v>682.05</v>
      </c>
      <c r="BR953">
        <v>0</v>
      </c>
      <c r="BS953">
        <v>0</v>
      </c>
      <c r="BT953">
        <v>0</v>
      </c>
      <c r="BU953">
        <v>0</v>
      </c>
      <c r="BV953" s="1">
        <v>1411.77</v>
      </c>
      <c r="BW953" s="1">
        <v>1411.77</v>
      </c>
      <c r="BX953">
        <v>0</v>
      </c>
      <c r="BY953">
        <v>0</v>
      </c>
      <c r="BZ953">
        <v>0</v>
      </c>
      <c r="CA953">
        <v>0</v>
      </c>
      <c r="CB953">
        <v>227.35</v>
      </c>
      <c r="CC953" t="s">
        <v>5433</v>
      </c>
    </row>
    <row r="954" spans="1:81" x14ac:dyDescent="0.25">
      <c r="A954">
        <v>345</v>
      </c>
      <c r="B954">
        <v>2</v>
      </c>
      <c r="C954">
        <v>2813</v>
      </c>
      <c r="D954" t="s">
        <v>5434</v>
      </c>
      <c r="E954" t="s">
        <v>121</v>
      </c>
      <c r="F954" t="s">
        <v>5435</v>
      </c>
      <c r="G954" t="s">
        <v>5436</v>
      </c>
      <c r="H954" t="s">
        <v>5437</v>
      </c>
      <c r="I954" t="s">
        <v>125</v>
      </c>
      <c r="J954" t="s">
        <v>1263</v>
      </c>
      <c r="K954" t="s">
        <v>466</v>
      </c>
      <c r="L954" t="s">
        <v>128</v>
      </c>
      <c r="M954" t="s">
        <v>467</v>
      </c>
      <c r="N954" t="s">
        <v>5438</v>
      </c>
      <c r="O954" t="s">
        <v>149</v>
      </c>
      <c r="P954">
        <v>0</v>
      </c>
      <c r="Q954" t="s">
        <v>125</v>
      </c>
      <c r="R954">
        <v>3</v>
      </c>
      <c r="S954">
        <v>87</v>
      </c>
      <c r="T954" t="s">
        <v>132</v>
      </c>
      <c r="U954" t="s">
        <v>133</v>
      </c>
      <c r="V954" s="1">
        <v>22200</v>
      </c>
      <c r="W954">
        <v>0</v>
      </c>
      <c r="X954" s="1">
        <v>22200</v>
      </c>
      <c r="Y954">
        <v>7</v>
      </c>
      <c r="Z954">
        <v>0</v>
      </c>
      <c r="AA954">
        <v>0</v>
      </c>
      <c r="AB954">
        <v>0</v>
      </c>
      <c r="AC954">
        <v>0</v>
      </c>
      <c r="AD954" t="s">
        <v>134</v>
      </c>
      <c r="AE954" t="s">
        <v>134</v>
      </c>
      <c r="AF954" s="2">
        <v>45541</v>
      </c>
      <c r="AG954" s="2">
        <v>46020</v>
      </c>
      <c r="AH954" s="1">
        <v>12111.54</v>
      </c>
      <c r="AI954" s="1">
        <v>24536.25</v>
      </c>
      <c r="AJ954" s="1">
        <v>266454.05</v>
      </c>
      <c r="AK954">
        <v>0</v>
      </c>
      <c r="AL954" s="1">
        <v>13705.7</v>
      </c>
      <c r="AM954">
        <v>0</v>
      </c>
      <c r="AN954" t="s">
        <v>135</v>
      </c>
      <c r="AO954" t="s">
        <v>135</v>
      </c>
      <c r="AP954" t="s">
        <v>136</v>
      </c>
      <c r="AQ954" t="s">
        <v>137</v>
      </c>
      <c r="AR954" t="s">
        <v>138</v>
      </c>
      <c r="AS954" t="s">
        <v>150</v>
      </c>
      <c r="AT954" t="s">
        <v>140</v>
      </c>
      <c r="AU954">
        <v>500</v>
      </c>
      <c r="AV954">
        <v>10</v>
      </c>
      <c r="AW954">
        <v>1</v>
      </c>
      <c r="AX954" s="2">
        <v>45825</v>
      </c>
      <c r="AY954" t="s">
        <v>377</v>
      </c>
      <c r="AZ954" s="2">
        <v>46028</v>
      </c>
      <c r="BA954">
        <v>0</v>
      </c>
      <c r="BB954">
        <v>0</v>
      </c>
      <c r="BC954">
        <v>0</v>
      </c>
      <c r="BD954">
        <v>700</v>
      </c>
      <c r="BE954">
        <v>70</v>
      </c>
      <c r="BF954">
        <v>9</v>
      </c>
      <c r="BG954" s="2">
        <v>45809</v>
      </c>
      <c r="BH954" t="s">
        <v>142</v>
      </c>
      <c r="BI954" s="2">
        <v>46026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 s="1">
        <v>51914.879999999997</v>
      </c>
      <c r="BQ954" s="1">
        <v>51914.879999999997</v>
      </c>
      <c r="BR954">
        <v>0</v>
      </c>
      <c r="BS954">
        <v>0</v>
      </c>
      <c r="BT954">
        <v>0</v>
      </c>
      <c r="BU954">
        <v>0</v>
      </c>
      <c r="BV954" s="1">
        <v>116487.65</v>
      </c>
      <c r="BW954" s="1">
        <v>116487.65</v>
      </c>
      <c r="BX954">
        <v>0</v>
      </c>
      <c r="BY954">
        <v>0</v>
      </c>
      <c r="BZ954">
        <v>0</v>
      </c>
      <c r="CA954">
        <v>0</v>
      </c>
      <c r="CB954" s="1">
        <v>69288.850000000006</v>
      </c>
      <c r="CC954" t="s">
        <v>152</v>
      </c>
    </row>
    <row r="955" spans="1:81" x14ac:dyDescent="0.25">
      <c r="A955">
        <v>345</v>
      </c>
      <c r="B955">
        <v>2</v>
      </c>
      <c r="C955">
        <v>2815</v>
      </c>
      <c r="D955" t="s">
        <v>5439</v>
      </c>
      <c r="E955" t="s">
        <v>121</v>
      </c>
      <c r="F955" t="s">
        <v>5440</v>
      </c>
      <c r="G955" t="s">
        <v>5441</v>
      </c>
      <c r="H955" t="s">
        <v>5442</v>
      </c>
      <c r="I955" t="s">
        <v>5095</v>
      </c>
      <c r="J955" t="s">
        <v>126</v>
      </c>
      <c r="K955" t="s">
        <v>466</v>
      </c>
      <c r="L955" t="s">
        <v>128</v>
      </c>
      <c r="M955" t="s">
        <v>467</v>
      </c>
      <c r="N955" t="s">
        <v>5443</v>
      </c>
      <c r="O955" t="s">
        <v>149</v>
      </c>
      <c r="P955">
        <v>0</v>
      </c>
      <c r="Q955" t="s">
        <v>125</v>
      </c>
      <c r="R955">
        <v>6</v>
      </c>
      <c r="S955">
        <v>43</v>
      </c>
      <c r="T955" t="s">
        <v>132</v>
      </c>
      <c r="U955" t="s">
        <v>133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134</v>
      </c>
      <c r="AE955" t="s">
        <v>134</v>
      </c>
      <c r="AF955" s="2">
        <v>45544</v>
      </c>
      <c r="AG955" s="2">
        <v>46018</v>
      </c>
      <c r="AH955">
        <v>426.84</v>
      </c>
      <c r="AI955" s="1">
        <v>1524.16</v>
      </c>
      <c r="AJ955" s="1">
        <v>7683.2</v>
      </c>
      <c r="AK955">
        <v>0</v>
      </c>
      <c r="AL955">
        <v>0</v>
      </c>
      <c r="AM955">
        <v>0</v>
      </c>
      <c r="AN955" t="s">
        <v>135</v>
      </c>
      <c r="AO955" t="s">
        <v>135</v>
      </c>
      <c r="AP955" t="s">
        <v>136</v>
      </c>
      <c r="AQ955" t="s">
        <v>137</v>
      </c>
      <c r="AR955" t="s">
        <v>138</v>
      </c>
      <c r="AS955" t="s">
        <v>150</v>
      </c>
      <c r="AT955" t="s">
        <v>140</v>
      </c>
      <c r="AU955">
        <v>501</v>
      </c>
      <c r="AV955">
        <v>10</v>
      </c>
      <c r="AW955">
        <v>1</v>
      </c>
      <c r="AX955" s="2">
        <v>45854</v>
      </c>
      <c r="AY955" t="s">
        <v>168</v>
      </c>
      <c r="AZ955" s="2">
        <v>46022</v>
      </c>
      <c r="BA955">
        <v>0</v>
      </c>
      <c r="BB955">
        <v>0</v>
      </c>
      <c r="BC955">
        <v>0</v>
      </c>
      <c r="BD955">
        <v>700</v>
      </c>
      <c r="BE955">
        <v>70</v>
      </c>
      <c r="BF955">
        <v>9</v>
      </c>
      <c r="BG955" s="2">
        <v>45809</v>
      </c>
      <c r="BH955" t="s">
        <v>142</v>
      </c>
      <c r="BI955" s="2">
        <v>46026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 s="1">
        <v>2312.9699999999998</v>
      </c>
      <c r="BQ955" s="1">
        <v>2312.9699999999998</v>
      </c>
      <c r="BR955">
        <v>0</v>
      </c>
      <c r="BS955">
        <v>0</v>
      </c>
      <c r="BT955">
        <v>0</v>
      </c>
      <c r="BU955">
        <v>0</v>
      </c>
      <c r="BV955" s="1">
        <v>3688.26</v>
      </c>
      <c r="BW955" s="1">
        <v>3688.26</v>
      </c>
      <c r="BX955">
        <v>0</v>
      </c>
      <c r="BY955">
        <v>0</v>
      </c>
      <c r="BZ955">
        <v>0</v>
      </c>
      <c r="CA955">
        <v>0</v>
      </c>
      <c r="CB955" s="1">
        <v>1633.97</v>
      </c>
      <c r="CC955" t="s">
        <v>152</v>
      </c>
    </row>
    <row r="956" spans="1:81" x14ac:dyDescent="0.25">
      <c r="A956">
        <v>345</v>
      </c>
      <c r="B956">
        <v>2</v>
      </c>
      <c r="C956">
        <v>2816</v>
      </c>
      <c r="D956" t="s">
        <v>5444</v>
      </c>
      <c r="E956" t="s">
        <v>121</v>
      </c>
      <c r="F956" t="s">
        <v>5445</v>
      </c>
      <c r="G956" t="s">
        <v>4004</v>
      </c>
      <c r="H956" t="s">
        <v>5446</v>
      </c>
      <c r="I956" t="s">
        <v>125</v>
      </c>
      <c r="J956" t="s">
        <v>723</v>
      </c>
      <c r="K956" t="s">
        <v>336</v>
      </c>
      <c r="L956" t="s">
        <v>128</v>
      </c>
      <c r="M956" t="s">
        <v>5447</v>
      </c>
      <c r="N956" t="s">
        <v>5448</v>
      </c>
      <c r="O956" t="s">
        <v>1650</v>
      </c>
      <c r="P956">
        <v>0</v>
      </c>
      <c r="Q956" t="s">
        <v>125</v>
      </c>
      <c r="R956">
        <v>3</v>
      </c>
      <c r="S956">
        <v>83</v>
      </c>
      <c r="T956" t="s">
        <v>132</v>
      </c>
      <c r="U956" t="s">
        <v>133</v>
      </c>
      <c r="V956" s="1">
        <v>300000</v>
      </c>
      <c r="W956">
        <v>0</v>
      </c>
      <c r="X956" s="1">
        <v>300000</v>
      </c>
      <c r="Y956">
        <v>7</v>
      </c>
      <c r="Z956">
        <v>0</v>
      </c>
      <c r="AA956">
        <v>21</v>
      </c>
      <c r="AB956">
        <v>0</v>
      </c>
      <c r="AC956">
        <v>4</v>
      </c>
      <c r="AD956" t="s">
        <v>234</v>
      </c>
      <c r="AE956" t="s">
        <v>134</v>
      </c>
      <c r="AF956" s="2">
        <v>45546</v>
      </c>
      <c r="AG956" s="2">
        <v>46017</v>
      </c>
      <c r="AH956" s="1">
        <v>43098.87</v>
      </c>
      <c r="AI956" s="1">
        <v>119286.05</v>
      </c>
      <c r="AJ956" s="1">
        <v>387889.89</v>
      </c>
      <c r="AK956">
        <v>0</v>
      </c>
      <c r="AL956">
        <v>0</v>
      </c>
      <c r="AM956">
        <v>0</v>
      </c>
      <c r="AN956" t="s">
        <v>135</v>
      </c>
      <c r="AO956" t="s">
        <v>135</v>
      </c>
      <c r="AP956" t="s">
        <v>136</v>
      </c>
      <c r="AQ956" t="s">
        <v>137</v>
      </c>
      <c r="AR956" t="s">
        <v>138</v>
      </c>
      <c r="AS956" t="s">
        <v>150</v>
      </c>
      <c r="AT956" t="s">
        <v>140</v>
      </c>
      <c r="AU956">
        <v>501</v>
      </c>
      <c r="AV956">
        <v>10</v>
      </c>
      <c r="AW956">
        <v>1</v>
      </c>
      <c r="AX956" s="2">
        <v>45859</v>
      </c>
      <c r="AY956" t="s">
        <v>141</v>
      </c>
      <c r="AZ956" s="2">
        <v>46027</v>
      </c>
      <c r="BA956">
        <v>0</v>
      </c>
      <c r="BB956">
        <v>0</v>
      </c>
      <c r="BC956">
        <v>0</v>
      </c>
      <c r="BD956">
        <v>700</v>
      </c>
      <c r="BE956">
        <v>70</v>
      </c>
      <c r="BF956">
        <v>9</v>
      </c>
      <c r="BG956" s="2">
        <v>45809</v>
      </c>
      <c r="BH956" t="s">
        <v>142</v>
      </c>
      <c r="BI956" s="2">
        <v>46026</v>
      </c>
      <c r="BJ956">
        <v>0</v>
      </c>
      <c r="BK956">
        <v>0</v>
      </c>
      <c r="BL956">
        <v>0</v>
      </c>
      <c r="BM956">
        <v>3.74</v>
      </c>
      <c r="BN956">
        <v>3.74</v>
      </c>
      <c r="BO956" s="1">
        <v>54445.36</v>
      </c>
      <c r="BP956">
        <v>0</v>
      </c>
      <c r="BQ956" s="1">
        <v>54445.36</v>
      </c>
      <c r="BR956" s="1">
        <v>40452.550000000003</v>
      </c>
      <c r="BS956">
        <v>11.08</v>
      </c>
      <c r="BT956">
        <v>11.08</v>
      </c>
      <c r="BU956" s="1">
        <v>328265.36</v>
      </c>
      <c r="BV956">
        <v>0</v>
      </c>
      <c r="BW956" s="1">
        <v>328265.36</v>
      </c>
      <c r="BX956">
        <v>0</v>
      </c>
      <c r="BY956">
        <v>0</v>
      </c>
      <c r="BZ956">
        <v>0</v>
      </c>
      <c r="CA956">
        <v>0</v>
      </c>
      <c r="CB956" s="1">
        <v>113717.15</v>
      </c>
      <c r="CC956" t="s">
        <v>5072</v>
      </c>
    </row>
    <row r="957" spans="1:81" x14ac:dyDescent="0.25">
      <c r="A957">
        <v>345</v>
      </c>
      <c r="B957">
        <v>2</v>
      </c>
      <c r="C957">
        <v>2818</v>
      </c>
      <c r="D957" t="s">
        <v>5449</v>
      </c>
      <c r="E957" t="s">
        <v>5427</v>
      </c>
      <c r="F957" t="s">
        <v>5450</v>
      </c>
      <c r="G957" t="s">
        <v>5451</v>
      </c>
      <c r="H957" t="s">
        <v>5452</v>
      </c>
      <c r="I957" t="s">
        <v>5453</v>
      </c>
      <c r="J957" t="s">
        <v>126</v>
      </c>
      <c r="K957" t="s">
        <v>4248</v>
      </c>
      <c r="L957" t="s">
        <v>128</v>
      </c>
      <c r="M957" t="s">
        <v>1325</v>
      </c>
      <c r="N957" t="s">
        <v>5454</v>
      </c>
      <c r="O957" t="s">
        <v>149</v>
      </c>
      <c r="P957">
        <v>0</v>
      </c>
      <c r="Q957" t="s">
        <v>125</v>
      </c>
      <c r="R957">
        <v>2</v>
      </c>
      <c r="S957">
        <v>90</v>
      </c>
      <c r="T957" t="s">
        <v>132</v>
      </c>
      <c r="U957" t="s">
        <v>133</v>
      </c>
      <c r="V957" s="1">
        <v>1100</v>
      </c>
      <c r="W957">
        <v>0</v>
      </c>
      <c r="X957" s="1">
        <v>1100</v>
      </c>
      <c r="Y957">
        <v>7</v>
      </c>
      <c r="Z957">
        <v>0</v>
      </c>
      <c r="AA957">
        <v>0</v>
      </c>
      <c r="AB957">
        <v>0</v>
      </c>
      <c r="AC957">
        <v>0</v>
      </c>
      <c r="AD957" t="s">
        <v>134</v>
      </c>
      <c r="AE957" t="s">
        <v>134</v>
      </c>
      <c r="AF957" s="2">
        <v>45546</v>
      </c>
      <c r="AG957" s="2">
        <v>46011</v>
      </c>
      <c r="AH957">
        <v>602</v>
      </c>
      <c r="AI957" s="1">
        <v>1754.88</v>
      </c>
      <c r="AJ957" s="1">
        <v>6020.03</v>
      </c>
      <c r="AK957">
        <v>0</v>
      </c>
      <c r="AL957">
        <v>0</v>
      </c>
      <c r="AM957">
        <v>0</v>
      </c>
      <c r="AN957" t="s">
        <v>135</v>
      </c>
      <c r="AO957" t="s">
        <v>135</v>
      </c>
      <c r="AP957" t="s">
        <v>136</v>
      </c>
      <c r="AQ957" t="s">
        <v>137</v>
      </c>
      <c r="AR957" t="s">
        <v>138</v>
      </c>
      <c r="AS957" t="s">
        <v>139</v>
      </c>
      <c r="AT957" t="s">
        <v>140</v>
      </c>
      <c r="AU957">
        <v>104</v>
      </c>
      <c r="AV957">
        <v>10</v>
      </c>
      <c r="AW957">
        <v>1</v>
      </c>
      <c r="AX957" s="2">
        <v>45939</v>
      </c>
      <c r="AY957" t="s">
        <v>308</v>
      </c>
      <c r="AZ957" s="2">
        <v>46023</v>
      </c>
      <c r="BA957">
        <v>0</v>
      </c>
      <c r="BB957">
        <v>0</v>
      </c>
      <c r="BC957">
        <v>0</v>
      </c>
      <c r="BD957">
        <v>700</v>
      </c>
      <c r="BE957">
        <v>70</v>
      </c>
      <c r="BF957">
        <v>9</v>
      </c>
      <c r="BG957" s="2">
        <v>45809</v>
      </c>
      <c r="BH957" t="s">
        <v>142</v>
      </c>
      <c r="BI957" s="2">
        <v>46026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 s="1">
        <v>1590.22</v>
      </c>
      <c r="BQ957" s="1">
        <v>1590.22</v>
      </c>
      <c r="BR957">
        <v>0</v>
      </c>
      <c r="BS957">
        <v>0</v>
      </c>
      <c r="BT957">
        <v>0</v>
      </c>
      <c r="BU957">
        <v>0</v>
      </c>
      <c r="BV957" s="1">
        <v>3126.63</v>
      </c>
      <c r="BW957" s="1">
        <v>3126.63</v>
      </c>
      <c r="BX957">
        <v>0</v>
      </c>
      <c r="BY957">
        <v>0</v>
      </c>
      <c r="BZ957">
        <v>0</v>
      </c>
      <c r="CA957">
        <v>0</v>
      </c>
      <c r="CB957" s="1">
        <v>1927.43</v>
      </c>
      <c r="CC957" t="s">
        <v>152</v>
      </c>
    </row>
    <row r="958" spans="1:81" x14ac:dyDescent="0.25">
      <c r="A958">
        <v>345</v>
      </c>
      <c r="B958">
        <v>2</v>
      </c>
      <c r="C958">
        <v>2821</v>
      </c>
      <c r="D958" t="s">
        <v>5455</v>
      </c>
      <c r="E958" t="s">
        <v>121</v>
      </c>
      <c r="F958" t="s">
        <v>5456</v>
      </c>
      <c r="G958" t="s">
        <v>5435</v>
      </c>
      <c r="H958" t="s">
        <v>5457</v>
      </c>
      <c r="I958" t="s">
        <v>125</v>
      </c>
      <c r="J958" t="s">
        <v>126</v>
      </c>
      <c r="K958" t="s">
        <v>1853</v>
      </c>
      <c r="L958" t="s">
        <v>128</v>
      </c>
      <c r="M958" t="s">
        <v>1854</v>
      </c>
      <c r="N958" t="s">
        <v>5458</v>
      </c>
      <c r="O958" t="s">
        <v>131</v>
      </c>
      <c r="P958">
        <v>0</v>
      </c>
      <c r="Q958" t="s">
        <v>125</v>
      </c>
      <c r="R958">
        <v>6</v>
      </c>
      <c r="S958">
        <v>42</v>
      </c>
      <c r="T958" t="s">
        <v>132</v>
      </c>
      <c r="U958" t="s">
        <v>133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134</v>
      </c>
      <c r="AE958" t="s">
        <v>134</v>
      </c>
      <c r="AF958" s="2">
        <v>45551</v>
      </c>
      <c r="AG958" s="2">
        <v>46000</v>
      </c>
      <c r="AH958" s="1">
        <v>10743.9</v>
      </c>
      <c r="AI958" s="1">
        <v>21221.119999999999</v>
      </c>
      <c r="AJ958" s="1">
        <v>53719.53</v>
      </c>
      <c r="AK958">
        <v>0</v>
      </c>
      <c r="AL958">
        <v>0</v>
      </c>
      <c r="AM958">
        <v>0</v>
      </c>
      <c r="AN958" t="s">
        <v>135</v>
      </c>
      <c r="AO958" t="s">
        <v>135</v>
      </c>
      <c r="AP958" t="s">
        <v>136</v>
      </c>
      <c r="AQ958" t="s">
        <v>137</v>
      </c>
      <c r="AR958" t="s">
        <v>138</v>
      </c>
      <c r="AS958" t="s">
        <v>150</v>
      </c>
      <c r="AT958" t="s">
        <v>140</v>
      </c>
      <c r="AU958">
        <v>500</v>
      </c>
      <c r="AV958">
        <v>10</v>
      </c>
      <c r="AW958">
        <v>1</v>
      </c>
      <c r="AX958" s="2">
        <v>45855</v>
      </c>
      <c r="AY958" t="s">
        <v>308</v>
      </c>
      <c r="AZ958" s="2">
        <v>46023</v>
      </c>
      <c r="BA958">
        <v>0</v>
      </c>
      <c r="BB958">
        <v>0</v>
      </c>
      <c r="BC958">
        <v>0</v>
      </c>
      <c r="BD958">
        <v>700</v>
      </c>
      <c r="BE958">
        <v>70</v>
      </c>
      <c r="BF958">
        <v>9</v>
      </c>
      <c r="BG958" s="2">
        <v>45809</v>
      </c>
      <c r="BH958" t="s">
        <v>142</v>
      </c>
      <c r="BI958" s="2">
        <v>46026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 s="1">
        <v>18748.009999999998</v>
      </c>
      <c r="BQ958" s="1">
        <v>18748.009999999998</v>
      </c>
      <c r="BR958">
        <v>0</v>
      </c>
      <c r="BS958">
        <v>0</v>
      </c>
      <c r="BT958">
        <v>0</v>
      </c>
      <c r="BU958">
        <v>0</v>
      </c>
      <c r="BV958" s="1">
        <v>13750.4</v>
      </c>
      <c r="BW958" s="1">
        <v>13750.4</v>
      </c>
      <c r="BX958">
        <v>0</v>
      </c>
      <c r="BY958">
        <v>0</v>
      </c>
      <c r="BZ958">
        <v>0</v>
      </c>
      <c r="CA958">
        <v>0</v>
      </c>
      <c r="CB958" s="1">
        <v>13323.04</v>
      </c>
      <c r="CC958" t="s">
        <v>143</v>
      </c>
    </row>
    <row r="959" spans="1:81" x14ac:dyDescent="0.25">
      <c r="A959">
        <v>345</v>
      </c>
      <c r="B959">
        <v>2</v>
      </c>
      <c r="C959">
        <v>2822</v>
      </c>
      <c r="D959" t="s">
        <v>5459</v>
      </c>
      <c r="E959" t="s">
        <v>121</v>
      </c>
      <c r="F959" t="s">
        <v>5460</v>
      </c>
      <c r="G959" t="s">
        <v>5461</v>
      </c>
      <c r="H959" t="s">
        <v>5462</v>
      </c>
      <c r="I959" t="s">
        <v>125</v>
      </c>
      <c r="J959" t="s">
        <v>4254</v>
      </c>
      <c r="K959" t="s">
        <v>4248</v>
      </c>
      <c r="L959" t="s">
        <v>128</v>
      </c>
      <c r="M959" t="s">
        <v>1325</v>
      </c>
      <c r="N959" t="s">
        <v>5463</v>
      </c>
      <c r="O959" t="s">
        <v>3269</v>
      </c>
      <c r="P959">
        <v>0</v>
      </c>
      <c r="Q959" t="s">
        <v>125</v>
      </c>
      <c r="R959">
        <v>3</v>
      </c>
      <c r="S959">
        <v>84</v>
      </c>
      <c r="T959" t="s">
        <v>132</v>
      </c>
      <c r="U959" t="s">
        <v>133</v>
      </c>
      <c r="V959" s="1">
        <v>2400</v>
      </c>
      <c r="W959">
        <v>0</v>
      </c>
      <c r="X959" s="1">
        <v>2400</v>
      </c>
      <c r="Y959">
        <v>7</v>
      </c>
      <c r="Z959">
        <v>0</v>
      </c>
      <c r="AA959">
        <v>0</v>
      </c>
      <c r="AB959">
        <v>0</v>
      </c>
      <c r="AC959">
        <v>0</v>
      </c>
      <c r="AD959" t="s">
        <v>134</v>
      </c>
      <c r="AE959" t="s">
        <v>134</v>
      </c>
      <c r="AF959" s="2">
        <v>45552</v>
      </c>
      <c r="AG959" s="2">
        <v>46008</v>
      </c>
      <c r="AH959" s="1">
        <v>1409.36</v>
      </c>
      <c r="AI959" s="1">
        <v>2843.51</v>
      </c>
      <c r="AJ959" s="1">
        <v>8456.17</v>
      </c>
      <c r="AK959">
        <v>0</v>
      </c>
      <c r="AL959">
        <v>0</v>
      </c>
      <c r="AM959">
        <v>0</v>
      </c>
      <c r="AN959" t="s">
        <v>135</v>
      </c>
      <c r="AO959" t="s">
        <v>135</v>
      </c>
      <c r="AP959" t="s">
        <v>136</v>
      </c>
      <c r="AQ959" t="s">
        <v>137</v>
      </c>
      <c r="AR959" t="s">
        <v>138</v>
      </c>
      <c r="AS959" t="s">
        <v>150</v>
      </c>
      <c r="AT959" t="s">
        <v>140</v>
      </c>
      <c r="AU959">
        <v>104</v>
      </c>
      <c r="AV959">
        <v>10</v>
      </c>
      <c r="AW959">
        <v>1</v>
      </c>
      <c r="AX959" s="2">
        <v>45839</v>
      </c>
      <c r="AY959" t="s">
        <v>377</v>
      </c>
      <c r="AZ959" s="2">
        <v>46028</v>
      </c>
      <c r="BA959">
        <v>0</v>
      </c>
      <c r="BB959">
        <v>0</v>
      </c>
      <c r="BC959">
        <v>0</v>
      </c>
      <c r="BD959">
        <v>700</v>
      </c>
      <c r="BE959">
        <v>70</v>
      </c>
      <c r="BF959">
        <v>9</v>
      </c>
      <c r="BG959" s="2">
        <v>45809</v>
      </c>
      <c r="BH959" t="s">
        <v>142</v>
      </c>
      <c r="BI959" s="2">
        <v>46026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 s="1">
        <v>2830.17</v>
      </c>
      <c r="BQ959" s="1">
        <v>2830.17</v>
      </c>
      <c r="BR959">
        <v>0</v>
      </c>
      <c r="BS959">
        <v>0</v>
      </c>
      <c r="BT959">
        <v>0</v>
      </c>
      <c r="BU959">
        <v>0</v>
      </c>
      <c r="BV959" s="1">
        <v>3655.59</v>
      </c>
      <c r="BW959" s="1">
        <v>3655.59</v>
      </c>
      <c r="BX959">
        <v>0</v>
      </c>
      <c r="BY959">
        <v>0</v>
      </c>
      <c r="BZ959">
        <v>0</v>
      </c>
      <c r="CA959">
        <v>0</v>
      </c>
      <c r="CB959" s="1">
        <v>2383.27</v>
      </c>
      <c r="CC959" t="s">
        <v>143</v>
      </c>
    </row>
    <row r="960" spans="1:81" x14ac:dyDescent="0.25">
      <c r="A960">
        <v>345</v>
      </c>
      <c r="B960">
        <v>2</v>
      </c>
      <c r="C960">
        <v>2824</v>
      </c>
      <c r="D960" t="s">
        <v>5464</v>
      </c>
      <c r="E960" t="s">
        <v>121</v>
      </c>
      <c r="F960" t="s">
        <v>5465</v>
      </c>
      <c r="G960" t="s">
        <v>5466</v>
      </c>
      <c r="H960" t="s">
        <v>5467</v>
      </c>
      <c r="I960" t="s">
        <v>5468</v>
      </c>
      <c r="J960" t="s">
        <v>1263</v>
      </c>
      <c r="K960" t="s">
        <v>466</v>
      </c>
      <c r="L960" t="s">
        <v>128</v>
      </c>
      <c r="M960" t="s">
        <v>467</v>
      </c>
      <c r="N960" t="s">
        <v>5469</v>
      </c>
      <c r="O960" t="s">
        <v>167</v>
      </c>
      <c r="P960">
        <v>0</v>
      </c>
      <c r="Q960" t="s">
        <v>125</v>
      </c>
      <c r="R960">
        <v>6</v>
      </c>
      <c r="S960">
        <v>34</v>
      </c>
      <c r="T960" t="s">
        <v>132</v>
      </c>
      <c r="U960" t="s">
        <v>133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134</v>
      </c>
      <c r="AE960" t="s">
        <v>134</v>
      </c>
      <c r="AF960" s="2">
        <v>45552</v>
      </c>
      <c r="AG960" s="2">
        <v>46017</v>
      </c>
      <c r="AH960">
        <v>313.25</v>
      </c>
      <c r="AI960">
        <v>458.66</v>
      </c>
      <c r="AJ960" s="1">
        <v>2819.32</v>
      </c>
      <c r="AK960">
        <v>0</v>
      </c>
      <c r="AL960">
        <v>0</v>
      </c>
      <c r="AM960">
        <v>0</v>
      </c>
      <c r="AN960" t="s">
        <v>135</v>
      </c>
      <c r="AO960" t="s">
        <v>135</v>
      </c>
      <c r="AP960" t="s">
        <v>136</v>
      </c>
      <c r="AQ960" t="s">
        <v>137</v>
      </c>
      <c r="AR960" t="s">
        <v>138</v>
      </c>
      <c r="AS960" t="s">
        <v>139</v>
      </c>
      <c r="AT960" t="s">
        <v>140</v>
      </c>
      <c r="AU960">
        <v>106</v>
      </c>
      <c r="AV960">
        <v>10</v>
      </c>
      <c r="AW960">
        <v>1</v>
      </c>
      <c r="AX960" s="2">
        <v>45995</v>
      </c>
      <c r="AY960" t="s">
        <v>308</v>
      </c>
      <c r="AZ960" s="2">
        <v>46023</v>
      </c>
      <c r="BA960">
        <v>0</v>
      </c>
      <c r="BB960">
        <v>0</v>
      </c>
      <c r="BC960">
        <v>0</v>
      </c>
      <c r="BD960">
        <v>700</v>
      </c>
      <c r="BE960">
        <v>70</v>
      </c>
      <c r="BF960">
        <v>9</v>
      </c>
      <c r="BG960" s="2">
        <v>45809</v>
      </c>
      <c r="BH960" t="s">
        <v>142</v>
      </c>
      <c r="BI960" s="2">
        <v>46026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704.69</v>
      </c>
      <c r="BQ960">
        <v>704.69</v>
      </c>
      <c r="BR960">
        <v>0</v>
      </c>
      <c r="BS960">
        <v>0</v>
      </c>
      <c r="BT960">
        <v>0</v>
      </c>
      <c r="BU960">
        <v>0</v>
      </c>
      <c r="BV960" s="1">
        <v>1299.1199999999999</v>
      </c>
      <c r="BW960" s="1">
        <v>1299.1199999999999</v>
      </c>
      <c r="BX960">
        <v>0</v>
      </c>
      <c r="BY960">
        <v>0</v>
      </c>
      <c r="BZ960">
        <v>0</v>
      </c>
      <c r="CA960">
        <v>0</v>
      </c>
      <c r="CB960" s="1">
        <v>1051.6300000000001</v>
      </c>
      <c r="CC960" t="s">
        <v>161</v>
      </c>
    </row>
    <row r="961" spans="1:81" x14ac:dyDescent="0.25">
      <c r="A961">
        <v>345</v>
      </c>
      <c r="B961">
        <v>2</v>
      </c>
      <c r="C961">
        <v>2826</v>
      </c>
      <c r="D961" t="s">
        <v>5470</v>
      </c>
      <c r="E961" t="s">
        <v>121</v>
      </c>
      <c r="F961" t="s">
        <v>5471</v>
      </c>
      <c r="G961" t="s">
        <v>5472</v>
      </c>
      <c r="H961" t="s">
        <v>5473</v>
      </c>
      <c r="I961" t="s">
        <v>125</v>
      </c>
      <c r="J961" t="s">
        <v>126</v>
      </c>
      <c r="K961" t="s">
        <v>1853</v>
      </c>
      <c r="L961" t="s">
        <v>128</v>
      </c>
      <c r="M961" t="s">
        <v>1854</v>
      </c>
      <c r="N961" t="s">
        <v>5474</v>
      </c>
      <c r="O961" t="s">
        <v>5475</v>
      </c>
      <c r="P961">
        <v>0</v>
      </c>
      <c r="Q961" t="s">
        <v>125</v>
      </c>
      <c r="R961">
        <v>6</v>
      </c>
      <c r="S961">
        <v>41</v>
      </c>
      <c r="T961" t="s">
        <v>132</v>
      </c>
      <c r="U961" t="s">
        <v>133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134</v>
      </c>
      <c r="AE961" t="s">
        <v>134</v>
      </c>
      <c r="AF961" s="2">
        <v>45555</v>
      </c>
      <c r="AG961" s="2">
        <v>46021</v>
      </c>
      <c r="AH961" s="1">
        <v>3344.29</v>
      </c>
      <c r="AI961" s="1">
        <v>6006.35</v>
      </c>
      <c r="AJ961" s="1">
        <v>33442.99</v>
      </c>
      <c r="AK961">
        <v>0</v>
      </c>
      <c r="AL961">
        <v>0</v>
      </c>
      <c r="AM961">
        <v>0</v>
      </c>
      <c r="AN961" t="s">
        <v>135</v>
      </c>
      <c r="AO961" t="s">
        <v>135</v>
      </c>
      <c r="AP961" t="s">
        <v>136</v>
      </c>
      <c r="AQ961" t="s">
        <v>137</v>
      </c>
      <c r="AR961" t="s">
        <v>138</v>
      </c>
      <c r="AS961" t="s">
        <v>139</v>
      </c>
      <c r="AT961" t="s">
        <v>140</v>
      </c>
      <c r="AU961">
        <v>103</v>
      </c>
      <c r="AV961">
        <v>10</v>
      </c>
      <c r="AW961">
        <v>1</v>
      </c>
      <c r="AX961" s="2">
        <v>45838</v>
      </c>
      <c r="AY961" t="s">
        <v>141</v>
      </c>
      <c r="AZ961" s="2">
        <v>46027</v>
      </c>
      <c r="BA961">
        <v>0</v>
      </c>
      <c r="BB961">
        <v>0</v>
      </c>
      <c r="BC961">
        <v>0</v>
      </c>
      <c r="BD961">
        <v>700</v>
      </c>
      <c r="BE961">
        <v>70</v>
      </c>
      <c r="BF961">
        <v>9</v>
      </c>
      <c r="BG961" s="2">
        <v>45809</v>
      </c>
      <c r="BH961" t="s">
        <v>142</v>
      </c>
      <c r="BI961" s="2">
        <v>46026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 s="1">
        <v>8053.94</v>
      </c>
      <c r="BQ961" s="1">
        <v>8053.94</v>
      </c>
      <c r="BR961">
        <v>0</v>
      </c>
      <c r="BS961">
        <v>0</v>
      </c>
      <c r="BT961">
        <v>0</v>
      </c>
      <c r="BU961">
        <v>0</v>
      </c>
      <c r="BV961" s="1">
        <v>20519.689999999999</v>
      </c>
      <c r="BW961" s="1">
        <v>20519.689999999999</v>
      </c>
      <c r="BX961">
        <v>0</v>
      </c>
      <c r="BY961">
        <v>0</v>
      </c>
      <c r="BZ961">
        <v>0</v>
      </c>
      <c r="CA961">
        <v>0</v>
      </c>
      <c r="CB961" s="1">
        <v>8068.96</v>
      </c>
      <c r="CC961" t="s">
        <v>152</v>
      </c>
    </row>
    <row r="962" spans="1:81" x14ac:dyDescent="0.25">
      <c r="A962">
        <v>345</v>
      </c>
      <c r="B962">
        <v>2</v>
      </c>
      <c r="C962">
        <v>2829</v>
      </c>
      <c r="D962" t="s">
        <v>5476</v>
      </c>
      <c r="E962" t="s">
        <v>121</v>
      </c>
      <c r="F962" t="s">
        <v>5477</v>
      </c>
      <c r="G962" t="s">
        <v>5478</v>
      </c>
      <c r="H962" t="s">
        <v>5479</v>
      </c>
      <c r="I962" t="s">
        <v>125</v>
      </c>
      <c r="J962" t="s">
        <v>5480</v>
      </c>
      <c r="K962" t="s">
        <v>5481</v>
      </c>
      <c r="L962" t="s">
        <v>128</v>
      </c>
      <c r="M962" t="s">
        <v>5482</v>
      </c>
      <c r="N962" t="s">
        <v>5483</v>
      </c>
      <c r="O962" t="s">
        <v>149</v>
      </c>
      <c r="P962">
        <v>0</v>
      </c>
      <c r="Q962" t="s">
        <v>125</v>
      </c>
      <c r="R962">
        <v>6</v>
      </c>
      <c r="S962">
        <v>43</v>
      </c>
      <c r="T962" t="s">
        <v>132</v>
      </c>
      <c r="U962" t="s">
        <v>133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134</v>
      </c>
      <c r="AE962" t="s">
        <v>134</v>
      </c>
      <c r="AF962" s="2">
        <v>45559</v>
      </c>
      <c r="AG962" t="s">
        <v>135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t="s">
        <v>135</v>
      </c>
      <c r="AO962" t="s">
        <v>135</v>
      </c>
      <c r="AP962" t="s">
        <v>136</v>
      </c>
      <c r="AQ962" t="s">
        <v>137</v>
      </c>
      <c r="AR962" t="s">
        <v>138</v>
      </c>
      <c r="AS962" t="s">
        <v>150</v>
      </c>
      <c r="AT962" t="s">
        <v>140</v>
      </c>
      <c r="AU962">
        <v>995</v>
      </c>
      <c r="AV962">
        <v>99</v>
      </c>
      <c r="AW962">
        <v>9</v>
      </c>
      <c r="AX962" s="2">
        <v>45564</v>
      </c>
      <c r="AY962" t="s">
        <v>142</v>
      </c>
      <c r="AZ962" s="2">
        <v>46026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 t="s">
        <v>135</v>
      </c>
      <c r="BH962" t="s">
        <v>250</v>
      </c>
      <c r="BI962" t="s">
        <v>135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 t="s">
        <v>161</v>
      </c>
    </row>
    <row r="963" spans="1:81" x14ac:dyDescent="0.25">
      <c r="A963">
        <v>345</v>
      </c>
      <c r="B963">
        <v>2</v>
      </c>
      <c r="C963">
        <v>2834</v>
      </c>
      <c r="D963" t="s">
        <v>5484</v>
      </c>
      <c r="E963" t="s">
        <v>121</v>
      </c>
      <c r="F963" t="s">
        <v>5485</v>
      </c>
      <c r="G963" t="s">
        <v>5486</v>
      </c>
      <c r="H963" t="s">
        <v>5487</v>
      </c>
      <c r="I963" t="s">
        <v>3844</v>
      </c>
      <c r="J963" t="s">
        <v>3074</v>
      </c>
      <c r="K963" t="s">
        <v>1853</v>
      </c>
      <c r="L963" t="s">
        <v>128</v>
      </c>
      <c r="M963" t="s">
        <v>5488</v>
      </c>
      <c r="N963" t="s">
        <v>5489</v>
      </c>
      <c r="O963" t="s">
        <v>201</v>
      </c>
      <c r="P963">
        <v>0</v>
      </c>
      <c r="Q963" t="s">
        <v>125</v>
      </c>
      <c r="R963">
        <v>3</v>
      </c>
      <c r="S963">
        <v>83</v>
      </c>
      <c r="T963" t="s">
        <v>132</v>
      </c>
      <c r="U963" t="s">
        <v>133</v>
      </c>
      <c r="V963" s="1">
        <v>2200</v>
      </c>
      <c r="W963" s="1">
        <v>2183.12</v>
      </c>
      <c r="X963">
        <v>16.88</v>
      </c>
      <c r="Y963">
        <v>7</v>
      </c>
      <c r="Z963">
        <v>0</v>
      </c>
      <c r="AA963">
        <v>8</v>
      </c>
      <c r="AB963">
        <v>0</v>
      </c>
      <c r="AC963">
        <v>3</v>
      </c>
      <c r="AD963" t="s">
        <v>134</v>
      </c>
      <c r="AE963" t="s">
        <v>234</v>
      </c>
      <c r="AF963" s="2">
        <v>45563</v>
      </c>
      <c r="AG963" s="2">
        <v>46021</v>
      </c>
      <c r="AH963" s="1">
        <v>1600.3</v>
      </c>
      <c r="AI963" s="1">
        <v>4847.6899999999996</v>
      </c>
      <c r="AJ963" s="1">
        <v>19203.689999999999</v>
      </c>
      <c r="AK963" s="1">
        <v>1811.83</v>
      </c>
      <c r="AL963">
        <v>371.29</v>
      </c>
      <c r="AM963">
        <v>234.23</v>
      </c>
      <c r="AN963" t="s">
        <v>135</v>
      </c>
      <c r="AO963" t="s">
        <v>135</v>
      </c>
      <c r="AP963" t="s">
        <v>136</v>
      </c>
      <c r="AQ963" t="s">
        <v>137</v>
      </c>
      <c r="AR963" t="s">
        <v>138</v>
      </c>
      <c r="AS963" t="s">
        <v>150</v>
      </c>
      <c r="AT963" t="s">
        <v>140</v>
      </c>
      <c r="AU963">
        <v>106</v>
      </c>
      <c r="AV963">
        <v>10</v>
      </c>
      <c r="AW963">
        <v>1</v>
      </c>
      <c r="AX963" s="2">
        <v>45812</v>
      </c>
      <c r="AY963" t="s">
        <v>168</v>
      </c>
      <c r="AZ963" s="2">
        <v>46022</v>
      </c>
      <c r="BA963">
        <v>0</v>
      </c>
      <c r="BB963">
        <v>0</v>
      </c>
      <c r="BC963">
        <v>0</v>
      </c>
      <c r="BD963">
        <v>700</v>
      </c>
      <c r="BE963">
        <v>70</v>
      </c>
      <c r="BF963">
        <v>9</v>
      </c>
      <c r="BG963" s="2">
        <v>45809</v>
      </c>
      <c r="BH963" t="s">
        <v>142</v>
      </c>
      <c r="BI963" s="2">
        <v>46026</v>
      </c>
      <c r="BJ963">
        <v>0</v>
      </c>
      <c r="BK963">
        <v>0</v>
      </c>
      <c r="BL963">
        <v>0</v>
      </c>
      <c r="BM963">
        <v>7</v>
      </c>
      <c r="BN963">
        <v>6.87</v>
      </c>
      <c r="BO963" s="1">
        <v>3052.12</v>
      </c>
      <c r="BP963">
        <v>60</v>
      </c>
      <c r="BQ963" s="1">
        <v>3112.12</v>
      </c>
      <c r="BR963">
        <v>869.66</v>
      </c>
      <c r="BS963">
        <v>7.09</v>
      </c>
      <c r="BT963">
        <v>2.11</v>
      </c>
      <c r="BU963" s="1">
        <v>4099.04</v>
      </c>
      <c r="BV963" s="1">
        <v>9645.1200000000008</v>
      </c>
      <c r="BW963" s="1">
        <v>13744.16</v>
      </c>
      <c r="BX963">
        <v>371.29</v>
      </c>
      <c r="BY963">
        <v>9.06</v>
      </c>
      <c r="BZ963">
        <v>0</v>
      </c>
      <c r="CA963">
        <v>0</v>
      </c>
      <c r="CB963" s="1">
        <v>2589.46</v>
      </c>
      <c r="CC963" t="s">
        <v>143</v>
      </c>
    </row>
    <row r="964" spans="1:81" x14ac:dyDescent="0.25">
      <c r="A964">
        <v>345</v>
      </c>
      <c r="B964">
        <v>2</v>
      </c>
      <c r="C964">
        <v>2835</v>
      </c>
      <c r="D964" t="s">
        <v>5490</v>
      </c>
      <c r="E964" t="s">
        <v>121</v>
      </c>
      <c r="F964" t="s">
        <v>5491</v>
      </c>
      <c r="G964" t="s">
        <v>5492</v>
      </c>
      <c r="H964" t="s">
        <v>5493</v>
      </c>
      <c r="I964" t="s">
        <v>5494</v>
      </c>
      <c r="J964" t="s">
        <v>5495</v>
      </c>
      <c r="K964" t="s">
        <v>466</v>
      </c>
      <c r="L964" t="s">
        <v>128</v>
      </c>
      <c r="M964" t="s">
        <v>5488</v>
      </c>
      <c r="N964" t="s">
        <v>5496</v>
      </c>
      <c r="O964" t="s">
        <v>159</v>
      </c>
      <c r="P964">
        <v>0</v>
      </c>
      <c r="Q964" t="s">
        <v>125</v>
      </c>
      <c r="R964">
        <v>6</v>
      </c>
      <c r="S964">
        <v>36</v>
      </c>
      <c r="T964" t="s">
        <v>132</v>
      </c>
      <c r="U964" t="s">
        <v>133</v>
      </c>
      <c r="V964" s="1">
        <v>1900</v>
      </c>
      <c r="W964">
        <v>327.45999999999998</v>
      </c>
      <c r="X964" s="1">
        <v>1572.54</v>
      </c>
      <c r="Y964">
        <v>7</v>
      </c>
      <c r="Z964">
        <v>0</v>
      </c>
      <c r="AA964">
        <v>9</v>
      </c>
      <c r="AB964">
        <v>0</v>
      </c>
      <c r="AC964">
        <v>4</v>
      </c>
      <c r="AD964" t="s">
        <v>134</v>
      </c>
      <c r="AE964" t="s">
        <v>134</v>
      </c>
      <c r="AF964" s="2">
        <v>45563</v>
      </c>
      <c r="AG964" s="2">
        <v>46018</v>
      </c>
      <c r="AH964">
        <v>944.39</v>
      </c>
      <c r="AI964" s="1">
        <v>1560.25</v>
      </c>
      <c r="AJ964" s="1">
        <v>9443.93</v>
      </c>
      <c r="AK964">
        <v>0</v>
      </c>
      <c r="AL964">
        <v>327.45999999999998</v>
      </c>
      <c r="AM964">
        <v>0</v>
      </c>
      <c r="AN964" t="s">
        <v>135</v>
      </c>
      <c r="AO964" t="s">
        <v>135</v>
      </c>
      <c r="AP964" t="s">
        <v>136</v>
      </c>
      <c r="AQ964" t="s">
        <v>137</v>
      </c>
      <c r="AR964" t="s">
        <v>138</v>
      </c>
      <c r="AS964" t="s">
        <v>150</v>
      </c>
      <c r="AT964" t="s">
        <v>140</v>
      </c>
      <c r="AU964">
        <v>500</v>
      </c>
      <c r="AV964">
        <v>10</v>
      </c>
      <c r="AW964">
        <v>1</v>
      </c>
      <c r="AX964" s="2">
        <v>45861</v>
      </c>
      <c r="AY964" t="s">
        <v>168</v>
      </c>
      <c r="AZ964" s="2">
        <v>46022</v>
      </c>
      <c r="BA964">
        <v>0</v>
      </c>
      <c r="BB964">
        <v>0</v>
      </c>
      <c r="BC964">
        <v>0</v>
      </c>
      <c r="BD964">
        <v>700</v>
      </c>
      <c r="BE964">
        <v>70</v>
      </c>
      <c r="BF964">
        <v>9</v>
      </c>
      <c r="BG964" s="2">
        <v>45809</v>
      </c>
      <c r="BH964" t="s">
        <v>142</v>
      </c>
      <c r="BI964" s="2">
        <v>46026</v>
      </c>
      <c r="BJ964">
        <v>0</v>
      </c>
      <c r="BK964">
        <v>0</v>
      </c>
      <c r="BL964">
        <v>0</v>
      </c>
      <c r="BM964">
        <v>7</v>
      </c>
      <c r="BN964">
        <v>7</v>
      </c>
      <c r="BO964" s="1">
        <v>2463.0300000000002</v>
      </c>
      <c r="BP964">
        <v>0</v>
      </c>
      <c r="BQ964" s="1">
        <v>2463.0300000000002</v>
      </c>
      <c r="BR964">
        <v>0</v>
      </c>
      <c r="BS964">
        <v>7.64</v>
      </c>
      <c r="BT964">
        <v>7.64</v>
      </c>
      <c r="BU964" s="1">
        <v>3443.27</v>
      </c>
      <c r="BV964">
        <v>0</v>
      </c>
      <c r="BW964" s="1">
        <v>3443.27</v>
      </c>
      <c r="BX964">
        <v>327.45999999999998</v>
      </c>
      <c r="BY964">
        <v>9.51</v>
      </c>
      <c r="BZ964">
        <v>0</v>
      </c>
      <c r="CA964">
        <v>0</v>
      </c>
      <c r="CB964" s="1">
        <v>3233.85</v>
      </c>
      <c r="CC964" t="s">
        <v>161</v>
      </c>
    </row>
    <row r="965" spans="1:81" x14ac:dyDescent="0.25">
      <c r="A965">
        <v>345</v>
      </c>
      <c r="B965">
        <v>2</v>
      </c>
      <c r="C965">
        <v>2838</v>
      </c>
      <c r="D965" t="s">
        <v>5497</v>
      </c>
      <c r="E965" t="s">
        <v>121</v>
      </c>
      <c r="F965" t="s">
        <v>5498</v>
      </c>
      <c r="G965" t="s">
        <v>5498</v>
      </c>
      <c r="H965" t="s">
        <v>5499</v>
      </c>
      <c r="I965" t="s">
        <v>125</v>
      </c>
      <c r="J965" t="s">
        <v>1263</v>
      </c>
      <c r="K965" t="s">
        <v>466</v>
      </c>
      <c r="L965" t="s">
        <v>128</v>
      </c>
      <c r="M965" t="s">
        <v>467</v>
      </c>
      <c r="N965" t="s">
        <v>5500</v>
      </c>
      <c r="O965" t="s">
        <v>3115</v>
      </c>
      <c r="P965">
        <v>0</v>
      </c>
      <c r="Q965" t="s">
        <v>125</v>
      </c>
      <c r="R965">
        <v>3</v>
      </c>
      <c r="S965">
        <v>83</v>
      </c>
      <c r="T965" t="s">
        <v>132</v>
      </c>
      <c r="U965" t="s">
        <v>133</v>
      </c>
      <c r="V965" s="1">
        <v>12600</v>
      </c>
      <c r="W965">
        <v>0</v>
      </c>
      <c r="X965" s="1">
        <v>12600</v>
      </c>
      <c r="Y965">
        <v>7</v>
      </c>
      <c r="Z965">
        <v>0</v>
      </c>
      <c r="AA965">
        <v>0</v>
      </c>
      <c r="AB965">
        <v>0</v>
      </c>
      <c r="AC965">
        <v>0</v>
      </c>
      <c r="AD965" t="s">
        <v>234</v>
      </c>
      <c r="AE965" t="s">
        <v>134</v>
      </c>
      <c r="AF965" s="2">
        <v>45565</v>
      </c>
      <c r="AG965" s="2">
        <v>46018</v>
      </c>
      <c r="AH965" s="1">
        <v>5635.94</v>
      </c>
      <c r="AI965" s="1">
        <v>8427</v>
      </c>
      <c r="AJ965" s="1">
        <v>45087.54</v>
      </c>
      <c r="AK965">
        <v>0</v>
      </c>
      <c r="AL965">
        <v>0</v>
      </c>
      <c r="AM965">
        <v>0</v>
      </c>
      <c r="AN965" t="s">
        <v>135</v>
      </c>
      <c r="AO965" t="s">
        <v>135</v>
      </c>
      <c r="AP965" t="s">
        <v>136</v>
      </c>
      <c r="AQ965" t="s">
        <v>137</v>
      </c>
      <c r="AR965" t="s">
        <v>138</v>
      </c>
      <c r="AS965" t="s">
        <v>150</v>
      </c>
      <c r="AT965" t="s">
        <v>140</v>
      </c>
      <c r="AU965">
        <v>500</v>
      </c>
      <c r="AV965">
        <v>10</v>
      </c>
      <c r="AW965">
        <v>1</v>
      </c>
      <c r="AX965" s="2">
        <v>45863</v>
      </c>
      <c r="AY965" t="s">
        <v>151</v>
      </c>
      <c r="AZ965" s="2">
        <v>46024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 t="s">
        <v>135</v>
      </c>
      <c r="BH965" t="s">
        <v>250</v>
      </c>
      <c r="BI965" t="s">
        <v>135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 s="1">
        <v>13144.12</v>
      </c>
      <c r="BQ965" s="1">
        <v>13144.12</v>
      </c>
      <c r="BR965">
        <v>0</v>
      </c>
      <c r="BS965">
        <v>0</v>
      </c>
      <c r="BT965">
        <v>0</v>
      </c>
      <c r="BU965">
        <v>0</v>
      </c>
      <c r="BV965" s="1">
        <v>14770.23</v>
      </c>
      <c r="BW965" s="1">
        <v>14770.23</v>
      </c>
      <c r="BX965">
        <v>0</v>
      </c>
      <c r="BY965">
        <v>0</v>
      </c>
      <c r="BZ965">
        <v>0</v>
      </c>
      <c r="CA965">
        <v>0</v>
      </c>
      <c r="CB965" s="1">
        <v>14611.93</v>
      </c>
      <c r="CC965" t="s">
        <v>3116</v>
      </c>
    </row>
    <row r="966" spans="1:81" x14ac:dyDescent="0.25">
      <c r="A966">
        <v>345</v>
      </c>
      <c r="B966">
        <v>2</v>
      </c>
      <c r="C966">
        <v>2842</v>
      </c>
      <c r="D966" t="s">
        <v>5501</v>
      </c>
      <c r="E966" t="s">
        <v>121</v>
      </c>
      <c r="F966" t="s">
        <v>5502</v>
      </c>
      <c r="G966" t="s">
        <v>5503</v>
      </c>
      <c r="H966" t="s">
        <v>5504</v>
      </c>
      <c r="I966" t="s">
        <v>125</v>
      </c>
      <c r="J966" t="s">
        <v>1263</v>
      </c>
      <c r="K966" t="s">
        <v>466</v>
      </c>
      <c r="L966" t="s">
        <v>128</v>
      </c>
      <c r="M966" t="s">
        <v>467</v>
      </c>
      <c r="N966" t="s">
        <v>5505</v>
      </c>
      <c r="O966" t="s">
        <v>3115</v>
      </c>
      <c r="P966">
        <v>0</v>
      </c>
      <c r="Q966" t="s">
        <v>125</v>
      </c>
      <c r="R966">
        <v>3</v>
      </c>
      <c r="S966">
        <v>85</v>
      </c>
      <c r="T966" t="s">
        <v>132</v>
      </c>
      <c r="U966" t="s">
        <v>133</v>
      </c>
      <c r="V966" s="1">
        <v>1000</v>
      </c>
      <c r="W966">
        <v>0</v>
      </c>
      <c r="X966" s="1">
        <v>1000</v>
      </c>
      <c r="Y966">
        <v>7</v>
      </c>
      <c r="Z966">
        <v>0</v>
      </c>
      <c r="AA966">
        <v>0</v>
      </c>
      <c r="AB966">
        <v>0</v>
      </c>
      <c r="AC966">
        <v>0</v>
      </c>
      <c r="AD966" t="s">
        <v>134</v>
      </c>
      <c r="AE966" t="s">
        <v>134</v>
      </c>
      <c r="AF966" s="2">
        <v>45566</v>
      </c>
      <c r="AG966" t="s">
        <v>135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t="s">
        <v>135</v>
      </c>
      <c r="AO966" t="s">
        <v>135</v>
      </c>
      <c r="AP966" t="s">
        <v>136</v>
      </c>
      <c r="AQ966" t="s">
        <v>137</v>
      </c>
      <c r="AR966" t="s">
        <v>138</v>
      </c>
      <c r="AS966" t="s">
        <v>150</v>
      </c>
      <c r="AT966" t="s">
        <v>140</v>
      </c>
      <c r="AU966">
        <v>500</v>
      </c>
      <c r="AV966">
        <v>10</v>
      </c>
      <c r="AW966">
        <v>1</v>
      </c>
      <c r="AX966" s="2">
        <v>45992</v>
      </c>
      <c r="AY966" t="s">
        <v>2129</v>
      </c>
      <c r="AZ966" s="2">
        <v>46026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 t="s">
        <v>135</v>
      </c>
      <c r="BH966" t="s">
        <v>250</v>
      </c>
      <c r="BI966" t="s">
        <v>135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 t="s">
        <v>3116</v>
      </c>
    </row>
    <row r="967" spans="1:81" x14ac:dyDescent="0.25">
      <c r="A967">
        <v>345</v>
      </c>
      <c r="B967">
        <v>2</v>
      </c>
      <c r="C967">
        <v>2850</v>
      </c>
      <c r="D967" t="s">
        <v>5506</v>
      </c>
      <c r="E967" t="s">
        <v>121</v>
      </c>
      <c r="F967" t="s">
        <v>5507</v>
      </c>
      <c r="G967" t="s">
        <v>5508</v>
      </c>
      <c r="H967" t="s">
        <v>5509</v>
      </c>
      <c r="I967" t="s">
        <v>5510</v>
      </c>
      <c r="J967" t="s">
        <v>1263</v>
      </c>
      <c r="K967" t="s">
        <v>466</v>
      </c>
      <c r="L967" t="s">
        <v>128</v>
      </c>
      <c r="M967" t="s">
        <v>467</v>
      </c>
      <c r="N967" t="s">
        <v>5511</v>
      </c>
      <c r="O967" t="s">
        <v>167</v>
      </c>
      <c r="P967">
        <v>0</v>
      </c>
      <c r="Q967" t="s">
        <v>125</v>
      </c>
      <c r="R967">
        <v>3</v>
      </c>
      <c r="S967">
        <v>82</v>
      </c>
      <c r="T967" t="s">
        <v>132</v>
      </c>
      <c r="U967" t="s">
        <v>133</v>
      </c>
      <c r="V967" s="1">
        <v>1400</v>
      </c>
      <c r="W967">
        <v>0</v>
      </c>
      <c r="X967" s="1">
        <v>1400</v>
      </c>
      <c r="Y967">
        <v>7</v>
      </c>
      <c r="Z967">
        <v>0</v>
      </c>
      <c r="AA967">
        <v>0</v>
      </c>
      <c r="AB967">
        <v>0</v>
      </c>
      <c r="AC967">
        <v>0</v>
      </c>
      <c r="AD967" t="s">
        <v>134</v>
      </c>
      <c r="AE967" t="s">
        <v>134</v>
      </c>
      <c r="AF967" s="2">
        <v>45575</v>
      </c>
      <c r="AG967" s="2">
        <v>46018</v>
      </c>
      <c r="AH967">
        <v>880.24</v>
      </c>
      <c r="AI967" s="1">
        <v>1536.58</v>
      </c>
      <c r="AJ967" s="1">
        <v>7922.22</v>
      </c>
      <c r="AK967">
        <v>0</v>
      </c>
      <c r="AL967">
        <v>0</v>
      </c>
      <c r="AM967">
        <v>0</v>
      </c>
      <c r="AN967" t="s">
        <v>135</v>
      </c>
      <c r="AO967" t="s">
        <v>135</v>
      </c>
      <c r="AP967" t="s">
        <v>136</v>
      </c>
      <c r="AQ967" t="s">
        <v>137</v>
      </c>
      <c r="AR967" t="s">
        <v>138</v>
      </c>
      <c r="AS967" t="s">
        <v>139</v>
      </c>
      <c r="AT967" t="s">
        <v>140</v>
      </c>
      <c r="AU967">
        <v>500</v>
      </c>
      <c r="AV967">
        <v>10</v>
      </c>
      <c r="AW967">
        <v>1</v>
      </c>
      <c r="AX967" s="2">
        <v>45870</v>
      </c>
      <c r="AY967" t="s">
        <v>151</v>
      </c>
      <c r="AZ967" s="2">
        <v>46024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 t="s">
        <v>135</v>
      </c>
      <c r="BH967" t="s">
        <v>250</v>
      </c>
      <c r="BI967" t="s">
        <v>135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 s="1">
        <v>2699.54</v>
      </c>
      <c r="BQ967" s="1">
        <v>2699.54</v>
      </c>
      <c r="BR967">
        <v>0</v>
      </c>
      <c r="BS967">
        <v>0</v>
      </c>
      <c r="BT967">
        <v>0</v>
      </c>
      <c r="BU967">
        <v>0</v>
      </c>
      <c r="BV967" s="1">
        <v>2678.98</v>
      </c>
      <c r="BW967" s="1">
        <v>2678.98</v>
      </c>
      <c r="BX967">
        <v>0</v>
      </c>
      <c r="BY967">
        <v>0</v>
      </c>
      <c r="BZ967">
        <v>0</v>
      </c>
      <c r="CA967">
        <v>0</v>
      </c>
      <c r="CB967" s="1">
        <v>2193.35</v>
      </c>
      <c r="CC967" t="s">
        <v>161</v>
      </c>
    </row>
    <row r="968" spans="1:81" x14ac:dyDescent="0.25">
      <c r="A968">
        <v>345</v>
      </c>
      <c r="B968">
        <v>2</v>
      </c>
      <c r="C968">
        <v>2855</v>
      </c>
      <c r="D968" t="s">
        <v>5512</v>
      </c>
      <c r="E968" t="s">
        <v>121</v>
      </c>
      <c r="F968" t="s">
        <v>5513</v>
      </c>
      <c r="G968" t="s">
        <v>5514</v>
      </c>
      <c r="H968" t="s">
        <v>5515</v>
      </c>
      <c r="I968" t="s">
        <v>5516</v>
      </c>
      <c r="J968" t="s">
        <v>5517</v>
      </c>
      <c r="K968" t="s">
        <v>336</v>
      </c>
      <c r="L968" t="s">
        <v>128</v>
      </c>
      <c r="M968" t="s">
        <v>337</v>
      </c>
      <c r="N968" t="s">
        <v>5518</v>
      </c>
      <c r="O968" t="s">
        <v>201</v>
      </c>
      <c r="P968">
        <v>0</v>
      </c>
      <c r="Q968" t="s">
        <v>125</v>
      </c>
      <c r="R968">
        <v>6</v>
      </c>
      <c r="S968">
        <v>39</v>
      </c>
      <c r="T968" t="s">
        <v>132</v>
      </c>
      <c r="U968" t="s">
        <v>133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134</v>
      </c>
      <c r="AE968" t="s">
        <v>134</v>
      </c>
      <c r="AF968" s="2">
        <v>45579</v>
      </c>
      <c r="AG968" s="2">
        <v>46021</v>
      </c>
      <c r="AH968">
        <v>174.06</v>
      </c>
      <c r="AI968">
        <v>523.1</v>
      </c>
      <c r="AJ968" s="1">
        <v>1740.63</v>
      </c>
      <c r="AK968">
        <v>0</v>
      </c>
      <c r="AL968">
        <v>0</v>
      </c>
      <c r="AM968">
        <v>0</v>
      </c>
      <c r="AN968" t="s">
        <v>135</v>
      </c>
      <c r="AO968" t="s">
        <v>135</v>
      </c>
      <c r="AP968" t="s">
        <v>136</v>
      </c>
      <c r="AQ968" t="s">
        <v>137</v>
      </c>
      <c r="AR968" t="s">
        <v>138</v>
      </c>
      <c r="AS968" t="s">
        <v>139</v>
      </c>
      <c r="AT968" t="s">
        <v>140</v>
      </c>
      <c r="AU968">
        <v>101</v>
      </c>
      <c r="AV968">
        <v>10</v>
      </c>
      <c r="AW968">
        <v>1</v>
      </c>
      <c r="AX968" s="2">
        <v>45859</v>
      </c>
      <c r="AY968" t="s">
        <v>141</v>
      </c>
      <c r="AZ968" s="2">
        <v>46027</v>
      </c>
      <c r="BA968">
        <v>0</v>
      </c>
      <c r="BB968">
        <v>0</v>
      </c>
      <c r="BC968">
        <v>0</v>
      </c>
      <c r="BD968">
        <v>700</v>
      </c>
      <c r="BE968">
        <v>70</v>
      </c>
      <c r="BF968">
        <v>9</v>
      </c>
      <c r="BG968" s="2">
        <v>45809</v>
      </c>
      <c r="BH968" t="s">
        <v>142</v>
      </c>
      <c r="BI968" s="2">
        <v>46026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525.63</v>
      </c>
      <c r="BQ968">
        <v>525.63</v>
      </c>
      <c r="BR968">
        <v>0</v>
      </c>
      <c r="BS968">
        <v>0</v>
      </c>
      <c r="BT968">
        <v>0</v>
      </c>
      <c r="BU968">
        <v>0</v>
      </c>
      <c r="BV968" s="1">
        <v>1197.72</v>
      </c>
      <c r="BW968" s="1">
        <v>1197.72</v>
      </c>
      <c r="BX968">
        <v>0</v>
      </c>
      <c r="BY968">
        <v>0</v>
      </c>
      <c r="BZ968">
        <v>0</v>
      </c>
      <c r="CA968">
        <v>0</v>
      </c>
      <c r="CB968">
        <v>302.94</v>
      </c>
      <c r="CC968" t="s">
        <v>143</v>
      </c>
    </row>
    <row r="969" spans="1:81" x14ac:dyDescent="0.25">
      <c r="A969">
        <v>345</v>
      </c>
      <c r="B969">
        <v>2</v>
      </c>
      <c r="C969">
        <v>2858</v>
      </c>
      <c r="D969" t="s">
        <v>5519</v>
      </c>
      <c r="E969" t="s">
        <v>121</v>
      </c>
      <c r="F969" t="s">
        <v>5520</v>
      </c>
      <c r="G969" t="s">
        <v>5521</v>
      </c>
      <c r="H969" t="s">
        <v>5522</v>
      </c>
      <c r="I969" t="s">
        <v>5523</v>
      </c>
      <c r="J969" t="s">
        <v>5524</v>
      </c>
      <c r="K969" t="s">
        <v>336</v>
      </c>
      <c r="L969" t="s">
        <v>128</v>
      </c>
      <c r="M969" t="s">
        <v>5488</v>
      </c>
      <c r="N969" t="s">
        <v>5525</v>
      </c>
      <c r="O969" t="s">
        <v>201</v>
      </c>
      <c r="P969">
        <v>0</v>
      </c>
      <c r="Q969" t="s">
        <v>125</v>
      </c>
      <c r="R969">
        <v>6</v>
      </c>
      <c r="S969">
        <v>38</v>
      </c>
      <c r="T969" t="s">
        <v>132</v>
      </c>
      <c r="U969" t="s">
        <v>133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134</v>
      </c>
      <c r="AE969" t="s">
        <v>134</v>
      </c>
      <c r="AF969" s="2">
        <v>45579</v>
      </c>
      <c r="AG969" s="2">
        <v>46021</v>
      </c>
      <c r="AH969" s="1">
        <v>1172.25</v>
      </c>
      <c r="AI969" s="1">
        <v>1919.4</v>
      </c>
      <c r="AJ969" s="1">
        <v>14067.09</v>
      </c>
      <c r="AK969">
        <v>0</v>
      </c>
      <c r="AL969">
        <v>0</v>
      </c>
      <c r="AM969">
        <v>0</v>
      </c>
      <c r="AN969" t="s">
        <v>135</v>
      </c>
      <c r="AO969" t="s">
        <v>135</v>
      </c>
      <c r="AP969" t="s">
        <v>136</v>
      </c>
      <c r="AQ969" t="s">
        <v>137</v>
      </c>
      <c r="AR969" t="s">
        <v>138</v>
      </c>
      <c r="AS969" t="s">
        <v>139</v>
      </c>
      <c r="AT969" t="s">
        <v>140</v>
      </c>
      <c r="AU969">
        <v>101</v>
      </c>
      <c r="AV969">
        <v>10</v>
      </c>
      <c r="AW969">
        <v>1</v>
      </c>
      <c r="AX969" s="2">
        <v>45583</v>
      </c>
      <c r="AY969" t="s">
        <v>151</v>
      </c>
      <c r="AZ969" s="2">
        <v>46024</v>
      </c>
      <c r="BA969">
        <v>0</v>
      </c>
      <c r="BB969">
        <v>0</v>
      </c>
      <c r="BC969">
        <v>0</v>
      </c>
      <c r="BD969">
        <v>700</v>
      </c>
      <c r="BE969">
        <v>70</v>
      </c>
      <c r="BF969">
        <v>9</v>
      </c>
      <c r="BG969" s="2">
        <v>45809</v>
      </c>
      <c r="BH969" t="s">
        <v>142</v>
      </c>
      <c r="BI969" s="2">
        <v>46026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 s="1">
        <v>2520.8000000000002</v>
      </c>
      <c r="BQ969" s="1">
        <v>2520.8000000000002</v>
      </c>
      <c r="BR969">
        <v>0</v>
      </c>
      <c r="BS969">
        <v>0</v>
      </c>
      <c r="BT969">
        <v>0</v>
      </c>
      <c r="BU969">
        <v>0</v>
      </c>
      <c r="BV969" s="1">
        <v>5286.06</v>
      </c>
      <c r="BW969" s="1">
        <v>5286.06</v>
      </c>
      <c r="BX969">
        <v>0</v>
      </c>
      <c r="BY969">
        <v>0</v>
      </c>
      <c r="BZ969">
        <v>0</v>
      </c>
      <c r="CA969">
        <v>0</v>
      </c>
      <c r="CB969" s="1">
        <v>5075.01</v>
      </c>
      <c r="CC969" t="s">
        <v>143</v>
      </c>
    </row>
    <row r="970" spans="1:81" x14ac:dyDescent="0.25">
      <c r="A970">
        <v>345</v>
      </c>
      <c r="B970">
        <v>2</v>
      </c>
      <c r="C970">
        <v>2866</v>
      </c>
      <c r="D970" t="s">
        <v>5526</v>
      </c>
      <c r="E970" t="s">
        <v>121</v>
      </c>
      <c r="F970" t="s">
        <v>5527</v>
      </c>
      <c r="G970" t="s">
        <v>5528</v>
      </c>
      <c r="H970" t="s">
        <v>5529</v>
      </c>
      <c r="I970" t="s">
        <v>125</v>
      </c>
      <c r="J970" t="s">
        <v>1263</v>
      </c>
      <c r="K970" t="s">
        <v>466</v>
      </c>
      <c r="L970" t="s">
        <v>128</v>
      </c>
      <c r="M970" t="s">
        <v>467</v>
      </c>
      <c r="N970" t="s">
        <v>5530</v>
      </c>
      <c r="O970" t="s">
        <v>296</v>
      </c>
      <c r="P970">
        <v>0</v>
      </c>
      <c r="Q970" t="s">
        <v>125</v>
      </c>
      <c r="R970">
        <v>3</v>
      </c>
      <c r="S970">
        <v>85</v>
      </c>
      <c r="T970" t="s">
        <v>132</v>
      </c>
      <c r="U970" t="s">
        <v>133</v>
      </c>
      <c r="V970" s="1">
        <v>1000</v>
      </c>
      <c r="W970">
        <v>0</v>
      </c>
      <c r="X970" s="1">
        <v>1000</v>
      </c>
      <c r="Y970">
        <v>7</v>
      </c>
      <c r="Z970">
        <v>0</v>
      </c>
      <c r="AA970">
        <v>0</v>
      </c>
      <c r="AB970">
        <v>0</v>
      </c>
      <c r="AC970">
        <v>0</v>
      </c>
      <c r="AD970" t="s">
        <v>234</v>
      </c>
      <c r="AE970" t="s">
        <v>134</v>
      </c>
      <c r="AF970" s="2">
        <v>45584</v>
      </c>
      <c r="AG970" s="2">
        <v>45653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 t="s">
        <v>135</v>
      </c>
      <c r="AO970" t="s">
        <v>135</v>
      </c>
      <c r="AP970" t="s">
        <v>136</v>
      </c>
      <c r="AQ970" t="s">
        <v>137</v>
      </c>
      <c r="AR970" t="s">
        <v>138</v>
      </c>
      <c r="AS970" t="s">
        <v>150</v>
      </c>
      <c r="AT970" t="s">
        <v>140</v>
      </c>
      <c r="AU970">
        <v>100</v>
      </c>
      <c r="AV970">
        <v>10</v>
      </c>
      <c r="AW970">
        <v>1</v>
      </c>
      <c r="AX970" s="2">
        <v>45870</v>
      </c>
      <c r="AY970" t="s">
        <v>142</v>
      </c>
      <c r="AZ970" s="2">
        <v>46026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 t="s">
        <v>135</v>
      </c>
      <c r="BH970" t="s">
        <v>250</v>
      </c>
      <c r="BI970" t="s">
        <v>135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 t="s">
        <v>297</v>
      </c>
    </row>
    <row r="971" spans="1:81" x14ac:dyDescent="0.25">
      <c r="A971">
        <v>345</v>
      </c>
      <c r="B971">
        <v>2</v>
      </c>
      <c r="C971">
        <v>2869</v>
      </c>
      <c r="D971" t="s">
        <v>5531</v>
      </c>
      <c r="E971" t="s">
        <v>121</v>
      </c>
      <c r="F971" t="s">
        <v>5532</v>
      </c>
      <c r="G971" t="s">
        <v>5533</v>
      </c>
      <c r="H971" t="s">
        <v>5534</v>
      </c>
      <c r="I971" t="s">
        <v>4742</v>
      </c>
      <c r="J971" t="s">
        <v>126</v>
      </c>
      <c r="K971" t="s">
        <v>4248</v>
      </c>
      <c r="L971" t="s">
        <v>128</v>
      </c>
      <c r="M971" t="s">
        <v>5488</v>
      </c>
      <c r="N971" t="s">
        <v>5535</v>
      </c>
      <c r="O971" t="s">
        <v>149</v>
      </c>
      <c r="P971">
        <v>0</v>
      </c>
      <c r="Q971" t="s">
        <v>125</v>
      </c>
      <c r="R971">
        <v>6</v>
      </c>
      <c r="S971">
        <v>40</v>
      </c>
      <c r="T971" t="s">
        <v>132</v>
      </c>
      <c r="U971" t="s">
        <v>133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134</v>
      </c>
      <c r="AE971" t="s">
        <v>134</v>
      </c>
      <c r="AF971" s="2">
        <v>45586</v>
      </c>
      <c r="AG971" s="2">
        <v>46020</v>
      </c>
      <c r="AH971" s="1">
        <v>7531.23</v>
      </c>
      <c r="AI971" s="1">
        <v>24042.58</v>
      </c>
      <c r="AJ971" s="1">
        <v>150624.79</v>
      </c>
      <c r="AK971">
        <v>0</v>
      </c>
      <c r="AL971">
        <v>0</v>
      </c>
      <c r="AM971">
        <v>0</v>
      </c>
      <c r="AN971" t="s">
        <v>135</v>
      </c>
      <c r="AO971" t="s">
        <v>135</v>
      </c>
      <c r="AP971" t="s">
        <v>136</v>
      </c>
      <c r="AQ971" t="s">
        <v>137</v>
      </c>
      <c r="AR971" t="s">
        <v>138</v>
      </c>
      <c r="AS971" t="s">
        <v>139</v>
      </c>
      <c r="AT971" t="s">
        <v>140</v>
      </c>
      <c r="AU971">
        <v>501</v>
      </c>
      <c r="AV971">
        <v>10</v>
      </c>
      <c r="AW971">
        <v>1</v>
      </c>
      <c r="AX971" s="2">
        <v>45855</v>
      </c>
      <c r="AY971" t="s">
        <v>308</v>
      </c>
      <c r="AZ971" s="2">
        <v>46023</v>
      </c>
      <c r="BA971">
        <v>0</v>
      </c>
      <c r="BB971">
        <v>0</v>
      </c>
      <c r="BC971">
        <v>0</v>
      </c>
      <c r="BD971">
        <v>700</v>
      </c>
      <c r="BE971">
        <v>70</v>
      </c>
      <c r="BF971">
        <v>9</v>
      </c>
      <c r="BG971" s="2">
        <v>45809</v>
      </c>
      <c r="BH971" t="s">
        <v>142</v>
      </c>
      <c r="BI971" s="2">
        <v>46026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 s="1">
        <v>55467.42</v>
      </c>
      <c r="BQ971" s="1">
        <v>55467.42</v>
      </c>
      <c r="BR971">
        <v>0</v>
      </c>
      <c r="BS971">
        <v>0</v>
      </c>
      <c r="BT971">
        <v>0</v>
      </c>
      <c r="BU971">
        <v>0</v>
      </c>
      <c r="BV971" s="1">
        <v>48321.38</v>
      </c>
      <c r="BW971" s="1">
        <v>48321.38</v>
      </c>
      <c r="BX971">
        <v>0</v>
      </c>
      <c r="BY971">
        <v>0</v>
      </c>
      <c r="BZ971">
        <v>0</v>
      </c>
      <c r="CA971">
        <v>0</v>
      </c>
      <c r="CB971" s="1">
        <v>49298.49</v>
      </c>
      <c r="CC971" t="s">
        <v>152</v>
      </c>
    </row>
    <row r="972" spans="1:81" x14ac:dyDescent="0.25">
      <c r="A972">
        <v>345</v>
      </c>
      <c r="B972">
        <v>2</v>
      </c>
      <c r="C972">
        <v>2870</v>
      </c>
      <c r="D972" t="s">
        <v>5536</v>
      </c>
      <c r="E972" t="s">
        <v>121</v>
      </c>
      <c r="F972" t="s">
        <v>5537</v>
      </c>
      <c r="G972" t="s">
        <v>5538</v>
      </c>
      <c r="H972" t="s">
        <v>5539</v>
      </c>
      <c r="I972" t="s">
        <v>5540</v>
      </c>
      <c r="J972" t="s">
        <v>825</v>
      </c>
      <c r="K972" t="s">
        <v>336</v>
      </c>
      <c r="L972" t="s">
        <v>128</v>
      </c>
      <c r="M972" t="s">
        <v>5488</v>
      </c>
      <c r="N972" t="s">
        <v>5541</v>
      </c>
      <c r="O972" t="s">
        <v>167</v>
      </c>
      <c r="P972">
        <v>0</v>
      </c>
      <c r="Q972" t="s">
        <v>125</v>
      </c>
      <c r="R972">
        <v>6</v>
      </c>
      <c r="S972">
        <v>33</v>
      </c>
      <c r="T972" t="s">
        <v>132</v>
      </c>
      <c r="U972" t="s">
        <v>133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134</v>
      </c>
      <c r="AE972" t="s">
        <v>134</v>
      </c>
      <c r="AF972" s="2">
        <v>45586</v>
      </c>
      <c r="AG972" s="2">
        <v>46021</v>
      </c>
      <c r="AH972">
        <v>980.26</v>
      </c>
      <c r="AI972" s="1">
        <v>1481.16</v>
      </c>
      <c r="AJ972" s="1">
        <v>7842.09</v>
      </c>
      <c r="AK972">
        <v>0</v>
      </c>
      <c r="AL972">
        <v>0</v>
      </c>
      <c r="AM972">
        <v>0</v>
      </c>
      <c r="AN972" t="s">
        <v>135</v>
      </c>
      <c r="AO972" t="s">
        <v>135</v>
      </c>
      <c r="AP972" t="s">
        <v>136</v>
      </c>
      <c r="AQ972" t="s">
        <v>137</v>
      </c>
      <c r="AR972" t="s">
        <v>138</v>
      </c>
      <c r="AS972" t="s">
        <v>139</v>
      </c>
      <c r="AT972" t="s">
        <v>140</v>
      </c>
      <c r="AU972">
        <v>101</v>
      </c>
      <c r="AV972">
        <v>10</v>
      </c>
      <c r="AW972">
        <v>1</v>
      </c>
      <c r="AX972" s="2">
        <v>45838</v>
      </c>
      <c r="AY972" t="s">
        <v>141</v>
      </c>
      <c r="AZ972" s="2">
        <v>46027</v>
      </c>
      <c r="BA972">
        <v>0</v>
      </c>
      <c r="BB972">
        <v>0</v>
      </c>
      <c r="BC972">
        <v>0</v>
      </c>
      <c r="BD972">
        <v>700</v>
      </c>
      <c r="BE972">
        <v>70</v>
      </c>
      <c r="BF972">
        <v>9</v>
      </c>
      <c r="BG972" s="2">
        <v>45809</v>
      </c>
      <c r="BH972" t="s">
        <v>142</v>
      </c>
      <c r="BI972" s="2">
        <v>46026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 s="1">
        <v>1579.84</v>
      </c>
      <c r="BQ972" s="1">
        <v>1579.84</v>
      </c>
      <c r="BR972">
        <v>0</v>
      </c>
      <c r="BS972">
        <v>0</v>
      </c>
      <c r="BT972">
        <v>0</v>
      </c>
      <c r="BU972">
        <v>0</v>
      </c>
      <c r="BV972" s="1">
        <v>4295.22</v>
      </c>
      <c r="BW972" s="1">
        <v>4295.22</v>
      </c>
      <c r="BX972">
        <v>0</v>
      </c>
      <c r="BY972">
        <v>0</v>
      </c>
      <c r="BZ972">
        <v>0</v>
      </c>
      <c r="CA972">
        <v>0</v>
      </c>
      <c r="CB972" s="1">
        <v>1537.21</v>
      </c>
      <c r="CC972" t="s">
        <v>161</v>
      </c>
    </row>
    <row r="973" spans="1:81" x14ac:dyDescent="0.25">
      <c r="A973">
        <v>345</v>
      </c>
      <c r="B973">
        <v>2</v>
      </c>
      <c r="C973">
        <v>2871</v>
      </c>
      <c r="D973" t="s">
        <v>5542</v>
      </c>
      <c r="E973" t="s">
        <v>5427</v>
      </c>
      <c r="F973" t="s">
        <v>5543</v>
      </c>
      <c r="G973" t="s">
        <v>5544</v>
      </c>
      <c r="H973" t="s">
        <v>5545</v>
      </c>
      <c r="I973" t="s">
        <v>5546</v>
      </c>
      <c r="J973" t="s">
        <v>126</v>
      </c>
      <c r="K973" t="s">
        <v>473</v>
      </c>
      <c r="L973" t="s">
        <v>128</v>
      </c>
      <c r="M973" t="s">
        <v>474</v>
      </c>
      <c r="N973" t="s">
        <v>5547</v>
      </c>
      <c r="O973" t="s">
        <v>201</v>
      </c>
      <c r="P973">
        <v>0</v>
      </c>
      <c r="Q973" t="s">
        <v>125</v>
      </c>
      <c r="R973">
        <v>6</v>
      </c>
      <c r="S973">
        <v>39</v>
      </c>
      <c r="T973" t="s">
        <v>132</v>
      </c>
      <c r="U973" t="s">
        <v>133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134</v>
      </c>
      <c r="AE973" t="s">
        <v>134</v>
      </c>
      <c r="AF973" s="2">
        <v>45587</v>
      </c>
      <c r="AG973" s="2">
        <v>46018</v>
      </c>
      <c r="AH973">
        <v>914.23</v>
      </c>
      <c r="AI973" s="1">
        <v>2467.8000000000002</v>
      </c>
      <c r="AJ973" s="1">
        <v>9142.35</v>
      </c>
      <c r="AK973">
        <v>0</v>
      </c>
      <c r="AL973">
        <v>0</v>
      </c>
      <c r="AM973">
        <v>0</v>
      </c>
      <c r="AN973" t="s">
        <v>135</v>
      </c>
      <c r="AO973" t="s">
        <v>135</v>
      </c>
      <c r="AP973" t="s">
        <v>136</v>
      </c>
      <c r="AQ973" t="s">
        <v>137</v>
      </c>
      <c r="AR973" t="s">
        <v>138</v>
      </c>
      <c r="AS973" t="s">
        <v>139</v>
      </c>
      <c r="AT973" t="s">
        <v>140</v>
      </c>
      <c r="AU973">
        <v>105</v>
      </c>
      <c r="AV973">
        <v>10</v>
      </c>
      <c r="AW973">
        <v>1</v>
      </c>
      <c r="AX973" s="2">
        <v>45813</v>
      </c>
      <c r="AY973" t="s">
        <v>308</v>
      </c>
      <c r="AZ973" s="2">
        <v>46023</v>
      </c>
      <c r="BA973">
        <v>0</v>
      </c>
      <c r="BB973">
        <v>0</v>
      </c>
      <c r="BC973">
        <v>0</v>
      </c>
      <c r="BD973">
        <v>700</v>
      </c>
      <c r="BE973">
        <v>70</v>
      </c>
      <c r="BF973">
        <v>9</v>
      </c>
      <c r="BG973" s="2">
        <v>45809</v>
      </c>
      <c r="BH973" t="s">
        <v>142</v>
      </c>
      <c r="BI973" s="2">
        <v>46026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 s="1">
        <v>3821.53</v>
      </c>
      <c r="BQ973" s="1">
        <v>3821.53</v>
      </c>
      <c r="BR973">
        <v>0</v>
      </c>
      <c r="BS973">
        <v>0</v>
      </c>
      <c r="BT973">
        <v>0</v>
      </c>
      <c r="BU973">
        <v>0</v>
      </c>
      <c r="BV973" s="1">
        <v>4498.07</v>
      </c>
      <c r="BW973" s="1">
        <v>4498.07</v>
      </c>
      <c r="BX973">
        <v>0</v>
      </c>
      <c r="BY973">
        <v>0</v>
      </c>
      <c r="BZ973">
        <v>0</v>
      </c>
      <c r="CA973">
        <v>0</v>
      </c>
      <c r="CB973" s="1">
        <v>2349.91</v>
      </c>
      <c r="CC973" t="s">
        <v>339</v>
      </c>
    </row>
    <row r="974" spans="1:81" x14ac:dyDescent="0.25">
      <c r="A974">
        <v>345</v>
      </c>
      <c r="B974">
        <v>2</v>
      </c>
      <c r="C974">
        <v>2874</v>
      </c>
      <c r="D974" t="s">
        <v>5548</v>
      </c>
      <c r="E974" t="s">
        <v>5427</v>
      </c>
      <c r="F974" t="s">
        <v>5549</v>
      </c>
      <c r="G974" t="s">
        <v>5550</v>
      </c>
      <c r="H974" t="s">
        <v>5551</v>
      </c>
      <c r="I974" t="s">
        <v>5552</v>
      </c>
      <c r="J974" t="s">
        <v>126</v>
      </c>
      <c r="K974" t="s">
        <v>466</v>
      </c>
      <c r="L974" t="s">
        <v>128</v>
      </c>
      <c r="M974" t="s">
        <v>467</v>
      </c>
      <c r="N974" t="s">
        <v>5553</v>
      </c>
      <c r="O974" t="s">
        <v>159</v>
      </c>
      <c r="P974">
        <v>0</v>
      </c>
      <c r="Q974" t="s">
        <v>125</v>
      </c>
      <c r="R974">
        <v>6</v>
      </c>
      <c r="S974">
        <v>34</v>
      </c>
      <c r="T974" t="s">
        <v>132</v>
      </c>
      <c r="U974" t="s">
        <v>133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134</v>
      </c>
      <c r="AE974" t="s">
        <v>134</v>
      </c>
      <c r="AF974" s="2">
        <v>45589</v>
      </c>
      <c r="AG974" s="2">
        <v>46011</v>
      </c>
      <c r="AH974">
        <v>317.62</v>
      </c>
      <c r="AI974">
        <v>518.26</v>
      </c>
      <c r="AJ974" s="1">
        <v>1905.77</v>
      </c>
      <c r="AK974">
        <v>0</v>
      </c>
      <c r="AL974">
        <v>0</v>
      </c>
      <c r="AM974">
        <v>0</v>
      </c>
      <c r="AN974" t="s">
        <v>135</v>
      </c>
      <c r="AO974" t="s">
        <v>135</v>
      </c>
      <c r="AP974" t="s">
        <v>136</v>
      </c>
      <c r="AQ974" t="s">
        <v>137</v>
      </c>
      <c r="AR974" t="s">
        <v>138</v>
      </c>
      <c r="AS974" t="s">
        <v>139</v>
      </c>
      <c r="AT974" t="s">
        <v>140</v>
      </c>
      <c r="AU974">
        <v>105</v>
      </c>
      <c r="AV974">
        <v>10</v>
      </c>
      <c r="AW974">
        <v>1</v>
      </c>
      <c r="AX974" s="2">
        <v>45813</v>
      </c>
      <c r="AY974" t="s">
        <v>308</v>
      </c>
      <c r="AZ974" s="2">
        <v>46023</v>
      </c>
      <c r="BA974">
        <v>0</v>
      </c>
      <c r="BB974">
        <v>0</v>
      </c>
      <c r="BC974">
        <v>0</v>
      </c>
      <c r="BD974">
        <v>700</v>
      </c>
      <c r="BE974">
        <v>70</v>
      </c>
      <c r="BF974">
        <v>9</v>
      </c>
      <c r="BG974" s="2">
        <v>45809</v>
      </c>
      <c r="BH974" t="s">
        <v>142</v>
      </c>
      <c r="BI974" s="2">
        <v>46026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726.62</v>
      </c>
      <c r="BQ974">
        <v>726.62</v>
      </c>
      <c r="BR974">
        <v>0</v>
      </c>
      <c r="BS974">
        <v>0</v>
      </c>
      <c r="BT974">
        <v>0</v>
      </c>
      <c r="BU974">
        <v>0</v>
      </c>
      <c r="BV974">
        <v>657.49</v>
      </c>
      <c r="BW974">
        <v>657.49</v>
      </c>
      <c r="BX974">
        <v>0</v>
      </c>
      <c r="BY974">
        <v>0</v>
      </c>
      <c r="BZ974">
        <v>0</v>
      </c>
      <c r="CA974">
        <v>0</v>
      </c>
      <c r="CB974">
        <v>578.12</v>
      </c>
      <c r="CC974" t="s">
        <v>3116</v>
      </c>
    </row>
    <row r="975" spans="1:81" x14ac:dyDescent="0.25">
      <c r="A975">
        <v>345</v>
      </c>
      <c r="B975">
        <v>2</v>
      </c>
      <c r="C975">
        <v>2876</v>
      </c>
      <c r="D975" t="s">
        <v>5554</v>
      </c>
      <c r="E975" t="s">
        <v>121</v>
      </c>
      <c r="F975" t="s">
        <v>5555</v>
      </c>
      <c r="G975" t="s">
        <v>5556</v>
      </c>
      <c r="H975" t="s">
        <v>5557</v>
      </c>
      <c r="I975" t="s">
        <v>4742</v>
      </c>
      <c r="J975" t="s">
        <v>126</v>
      </c>
      <c r="K975" t="s">
        <v>1853</v>
      </c>
      <c r="L975" t="s">
        <v>128</v>
      </c>
      <c r="M975" t="s">
        <v>1854</v>
      </c>
      <c r="N975" t="s">
        <v>5558</v>
      </c>
      <c r="O975" t="s">
        <v>201</v>
      </c>
      <c r="P975">
        <v>0</v>
      </c>
      <c r="Q975" t="s">
        <v>125</v>
      </c>
      <c r="R975">
        <v>6</v>
      </c>
      <c r="S975">
        <v>39</v>
      </c>
      <c r="T975" t="s">
        <v>132</v>
      </c>
      <c r="U975" t="s">
        <v>133</v>
      </c>
      <c r="V975" s="1">
        <v>12400</v>
      </c>
      <c r="W975" s="1">
        <v>3854.67</v>
      </c>
      <c r="X975" s="1">
        <v>8545.33</v>
      </c>
      <c r="Y975">
        <v>7</v>
      </c>
      <c r="Z975">
        <v>0</v>
      </c>
      <c r="AA975">
        <v>9</v>
      </c>
      <c r="AB975">
        <v>0</v>
      </c>
      <c r="AC975">
        <v>0</v>
      </c>
      <c r="AD975" t="s">
        <v>134</v>
      </c>
      <c r="AE975" t="s">
        <v>134</v>
      </c>
      <c r="AF975" s="2">
        <v>45590</v>
      </c>
      <c r="AG975" s="2">
        <v>46018</v>
      </c>
      <c r="AH975" s="1">
        <v>4754.59</v>
      </c>
      <c r="AI975" s="1">
        <v>7939.22</v>
      </c>
      <c r="AJ975" s="1">
        <v>42791.32</v>
      </c>
      <c r="AK975">
        <v>0</v>
      </c>
      <c r="AL975" s="1">
        <v>3854.67</v>
      </c>
      <c r="AM975">
        <v>73.42</v>
      </c>
      <c r="AN975" t="s">
        <v>135</v>
      </c>
      <c r="AO975" t="s">
        <v>135</v>
      </c>
      <c r="AP975" t="s">
        <v>136</v>
      </c>
      <c r="AQ975" t="s">
        <v>137</v>
      </c>
      <c r="AR975" t="s">
        <v>138</v>
      </c>
      <c r="AS975" t="s">
        <v>150</v>
      </c>
      <c r="AT975" t="s">
        <v>140</v>
      </c>
      <c r="AU975">
        <v>500</v>
      </c>
      <c r="AV975">
        <v>10</v>
      </c>
      <c r="AW975">
        <v>1</v>
      </c>
      <c r="AX975" s="2">
        <v>45827</v>
      </c>
      <c r="AY975" t="s">
        <v>308</v>
      </c>
      <c r="AZ975" s="2">
        <v>46023</v>
      </c>
      <c r="BA975">
        <v>0</v>
      </c>
      <c r="BB975">
        <v>0</v>
      </c>
      <c r="BC975">
        <v>0</v>
      </c>
      <c r="BD975">
        <v>700</v>
      </c>
      <c r="BE975">
        <v>70</v>
      </c>
      <c r="BF975">
        <v>9</v>
      </c>
      <c r="BG975" s="2">
        <v>45809</v>
      </c>
      <c r="BH975" t="s">
        <v>142</v>
      </c>
      <c r="BI975" s="2">
        <v>46026</v>
      </c>
      <c r="BJ975">
        <v>0</v>
      </c>
      <c r="BK975">
        <v>0</v>
      </c>
      <c r="BL975">
        <v>0</v>
      </c>
      <c r="BM975">
        <v>7.42</v>
      </c>
      <c r="BN975">
        <v>7.42</v>
      </c>
      <c r="BO975" s="1">
        <v>11109.88</v>
      </c>
      <c r="BP975">
        <v>0</v>
      </c>
      <c r="BQ975" s="1">
        <v>11109.88</v>
      </c>
      <c r="BR975" s="1">
        <v>2829.99</v>
      </c>
      <c r="BS975">
        <v>7.41</v>
      </c>
      <c r="BT975">
        <v>7.41</v>
      </c>
      <c r="BU975" s="1">
        <v>18659.47</v>
      </c>
      <c r="BV975">
        <v>0</v>
      </c>
      <c r="BW975" s="1">
        <v>18659.47</v>
      </c>
      <c r="BX975" s="1">
        <v>3854.67</v>
      </c>
      <c r="BY975">
        <v>20.66</v>
      </c>
      <c r="BZ975">
        <v>0</v>
      </c>
      <c r="CA975">
        <v>0</v>
      </c>
      <c r="CB975" s="1">
        <v>9635.08</v>
      </c>
      <c r="CC975" t="s">
        <v>339</v>
      </c>
    </row>
    <row r="976" spans="1:81" x14ac:dyDescent="0.25">
      <c r="A976">
        <v>345</v>
      </c>
      <c r="B976">
        <v>2</v>
      </c>
      <c r="C976">
        <v>2878</v>
      </c>
      <c r="D976" t="s">
        <v>5559</v>
      </c>
      <c r="E976" t="s">
        <v>121</v>
      </c>
      <c r="F976" t="s">
        <v>5560</v>
      </c>
      <c r="G976" t="s">
        <v>5561</v>
      </c>
      <c r="H976" t="s">
        <v>5562</v>
      </c>
      <c r="I976" t="s">
        <v>5563</v>
      </c>
      <c r="J976" t="s">
        <v>3074</v>
      </c>
      <c r="K976" t="s">
        <v>1853</v>
      </c>
      <c r="L976" t="s">
        <v>128</v>
      </c>
      <c r="M976" t="s">
        <v>5488</v>
      </c>
      <c r="N976" t="s">
        <v>5564</v>
      </c>
      <c r="O976" t="s">
        <v>201</v>
      </c>
      <c r="P976">
        <v>0</v>
      </c>
      <c r="Q976" t="s">
        <v>125</v>
      </c>
      <c r="R976">
        <v>6</v>
      </c>
      <c r="S976">
        <v>41</v>
      </c>
      <c r="T976" t="s">
        <v>132</v>
      </c>
      <c r="U976" t="s">
        <v>133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134</v>
      </c>
      <c r="AE976" t="s">
        <v>134</v>
      </c>
      <c r="AF976" s="2">
        <v>45590</v>
      </c>
      <c r="AG976" s="2">
        <v>46017</v>
      </c>
      <c r="AH976">
        <v>749.72</v>
      </c>
      <c r="AI976" s="1">
        <v>1218.7</v>
      </c>
      <c r="AJ976" s="1">
        <v>9746.4</v>
      </c>
      <c r="AK976">
        <v>0</v>
      </c>
      <c r="AL976">
        <v>0</v>
      </c>
      <c r="AM976">
        <v>0</v>
      </c>
      <c r="AN976" t="s">
        <v>135</v>
      </c>
      <c r="AO976" t="s">
        <v>135</v>
      </c>
      <c r="AP976" t="s">
        <v>136</v>
      </c>
      <c r="AQ976" t="s">
        <v>137</v>
      </c>
      <c r="AR976" t="s">
        <v>138</v>
      </c>
      <c r="AS976" t="s">
        <v>150</v>
      </c>
      <c r="AT976" t="s">
        <v>140</v>
      </c>
      <c r="AU976">
        <v>106</v>
      </c>
      <c r="AV976">
        <v>10</v>
      </c>
      <c r="AW976">
        <v>1</v>
      </c>
      <c r="AX976" s="2">
        <v>45609</v>
      </c>
      <c r="AY976" t="s">
        <v>168</v>
      </c>
      <c r="AZ976" s="2">
        <v>46022</v>
      </c>
      <c r="BA976">
        <v>0</v>
      </c>
      <c r="BB976">
        <v>0</v>
      </c>
      <c r="BC976">
        <v>0</v>
      </c>
      <c r="BD976">
        <v>700</v>
      </c>
      <c r="BE976">
        <v>70</v>
      </c>
      <c r="BF976">
        <v>9</v>
      </c>
      <c r="BG976" s="2">
        <v>45809</v>
      </c>
      <c r="BH976" t="s">
        <v>142</v>
      </c>
      <c r="BI976" s="2">
        <v>46026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 s="1">
        <v>3575.5</v>
      </c>
      <c r="BQ976" s="1">
        <v>3575.5</v>
      </c>
      <c r="BR976">
        <v>0</v>
      </c>
      <c r="BS976">
        <v>0</v>
      </c>
      <c r="BT976">
        <v>0</v>
      </c>
      <c r="BU976">
        <v>0</v>
      </c>
      <c r="BV976" s="1">
        <v>2261.5</v>
      </c>
      <c r="BW976" s="1">
        <v>2261.5</v>
      </c>
      <c r="BX976">
        <v>0</v>
      </c>
      <c r="BY976">
        <v>0</v>
      </c>
      <c r="BZ976">
        <v>0</v>
      </c>
      <c r="CA976">
        <v>0</v>
      </c>
      <c r="CB976" s="1">
        <v>3352.06</v>
      </c>
      <c r="CC976" t="s">
        <v>143</v>
      </c>
    </row>
    <row r="977" spans="1:81" x14ac:dyDescent="0.25">
      <c r="A977">
        <v>345</v>
      </c>
      <c r="B977">
        <v>2</v>
      </c>
      <c r="C977">
        <v>2879</v>
      </c>
      <c r="D977" t="s">
        <v>5565</v>
      </c>
      <c r="E977" t="s">
        <v>121</v>
      </c>
      <c r="F977" t="s">
        <v>5566</v>
      </c>
      <c r="G977" t="s">
        <v>5567</v>
      </c>
      <c r="H977" t="s">
        <v>5568</v>
      </c>
      <c r="I977" t="s">
        <v>4742</v>
      </c>
      <c r="J977" t="s">
        <v>897</v>
      </c>
      <c r="K977" t="s">
        <v>473</v>
      </c>
      <c r="L977" t="s">
        <v>128</v>
      </c>
      <c r="M977" t="s">
        <v>5488</v>
      </c>
      <c r="N977" t="s">
        <v>5569</v>
      </c>
      <c r="O977" t="s">
        <v>201</v>
      </c>
      <c r="P977">
        <v>0</v>
      </c>
      <c r="Q977" t="s">
        <v>125</v>
      </c>
      <c r="R977">
        <v>6</v>
      </c>
      <c r="S977">
        <v>37</v>
      </c>
      <c r="T977" t="s">
        <v>132</v>
      </c>
      <c r="U977" t="s">
        <v>133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134</v>
      </c>
      <c r="AE977" t="s">
        <v>134</v>
      </c>
      <c r="AF977" s="2">
        <v>45590</v>
      </c>
      <c r="AG977" s="2">
        <v>46017</v>
      </c>
      <c r="AH977">
        <v>274.5</v>
      </c>
      <c r="AI977">
        <v>477.84</v>
      </c>
      <c r="AJ977" s="1">
        <v>2470.56</v>
      </c>
      <c r="AK977">
        <v>0</v>
      </c>
      <c r="AL977">
        <v>0</v>
      </c>
      <c r="AM977">
        <v>0</v>
      </c>
      <c r="AN977" t="s">
        <v>135</v>
      </c>
      <c r="AO977" t="s">
        <v>135</v>
      </c>
      <c r="AP977" t="s">
        <v>136</v>
      </c>
      <c r="AQ977" t="s">
        <v>137</v>
      </c>
      <c r="AR977" t="s">
        <v>138</v>
      </c>
      <c r="AS977" t="s">
        <v>139</v>
      </c>
      <c r="AT977" t="s">
        <v>140</v>
      </c>
      <c r="AU977">
        <v>102</v>
      </c>
      <c r="AV977">
        <v>10</v>
      </c>
      <c r="AW977">
        <v>1</v>
      </c>
      <c r="AX977" s="2">
        <v>45846</v>
      </c>
      <c r="AY977" t="s">
        <v>377</v>
      </c>
      <c r="AZ977" s="2">
        <v>46028</v>
      </c>
      <c r="BA977">
        <v>0</v>
      </c>
      <c r="BB977">
        <v>0</v>
      </c>
      <c r="BC977">
        <v>0</v>
      </c>
      <c r="BD977">
        <v>700</v>
      </c>
      <c r="BE977">
        <v>70</v>
      </c>
      <c r="BF977">
        <v>9</v>
      </c>
      <c r="BG977" s="2">
        <v>45809</v>
      </c>
      <c r="BH977" t="s">
        <v>142</v>
      </c>
      <c r="BI977" s="2">
        <v>46026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778.75</v>
      </c>
      <c r="BQ977">
        <v>778.75</v>
      </c>
      <c r="BR977">
        <v>0</v>
      </c>
      <c r="BS977">
        <v>0</v>
      </c>
      <c r="BT977">
        <v>0</v>
      </c>
      <c r="BU977">
        <v>0</v>
      </c>
      <c r="BV977" s="1">
        <v>1348.01</v>
      </c>
      <c r="BW977" s="1">
        <v>1348.01</v>
      </c>
      <c r="BX977">
        <v>0</v>
      </c>
      <c r="BY977">
        <v>0</v>
      </c>
      <c r="BZ977">
        <v>0</v>
      </c>
      <c r="CA977">
        <v>0</v>
      </c>
      <c r="CB977">
        <v>488.78</v>
      </c>
      <c r="CC977" t="s">
        <v>143</v>
      </c>
    </row>
    <row r="978" spans="1:81" x14ac:dyDescent="0.25">
      <c r="A978">
        <v>345</v>
      </c>
      <c r="B978">
        <v>2</v>
      </c>
      <c r="C978">
        <v>2881</v>
      </c>
      <c r="D978" t="s">
        <v>5570</v>
      </c>
      <c r="E978" t="s">
        <v>121</v>
      </c>
      <c r="F978" t="s">
        <v>5571</v>
      </c>
      <c r="G978" t="s">
        <v>5572</v>
      </c>
      <c r="H978" t="s">
        <v>5573</v>
      </c>
      <c r="I978" t="s">
        <v>5574</v>
      </c>
      <c r="J978" t="s">
        <v>5322</v>
      </c>
      <c r="K978" t="s">
        <v>1853</v>
      </c>
      <c r="L978" t="s">
        <v>128</v>
      </c>
      <c r="M978" t="s">
        <v>1854</v>
      </c>
      <c r="N978" t="s">
        <v>5575</v>
      </c>
      <c r="O978" t="s">
        <v>201</v>
      </c>
      <c r="P978">
        <v>0</v>
      </c>
      <c r="Q978" t="s">
        <v>125</v>
      </c>
      <c r="R978">
        <v>6</v>
      </c>
      <c r="S978">
        <v>37</v>
      </c>
      <c r="T978" t="s">
        <v>132</v>
      </c>
      <c r="U978" t="s">
        <v>133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134</v>
      </c>
      <c r="AE978" t="s">
        <v>134</v>
      </c>
      <c r="AF978" s="2">
        <v>45590</v>
      </c>
      <c r="AG978" s="2">
        <v>46010</v>
      </c>
      <c r="AH978">
        <v>667.25</v>
      </c>
      <c r="AI978" s="1">
        <v>1164.8800000000001</v>
      </c>
      <c r="AJ978" s="1">
        <v>7339.76</v>
      </c>
      <c r="AK978">
        <v>0</v>
      </c>
      <c r="AL978">
        <v>0</v>
      </c>
      <c r="AM978">
        <v>0</v>
      </c>
      <c r="AN978" t="s">
        <v>135</v>
      </c>
      <c r="AO978" t="s">
        <v>135</v>
      </c>
      <c r="AP978" t="s">
        <v>136</v>
      </c>
      <c r="AQ978" t="s">
        <v>137</v>
      </c>
      <c r="AR978" t="s">
        <v>138</v>
      </c>
      <c r="AS978" t="s">
        <v>139</v>
      </c>
      <c r="AT978" t="s">
        <v>140</v>
      </c>
      <c r="AU978">
        <v>103</v>
      </c>
      <c r="AV978">
        <v>10</v>
      </c>
      <c r="AW978">
        <v>1</v>
      </c>
      <c r="AX978" s="2">
        <v>45757</v>
      </c>
      <c r="AY978" t="s">
        <v>308</v>
      </c>
      <c r="AZ978" s="2">
        <v>46023</v>
      </c>
      <c r="BA978">
        <v>0</v>
      </c>
      <c r="BB978">
        <v>0</v>
      </c>
      <c r="BC978">
        <v>0</v>
      </c>
      <c r="BD978">
        <v>700</v>
      </c>
      <c r="BE978">
        <v>70</v>
      </c>
      <c r="BF978">
        <v>9</v>
      </c>
      <c r="BG978" s="2">
        <v>45809</v>
      </c>
      <c r="BH978" t="s">
        <v>142</v>
      </c>
      <c r="BI978" s="2">
        <v>46026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 s="1">
        <v>2672.23</v>
      </c>
      <c r="BQ978" s="1">
        <v>2672.23</v>
      </c>
      <c r="BR978">
        <v>0</v>
      </c>
      <c r="BS978">
        <v>0</v>
      </c>
      <c r="BT978">
        <v>0</v>
      </c>
      <c r="BU978">
        <v>0</v>
      </c>
      <c r="BV978" s="1">
        <v>1370.39</v>
      </c>
      <c r="BW978" s="1">
        <v>1370.39</v>
      </c>
      <c r="BX978">
        <v>0</v>
      </c>
      <c r="BY978">
        <v>0</v>
      </c>
      <c r="BZ978">
        <v>0</v>
      </c>
      <c r="CA978">
        <v>0</v>
      </c>
      <c r="CB978" s="1">
        <v>2789.38</v>
      </c>
      <c r="CC978" t="s">
        <v>339</v>
      </c>
    </row>
    <row r="979" spans="1:81" x14ac:dyDescent="0.25">
      <c r="A979">
        <v>345</v>
      </c>
      <c r="B979">
        <v>2</v>
      </c>
      <c r="C979">
        <v>2886</v>
      </c>
      <c r="D979" t="s">
        <v>5576</v>
      </c>
      <c r="E979" t="s">
        <v>121</v>
      </c>
      <c r="F979" t="s">
        <v>5577</v>
      </c>
      <c r="G979" t="s">
        <v>5578</v>
      </c>
      <c r="H979" t="s">
        <v>5579</v>
      </c>
      <c r="I979" t="s">
        <v>5580</v>
      </c>
      <c r="J979" t="s">
        <v>217</v>
      </c>
      <c r="K979" t="s">
        <v>473</v>
      </c>
      <c r="L979" t="s">
        <v>128</v>
      </c>
      <c r="M979" t="s">
        <v>337</v>
      </c>
      <c r="N979" t="s">
        <v>5581</v>
      </c>
      <c r="O979" t="s">
        <v>5475</v>
      </c>
      <c r="P979">
        <v>0</v>
      </c>
      <c r="Q979" t="s">
        <v>125</v>
      </c>
      <c r="R979">
        <v>6</v>
      </c>
      <c r="S979">
        <v>40</v>
      </c>
      <c r="T979" t="s">
        <v>132</v>
      </c>
      <c r="U979" t="s">
        <v>133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134</v>
      </c>
      <c r="AE979" t="s">
        <v>134</v>
      </c>
      <c r="AF979" s="2">
        <v>45590</v>
      </c>
      <c r="AG979" s="2">
        <v>46020</v>
      </c>
      <c r="AH979">
        <v>968.42</v>
      </c>
      <c r="AI979" s="1">
        <v>1630.18</v>
      </c>
      <c r="AJ979" s="1">
        <v>9684.24</v>
      </c>
      <c r="AK979">
        <v>0</v>
      </c>
      <c r="AL979">
        <v>0</v>
      </c>
      <c r="AM979">
        <v>0</v>
      </c>
      <c r="AN979" t="s">
        <v>135</v>
      </c>
      <c r="AO979" t="s">
        <v>135</v>
      </c>
      <c r="AP979" t="s">
        <v>136</v>
      </c>
      <c r="AQ979" t="s">
        <v>137</v>
      </c>
      <c r="AR979" t="s">
        <v>138</v>
      </c>
      <c r="AS979" t="s">
        <v>139</v>
      </c>
      <c r="AT979" t="s">
        <v>140</v>
      </c>
      <c r="AU979">
        <v>102</v>
      </c>
      <c r="AV979">
        <v>10</v>
      </c>
      <c r="AW979">
        <v>1</v>
      </c>
      <c r="AX979" s="2">
        <v>45849</v>
      </c>
      <c r="AY979" t="s">
        <v>151</v>
      </c>
      <c r="AZ979" s="2">
        <v>46024</v>
      </c>
      <c r="BA979">
        <v>0</v>
      </c>
      <c r="BB979">
        <v>0</v>
      </c>
      <c r="BC979">
        <v>0</v>
      </c>
      <c r="BD979">
        <v>700</v>
      </c>
      <c r="BE979">
        <v>70</v>
      </c>
      <c r="BF979">
        <v>9</v>
      </c>
      <c r="BG979" s="2">
        <v>45809</v>
      </c>
      <c r="BH979" t="s">
        <v>142</v>
      </c>
      <c r="BI979" s="2">
        <v>46026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 s="1">
        <v>1575.45</v>
      </c>
      <c r="BQ979" s="1">
        <v>1575.45</v>
      </c>
      <c r="BR979">
        <v>0</v>
      </c>
      <c r="BS979">
        <v>0</v>
      </c>
      <c r="BT979">
        <v>0</v>
      </c>
      <c r="BU979">
        <v>0</v>
      </c>
      <c r="BV979" s="1">
        <v>5056.24</v>
      </c>
      <c r="BW979" s="1">
        <v>5056.24</v>
      </c>
      <c r="BX979">
        <v>0</v>
      </c>
      <c r="BY979">
        <v>0</v>
      </c>
      <c r="BZ979">
        <v>0</v>
      </c>
      <c r="CA979">
        <v>0</v>
      </c>
      <c r="CB979" s="1">
        <v>2433.96</v>
      </c>
      <c r="CC979" t="s">
        <v>152</v>
      </c>
    </row>
    <row r="980" spans="1:81" x14ac:dyDescent="0.25">
      <c r="A980">
        <v>345</v>
      </c>
      <c r="B980">
        <v>2</v>
      </c>
      <c r="C980">
        <v>2887</v>
      </c>
      <c r="D980" t="s">
        <v>5582</v>
      </c>
      <c r="E980" t="s">
        <v>121</v>
      </c>
      <c r="F980" t="s">
        <v>5583</v>
      </c>
      <c r="G980" t="s">
        <v>5584</v>
      </c>
      <c r="H980" t="s">
        <v>5585</v>
      </c>
      <c r="I980" t="s">
        <v>5586</v>
      </c>
      <c r="J980" t="s">
        <v>612</v>
      </c>
      <c r="K980" t="s">
        <v>473</v>
      </c>
      <c r="L980" t="s">
        <v>128</v>
      </c>
      <c r="M980" t="s">
        <v>474</v>
      </c>
      <c r="N980" t="s">
        <v>5587</v>
      </c>
      <c r="O980" t="s">
        <v>167</v>
      </c>
      <c r="P980">
        <v>0</v>
      </c>
      <c r="Q980" t="s">
        <v>125</v>
      </c>
      <c r="R980">
        <v>6</v>
      </c>
      <c r="S980">
        <v>35</v>
      </c>
      <c r="T980" t="s">
        <v>132</v>
      </c>
      <c r="U980" t="s">
        <v>133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134</v>
      </c>
      <c r="AE980" t="s">
        <v>134</v>
      </c>
      <c r="AF980" s="2">
        <v>45590</v>
      </c>
      <c r="AG980" s="2">
        <v>46001</v>
      </c>
      <c r="AH980" s="1">
        <v>1845.81</v>
      </c>
      <c r="AI980" s="1">
        <v>2826.8</v>
      </c>
      <c r="AJ980" s="1">
        <v>14766.54</v>
      </c>
      <c r="AK980">
        <v>0</v>
      </c>
      <c r="AL980">
        <v>0</v>
      </c>
      <c r="AM980">
        <v>0</v>
      </c>
      <c r="AN980" t="s">
        <v>135</v>
      </c>
      <c r="AO980" t="s">
        <v>135</v>
      </c>
      <c r="AP980" t="s">
        <v>136</v>
      </c>
      <c r="AQ980" t="s">
        <v>137</v>
      </c>
      <c r="AR980" t="s">
        <v>138</v>
      </c>
      <c r="AS980" t="s">
        <v>139</v>
      </c>
      <c r="AT980" t="s">
        <v>140</v>
      </c>
      <c r="AU980">
        <v>102</v>
      </c>
      <c r="AV980">
        <v>10</v>
      </c>
      <c r="AW980">
        <v>1</v>
      </c>
      <c r="AX980" s="2">
        <v>45811</v>
      </c>
      <c r="AY980" t="s">
        <v>377</v>
      </c>
      <c r="AZ980" s="2">
        <v>46028</v>
      </c>
      <c r="BA980">
        <v>0</v>
      </c>
      <c r="BB980">
        <v>0</v>
      </c>
      <c r="BC980">
        <v>0</v>
      </c>
      <c r="BD980">
        <v>700</v>
      </c>
      <c r="BE980">
        <v>70</v>
      </c>
      <c r="BF980">
        <v>9</v>
      </c>
      <c r="BG980" s="2">
        <v>45809</v>
      </c>
      <c r="BH980" t="s">
        <v>142</v>
      </c>
      <c r="BI980" s="2">
        <v>46026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 s="1">
        <v>5995.76</v>
      </c>
      <c r="BQ980" s="1">
        <v>5995.76</v>
      </c>
      <c r="BR980">
        <v>0</v>
      </c>
      <c r="BS980">
        <v>0</v>
      </c>
      <c r="BT980">
        <v>0</v>
      </c>
      <c r="BU980">
        <v>0</v>
      </c>
      <c r="BV980" s="1">
        <v>5448.24</v>
      </c>
      <c r="BW980" s="1">
        <v>5448.24</v>
      </c>
      <c r="BX980">
        <v>0</v>
      </c>
      <c r="BY980">
        <v>0</v>
      </c>
      <c r="BZ980">
        <v>0</v>
      </c>
      <c r="CA980">
        <v>0</v>
      </c>
      <c r="CB980" s="1">
        <v>5080.24</v>
      </c>
      <c r="CC980" t="s">
        <v>161</v>
      </c>
    </row>
    <row r="981" spans="1:81" x14ac:dyDescent="0.25">
      <c r="A981">
        <v>345</v>
      </c>
      <c r="B981">
        <v>2</v>
      </c>
      <c r="C981">
        <v>2888</v>
      </c>
      <c r="D981" t="s">
        <v>5588</v>
      </c>
      <c r="E981" t="s">
        <v>121</v>
      </c>
      <c r="F981" t="s">
        <v>5589</v>
      </c>
      <c r="G981" t="s">
        <v>5590</v>
      </c>
      <c r="H981" t="s">
        <v>5591</v>
      </c>
      <c r="I981" t="s">
        <v>5592</v>
      </c>
      <c r="J981" t="s">
        <v>1263</v>
      </c>
      <c r="K981" t="s">
        <v>466</v>
      </c>
      <c r="L981" t="s">
        <v>128</v>
      </c>
      <c r="M981" t="s">
        <v>5488</v>
      </c>
      <c r="N981" t="s">
        <v>5593</v>
      </c>
      <c r="O981" t="s">
        <v>167</v>
      </c>
      <c r="P981">
        <v>0</v>
      </c>
      <c r="Q981" t="s">
        <v>125</v>
      </c>
      <c r="R981">
        <v>4</v>
      </c>
      <c r="S981">
        <v>79</v>
      </c>
      <c r="T981" t="s">
        <v>132</v>
      </c>
      <c r="U981" t="s">
        <v>133</v>
      </c>
      <c r="V981" s="1">
        <v>1000</v>
      </c>
      <c r="W981">
        <v>0</v>
      </c>
      <c r="X981" s="1">
        <v>1000</v>
      </c>
      <c r="Y981">
        <v>7</v>
      </c>
      <c r="Z981">
        <v>0</v>
      </c>
      <c r="AA981">
        <v>0</v>
      </c>
      <c r="AB981">
        <v>0</v>
      </c>
      <c r="AC981">
        <v>0</v>
      </c>
      <c r="AD981" t="s">
        <v>134</v>
      </c>
      <c r="AE981" t="s">
        <v>134</v>
      </c>
      <c r="AF981" s="2">
        <v>45590</v>
      </c>
      <c r="AG981" s="2">
        <v>45952</v>
      </c>
      <c r="AH981">
        <v>331.88</v>
      </c>
      <c r="AI981">
        <v>331.88</v>
      </c>
      <c r="AJ981">
        <v>331.88</v>
      </c>
      <c r="AK981">
        <v>0</v>
      </c>
      <c r="AL981">
        <v>0</v>
      </c>
      <c r="AM981">
        <v>0</v>
      </c>
      <c r="AN981" t="s">
        <v>135</v>
      </c>
      <c r="AO981" t="s">
        <v>135</v>
      </c>
      <c r="AP981" t="s">
        <v>136</v>
      </c>
      <c r="AQ981" t="s">
        <v>137</v>
      </c>
      <c r="AR981" t="s">
        <v>138</v>
      </c>
      <c r="AS981" t="s">
        <v>150</v>
      </c>
      <c r="AT981" t="s">
        <v>140</v>
      </c>
      <c r="AU981">
        <v>500</v>
      </c>
      <c r="AV981">
        <v>10</v>
      </c>
      <c r="AW981">
        <v>1</v>
      </c>
      <c r="AX981" s="2">
        <v>45953</v>
      </c>
      <c r="AY981" t="s">
        <v>308</v>
      </c>
      <c r="AZ981" s="2">
        <v>46023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t="s">
        <v>135</v>
      </c>
      <c r="BH981" t="s">
        <v>250</v>
      </c>
      <c r="BI981" t="s">
        <v>135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110.62</v>
      </c>
      <c r="CC981" t="s">
        <v>161</v>
      </c>
    </row>
    <row r="982" spans="1:81" x14ac:dyDescent="0.25">
      <c r="A982">
        <v>345</v>
      </c>
      <c r="B982">
        <v>2</v>
      </c>
      <c r="C982">
        <v>2889</v>
      </c>
      <c r="D982" t="s">
        <v>5594</v>
      </c>
      <c r="E982" t="s">
        <v>121</v>
      </c>
      <c r="F982" t="s">
        <v>5595</v>
      </c>
      <c r="G982" t="s">
        <v>5596</v>
      </c>
      <c r="H982" t="s">
        <v>5597</v>
      </c>
      <c r="I982" t="s">
        <v>4742</v>
      </c>
      <c r="J982" t="s">
        <v>126</v>
      </c>
      <c r="K982" t="s">
        <v>1853</v>
      </c>
      <c r="L982" t="s">
        <v>128</v>
      </c>
      <c r="M982" t="s">
        <v>1854</v>
      </c>
      <c r="N982" t="s">
        <v>5598</v>
      </c>
      <c r="O982" t="s">
        <v>131</v>
      </c>
      <c r="P982">
        <v>0</v>
      </c>
      <c r="Q982" t="s">
        <v>125</v>
      </c>
      <c r="R982">
        <v>4</v>
      </c>
      <c r="S982">
        <v>76</v>
      </c>
      <c r="T982" t="s">
        <v>132</v>
      </c>
      <c r="U982" t="s">
        <v>133</v>
      </c>
      <c r="V982" s="1">
        <v>135200</v>
      </c>
      <c r="W982" s="1">
        <v>115593.4</v>
      </c>
      <c r="X982" s="1">
        <v>19606.599999999999</v>
      </c>
      <c r="Y982">
        <v>7</v>
      </c>
      <c r="Z982">
        <v>0</v>
      </c>
      <c r="AA982">
        <v>21</v>
      </c>
      <c r="AB982">
        <v>0</v>
      </c>
      <c r="AC982">
        <v>0</v>
      </c>
      <c r="AD982" t="s">
        <v>134</v>
      </c>
      <c r="AE982" t="s">
        <v>134</v>
      </c>
      <c r="AF982" s="2">
        <v>45590</v>
      </c>
      <c r="AG982" s="2">
        <v>46015</v>
      </c>
      <c r="AH982" s="1">
        <v>140735.13</v>
      </c>
      <c r="AI982" s="1">
        <v>393098.82</v>
      </c>
      <c r="AJ982" s="1">
        <v>844410.81</v>
      </c>
      <c r="AK982">
        <v>0</v>
      </c>
      <c r="AL982" s="1">
        <v>115593.4</v>
      </c>
      <c r="AM982">
        <v>0</v>
      </c>
      <c r="AN982" t="s">
        <v>135</v>
      </c>
      <c r="AO982" t="s">
        <v>135</v>
      </c>
      <c r="AP982" t="s">
        <v>136</v>
      </c>
      <c r="AQ982" t="s">
        <v>137</v>
      </c>
      <c r="AR982" t="s">
        <v>138</v>
      </c>
      <c r="AS982" t="s">
        <v>150</v>
      </c>
      <c r="AT982" t="s">
        <v>140</v>
      </c>
      <c r="AU982">
        <v>500</v>
      </c>
      <c r="AV982">
        <v>10</v>
      </c>
      <c r="AW982">
        <v>1</v>
      </c>
      <c r="AX982" s="2">
        <v>45841</v>
      </c>
      <c r="AY982" t="s">
        <v>308</v>
      </c>
      <c r="AZ982" s="2">
        <v>46023</v>
      </c>
      <c r="BA982">
        <v>0</v>
      </c>
      <c r="BB982">
        <v>0</v>
      </c>
      <c r="BC982">
        <v>0</v>
      </c>
      <c r="BD982">
        <v>700</v>
      </c>
      <c r="BE982">
        <v>70</v>
      </c>
      <c r="BF982">
        <v>9</v>
      </c>
      <c r="BG982" s="2">
        <v>45809</v>
      </c>
      <c r="BH982" t="s">
        <v>142</v>
      </c>
      <c r="BI982" s="2">
        <v>46026</v>
      </c>
      <c r="BJ982">
        <v>0</v>
      </c>
      <c r="BK982">
        <v>0</v>
      </c>
      <c r="BL982">
        <v>0</v>
      </c>
      <c r="BM982">
        <v>7</v>
      </c>
      <c r="BN982">
        <v>7</v>
      </c>
      <c r="BO982" s="1">
        <v>92474.72</v>
      </c>
      <c r="BP982">
        <v>0</v>
      </c>
      <c r="BQ982" s="1">
        <v>92474.72</v>
      </c>
      <c r="BR982">
        <v>0</v>
      </c>
      <c r="BS982">
        <v>7</v>
      </c>
      <c r="BT982">
        <v>3.82</v>
      </c>
      <c r="BU982" s="1">
        <v>283975.42</v>
      </c>
      <c r="BV982" s="1">
        <v>236314.8</v>
      </c>
      <c r="BW982" s="1">
        <v>520290.22</v>
      </c>
      <c r="BX982">
        <v>0</v>
      </c>
      <c r="BY982">
        <v>0</v>
      </c>
      <c r="BZ982">
        <v>0</v>
      </c>
      <c r="CA982">
        <v>0</v>
      </c>
      <c r="CB982" s="1">
        <v>157653.12</v>
      </c>
      <c r="CC982" t="s">
        <v>152</v>
      </c>
    </row>
    <row r="983" spans="1:81" x14ac:dyDescent="0.25">
      <c r="A983">
        <v>345</v>
      </c>
      <c r="B983">
        <v>2</v>
      </c>
      <c r="C983">
        <v>2891</v>
      </c>
      <c r="D983" t="s">
        <v>5599</v>
      </c>
      <c r="E983" t="s">
        <v>121</v>
      </c>
      <c r="F983" t="s">
        <v>5600</v>
      </c>
      <c r="G983" t="s">
        <v>5601</v>
      </c>
      <c r="H983" t="s">
        <v>5602</v>
      </c>
      <c r="I983" t="s">
        <v>5603</v>
      </c>
      <c r="J983" t="s">
        <v>5604</v>
      </c>
      <c r="K983" t="s">
        <v>127</v>
      </c>
      <c r="L983" t="s">
        <v>128</v>
      </c>
      <c r="M983" t="s">
        <v>129</v>
      </c>
      <c r="N983" t="s">
        <v>5605</v>
      </c>
      <c r="O983" t="s">
        <v>167</v>
      </c>
      <c r="P983">
        <v>0</v>
      </c>
      <c r="Q983" t="s">
        <v>125</v>
      </c>
      <c r="R983">
        <v>6</v>
      </c>
      <c r="S983">
        <v>34</v>
      </c>
      <c r="T983" t="s">
        <v>132</v>
      </c>
      <c r="U983" t="s">
        <v>133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134</v>
      </c>
      <c r="AE983" t="s">
        <v>134</v>
      </c>
      <c r="AF983" s="2">
        <v>45593</v>
      </c>
      <c r="AG983" s="2">
        <v>46013</v>
      </c>
      <c r="AH983">
        <v>929.33</v>
      </c>
      <c r="AI983" s="1">
        <v>1294.96</v>
      </c>
      <c r="AJ983" s="1">
        <v>6505.33</v>
      </c>
      <c r="AK983">
        <v>0</v>
      </c>
      <c r="AL983">
        <v>0</v>
      </c>
      <c r="AM983">
        <v>0</v>
      </c>
      <c r="AN983" t="s">
        <v>135</v>
      </c>
      <c r="AO983" t="s">
        <v>135</v>
      </c>
      <c r="AP983" t="s">
        <v>136</v>
      </c>
      <c r="AQ983" t="s">
        <v>137</v>
      </c>
      <c r="AR983" t="s">
        <v>138</v>
      </c>
      <c r="AS983" t="s">
        <v>139</v>
      </c>
      <c r="AT983" t="s">
        <v>140</v>
      </c>
      <c r="AU983">
        <v>102</v>
      </c>
      <c r="AV983">
        <v>10</v>
      </c>
      <c r="AW983">
        <v>1</v>
      </c>
      <c r="AX983" s="2">
        <v>45843</v>
      </c>
      <c r="AY983" t="s">
        <v>160</v>
      </c>
      <c r="AZ983" s="2">
        <v>46025</v>
      </c>
      <c r="BA983">
        <v>0</v>
      </c>
      <c r="BB983">
        <v>0</v>
      </c>
      <c r="BC983">
        <v>0</v>
      </c>
      <c r="BD983">
        <v>700</v>
      </c>
      <c r="BE983">
        <v>70</v>
      </c>
      <c r="BF983">
        <v>9</v>
      </c>
      <c r="BG983" s="2">
        <v>45809</v>
      </c>
      <c r="BH983" t="s">
        <v>142</v>
      </c>
      <c r="BI983" s="2">
        <v>46026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 s="1">
        <v>1987.97</v>
      </c>
      <c r="BQ983" s="1">
        <v>1987.97</v>
      </c>
      <c r="BR983">
        <v>0</v>
      </c>
      <c r="BS983">
        <v>0</v>
      </c>
      <c r="BT983">
        <v>0</v>
      </c>
      <c r="BU983">
        <v>0</v>
      </c>
      <c r="BV983" s="1">
        <v>1665.24</v>
      </c>
      <c r="BW983" s="1">
        <v>1665.24</v>
      </c>
      <c r="BX983">
        <v>0</v>
      </c>
      <c r="BY983">
        <v>0</v>
      </c>
      <c r="BZ983">
        <v>0</v>
      </c>
      <c r="CA983">
        <v>0</v>
      </c>
      <c r="CB983" s="1">
        <v>2585.2399999999998</v>
      </c>
      <c r="CC983" t="s">
        <v>161</v>
      </c>
    </row>
    <row r="984" spans="1:81" x14ac:dyDescent="0.25">
      <c r="A984">
        <v>345</v>
      </c>
      <c r="B984">
        <v>2</v>
      </c>
      <c r="C984">
        <v>2895</v>
      </c>
      <c r="D984" t="s">
        <v>5606</v>
      </c>
      <c r="E984" t="s">
        <v>121</v>
      </c>
      <c r="F984" t="s">
        <v>5607</v>
      </c>
      <c r="G984" t="s">
        <v>5608</v>
      </c>
      <c r="H984" t="s">
        <v>5609</v>
      </c>
      <c r="I984" t="s">
        <v>5610</v>
      </c>
      <c r="J984" t="s">
        <v>364</v>
      </c>
      <c r="K984" t="s">
        <v>127</v>
      </c>
      <c r="L984" t="s">
        <v>128</v>
      </c>
      <c r="M984" t="s">
        <v>5488</v>
      </c>
      <c r="N984" t="s">
        <v>5611</v>
      </c>
      <c r="O984" t="s">
        <v>149</v>
      </c>
      <c r="P984">
        <v>0</v>
      </c>
      <c r="Q984" t="s">
        <v>125</v>
      </c>
      <c r="R984">
        <v>6</v>
      </c>
      <c r="S984">
        <v>38</v>
      </c>
      <c r="T984" t="s">
        <v>132</v>
      </c>
      <c r="U984" t="s">
        <v>133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134</v>
      </c>
      <c r="AE984" t="s">
        <v>134</v>
      </c>
      <c r="AF984" s="2">
        <v>45597</v>
      </c>
      <c r="AG984" s="2">
        <v>46018</v>
      </c>
      <c r="AH984">
        <v>314.38</v>
      </c>
      <c r="AI984">
        <v>452.7</v>
      </c>
      <c r="AJ984" s="1">
        <v>3772.65</v>
      </c>
      <c r="AK984">
        <v>0</v>
      </c>
      <c r="AL984">
        <v>0</v>
      </c>
      <c r="AM984">
        <v>0</v>
      </c>
      <c r="AN984" t="s">
        <v>135</v>
      </c>
      <c r="AO984" t="s">
        <v>135</v>
      </c>
      <c r="AP984" t="s">
        <v>136</v>
      </c>
      <c r="AQ984" t="s">
        <v>137</v>
      </c>
      <c r="AR984" t="s">
        <v>138</v>
      </c>
      <c r="AS984" t="s">
        <v>139</v>
      </c>
      <c r="AT984" t="s">
        <v>140</v>
      </c>
      <c r="AU984">
        <v>102</v>
      </c>
      <c r="AV984">
        <v>10</v>
      </c>
      <c r="AW984">
        <v>1</v>
      </c>
      <c r="AX984" s="2">
        <v>45855</v>
      </c>
      <c r="AY984" t="s">
        <v>308</v>
      </c>
      <c r="AZ984" s="2">
        <v>46023</v>
      </c>
      <c r="BA984">
        <v>0</v>
      </c>
      <c r="BB984">
        <v>0</v>
      </c>
      <c r="BC984">
        <v>0</v>
      </c>
      <c r="BD984">
        <v>700</v>
      </c>
      <c r="BE984">
        <v>70</v>
      </c>
      <c r="BF984">
        <v>9</v>
      </c>
      <c r="BG984" s="2">
        <v>45809</v>
      </c>
      <c r="BH984" t="s">
        <v>142</v>
      </c>
      <c r="BI984" s="2">
        <v>46026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975.41</v>
      </c>
      <c r="BQ984">
        <v>975.41</v>
      </c>
      <c r="BR984">
        <v>0</v>
      </c>
      <c r="BS984">
        <v>0</v>
      </c>
      <c r="BT984">
        <v>0</v>
      </c>
      <c r="BU984">
        <v>0</v>
      </c>
      <c r="BV984" s="1">
        <v>1612.23</v>
      </c>
      <c r="BW984" s="1">
        <v>1612.23</v>
      </c>
      <c r="BX984">
        <v>0</v>
      </c>
      <c r="BY984">
        <v>0</v>
      </c>
      <c r="BZ984">
        <v>0</v>
      </c>
      <c r="CA984">
        <v>0</v>
      </c>
      <c r="CB984" s="1">
        <v>1033.44</v>
      </c>
      <c r="CC984" t="s">
        <v>152</v>
      </c>
    </row>
    <row r="985" spans="1:81" x14ac:dyDescent="0.25">
      <c r="A985">
        <v>345</v>
      </c>
      <c r="B985">
        <v>2</v>
      </c>
      <c r="C985">
        <v>2896</v>
      </c>
      <c r="D985" t="s">
        <v>5612</v>
      </c>
      <c r="E985" t="s">
        <v>121</v>
      </c>
      <c r="F985" t="s">
        <v>5613</v>
      </c>
      <c r="G985" t="s">
        <v>5614</v>
      </c>
      <c r="H985" t="s">
        <v>5615</v>
      </c>
      <c r="I985" t="s">
        <v>5616</v>
      </c>
      <c r="J985" t="s">
        <v>5617</v>
      </c>
      <c r="K985" t="s">
        <v>1853</v>
      </c>
      <c r="L985" t="s">
        <v>128</v>
      </c>
      <c r="M985" t="s">
        <v>5488</v>
      </c>
      <c r="N985" t="s">
        <v>5618</v>
      </c>
      <c r="O985" t="s">
        <v>201</v>
      </c>
      <c r="P985">
        <v>0</v>
      </c>
      <c r="Q985" t="s">
        <v>125</v>
      </c>
      <c r="R985">
        <v>6</v>
      </c>
      <c r="S985">
        <v>37</v>
      </c>
      <c r="T985" t="s">
        <v>132</v>
      </c>
      <c r="U985" t="s">
        <v>133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134</v>
      </c>
      <c r="AE985" t="s">
        <v>134</v>
      </c>
      <c r="AF985" s="2">
        <v>45600</v>
      </c>
      <c r="AG985" s="2">
        <v>46007</v>
      </c>
      <c r="AH985">
        <v>342.4</v>
      </c>
      <c r="AI985">
        <v>432.08</v>
      </c>
      <c r="AJ985" s="1">
        <v>3766.45</v>
      </c>
      <c r="AK985">
        <v>0</v>
      </c>
      <c r="AL985">
        <v>0</v>
      </c>
      <c r="AM985">
        <v>0</v>
      </c>
      <c r="AN985" t="s">
        <v>135</v>
      </c>
      <c r="AO985" t="s">
        <v>135</v>
      </c>
      <c r="AP985" t="s">
        <v>136</v>
      </c>
      <c r="AQ985" t="s">
        <v>137</v>
      </c>
      <c r="AR985" t="s">
        <v>138</v>
      </c>
      <c r="AS985" t="s">
        <v>139</v>
      </c>
      <c r="AT985" t="s">
        <v>140</v>
      </c>
      <c r="AU985">
        <v>103</v>
      </c>
      <c r="AV985">
        <v>10</v>
      </c>
      <c r="AW985">
        <v>1</v>
      </c>
      <c r="AX985" s="2">
        <v>45600</v>
      </c>
      <c r="AY985" t="s">
        <v>141</v>
      </c>
      <c r="AZ985" s="2">
        <v>46027</v>
      </c>
      <c r="BA985">
        <v>0</v>
      </c>
      <c r="BB985">
        <v>0</v>
      </c>
      <c r="BC985">
        <v>0</v>
      </c>
      <c r="BD985">
        <v>700</v>
      </c>
      <c r="BE985">
        <v>70</v>
      </c>
      <c r="BF985">
        <v>9</v>
      </c>
      <c r="BG985" s="2">
        <v>45809</v>
      </c>
      <c r="BH985" t="s">
        <v>142</v>
      </c>
      <c r="BI985" s="2">
        <v>46026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 s="1">
        <v>1434.66</v>
      </c>
      <c r="BQ985" s="1">
        <v>1434.66</v>
      </c>
      <c r="BR985">
        <v>0</v>
      </c>
      <c r="BS985">
        <v>0</v>
      </c>
      <c r="BT985">
        <v>0</v>
      </c>
      <c r="BU985">
        <v>0</v>
      </c>
      <c r="BV985">
        <v>945.87</v>
      </c>
      <c r="BW985">
        <v>945.87</v>
      </c>
      <c r="BX985">
        <v>0</v>
      </c>
      <c r="BY985">
        <v>0</v>
      </c>
      <c r="BZ985">
        <v>0</v>
      </c>
      <c r="CA985">
        <v>0</v>
      </c>
      <c r="CB985" s="1">
        <v>1392.54</v>
      </c>
      <c r="CC985" t="s">
        <v>143</v>
      </c>
    </row>
    <row r="986" spans="1:81" x14ac:dyDescent="0.25">
      <c r="A986">
        <v>345</v>
      </c>
      <c r="B986">
        <v>2</v>
      </c>
      <c r="C986">
        <v>2900</v>
      </c>
      <c r="D986" t="s">
        <v>5619</v>
      </c>
      <c r="E986" t="s">
        <v>121</v>
      </c>
      <c r="F986" t="s">
        <v>5620</v>
      </c>
      <c r="G986" t="s">
        <v>5621</v>
      </c>
      <c r="H986" t="s">
        <v>5622</v>
      </c>
      <c r="I986" t="s">
        <v>125</v>
      </c>
      <c r="J986" t="s">
        <v>3074</v>
      </c>
      <c r="K986" t="s">
        <v>1853</v>
      </c>
      <c r="L986" t="s">
        <v>128</v>
      </c>
      <c r="M986" t="s">
        <v>5488</v>
      </c>
      <c r="N986" t="s">
        <v>5623</v>
      </c>
      <c r="O986" t="s">
        <v>296</v>
      </c>
      <c r="P986">
        <v>0</v>
      </c>
      <c r="Q986" t="s">
        <v>125</v>
      </c>
      <c r="R986">
        <v>6</v>
      </c>
      <c r="S986">
        <v>39</v>
      </c>
      <c r="T986" t="s">
        <v>132</v>
      </c>
      <c r="U986" t="s">
        <v>133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134</v>
      </c>
      <c r="AE986" t="s">
        <v>134</v>
      </c>
      <c r="AF986" s="2">
        <v>45600</v>
      </c>
      <c r="AG986" s="2">
        <v>46017</v>
      </c>
      <c r="AH986" s="1">
        <v>2212.16</v>
      </c>
      <c r="AI986" s="1">
        <v>5593.44</v>
      </c>
      <c r="AJ986" s="1">
        <v>22121.64</v>
      </c>
      <c r="AK986">
        <v>0</v>
      </c>
      <c r="AL986">
        <v>0</v>
      </c>
      <c r="AM986">
        <v>0</v>
      </c>
      <c r="AN986" t="s">
        <v>135</v>
      </c>
      <c r="AO986" t="s">
        <v>135</v>
      </c>
      <c r="AP986" t="s">
        <v>136</v>
      </c>
      <c r="AQ986" t="s">
        <v>137</v>
      </c>
      <c r="AR986" t="s">
        <v>138</v>
      </c>
      <c r="AS986" t="s">
        <v>139</v>
      </c>
      <c r="AT986" t="s">
        <v>140</v>
      </c>
      <c r="AU986">
        <v>106</v>
      </c>
      <c r="AV986">
        <v>10</v>
      </c>
      <c r="AW986">
        <v>1</v>
      </c>
      <c r="AX986" s="2">
        <v>45841</v>
      </c>
      <c r="AY986" t="s">
        <v>308</v>
      </c>
      <c r="AZ986" s="2">
        <v>46023</v>
      </c>
      <c r="BA986">
        <v>0</v>
      </c>
      <c r="BB986">
        <v>0</v>
      </c>
      <c r="BC986">
        <v>0</v>
      </c>
      <c r="BD986">
        <v>700</v>
      </c>
      <c r="BE986">
        <v>70</v>
      </c>
      <c r="BF986">
        <v>9</v>
      </c>
      <c r="BG986" s="2">
        <v>45809</v>
      </c>
      <c r="BH986" t="s">
        <v>142</v>
      </c>
      <c r="BI986" s="2">
        <v>46026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 s="1">
        <v>5736.12</v>
      </c>
      <c r="BQ986" s="1">
        <v>5736.12</v>
      </c>
      <c r="BR986">
        <v>0</v>
      </c>
      <c r="BS986">
        <v>0</v>
      </c>
      <c r="BT986">
        <v>0</v>
      </c>
      <c r="BU986">
        <v>0</v>
      </c>
      <c r="BV986" s="1">
        <v>11598.23</v>
      </c>
      <c r="BW986" s="1">
        <v>11598.23</v>
      </c>
      <c r="BX986">
        <v>0</v>
      </c>
      <c r="BY986">
        <v>0</v>
      </c>
      <c r="BZ986">
        <v>0</v>
      </c>
      <c r="CA986">
        <v>0</v>
      </c>
      <c r="CB986" s="1">
        <v>4781.42</v>
      </c>
      <c r="CC986" t="s">
        <v>297</v>
      </c>
    </row>
    <row r="987" spans="1:81" x14ac:dyDescent="0.25">
      <c r="A987">
        <v>345</v>
      </c>
      <c r="B987">
        <v>2</v>
      </c>
      <c r="C987">
        <v>2901</v>
      </c>
      <c r="D987" t="s">
        <v>5624</v>
      </c>
      <c r="E987" t="s">
        <v>121</v>
      </c>
      <c r="F987" t="s">
        <v>5625</v>
      </c>
      <c r="G987" t="s">
        <v>5626</v>
      </c>
      <c r="H987" t="s">
        <v>5627</v>
      </c>
      <c r="I987" t="s">
        <v>125</v>
      </c>
      <c r="J987" t="s">
        <v>3074</v>
      </c>
      <c r="K987" t="s">
        <v>1853</v>
      </c>
      <c r="L987" t="s">
        <v>128</v>
      </c>
      <c r="M987" t="s">
        <v>5488</v>
      </c>
      <c r="N987" t="s">
        <v>5628</v>
      </c>
      <c r="O987" t="s">
        <v>159</v>
      </c>
      <c r="P987">
        <v>0</v>
      </c>
      <c r="Q987" t="s">
        <v>125</v>
      </c>
      <c r="R987">
        <v>6</v>
      </c>
      <c r="S987">
        <v>33</v>
      </c>
      <c r="T987" t="s">
        <v>132</v>
      </c>
      <c r="U987" t="s">
        <v>133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134</v>
      </c>
      <c r="AE987" t="s">
        <v>134</v>
      </c>
      <c r="AF987" s="2">
        <v>45600</v>
      </c>
      <c r="AG987" s="2">
        <v>46010</v>
      </c>
      <c r="AH987">
        <v>280.32</v>
      </c>
      <c r="AI987">
        <v>341.79</v>
      </c>
      <c r="AJ987" s="1">
        <v>1401.6</v>
      </c>
      <c r="AK987">
        <v>0</v>
      </c>
      <c r="AL987">
        <v>0</v>
      </c>
      <c r="AM987">
        <v>0</v>
      </c>
      <c r="AN987" t="s">
        <v>135</v>
      </c>
      <c r="AO987" t="s">
        <v>135</v>
      </c>
      <c r="AP987" t="s">
        <v>136</v>
      </c>
      <c r="AQ987" t="s">
        <v>137</v>
      </c>
      <c r="AR987" t="s">
        <v>138</v>
      </c>
      <c r="AS987" t="s">
        <v>139</v>
      </c>
      <c r="AT987" t="s">
        <v>140</v>
      </c>
      <c r="AU987">
        <v>106</v>
      </c>
      <c r="AV987">
        <v>10</v>
      </c>
      <c r="AW987">
        <v>1</v>
      </c>
      <c r="AX987" s="2">
        <v>45841</v>
      </c>
      <c r="AY987" t="s">
        <v>308</v>
      </c>
      <c r="AZ987" s="2">
        <v>46023</v>
      </c>
      <c r="BA987">
        <v>0</v>
      </c>
      <c r="BB987">
        <v>0</v>
      </c>
      <c r="BC987">
        <v>0</v>
      </c>
      <c r="BD987">
        <v>700</v>
      </c>
      <c r="BE987">
        <v>70</v>
      </c>
      <c r="BF987">
        <v>9</v>
      </c>
      <c r="BG987" s="2">
        <v>45809</v>
      </c>
      <c r="BH987" t="s">
        <v>142</v>
      </c>
      <c r="BI987" s="2">
        <v>46026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497.62</v>
      </c>
      <c r="BQ987">
        <v>497.62</v>
      </c>
      <c r="BR987">
        <v>0</v>
      </c>
      <c r="BS987">
        <v>0</v>
      </c>
      <c r="BT987">
        <v>0</v>
      </c>
      <c r="BU987">
        <v>0</v>
      </c>
      <c r="BV987">
        <v>633.75</v>
      </c>
      <c r="BW987">
        <v>633.75</v>
      </c>
      <c r="BX987">
        <v>0</v>
      </c>
      <c r="BY987">
        <v>0</v>
      </c>
      <c r="BZ987">
        <v>0</v>
      </c>
      <c r="CA987">
        <v>0</v>
      </c>
      <c r="CB987">
        <v>423.61</v>
      </c>
      <c r="CC987" t="s">
        <v>161</v>
      </c>
    </row>
    <row r="988" spans="1:81" x14ac:dyDescent="0.25">
      <c r="A988">
        <v>345</v>
      </c>
      <c r="B988">
        <v>2</v>
      </c>
      <c r="C988">
        <v>2903</v>
      </c>
      <c r="D988" t="s">
        <v>5629</v>
      </c>
      <c r="E988" t="s">
        <v>121</v>
      </c>
      <c r="F988" t="s">
        <v>5630</v>
      </c>
      <c r="G988" t="s">
        <v>5631</v>
      </c>
      <c r="H988" t="s">
        <v>5632</v>
      </c>
      <c r="I988" t="s">
        <v>5580</v>
      </c>
      <c r="J988" t="s">
        <v>459</v>
      </c>
      <c r="K988" t="s">
        <v>336</v>
      </c>
      <c r="L988" t="s">
        <v>128</v>
      </c>
      <c r="M988" t="s">
        <v>5488</v>
      </c>
      <c r="N988" t="s">
        <v>5633</v>
      </c>
      <c r="O988" t="s">
        <v>159</v>
      </c>
      <c r="P988">
        <v>0</v>
      </c>
      <c r="Q988" t="s">
        <v>125</v>
      </c>
      <c r="R988">
        <v>6</v>
      </c>
      <c r="S988">
        <v>35</v>
      </c>
      <c r="T988" t="s">
        <v>132</v>
      </c>
      <c r="U988" t="s">
        <v>133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134</v>
      </c>
      <c r="AE988" t="s">
        <v>134</v>
      </c>
      <c r="AF988" s="2">
        <v>45600</v>
      </c>
      <c r="AG988" s="2">
        <v>46015</v>
      </c>
      <c r="AH988">
        <v>55.95</v>
      </c>
      <c r="AI988">
        <v>57.3</v>
      </c>
      <c r="AJ988">
        <v>111.9</v>
      </c>
      <c r="AK988">
        <v>0</v>
      </c>
      <c r="AL988">
        <v>0</v>
      </c>
      <c r="AM988">
        <v>0</v>
      </c>
      <c r="AN988" t="s">
        <v>135</v>
      </c>
      <c r="AO988" t="s">
        <v>135</v>
      </c>
      <c r="AP988" t="s">
        <v>136</v>
      </c>
      <c r="AQ988" t="s">
        <v>137</v>
      </c>
      <c r="AR988" t="s">
        <v>138</v>
      </c>
      <c r="AS988" t="s">
        <v>139</v>
      </c>
      <c r="AT988" t="s">
        <v>140</v>
      </c>
      <c r="AU988">
        <v>100</v>
      </c>
      <c r="AV988">
        <v>10</v>
      </c>
      <c r="AW988">
        <v>1</v>
      </c>
      <c r="AX988" s="2">
        <v>45859</v>
      </c>
      <c r="AY988" t="s">
        <v>141</v>
      </c>
      <c r="AZ988" s="2">
        <v>46027</v>
      </c>
      <c r="BA988">
        <v>0</v>
      </c>
      <c r="BB988">
        <v>0</v>
      </c>
      <c r="BC988">
        <v>0</v>
      </c>
      <c r="BD988">
        <v>700</v>
      </c>
      <c r="BE988">
        <v>70</v>
      </c>
      <c r="BF988">
        <v>9</v>
      </c>
      <c r="BG988" s="2">
        <v>45866</v>
      </c>
      <c r="BH988" t="s">
        <v>141</v>
      </c>
      <c r="BI988" s="2">
        <v>46034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54.6</v>
      </c>
      <c r="BW988">
        <v>54.6</v>
      </c>
      <c r="BX988">
        <v>0</v>
      </c>
      <c r="BY988">
        <v>0</v>
      </c>
      <c r="BZ988">
        <v>0</v>
      </c>
      <c r="CA988">
        <v>0</v>
      </c>
      <c r="CB988">
        <v>38.200000000000003</v>
      </c>
      <c r="CC988" t="s">
        <v>161</v>
      </c>
    </row>
    <row r="989" spans="1:81" x14ac:dyDescent="0.25">
      <c r="A989">
        <v>345</v>
      </c>
      <c r="B989">
        <v>2</v>
      </c>
      <c r="C989">
        <v>2904</v>
      </c>
      <c r="D989" t="s">
        <v>5634</v>
      </c>
      <c r="E989" t="s">
        <v>121</v>
      </c>
      <c r="F989" t="s">
        <v>5635</v>
      </c>
      <c r="G989" t="s">
        <v>5636</v>
      </c>
      <c r="H989" t="s">
        <v>5637</v>
      </c>
      <c r="I989" t="s">
        <v>1846</v>
      </c>
      <c r="J989" t="s">
        <v>1622</v>
      </c>
      <c r="K989" t="s">
        <v>336</v>
      </c>
      <c r="L989" t="s">
        <v>128</v>
      </c>
      <c r="M989" t="s">
        <v>5488</v>
      </c>
      <c r="N989" t="s">
        <v>5638</v>
      </c>
      <c r="O989" t="s">
        <v>201</v>
      </c>
      <c r="P989">
        <v>0</v>
      </c>
      <c r="Q989" t="s">
        <v>125</v>
      </c>
      <c r="R989">
        <v>6</v>
      </c>
      <c r="S989">
        <v>38</v>
      </c>
      <c r="T989" t="s">
        <v>132</v>
      </c>
      <c r="U989" t="s">
        <v>133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134</v>
      </c>
      <c r="AE989" t="s">
        <v>134</v>
      </c>
      <c r="AF989" s="2">
        <v>45600</v>
      </c>
      <c r="AG989" s="2">
        <v>46020</v>
      </c>
      <c r="AH989" s="1">
        <v>2421.2800000000002</v>
      </c>
      <c r="AI989" s="1">
        <v>5484</v>
      </c>
      <c r="AJ989" s="1">
        <v>26634.14</v>
      </c>
      <c r="AK989">
        <v>0</v>
      </c>
      <c r="AL989">
        <v>0</v>
      </c>
      <c r="AM989">
        <v>0</v>
      </c>
      <c r="AN989" t="s">
        <v>135</v>
      </c>
      <c r="AO989" t="s">
        <v>135</v>
      </c>
      <c r="AP989" t="s">
        <v>136</v>
      </c>
      <c r="AQ989" t="s">
        <v>137</v>
      </c>
      <c r="AR989" t="s">
        <v>138</v>
      </c>
      <c r="AS989" t="s">
        <v>139</v>
      </c>
      <c r="AT989" t="s">
        <v>140</v>
      </c>
      <c r="AU989">
        <v>101</v>
      </c>
      <c r="AV989">
        <v>10</v>
      </c>
      <c r="AW989">
        <v>1</v>
      </c>
      <c r="AX989" s="2">
        <v>45843</v>
      </c>
      <c r="AY989" t="s">
        <v>160</v>
      </c>
      <c r="AZ989" s="2">
        <v>46025</v>
      </c>
      <c r="BA989">
        <v>0</v>
      </c>
      <c r="BB989">
        <v>0</v>
      </c>
      <c r="BC989">
        <v>0</v>
      </c>
      <c r="BD989">
        <v>700</v>
      </c>
      <c r="BE989">
        <v>70</v>
      </c>
      <c r="BF989">
        <v>9</v>
      </c>
      <c r="BG989" s="2">
        <v>45809</v>
      </c>
      <c r="BH989" t="s">
        <v>142</v>
      </c>
      <c r="BI989" s="2">
        <v>46026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 s="1">
        <v>13657.8</v>
      </c>
      <c r="BQ989" s="1">
        <v>13657.8</v>
      </c>
      <c r="BR989">
        <v>0</v>
      </c>
      <c r="BS989">
        <v>0</v>
      </c>
      <c r="BT989">
        <v>0</v>
      </c>
      <c r="BU989">
        <v>0</v>
      </c>
      <c r="BV989" s="1">
        <v>8729.44</v>
      </c>
      <c r="BW989" s="1">
        <v>8729.44</v>
      </c>
      <c r="BX989">
        <v>0</v>
      </c>
      <c r="BY989">
        <v>0</v>
      </c>
      <c r="BZ989">
        <v>0</v>
      </c>
      <c r="CA989">
        <v>0</v>
      </c>
      <c r="CB989" s="1">
        <v>7958.13</v>
      </c>
      <c r="CC989" t="s">
        <v>143</v>
      </c>
    </row>
    <row r="990" spans="1:81" x14ac:dyDescent="0.25">
      <c r="A990">
        <v>345</v>
      </c>
      <c r="B990">
        <v>2</v>
      </c>
      <c r="C990">
        <v>2907</v>
      </c>
      <c r="D990" t="s">
        <v>5639</v>
      </c>
      <c r="E990" t="s">
        <v>121</v>
      </c>
      <c r="F990" t="s">
        <v>5640</v>
      </c>
      <c r="G990" t="s">
        <v>5641</v>
      </c>
      <c r="H990" t="s">
        <v>5642</v>
      </c>
      <c r="I990" t="s">
        <v>5643</v>
      </c>
      <c r="J990" t="s">
        <v>5524</v>
      </c>
      <c r="K990" t="s">
        <v>336</v>
      </c>
      <c r="L990" t="s">
        <v>128</v>
      </c>
      <c r="M990" t="s">
        <v>5488</v>
      </c>
      <c r="N990" t="s">
        <v>5644</v>
      </c>
      <c r="O990" t="s">
        <v>167</v>
      </c>
      <c r="P990">
        <v>0</v>
      </c>
      <c r="Q990" t="s">
        <v>125</v>
      </c>
      <c r="R990">
        <v>6</v>
      </c>
      <c r="S990">
        <v>33</v>
      </c>
      <c r="T990" t="s">
        <v>132</v>
      </c>
      <c r="U990" t="s">
        <v>133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134</v>
      </c>
      <c r="AE990" t="s">
        <v>134</v>
      </c>
      <c r="AF990" s="2">
        <v>45600</v>
      </c>
      <c r="AG990" s="2">
        <v>46020</v>
      </c>
      <c r="AH990">
        <v>353.56</v>
      </c>
      <c r="AI990">
        <v>417</v>
      </c>
      <c r="AJ990" s="1">
        <v>1767.81</v>
      </c>
      <c r="AK990">
        <v>0</v>
      </c>
      <c r="AL990">
        <v>0</v>
      </c>
      <c r="AM990">
        <v>0</v>
      </c>
      <c r="AN990" t="s">
        <v>135</v>
      </c>
      <c r="AO990" t="s">
        <v>135</v>
      </c>
      <c r="AP990" t="s">
        <v>136</v>
      </c>
      <c r="AQ990" t="s">
        <v>137</v>
      </c>
      <c r="AR990" t="s">
        <v>138</v>
      </c>
      <c r="AS990" t="s">
        <v>139</v>
      </c>
      <c r="AT990" t="s">
        <v>140</v>
      </c>
      <c r="AU990">
        <v>101</v>
      </c>
      <c r="AV990">
        <v>10</v>
      </c>
      <c r="AW990">
        <v>1</v>
      </c>
      <c r="AX990" s="2">
        <v>45856</v>
      </c>
      <c r="AY990" t="s">
        <v>151</v>
      </c>
      <c r="AZ990" s="2">
        <v>46024</v>
      </c>
      <c r="BA990">
        <v>0</v>
      </c>
      <c r="BB990">
        <v>0</v>
      </c>
      <c r="BC990">
        <v>0</v>
      </c>
      <c r="BD990">
        <v>700</v>
      </c>
      <c r="BE990">
        <v>70</v>
      </c>
      <c r="BF990">
        <v>9</v>
      </c>
      <c r="BG990" s="2">
        <v>45809</v>
      </c>
      <c r="BH990" t="s">
        <v>142</v>
      </c>
      <c r="BI990" s="2">
        <v>46026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832.1</v>
      </c>
      <c r="BQ990">
        <v>832.1</v>
      </c>
      <c r="BR990">
        <v>0</v>
      </c>
      <c r="BS990">
        <v>0</v>
      </c>
      <c r="BT990">
        <v>0</v>
      </c>
      <c r="BU990">
        <v>0</v>
      </c>
      <c r="BV990">
        <v>533.70000000000005</v>
      </c>
      <c r="BW990">
        <v>533.70000000000005</v>
      </c>
      <c r="BX990">
        <v>0</v>
      </c>
      <c r="BY990">
        <v>0</v>
      </c>
      <c r="BZ990">
        <v>0</v>
      </c>
      <c r="CA990">
        <v>0</v>
      </c>
      <c r="CB990">
        <v>589.27</v>
      </c>
      <c r="CC990" t="s">
        <v>161</v>
      </c>
    </row>
    <row r="991" spans="1:81" x14ac:dyDescent="0.25">
      <c r="A991">
        <v>345</v>
      </c>
      <c r="B991">
        <v>2</v>
      </c>
      <c r="C991">
        <v>2909</v>
      </c>
      <c r="D991" t="s">
        <v>5645</v>
      </c>
      <c r="E991" t="s">
        <v>121</v>
      </c>
      <c r="F991" t="s">
        <v>5646</v>
      </c>
      <c r="G991" t="s">
        <v>5647</v>
      </c>
      <c r="H991" t="s">
        <v>5648</v>
      </c>
      <c r="I991" t="s">
        <v>5649</v>
      </c>
      <c r="J991" t="s">
        <v>944</v>
      </c>
      <c r="K991" t="s">
        <v>466</v>
      </c>
      <c r="L991" t="s">
        <v>128</v>
      </c>
      <c r="M991" t="s">
        <v>5488</v>
      </c>
      <c r="N991" t="s">
        <v>5650</v>
      </c>
      <c r="O991" t="s">
        <v>167</v>
      </c>
      <c r="P991">
        <v>0</v>
      </c>
      <c r="Q991" t="s">
        <v>125</v>
      </c>
      <c r="R991">
        <v>6</v>
      </c>
      <c r="S991">
        <v>34</v>
      </c>
      <c r="T991" t="s">
        <v>132</v>
      </c>
      <c r="U991" t="s">
        <v>133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134</v>
      </c>
      <c r="AE991" t="s">
        <v>134</v>
      </c>
      <c r="AF991" s="2">
        <v>45600</v>
      </c>
      <c r="AG991" s="2">
        <v>46018</v>
      </c>
      <c r="AH991">
        <v>534.55999999999995</v>
      </c>
      <c r="AI991">
        <v>997.48</v>
      </c>
      <c r="AJ991" s="1">
        <v>5880.25</v>
      </c>
      <c r="AK991">
        <v>0</v>
      </c>
      <c r="AL991">
        <v>0</v>
      </c>
      <c r="AM991">
        <v>0</v>
      </c>
      <c r="AN991" t="s">
        <v>135</v>
      </c>
      <c r="AO991" t="s">
        <v>135</v>
      </c>
      <c r="AP991" t="s">
        <v>136</v>
      </c>
      <c r="AQ991" t="s">
        <v>137</v>
      </c>
      <c r="AR991" t="s">
        <v>138</v>
      </c>
      <c r="AS991" t="s">
        <v>139</v>
      </c>
      <c r="AT991" t="s">
        <v>140</v>
      </c>
      <c r="AU991">
        <v>500</v>
      </c>
      <c r="AV991">
        <v>10</v>
      </c>
      <c r="AW991">
        <v>1</v>
      </c>
      <c r="AX991" s="2">
        <v>45840</v>
      </c>
      <c r="AY991" t="s">
        <v>168</v>
      </c>
      <c r="AZ991" s="2">
        <v>46022</v>
      </c>
      <c r="BA991">
        <v>0</v>
      </c>
      <c r="BB991">
        <v>0</v>
      </c>
      <c r="BC991">
        <v>0</v>
      </c>
      <c r="BD991">
        <v>700</v>
      </c>
      <c r="BE991">
        <v>70</v>
      </c>
      <c r="BF991">
        <v>9</v>
      </c>
      <c r="BG991" s="2">
        <v>45809</v>
      </c>
      <c r="BH991" t="s">
        <v>142</v>
      </c>
      <c r="BI991" s="2">
        <v>46026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 s="1">
        <v>1588.26</v>
      </c>
      <c r="BQ991" s="1">
        <v>1588.26</v>
      </c>
      <c r="BR991">
        <v>0</v>
      </c>
      <c r="BS991">
        <v>0</v>
      </c>
      <c r="BT991">
        <v>0</v>
      </c>
      <c r="BU991">
        <v>0</v>
      </c>
      <c r="BV991" s="1">
        <v>2276.35</v>
      </c>
      <c r="BW991" s="1">
        <v>2276.35</v>
      </c>
      <c r="BX991">
        <v>0</v>
      </c>
      <c r="BY991">
        <v>0</v>
      </c>
      <c r="BZ991">
        <v>0</v>
      </c>
      <c r="CA991">
        <v>0</v>
      </c>
      <c r="CB991" s="1">
        <v>1882.36</v>
      </c>
      <c r="CC991" t="s">
        <v>161</v>
      </c>
    </row>
    <row r="992" spans="1:81" x14ac:dyDescent="0.25">
      <c r="A992">
        <v>345</v>
      </c>
      <c r="B992">
        <v>2</v>
      </c>
      <c r="C992">
        <v>2912</v>
      </c>
      <c r="D992" t="s">
        <v>5651</v>
      </c>
      <c r="E992" t="s">
        <v>121</v>
      </c>
      <c r="F992" t="s">
        <v>5652</v>
      </c>
      <c r="G992" t="s">
        <v>5653</v>
      </c>
      <c r="H992" t="s">
        <v>5654</v>
      </c>
      <c r="I992" t="s">
        <v>5592</v>
      </c>
      <c r="J992" t="s">
        <v>1263</v>
      </c>
      <c r="K992" t="s">
        <v>466</v>
      </c>
      <c r="L992" t="s">
        <v>128</v>
      </c>
      <c r="M992" t="s">
        <v>5488</v>
      </c>
      <c r="N992" t="s">
        <v>5655</v>
      </c>
      <c r="O992" t="s">
        <v>159</v>
      </c>
      <c r="P992">
        <v>0</v>
      </c>
      <c r="Q992" t="s">
        <v>125</v>
      </c>
      <c r="R992">
        <v>6</v>
      </c>
      <c r="S992">
        <v>37</v>
      </c>
      <c r="T992" t="s">
        <v>132</v>
      </c>
      <c r="U992" t="s">
        <v>133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134</v>
      </c>
      <c r="AE992" t="s">
        <v>134</v>
      </c>
      <c r="AF992" s="2">
        <v>45603</v>
      </c>
      <c r="AG992" s="2">
        <v>45996</v>
      </c>
      <c r="AH992">
        <v>355.81</v>
      </c>
      <c r="AI992">
        <v>662.04</v>
      </c>
      <c r="AJ992" s="1">
        <v>1423.26</v>
      </c>
      <c r="AK992">
        <v>0</v>
      </c>
      <c r="AL992">
        <v>0</v>
      </c>
      <c r="AM992">
        <v>0</v>
      </c>
      <c r="AN992" t="s">
        <v>135</v>
      </c>
      <c r="AO992" t="s">
        <v>135</v>
      </c>
      <c r="AP992" t="s">
        <v>136</v>
      </c>
      <c r="AQ992" t="s">
        <v>137</v>
      </c>
      <c r="AR992" t="s">
        <v>138</v>
      </c>
      <c r="AS992" t="s">
        <v>150</v>
      </c>
      <c r="AT992" t="s">
        <v>140</v>
      </c>
      <c r="AU992">
        <v>106</v>
      </c>
      <c r="AV992">
        <v>10</v>
      </c>
      <c r="AW992">
        <v>1</v>
      </c>
      <c r="AX992" s="2">
        <v>45841</v>
      </c>
      <c r="AY992" t="s">
        <v>308</v>
      </c>
      <c r="AZ992" s="2">
        <v>46023</v>
      </c>
      <c r="BA992">
        <v>0</v>
      </c>
      <c r="BB992">
        <v>0</v>
      </c>
      <c r="BC992">
        <v>0</v>
      </c>
      <c r="BD992">
        <v>700</v>
      </c>
      <c r="BE992">
        <v>70</v>
      </c>
      <c r="BF992">
        <v>9</v>
      </c>
      <c r="BG992" s="2">
        <v>45809</v>
      </c>
      <c r="BH992" t="s">
        <v>142</v>
      </c>
      <c r="BI992" s="2">
        <v>46026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761.22</v>
      </c>
      <c r="BQ992">
        <v>761.22</v>
      </c>
      <c r="BR992">
        <v>0</v>
      </c>
      <c r="BS992">
        <v>0</v>
      </c>
      <c r="BT992">
        <v>0</v>
      </c>
      <c r="BU992">
        <v>0</v>
      </c>
      <c r="BV992">
        <v>662.04</v>
      </c>
      <c r="BW992">
        <v>662.04</v>
      </c>
      <c r="BX992">
        <v>0</v>
      </c>
      <c r="BY992">
        <v>0</v>
      </c>
      <c r="BZ992">
        <v>0</v>
      </c>
      <c r="CA992">
        <v>0</v>
      </c>
      <c r="CB992">
        <v>296.41000000000003</v>
      </c>
      <c r="CC992" t="s">
        <v>161</v>
      </c>
    </row>
    <row r="993" spans="1:81" x14ac:dyDescent="0.25">
      <c r="A993">
        <v>345</v>
      </c>
      <c r="B993">
        <v>2</v>
      </c>
      <c r="C993">
        <v>2916</v>
      </c>
      <c r="D993" t="s">
        <v>5656</v>
      </c>
      <c r="E993" t="s">
        <v>121</v>
      </c>
      <c r="F993" t="s">
        <v>5657</v>
      </c>
      <c r="G993" t="s">
        <v>5658</v>
      </c>
      <c r="H993" t="s">
        <v>5659</v>
      </c>
      <c r="I993" t="s">
        <v>5660</v>
      </c>
      <c r="J993" t="s">
        <v>1263</v>
      </c>
      <c r="K993" t="s">
        <v>466</v>
      </c>
      <c r="L993" t="s">
        <v>128</v>
      </c>
      <c r="M993" t="s">
        <v>5488</v>
      </c>
      <c r="N993" t="s">
        <v>5661</v>
      </c>
      <c r="O993" t="s">
        <v>201</v>
      </c>
      <c r="P993">
        <v>0</v>
      </c>
      <c r="Q993" t="s">
        <v>125</v>
      </c>
      <c r="R993">
        <v>6</v>
      </c>
      <c r="S993">
        <v>40</v>
      </c>
      <c r="T993" t="s">
        <v>132</v>
      </c>
      <c r="U993" t="s">
        <v>133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134</v>
      </c>
      <c r="AE993" t="s">
        <v>134</v>
      </c>
      <c r="AF993" s="2">
        <v>45607</v>
      </c>
      <c r="AG993" s="2">
        <v>46013</v>
      </c>
      <c r="AH993">
        <v>127.09</v>
      </c>
      <c r="AI993">
        <v>158.63999999999999</v>
      </c>
      <c r="AJ993">
        <v>381.27</v>
      </c>
      <c r="AK993">
        <v>0</v>
      </c>
      <c r="AL993">
        <v>0</v>
      </c>
      <c r="AM993">
        <v>0</v>
      </c>
      <c r="AN993" t="s">
        <v>135</v>
      </c>
      <c r="AO993" t="s">
        <v>135</v>
      </c>
      <c r="AP993" t="s">
        <v>136</v>
      </c>
      <c r="AQ993" t="s">
        <v>137</v>
      </c>
      <c r="AR993" t="s">
        <v>138</v>
      </c>
      <c r="AS993" t="s">
        <v>150</v>
      </c>
      <c r="AT993" t="s">
        <v>140</v>
      </c>
      <c r="AU993">
        <v>106</v>
      </c>
      <c r="AV993">
        <v>10</v>
      </c>
      <c r="AW993">
        <v>1</v>
      </c>
      <c r="AX993" s="2">
        <v>45815</v>
      </c>
      <c r="AY993" t="s">
        <v>160</v>
      </c>
      <c r="AZ993" s="2">
        <v>46025</v>
      </c>
      <c r="BA993">
        <v>0</v>
      </c>
      <c r="BB993">
        <v>0</v>
      </c>
      <c r="BC993">
        <v>0</v>
      </c>
      <c r="BD993">
        <v>700</v>
      </c>
      <c r="BE993">
        <v>70</v>
      </c>
      <c r="BF993">
        <v>9</v>
      </c>
      <c r="BG993" s="2">
        <v>45809</v>
      </c>
      <c r="BH993" t="s">
        <v>142</v>
      </c>
      <c r="BI993" s="2">
        <v>46026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116.76</v>
      </c>
      <c r="BQ993">
        <v>116.76</v>
      </c>
      <c r="BR993">
        <v>0</v>
      </c>
      <c r="BS993">
        <v>0</v>
      </c>
      <c r="BT993">
        <v>0</v>
      </c>
      <c r="BU993">
        <v>0</v>
      </c>
      <c r="BV993">
        <v>105.87</v>
      </c>
      <c r="BW993">
        <v>105.87</v>
      </c>
      <c r="BX993">
        <v>0</v>
      </c>
      <c r="BY993">
        <v>0</v>
      </c>
      <c r="BZ993">
        <v>0</v>
      </c>
      <c r="CA993">
        <v>0</v>
      </c>
      <c r="CB993">
        <v>165.07</v>
      </c>
      <c r="CC993" t="s">
        <v>143</v>
      </c>
    </row>
    <row r="994" spans="1:81" x14ac:dyDescent="0.25">
      <c r="A994">
        <v>345</v>
      </c>
      <c r="B994">
        <v>2</v>
      </c>
      <c r="C994">
        <v>2917</v>
      </c>
      <c r="D994" t="s">
        <v>5662</v>
      </c>
      <c r="E994" t="s">
        <v>121</v>
      </c>
      <c r="F994" t="s">
        <v>5663</v>
      </c>
      <c r="G994" t="s">
        <v>5664</v>
      </c>
      <c r="H994" t="s">
        <v>5665</v>
      </c>
      <c r="I994" t="s">
        <v>125</v>
      </c>
      <c r="J994" t="s">
        <v>1263</v>
      </c>
      <c r="K994" t="s">
        <v>466</v>
      </c>
      <c r="L994" t="s">
        <v>128</v>
      </c>
      <c r="M994" t="s">
        <v>467</v>
      </c>
      <c r="N994" t="s">
        <v>5666</v>
      </c>
      <c r="O994" t="s">
        <v>3115</v>
      </c>
      <c r="P994">
        <v>0</v>
      </c>
      <c r="Q994" t="s">
        <v>125</v>
      </c>
      <c r="R994">
        <v>3</v>
      </c>
      <c r="S994">
        <v>85</v>
      </c>
      <c r="T994" t="s">
        <v>132</v>
      </c>
      <c r="U994" t="s">
        <v>133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134</v>
      </c>
      <c r="AE994" t="s">
        <v>134</v>
      </c>
      <c r="AF994" s="2">
        <v>45607</v>
      </c>
      <c r="AG994" s="2">
        <v>46012</v>
      </c>
      <c r="AH994" s="1">
        <v>111452.32</v>
      </c>
      <c r="AI994" s="1">
        <v>111452.32</v>
      </c>
      <c r="AJ994" s="1">
        <v>111452.32</v>
      </c>
      <c r="AK994">
        <v>0</v>
      </c>
      <c r="AL994">
        <v>0</v>
      </c>
      <c r="AM994">
        <v>0</v>
      </c>
      <c r="AN994" t="s">
        <v>135</v>
      </c>
      <c r="AO994" t="s">
        <v>135</v>
      </c>
      <c r="AP994" t="s">
        <v>136</v>
      </c>
      <c r="AQ994" t="s">
        <v>137</v>
      </c>
      <c r="AR994" t="s">
        <v>138</v>
      </c>
      <c r="AS994" t="s">
        <v>150</v>
      </c>
      <c r="AT994" t="s">
        <v>140</v>
      </c>
      <c r="AU994">
        <v>106</v>
      </c>
      <c r="AV994">
        <v>10</v>
      </c>
      <c r="AW994">
        <v>1</v>
      </c>
      <c r="AX994" s="2">
        <v>45975</v>
      </c>
      <c r="AY994" t="s">
        <v>151</v>
      </c>
      <c r="AZ994" s="2">
        <v>46024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 t="s">
        <v>135</v>
      </c>
      <c r="BH994" t="s">
        <v>250</v>
      </c>
      <c r="BI994" t="s">
        <v>135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s="1">
        <v>111452.32</v>
      </c>
      <c r="BW994" s="1">
        <v>111452.32</v>
      </c>
      <c r="BX994">
        <v>0</v>
      </c>
      <c r="BY994">
        <v>0</v>
      </c>
      <c r="BZ994">
        <v>0</v>
      </c>
      <c r="CA994">
        <v>0</v>
      </c>
      <c r="CB994">
        <v>0</v>
      </c>
      <c r="CC994" t="s">
        <v>161</v>
      </c>
    </row>
    <row r="995" spans="1:81" x14ac:dyDescent="0.25">
      <c r="A995">
        <v>345</v>
      </c>
      <c r="B995">
        <v>2</v>
      </c>
      <c r="C995">
        <v>2918</v>
      </c>
      <c r="D995" t="s">
        <v>5667</v>
      </c>
      <c r="E995" t="s">
        <v>121</v>
      </c>
      <c r="F995" t="s">
        <v>5668</v>
      </c>
      <c r="G995" t="s">
        <v>5669</v>
      </c>
      <c r="H995" t="s">
        <v>5670</v>
      </c>
      <c r="I995" t="s">
        <v>125</v>
      </c>
      <c r="J995" t="s">
        <v>126</v>
      </c>
      <c r="K995" t="s">
        <v>466</v>
      </c>
      <c r="L995" t="s">
        <v>128</v>
      </c>
      <c r="M995" t="s">
        <v>5488</v>
      </c>
      <c r="N995" t="s">
        <v>5671</v>
      </c>
      <c r="O995" t="s">
        <v>159</v>
      </c>
      <c r="P995">
        <v>0</v>
      </c>
      <c r="Q995" t="s">
        <v>125</v>
      </c>
      <c r="R995">
        <v>6</v>
      </c>
      <c r="S995">
        <v>36</v>
      </c>
      <c r="T995" t="s">
        <v>132</v>
      </c>
      <c r="U995" t="s">
        <v>133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234</v>
      </c>
      <c r="AE995" t="s">
        <v>134</v>
      </c>
      <c r="AF995" s="2">
        <v>45608</v>
      </c>
      <c r="AG995" s="2">
        <v>46020</v>
      </c>
      <c r="AH995" s="1">
        <v>1875.99</v>
      </c>
      <c r="AI995" s="1">
        <v>2544.09</v>
      </c>
      <c r="AJ995" s="1">
        <v>22511.9</v>
      </c>
      <c r="AK995">
        <v>0</v>
      </c>
      <c r="AL995">
        <v>0</v>
      </c>
      <c r="AM995">
        <v>0</v>
      </c>
      <c r="AN995" t="s">
        <v>135</v>
      </c>
      <c r="AO995" t="s">
        <v>135</v>
      </c>
      <c r="AP995" t="s">
        <v>136</v>
      </c>
      <c r="AQ995" t="s">
        <v>137</v>
      </c>
      <c r="AR995" t="s">
        <v>138</v>
      </c>
      <c r="AS995" t="s">
        <v>139</v>
      </c>
      <c r="AT995" t="s">
        <v>140</v>
      </c>
      <c r="AU995">
        <v>501</v>
      </c>
      <c r="AV995">
        <v>10</v>
      </c>
      <c r="AW995">
        <v>1</v>
      </c>
      <c r="AX995" s="2">
        <v>45854</v>
      </c>
      <c r="AY995" t="s">
        <v>168</v>
      </c>
      <c r="AZ995" s="2">
        <v>46022</v>
      </c>
      <c r="BA995">
        <v>0</v>
      </c>
      <c r="BB995">
        <v>0</v>
      </c>
      <c r="BC995">
        <v>0</v>
      </c>
      <c r="BD995">
        <v>700</v>
      </c>
      <c r="BE995">
        <v>70</v>
      </c>
      <c r="BF995">
        <v>9</v>
      </c>
      <c r="BG995" s="2">
        <v>45809</v>
      </c>
      <c r="BH995" t="s">
        <v>142</v>
      </c>
      <c r="BI995" s="2">
        <v>46026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 s="1">
        <v>6830.41</v>
      </c>
      <c r="BQ995" s="1">
        <v>6830.41</v>
      </c>
      <c r="BR995">
        <v>0</v>
      </c>
      <c r="BS995">
        <v>0</v>
      </c>
      <c r="BT995">
        <v>0</v>
      </c>
      <c r="BU995">
        <v>0</v>
      </c>
      <c r="BV995" s="1">
        <v>6643.69</v>
      </c>
      <c r="BW995" s="1">
        <v>6643.69</v>
      </c>
      <c r="BX995">
        <v>0</v>
      </c>
      <c r="BY995">
        <v>0</v>
      </c>
      <c r="BZ995">
        <v>0</v>
      </c>
      <c r="CA995">
        <v>0</v>
      </c>
      <c r="CB995" s="1">
        <v>7420.18</v>
      </c>
      <c r="CC995" t="s">
        <v>161</v>
      </c>
    </row>
    <row r="996" spans="1:81" x14ac:dyDescent="0.25">
      <c r="A996">
        <v>345</v>
      </c>
      <c r="B996">
        <v>2</v>
      </c>
      <c r="C996">
        <v>2921</v>
      </c>
      <c r="D996" t="s">
        <v>5672</v>
      </c>
      <c r="E996" t="s">
        <v>121</v>
      </c>
      <c r="F996" t="s">
        <v>5673</v>
      </c>
      <c r="G996" t="s">
        <v>5674</v>
      </c>
      <c r="H996" t="s">
        <v>5675</v>
      </c>
      <c r="I996" t="s">
        <v>125</v>
      </c>
      <c r="J996" t="s">
        <v>3080</v>
      </c>
      <c r="K996" t="s">
        <v>336</v>
      </c>
      <c r="L996" t="s">
        <v>128</v>
      </c>
      <c r="M996" t="s">
        <v>337</v>
      </c>
      <c r="N996" t="s">
        <v>5676</v>
      </c>
      <c r="O996" t="s">
        <v>167</v>
      </c>
      <c r="P996">
        <v>0</v>
      </c>
      <c r="Q996" t="s">
        <v>125</v>
      </c>
      <c r="R996">
        <v>5</v>
      </c>
      <c r="S996">
        <v>72</v>
      </c>
      <c r="T996" t="s">
        <v>132</v>
      </c>
      <c r="U996" t="s">
        <v>133</v>
      </c>
      <c r="V996" s="1">
        <v>5000</v>
      </c>
      <c r="W996">
        <v>0</v>
      </c>
      <c r="X996" s="1">
        <v>5000</v>
      </c>
      <c r="Y996">
        <v>0</v>
      </c>
      <c r="Z996">
        <v>0</v>
      </c>
      <c r="AA996">
        <v>9</v>
      </c>
      <c r="AB996">
        <v>2</v>
      </c>
      <c r="AC996">
        <v>53</v>
      </c>
      <c r="AD996" t="s">
        <v>234</v>
      </c>
      <c r="AE996" t="s">
        <v>134</v>
      </c>
      <c r="AF996" s="2">
        <v>45609</v>
      </c>
      <c r="AG996" s="2">
        <v>46004</v>
      </c>
      <c r="AH996" s="1">
        <v>1433.05</v>
      </c>
      <c r="AI996" s="1">
        <v>2708.04</v>
      </c>
      <c r="AJ996" s="1">
        <v>11464.4</v>
      </c>
      <c r="AK996">
        <v>0</v>
      </c>
      <c r="AL996">
        <v>0</v>
      </c>
      <c r="AM996">
        <v>0</v>
      </c>
      <c r="AN996" t="s">
        <v>135</v>
      </c>
      <c r="AO996" t="s">
        <v>135</v>
      </c>
      <c r="AP996" t="s">
        <v>136</v>
      </c>
      <c r="AQ996" t="s">
        <v>137</v>
      </c>
      <c r="AR996" t="s">
        <v>138</v>
      </c>
      <c r="AS996" t="s">
        <v>150</v>
      </c>
      <c r="AT996" t="s">
        <v>140</v>
      </c>
      <c r="AU996">
        <v>500</v>
      </c>
      <c r="AV996">
        <v>10</v>
      </c>
      <c r="AW996">
        <v>1</v>
      </c>
      <c r="AX996" s="2">
        <v>45877</v>
      </c>
      <c r="AY996" t="s">
        <v>151</v>
      </c>
      <c r="AZ996" s="2">
        <v>46024</v>
      </c>
      <c r="BA996">
        <v>0</v>
      </c>
      <c r="BB996">
        <v>0</v>
      </c>
      <c r="BC996">
        <v>0</v>
      </c>
      <c r="BD996">
        <v>700</v>
      </c>
      <c r="BE996">
        <v>70</v>
      </c>
      <c r="BF996">
        <v>9</v>
      </c>
      <c r="BG996" s="2">
        <v>45809</v>
      </c>
      <c r="BH996" t="s">
        <v>142</v>
      </c>
      <c r="BI996" s="2">
        <v>46026</v>
      </c>
      <c r="BJ996">
        <v>0</v>
      </c>
      <c r="BK996">
        <v>0</v>
      </c>
      <c r="BL996">
        <v>0</v>
      </c>
      <c r="BM996">
        <v>8.24</v>
      </c>
      <c r="BN996">
        <v>8.24</v>
      </c>
      <c r="BO996" s="1">
        <v>7352.53</v>
      </c>
      <c r="BP996">
        <v>0</v>
      </c>
      <c r="BQ996" s="1">
        <v>7352.53</v>
      </c>
      <c r="BR996" s="1">
        <v>3356.88</v>
      </c>
      <c r="BS996">
        <v>9</v>
      </c>
      <c r="BT996">
        <v>9</v>
      </c>
      <c r="BU996" s="1">
        <v>1888.81</v>
      </c>
      <c r="BV996">
        <v>0</v>
      </c>
      <c r="BW996" s="1">
        <v>1888.81</v>
      </c>
      <c r="BX996">
        <v>0</v>
      </c>
      <c r="BY996">
        <v>0</v>
      </c>
      <c r="BZ996">
        <v>0</v>
      </c>
      <c r="CA996">
        <v>0</v>
      </c>
      <c r="CB996" s="1">
        <v>3729.94</v>
      </c>
      <c r="CC996" t="s">
        <v>161</v>
      </c>
    </row>
    <row r="997" spans="1:81" x14ac:dyDescent="0.25">
      <c r="A997">
        <v>345</v>
      </c>
      <c r="B997">
        <v>2</v>
      </c>
      <c r="C997">
        <v>2922</v>
      </c>
      <c r="D997" t="s">
        <v>5677</v>
      </c>
      <c r="E997" t="s">
        <v>121</v>
      </c>
      <c r="F997" t="s">
        <v>5678</v>
      </c>
      <c r="G997" t="s">
        <v>5679</v>
      </c>
      <c r="H997" t="s">
        <v>5680</v>
      </c>
      <c r="I997" t="s">
        <v>5681</v>
      </c>
      <c r="J997" t="s">
        <v>5682</v>
      </c>
      <c r="K997" t="s">
        <v>4248</v>
      </c>
      <c r="L997" t="s">
        <v>128</v>
      </c>
      <c r="M997" t="s">
        <v>1325</v>
      </c>
      <c r="N997" t="s">
        <v>5683</v>
      </c>
      <c r="O997" t="s">
        <v>159</v>
      </c>
      <c r="P997">
        <v>0</v>
      </c>
      <c r="Q997" t="s">
        <v>125</v>
      </c>
      <c r="R997">
        <v>4</v>
      </c>
      <c r="S997">
        <v>80</v>
      </c>
      <c r="T997" t="s">
        <v>132</v>
      </c>
      <c r="U997" t="s">
        <v>133</v>
      </c>
      <c r="V997" s="1">
        <v>1600</v>
      </c>
      <c r="W997" s="1">
        <v>1492.96</v>
      </c>
      <c r="X997">
        <v>107.04</v>
      </c>
      <c r="Y997">
        <v>7</v>
      </c>
      <c r="Z997">
        <v>0</v>
      </c>
      <c r="AA997">
        <v>9</v>
      </c>
      <c r="AB997">
        <v>0</v>
      </c>
      <c r="AC997">
        <v>0</v>
      </c>
      <c r="AD997" t="s">
        <v>134</v>
      </c>
      <c r="AE997" t="s">
        <v>134</v>
      </c>
      <c r="AF997" s="2">
        <v>45609</v>
      </c>
      <c r="AG997" s="2">
        <v>46018</v>
      </c>
      <c r="AH997">
        <v>809.73</v>
      </c>
      <c r="AI997" s="1">
        <v>1492.96</v>
      </c>
      <c r="AJ997" s="1">
        <v>7287.61</v>
      </c>
      <c r="AK997">
        <v>0</v>
      </c>
      <c r="AL997" s="1">
        <v>1492.96</v>
      </c>
      <c r="AM997">
        <v>43.89</v>
      </c>
      <c r="AN997" t="s">
        <v>135</v>
      </c>
      <c r="AO997" t="s">
        <v>135</v>
      </c>
      <c r="AP997" t="s">
        <v>136</v>
      </c>
      <c r="AQ997" t="s">
        <v>137</v>
      </c>
      <c r="AR997" t="s">
        <v>138</v>
      </c>
      <c r="AS997" t="s">
        <v>150</v>
      </c>
      <c r="AT997" t="s">
        <v>140</v>
      </c>
      <c r="AU997">
        <v>104</v>
      </c>
      <c r="AV997">
        <v>10</v>
      </c>
      <c r="AW997">
        <v>1</v>
      </c>
      <c r="AX997" s="2">
        <v>45883</v>
      </c>
      <c r="AY997" t="s">
        <v>308</v>
      </c>
      <c r="AZ997" s="2">
        <v>46023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 t="s">
        <v>135</v>
      </c>
      <c r="BH997" t="s">
        <v>250</v>
      </c>
      <c r="BI997" t="s">
        <v>135</v>
      </c>
      <c r="BJ997">
        <v>0</v>
      </c>
      <c r="BK997">
        <v>0</v>
      </c>
      <c r="BL997">
        <v>0</v>
      </c>
      <c r="BM997">
        <v>7.96</v>
      </c>
      <c r="BN997">
        <v>7.96</v>
      </c>
      <c r="BO997" s="1">
        <v>2836.23</v>
      </c>
      <c r="BP997">
        <v>0</v>
      </c>
      <c r="BQ997" s="1">
        <v>2836.23</v>
      </c>
      <c r="BR997">
        <v>655.32000000000005</v>
      </c>
      <c r="BS997">
        <v>7.98</v>
      </c>
      <c r="BT997">
        <v>7.98</v>
      </c>
      <c r="BU997" s="1">
        <v>3047.12</v>
      </c>
      <c r="BV997">
        <v>0</v>
      </c>
      <c r="BW997" s="1">
        <v>3047.12</v>
      </c>
      <c r="BX997" s="1">
        <v>1492.96</v>
      </c>
      <c r="BY997">
        <v>49</v>
      </c>
      <c r="BZ997">
        <v>0</v>
      </c>
      <c r="CA997">
        <v>0</v>
      </c>
      <c r="CB997" s="1">
        <v>1926.86</v>
      </c>
      <c r="CC997" t="s">
        <v>161</v>
      </c>
    </row>
    <row r="998" spans="1:81" x14ac:dyDescent="0.25">
      <c r="A998">
        <v>345</v>
      </c>
      <c r="B998">
        <v>2</v>
      </c>
      <c r="C998">
        <v>2925</v>
      </c>
      <c r="D998" t="s">
        <v>5684</v>
      </c>
      <c r="E998" t="s">
        <v>121</v>
      </c>
      <c r="F998" t="s">
        <v>5685</v>
      </c>
      <c r="G998" t="s">
        <v>5686</v>
      </c>
      <c r="H998" t="s">
        <v>5687</v>
      </c>
      <c r="I998" t="s">
        <v>5688</v>
      </c>
      <c r="J998" t="s">
        <v>5682</v>
      </c>
      <c r="K998" t="s">
        <v>4248</v>
      </c>
      <c r="L998" t="s">
        <v>128</v>
      </c>
      <c r="M998" t="s">
        <v>1325</v>
      </c>
      <c r="N998" t="s">
        <v>5689</v>
      </c>
      <c r="O998" t="s">
        <v>167</v>
      </c>
      <c r="P998">
        <v>0</v>
      </c>
      <c r="Q998" t="s">
        <v>125</v>
      </c>
      <c r="R998">
        <v>4</v>
      </c>
      <c r="S998">
        <v>76</v>
      </c>
      <c r="T998" t="s">
        <v>132</v>
      </c>
      <c r="U998" t="s">
        <v>133</v>
      </c>
      <c r="V998" s="1">
        <v>1800</v>
      </c>
      <c r="W998">
        <v>0</v>
      </c>
      <c r="X998" s="1">
        <v>1800</v>
      </c>
      <c r="Y998">
        <v>7</v>
      </c>
      <c r="Z998">
        <v>0</v>
      </c>
      <c r="AA998">
        <v>9</v>
      </c>
      <c r="AB998">
        <v>1</v>
      </c>
      <c r="AC998">
        <v>19</v>
      </c>
      <c r="AD998" t="s">
        <v>134</v>
      </c>
      <c r="AE998" t="s">
        <v>134</v>
      </c>
      <c r="AF998" s="2">
        <v>45610</v>
      </c>
      <c r="AG998" s="2">
        <v>45996</v>
      </c>
      <c r="AH998">
        <v>458.36</v>
      </c>
      <c r="AI998">
        <v>974.72</v>
      </c>
      <c r="AJ998" s="1">
        <v>2750.18</v>
      </c>
      <c r="AK998">
        <v>0</v>
      </c>
      <c r="AL998">
        <v>0</v>
      </c>
      <c r="AM998">
        <v>0</v>
      </c>
      <c r="AN998" t="s">
        <v>135</v>
      </c>
      <c r="AO998" t="s">
        <v>135</v>
      </c>
      <c r="AP998" t="s">
        <v>136</v>
      </c>
      <c r="AQ998" t="s">
        <v>137</v>
      </c>
      <c r="AR998" t="s">
        <v>138</v>
      </c>
      <c r="AS998" t="s">
        <v>150</v>
      </c>
      <c r="AT998" t="s">
        <v>140</v>
      </c>
      <c r="AU998">
        <v>104</v>
      </c>
      <c r="AV998">
        <v>10</v>
      </c>
      <c r="AW998">
        <v>1</v>
      </c>
      <c r="AX998" s="2">
        <v>45855</v>
      </c>
      <c r="AY998" t="s">
        <v>308</v>
      </c>
      <c r="AZ998" s="2">
        <v>46023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 t="s">
        <v>135</v>
      </c>
      <c r="BH998" t="s">
        <v>250</v>
      </c>
      <c r="BI998" t="s">
        <v>135</v>
      </c>
      <c r="BJ998">
        <v>0</v>
      </c>
      <c r="BK998">
        <v>0</v>
      </c>
      <c r="BL998">
        <v>0</v>
      </c>
      <c r="BM998">
        <v>8.42</v>
      </c>
      <c r="BN998">
        <v>8.42</v>
      </c>
      <c r="BO998" s="1">
        <v>1675.71</v>
      </c>
      <c r="BP998">
        <v>0</v>
      </c>
      <c r="BQ998" s="1">
        <v>1675.71</v>
      </c>
      <c r="BR998">
        <v>488.55</v>
      </c>
      <c r="BS998">
        <v>7</v>
      </c>
      <c r="BT998">
        <v>7</v>
      </c>
      <c r="BU998">
        <v>470.07</v>
      </c>
      <c r="BV998">
        <v>0</v>
      </c>
      <c r="BW998">
        <v>470.07</v>
      </c>
      <c r="BX998">
        <v>0</v>
      </c>
      <c r="BY998">
        <v>0</v>
      </c>
      <c r="BZ998">
        <v>0</v>
      </c>
      <c r="CA998">
        <v>0</v>
      </c>
      <c r="CB998">
        <v>987.35</v>
      </c>
      <c r="CC998" t="s">
        <v>161</v>
      </c>
    </row>
    <row r="999" spans="1:81" x14ac:dyDescent="0.25">
      <c r="A999">
        <v>345</v>
      </c>
      <c r="B999">
        <v>2</v>
      </c>
      <c r="C999">
        <v>2928</v>
      </c>
      <c r="D999" t="s">
        <v>5690</v>
      </c>
      <c r="E999" t="s">
        <v>121</v>
      </c>
      <c r="F999" t="s">
        <v>5691</v>
      </c>
      <c r="G999" t="s">
        <v>5692</v>
      </c>
      <c r="H999" t="s">
        <v>5693</v>
      </c>
      <c r="I999" t="s">
        <v>125</v>
      </c>
      <c r="J999" t="s">
        <v>4591</v>
      </c>
      <c r="K999" t="s">
        <v>4248</v>
      </c>
      <c r="L999" t="s">
        <v>128</v>
      </c>
      <c r="M999" t="s">
        <v>1325</v>
      </c>
      <c r="N999" t="s">
        <v>5694</v>
      </c>
      <c r="O999" t="s">
        <v>159</v>
      </c>
      <c r="P999">
        <v>0</v>
      </c>
      <c r="Q999" t="s">
        <v>125</v>
      </c>
      <c r="R999">
        <v>4</v>
      </c>
      <c r="S999">
        <v>75</v>
      </c>
      <c r="T999" t="s">
        <v>132</v>
      </c>
      <c r="U999" t="s">
        <v>133</v>
      </c>
      <c r="V999" s="1">
        <v>3000</v>
      </c>
      <c r="W999">
        <v>0</v>
      </c>
      <c r="X999" s="1">
        <v>3000</v>
      </c>
      <c r="Y999">
        <v>7</v>
      </c>
      <c r="Z999">
        <v>0</v>
      </c>
      <c r="AA999">
        <v>3</v>
      </c>
      <c r="AB999">
        <v>1</v>
      </c>
      <c r="AC999">
        <v>21</v>
      </c>
      <c r="AD999" t="s">
        <v>234</v>
      </c>
      <c r="AE999" t="s">
        <v>134</v>
      </c>
      <c r="AF999" s="2">
        <v>45610</v>
      </c>
      <c r="AG999" s="2">
        <v>46010</v>
      </c>
      <c r="AH999" s="1">
        <v>1161.56</v>
      </c>
      <c r="AI999" s="1">
        <v>2142.5700000000002</v>
      </c>
      <c r="AJ999" s="1">
        <v>11615.66</v>
      </c>
      <c r="AK999">
        <v>0</v>
      </c>
      <c r="AL999">
        <v>0</v>
      </c>
      <c r="AM999">
        <v>0</v>
      </c>
      <c r="AN999" t="s">
        <v>135</v>
      </c>
      <c r="AO999" t="s">
        <v>135</v>
      </c>
      <c r="AP999" t="s">
        <v>136</v>
      </c>
      <c r="AQ999" t="s">
        <v>137</v>
      </c>
      <c r="AR999" t="s">
        <v>138</v>
      </c>
      <c r="AS999" t="s">
        <v>150</v>
      </c>
      <c r="AT999" t="s">
        <v>140</v>
      </c>
      <c r="AU999">
        <v>501</v>
      </c>
      <c r="AV999">
        <v>10</v>
      </c>
      <c r="AW999">
        <v>1</v>
      </c>
      <c r="AX999" s="2">
        <v>45820</v>
      </c>
      <c r="AY999" t="s">
        <v>308</v>
      </c>
      <c r="AZ999" s="2">
        <v>46023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 t="s">
        <v>135</v>
      </c>
      <c r="BH999" t="s">
        <v>250</v>
      </c>
      <c r="BI999" t="s">
        <v>135</v>
      </c>
      <c r="BJ999">
        <v>0</v>
      </c>
      <c r="BK999">
        <v>0</v>
      </c>
      <c r="BL999">
        <v>0</v>
      </c>
      <c r="BM999">
        <v>3</v>
      </c>
      <c r="BN999">
        <v>3</v>
      </c>
      <c r="BO999" s="1">
        <v>4624.07</v>
      </c>
      <c r="BP999">
        <v>0</v>
      </c>
      <c r="BQ999" s="1">
        <v>4624.07</v>
      </c>
      <c r="BR999">
        <v>976.41</v>
      </c>
      <c r="BS999">
        <v>3</v>
      </c>
      <c r="BT999">
        <v>3</v>
      </c>
      <c r="BU999" s="1">
        <v>3084.67</v>
      </c>
      <c r="BV999">
        <v>0</v>
      </c>
      <c r="BW999" s="1">
        <v>3084.67</v>
      </c>
      <c r="BX999">
        <v>0</v>
      </c>
      <c r="BY999">
        <v>0</v>
      </c>
      <c r="BZ999">
        <v>0</v>
      </c>
      <c r="CA999">
        <v>0</v>
      </c>
      <c r="CB999" s="1">
        <v>3824.28</v>
      </c>
      <c r="CC999" t="s">
        <v>161</v>
      </c>
    </row>
    <row r="1000" spans="1:81" x14ac:dyDescent="0.25">
      <c r="A1000">
        <v>345</v>
      </c>
      <c r="B1000">
        <v>2</v>
      </c>
      <c r="C1000">
        <v>2930</v>
      </c>
      <c r="D1000" t="s">
        <v>5695</v>
      </c>
      <c r="E1000" t="s">
        <v>121</v>
      </c>
      <c r="F1000" t="s">
        <v>5696</v>
      </c>
      <c r="G1000" t="s">
        <v>5697</v>
      </c>
      <c r="H1000" t="s">
        <v>5698</v>
      </c>
      <c r="I1000" t="s">
        <v>125</v>
      </c>
      <c r="J1000" t="s">
        <v>5495</v>
      </c>
      <c r="K1000" t="s">
        <v>466</v>
      </c>
      <c r="L1000" t="s">
        <v>128</v>
      </c>
      <c r="M1000" t="s">
        <v>467</v>
      </c>
      <c r="N1000" t="s">
        <v>5699</v>
      </c>
      <c r="O1000" t="s">
        <v>195</v>
      </c>
      <c r="P1000">
        <v>0</v>
      </c>
      <c r="Q1000" t="s">
        <v>125</v>
      </c>
      <c r="R1000">
        <v>6</v>
      </c>
      <c r="S1000">
        <v>34</v>
      </c>
      <c r="T1000" t="s">
        <v>132</v>
      </c>
      <c r="U1000" t="s">
        <v>133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134</v>
      </c>
      <c r="AE1000" t="s">
        <v>134</v>
      </c>
      <c r="AF1000" s="2">
        <v>45610</v>
      </c>
      <c r="AG1000" s="2">
        <v>46018</v>
      </c>
      <c r="AH1000">
        <v>284.48</v>
      </c>
      <c r="AI1000">
        <v>560.72</v>
      </c>
      <c r="AJ1000" s="1">
        <v>2560.33</v>
      </c>
      <c r="AK1000">
        <v>0</v>
      </c>
      <c r="AL1000">
        <v>0</v>
      </c>
      <c r="AM1000">
        <v>0</v>
      </c>
      <c r="AN1000" t="s">
        <v>135</v>
      </c>
      <c r="AO1000" t="s">
        <v>135</v>
      </c>
      <c r="AP1000" t="s">
        <v>136</v>
      </c>
      <c r="AQ1000" t="s">
        <v>137</v>
      </c>
      <c r="AR1000" t="s">
        <v>138</v>
      </c>
      <c r="AS1000" t="s">
        <v>139</v>
      </c>
      <c r="AT1000" t="s">
        <v>140</v>
      </c>
      <c r="AU1000">
        <v>100</v>
      </c>
      <c r="AV1000">
        <v>10</v>
      </c>
      <c r="AW1000">
        <v>1</v>
      </c>
      <c r="AX1000" s="2">
        <v>45848</v>
      </c>
      <c r="AY1000" t="s">
        <v>308</v>
      </c>
      <c r="AZ1000" s="2">
        <v>46023</v>
      </c>
      <c r="BA1000">
        <v>0</v>
      </c>
      <c r="BB1000">
        <v>0</v>
      </c>
      <c r="BC1000">
        <v>0</v>
      </c>
      <c r="BD1000">
        <v>700</v>
      </c>
      <c r="BE1000">
        <v>70</v>
      </c>
      <c r="BF1000">
        <v>9</v>
      </c>
      <c r="BG1000" s="2">
        <v>45809</v>
      </c>
      <c r="BH1000" t="s">
        <v>142</v>
      </c>
      <c r="BI1000" s="2">
        <v>46026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 s="1">
        <v>1012.17</v>
      </c>
      <c r="BQ1000" s="1">
        <v>1012.17</v>
      </c>
      <c r="BR1000">
        <v>0</v>
      </c>
      <c r="BS1000">
        <v>0</v>
      </c>
      <c r="BT1000">
        <v>0</v>
      </c>
      <c r="BU1000">
        <v>0</v>
      </c>
      <c r="BV1000">
        <v>800.68</v>
      </c>
      <c r="BW1000">
        <v>800.68</v>
      </c>
      <c r="BX1000">
        <v>0</v>
      </c>
      <c r="BY1000">
        <v>0</v>
      </c>
      <c r="BZ1000">
        <v>0</v>
      </c>
      <c r="CA1000">
        <v>0</v>
      </c>
      <c r="CB1000" s="1">
        <v>1143.06</v>
      </c>
      <c r="CC1000" t="s">
        <v>161</v>
      </c>
    </row>
    <row r="1001" spans="1:81" x14ac:dyDescent="0.25">
      <c r="A1001">
        <v>345</v>
      </c>
      <c r="B1001">
        <v>2</v>
      </c>
      <c r="C1001">
        <v>2932</v>
      </c>
      <c r="D1001" t="s">
        <v>5700</v>
      </c>
      <c r="E1001" t="s">
        <v>5427</v>
      </c>
      <c r="F1001" t="s">
        <v>5701</v>
      </c>
      <c r="G1001" t="s">
        <v>5702</v>
      </c>
      <c r="H1001" t="s">
        <v>5703</v>
      </c>
      <c r="I1001" t="s">
        <v>125</v>
      </c>
      <c r="J1001" t="s">
        <v>126</v>
      </c>
      <c r="K1001" t="s">
        <v>336</v>
      </c>
      <c r="L1001" t="s">
        <v>128</v>
      </c>
      <c r="M1001" t="s">
        <v>337</v>
      </c>
      <c r="N1001" t="s">
        <v>5704</v>
      </c>
      <c r="O1001" t="s">
        <v>167</v>
      </c>
      <c r="P1001">
        <v>0</v>
      </c>
      <c r="Q1001" t="s">
        <v>125</v>
      </c>
      <c r="R1001">
        <v>6</v>
      </c>
      <c r="S1001">
        <v>35</v>
      </c>
      <c r="T1001" t="s">
        <v>132</v>
      </c>
      <c r="U1001" t="s">
        <v>133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134</v>
      </c>
      <c r="AE1001" t="s">
        <v>134</v>
      </c>
      <c r="AF1001" s="2">
        <v>45613</v>
      </c>
      <c r="AG1001" s="2">
        <v>46015</v>
      </c>
      <c r="AH1001">
        <v>825.77</v>
      </c>
      <c r="AI1001" s="1">
        <v>1108.33</v>
      </c>
      <c r="AJ1001" s="1">
        <v>9083.52</v>
      </c>
      <c r="AK1001">
        <v>0</v>
      </c>
      <c r="AL1001" s="1">
        <v>1018.1</v>
      </c>
      <c r="AM1001">
        <v>0</v>
      </c>
      <c r="AN1001" t="s">
        <v>135</v>
      </c>
      <c r="AO1001" t="s">
        <v>135</v>
      </c>
      <c r="AP1001" t="s">
        <v>136</v>
      </c>
      <c r="AQ1001" t="s">
        <v>137</v>
      </c>
      <c r="AR1001" t="s">
        <v>138</v>
      </c>
      <c r="AS1001" t="s">
        <v>139</v>
      </c>
      <c r="AT1001" t="s">
        <v>140</v>
      </c>
      <c r="AU1001">
        <v>100</v>
      </c>
      <c r="AV1001">
        <v>10</v>
      </c>
      <c r="AW1001">
        <v>1</v>
      </c>
      <c r="AX1001" s="2">
        <v>45824</v>
      </c>
      <c r="AY1001" t="s">
        <v>141</v>
      </c>
      <c r="AZ1001" s="2">
        <v>46027</v>
      </c>
      <c r="BA1001">
        <v>0</v>
      </c>
      <c r="BB1001">
        <v>0</v>
      </c>
      <c r="BC1001">
        <v>0</v>
      </c>
      <c r="BD1001">
        <v>700</v>
      </c>
      <c r="BE1001">
        <v>70</v>
      </c>
      <c r="BF1001">
        <v>9</v>
      </c>
      <c r="BG1001" s="2">
        <v>45809</v>
      </c>
      <c r="BH1001" t="s">
        <v>142</v>
      </c>
      <c r="BI1001" s="2">
        <v>46026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 s="1">
        <v>1440.1</v>
      </c>
      <c r="BQ1001" s="1">
        <v>1440.1</v>
      </c>
      <c r="BR1001">
        <v>0</v>
      </c>
      <c r="BS1001">
        <v>0</v>
      </c>
      <c r="BT1001">
        <v>0</v>
      </c>
      <c r="BU1001">
        <v>0</v>
      </c>
      <c r="BV1001" s="1">
        <v>3894.09</v>
      </c>
      <c r="BW1001" s="1">
        <v>3894.09</v>
      </c>
      <c r="BX1001">
        <v>0</v>
      </c>
      <c r="BY1001">
        <v>0</v>
      </c>
      <c r="BZ1001">
        <v>0</v>
      </c>
      <c r="CA1001">
        <v>0</v>
      </c>
      <c r="CB1001" s="1">
        <v>3638.53</v>
      </c>
      <c r="CC1001" t="s">
        <v>161</v>
      </c>
    </row>
    <row r="1002" spans="1:81" x14ac:dyDescent="0.25">
      <c r="A1002">
        <v>345</v>
      </c>
      <c r="B1002">
        <v>2</v>
      </c>
      <c r="C1002">
        <v>2934</v>
      </c>
      <c r="D1002" t="s">
        <v>5705</v>
      </c>
      <c r="E1002" t="s">
        <v>121</v>
      </c>
      <c r="F1002" t="s">
        <v>5706</v>
      </c>
      <c r="G1002" t="s">
        <v>5707</v>
      </c>
      <c r="H1002" t="s">
        <v>5708</v>
      </c>
      <c r="I1002" t="s">
        <v>125</v>
      </c>
      <c r="J1002" t="s">
        <v>126</v>
      </c>
      <c r="K1002" t="s">
        <v>336</v>
      </c>
      <c r="L1002" t="s">
        <v>128</v>
      </c>
      <c r="M1002" t="s">
        <v>5488</v>
      </c>
      <c r="N1002" t="s">
        <v>5709</v>
      </c>
      <c r="O1002" t="s">
        <v>3269</v>
      </c>
      <c r="P1002">
        <v>0</v>
      </c>
      <c r="Q1002" t="s">
        <v>125</v>
      </c>
      <c r="R1002">
        <v>6</v>
      </c>
      <c r="S1002">
        <v>42</v>
      </c>
      <c r="T1002" t="s">
        <v>132</v>
      </c>
      <c r="U1002" t="s">
        <v>133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134</v>
      </c>
      <c r="AE1002" t="s">
        <v>234</v>
      </c>
      <c r="AF1002" s="2">
        <v>45614</v>
      </c>
      <c r="AG1002" s="2">
        <v>46018</v>
      </c>
      <c r="AH1002">
        <v>584.53</v>
      </c>
      <c r="AI1002">
        <v>773.88</v>
      </c>
      <c r="AJ1002" s="1">
        <v>5260.81</v>
      </c>
      <c r="AK1002">
        <v>0</v>
      </c>
      <c r="AL1002">
        <v>0</v>
      </c>
      <c r="AM1002">
        <v>0</v>
      </c>
      <c r="AN1002" t="s">
        <v>135</v>
      </c>
      <c r="AO1002" t="s">
        <v>135</v>
      </c>
      <c r="AP1002" t="s">
        <v>136</v>
      </c>
      <c r="AQ1002" t="s">
        <v>137</v>
      </c>
      <c r="AR1002" t="s">
        <v>138</v>
      </c>
      <c r="AS1002" t="s">
        <v>150</v>
      </c>
      <c r="AT1002" t="s">
        <v>140</v>
      </c>
      <c r="AU1002">
        <v>101</v>
      </c>
      <c r="AV1002">
        <v>10</v>
      </c>
      <c r="AW1002">
        <v>1</v>
      </c>
      <c r="AX1002" s="2">
        <v>45813</v>
      </c>
      <c r="AY1002" t="s">
        <v>308</v>
      </c>
      <c r="AZ1002" s="2">
        <v>46023</v>
      </c>
      <c r="BA1002">
        <v>0</v>
      </c>
      <c r="BB1002">
        <v>0</v>
      </c>
      <c r="BC1002">
        <v>0</v>
      </c>
      <c r="BD1002">
        <v>700</v>
      </c>
      <c r="BE1002">
        <v>70</v>
      </c>
      <c r="BF1002">
        <v>9</v>
      </c>
      <c r="BG1002" s="2">
        <v>45809</v>
      </c>
      <c r="BH1002" t="s">
        <v>142</v>
      </c>
      <c r="BI1002" s="2">
        <v>46026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 s="1">
        <v>1027.05</v>
      </c>
      <c r="BQ1002" s="1">
        <v>1027.05</v>
      </c>
      <c r="BR1002">
        <v>0</v>
      </c>
      <c r="BS1002">
        <v>0</v>
      </c>
      <c r="BT1002">
        <v>0</v>
      </c>
      <c r="BU1002">
        <v>0</v>
      </c>
      <c r="BV1002" s="1">
        <v>2024.6</v>
      </c>
      <c r="BW1002" s="1">
        <v>2024.6</v>
      </c>
      <c r="BX1002">
        <v>0</v>
      </c>
      <c r="BY1002">
        <v>0</v>
      </c>
      <c r="BZ1002">
        <v>0</v>
      </c>
      <c r="CA1002">
        <v>0</v>
      </c>
      <c r="CB1002" s="1">
        <v>1504.36</v>
      </c>
      <c r="CC1002" t="s">
        <v>143</v>
      </c>
    </row>
    <row r="1003" spans="1:81" x14ac:dyDescent="0.25">
      <c r="A1003">
        <v>345</v>
      </c>
      <c r="B1003">
        <v>2</v>
      </c>
      <c r="C1003">
        <v>2936</v>
      </c>
      <c r="D1003" t="s">
        <v>5710</v>
      </c>
      <c r="E1003" t="s">
        <v>121</v>
      </c>
      <c r="F1003" t="s">
        <v>5711</v>
      </c>
      <c r="G1003" t="s">
        <v>5712</v>
      </c>
      <c r="H1003" t="s">
        <v>5713</v>
      </c>
      <c r="I1003" t="s">
        <v>125</v>
      </c>
      <c r="J1003" t="s">
        <v>126</v>
      </c>
      <c r="K1003" t="s">
        <v>1853</v>
      </c>
      <c r="L1003" t="s">
        <v>128</v>
      </c>
      <c r="M1003" t="s">
        <v>1854</v>
      </c>
      <c r="N1003" t="s">
        <v>5714</v>
      </c>
      <c r="O1003" t="s">
        <v>201</v>
      </c>
      <c r="P1003">
        <v>0</v>
      </c>
      <c r="Q1003" t="s">
        <v>125</v>
      </c>
      <c r="R1003">
        <v>3</v>
      </c>
      <c r="S1003">
        <v>84</v>
      </c>
      <c r="T1003" t="s">
        <v>132</v>
      </c>
      <c r="U1003" t="s">
        <v>133</v>
      </c>
      <c r="V1003" s="1">
        <v>1000</v>
      </c>
      <c r="W1003">
        <v>0</v>
      </c>
      <c r="X1003" s="1">
        <v>1000</v>
      </c>
      <c r="Y1003">
        <v>7</v>
      </c>
      <c r="Z1003">
        <v>0</v>
      </c>
      <c r="AA1003">
        <v>0</v>
      </c>
      <c r="AB1003">
        <v>0</v>
      </c>
      <c r="AC1003">
        <v>0</v>
      </c>
      <c r="AD1003" t="s">
        <v>134</v>
      </c>
      <c r="AE1003" t="s">
        <v>134</v>
      </c>
      <c r="AF1003" s="2">
        <v>45614</v>
      </c>
      <c r="AG1003" s="2">
        <v>46018</v>
      </c>
      <c r="AH1003">
        <v>211.36</v>
      </c>
      <c r="AI1003">
        <v>301.81</v>
      </c>
      <c r="AJ1003" s="1">
        <v>1268.2</v>
      </c>
      <c r="AK1003">
        <v>0</v>
      </c>
      <c r="AL1003">
        <v>0</v>
      </c>
      <c r="AM1003">
        <v>0</v>
      </c>
      <c r="AN1003" t="s">
        <v>135</v>
      </c>
      <c r="AO1003" t="s">
        <v>135</v>
      </c>
      <c r="AP1003" t="s">
        <v>136</v>
      </c>
      <c r="AQ1003" t="s">
        <v>137</v>
      </c>
      <c r="AR1003" t="s">
        <v>138</v>
      </c>
      <c r="AS1003" t="s">
        <v>139</v>
      </c>
      <c r="AT1003" t="s">
        <v>140</v>
      </c>
      <c r="AU1003">
        <v>103</v>
      </c>
      <c r="AV1003">
        <v>10</v>
      </c>
      <c r="AW1003">
        <v>1</v>
      </c>
      <c r="AX1003" s="2">
        <v>45854</v>
      </c>
      <c r="AY1003" t="s">
        <v>168</v>
      </c>
      <c r="AZ1003" s="2">
        <v>46022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135</v>
      </c>
      <c r="BH1003" t="s">
        <v>250</v>
      </c>
      <c r="BI1003" t="s">
        <v>135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207.56</v>
      </c>
      <c r="BQ1003">
        <v>207.56</v>
      </c>
      <c r="BR1003">
        <v>0</v>
      </c>
      <c r="BS1003">
        <v>0</v>
      </c>
      <c r="BT1003">
        <v>0</v>
      </c>
      <c r="BU1003">
        <v>0</v>
      </c>
      <c r="BV1003">
        <v>762.04</v>
      </c>
      <c r="BW1003">
        <v>762.04</v>
      </c>
      <c r="BX1003">
        <v>0</v>
      </c>
      <c r="BY1003">
        <v>0</v>
      </c>
      <c r="BZ1003">
        <v>0</v>
      </c>
      <c r="CA1003">
        <v>0</v>
      </c>
      <c r="CB1003">
        <v>650.14</v>
      </c>
      <c r="CC1003" t="s">
        <v>143</v>
      </c>
    </row>
    <row r="1004" spans="1:81" x14ac:dyDescent="0.25">
      <c r="A1004">
        <v>345</v>
      </c>
      <c r="B1004">
        <v>2</v>
      </c>
      <c r="C1004">
        <v>2937</v>
      </c>
      <c r="D1004" t="s">
        <v>5715</v>
      </c>
      <c r="E1004" t="s">
        <v>121</v>
      </c>
      <c r="F1004" t="s">
        <v>5716</v>
      </c>
      <c r="G1004" t="s">
        <v>5717</v>
      </c>
      <c r="H1004" t="s">
        <v>5718</v>
      </c>
      <c r="I1004" t="s">
        <v>125</v>
      </c>
      <c r="J1004" t="s">
        <v>1263</v>
      </c>
      <c r="K1004" t="s">
        <v>466</v>
      </c>
      <c r="L1004" t="s">
        <v>128</v>
      </c>
      <c r="M1004" t="s">
        <v>5488</v>
      </c>
      <c r="N1004" t="s">
        <v>5719</v>
      </c>
      <c r="O1004" t="s">
        <v>167</v>
      </c>
      <c r="P1004">
        <v>0</v>
      </c>
      <c r="Q1004" t="s">
        <v>125</v>
      </c>
      <c r="R1004">
        <v>6</v>
      </c>
      <c r="S1004">
        <v>38</v>
      </c>
      <c r="T1004" t="s">
        <v>132</v>
      </c>
      <c r="U1004" t="s">
        <v>133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134</v>
      </c>
      <c r="AE1004" t="s">
        <v>134</v>
      </c>
      <c r="AF1004" s="2">
        <v>45614</v>
      </c>
      <c r="AG1004" s="2">
        <v>46011</v>
      </c>
      <c r="AH1004">
        <v>779.22</v>
      </c>
      <c r="AI1004" s="1">
        <v>1218.96</v>
      </c>
      <c r="AJ1004" s="1">
        <v>7013.04</v>
      </c>
      <c r="AK1004">
        <v>0</v>
      </c>
      <c r="AL1004">
        <v>0</v>
      </c>
      <c r="AM1004">
        <v>0</v>
      </c>
      <c r="AN1004" t="s">
        <v>135</v>
      </c>
      <c r="AO1004" t="s">
        <v>135</v>
      </c>
      <c r="AP1004" t="s">
        <v>136</v>
      </c>
      <c r="AQ1004" t="s">
        <v>137</v>
      </c>
      <c r="AR1004" t="s">
        <v>138</v>
      </c>
      <c r="AS1004" t="s">
        <v>150</v>
      </c>
      <c r="AT1004" t="s">
        <v>140</v>
      </c>
      <c r="AU1004">
        <v>106</v>
      </c>
      <c r="AV1004">
        <v>10</v>
      </c>
      <c r="AW1004">
        <v>1</v>
      </c>
      <c r="AX1004" s="2">
        <v>45828</v>
      </c>
      <c r="AY1004" t="s">
        <v>151</v>
      </c>
      <c r="AZ1004" s="2">
        <v>46024</v>
      </c>
      <c r="BA1004">
        <v>0</v>
      </c>
      <c r="BB1004">
        <v>0</v>
      </c>
      <c r="BC1004">
        <v>0</v>
      </c>
      <c r="BD1004">
        <v>700</v>
      </c>
      <c r="BE1004">
        <v>70</v>
      </c>
      <c r="BF1004">
        <v>9</v>
      </c>
      <c r="BG1004" s="2">
        <v>45809</v>
      </c>
      <c r="BH1004" t="s">
        <v>142</v>
      </c>
      <c r="BI1004" s="2">
        <v>46026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 s="1">
        <v>1918.77</v>
      </c>
      <c r="BQ1004" s="1">
        <v>1918.77</v>
      </c>
      <c r="BR1004">
        <v>0</v>
      </c>
      <c r="BS1004">
        <v>0</v>
      </c>
      <c r="BT1004">
        <v>0</v>
      </c>
      <c r="BU1004">
        <v>0</v>
      </c>
      <c r="BV1004" s="1">
        <v>2390.31</v>
      </c>
      <c r="BW1004" s="1">
        <v>2390.31</v>
      </c>
      <c r="BX1004">
        <v>0</v>
      </c>
      <c r="BY1004">
        <v>0</v>
      </c>
      <c r="BZ1004">
        <v>0</v>
      </c>
      <c r="CA1004">
        <v>0</v>
      </c>
      <c r="CB1004" s="1">
        <v>2403.88</v>
      </c>
      <c r="CC1004" t="s">
        <v>161</v>
      </c>
    </row>
    <row r="1005" spans="1:81" x14ac:dyDescent="0.25">
      <c r="A1005">
        <v>345</v>
      </c>
      <c r="B1005">
        <v>2</v>
      </c>
      <c r="C1005">
        <v>2938</v>
      </c>
      <c r="D1005" t="s">
        <v>5720</v>
      </c>
      <c r="E1005" t="s">
        <v>121</v>
      </c>
      <c r="F1005" t="s">
        <v>5721</v>
      </c>
      <c r="G1005" t="s">
        <v>5722</v>
      </c>
      <c r="H1005" t="s">
        <v>5723</v>
      </c>
      <c r="I1005" t="s">
        <v>125</v>
      </c>
      <c r="J1005" t="s">
        <v>5724</v>
      </c>
      <c r="K1005" t="s">
        <v>336</v>
      </c>
      <c r="L1005" t="s">
        <v>128</v>
      </c>
      <c r="M1005" t="s">
        <v>5488</v>
      </c>
      <c r="N1005" t="s">
        <v>5725</v>
      </c>
      <c r="O1005" t="s">
        <v>201</v>
      </c>
      <c r="P1005">
        <v>0</v>
      </c>
      <c r="Q1005" t="s">
        <v>125</v>
      </c>
      <c r="R1005">
        <v>6</v>
      </c>
      <c r="S1005">
        <v>36</v>
      </c>
      <c r="T1005" t="s">
        <v>132</v>
      </c>
      <c r="U1005" t="s">
        <v>133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134</v>
      </c>
      <c r="AE1005" t="s">
        <v>134</v>
      </c>
      <c r="AF1005" s="2">
        <v>45614</v>
      </c>
      <c r="AG1005" s="2">
        <v>46020</v>
      </c>
      <c r="AH1005">
        <v>206.82</v>
      </c>
      <c r="AI1005">
        <v>354.29</v>
      </c>
      <c r="AJ1005" s="1">
        <v>1240.97</v>
      </c>
      <c r="AK1005">
        <v>0</v>
      </c>
      <c r="AL1005">
        <v>0</v>
      </c>
      <c r="AM1005">
        <v>0</v>
      </c>
      <c r="AN1005" t="s">
        <v>135</v>
      </c>
      <c r="AO1005" t="s">
        <v>135</v>
      </c>
      <c r="AP1005" t="s">
        <v>136</v>
      </c>
      <c r="AQ1005" t="s">
        <v>137</v>
      </c>
      <c r="AR1005" t="s">
        <v>138</v>
      </c>
      <c r="AS1005" t="s">
        <v>139</v>
      </c>
      <c r="AT1005" t="s">
        <v>140</v>
      </c>
      <c r="AU1005">
        <v>101</v>
      </c>
      <c r="AV1005">
        <v>10</v>
      </c>
      <c r="AW1005">
        <v>1</v>
      </c>
      <c r="AX1005" s="2">
        <v>45814</v>
      </c>
      <c r="AY1005" t="s">
        <v>151</v>
      </c>
      <c r="AZ1005" s="2">
        <v>46024</v>
      </c>
      <c r="BA1005">
        <v>0</v>
      </c>
      <c r="BB1005">
        <v>0</v>
      </c>
      <c r="BC1005">
        <v>0</v>
      </c>
      <c r="BD1005">
        <v>700</v>
      </c>
      <c r="BE1005">
        <v>70</v>
      </c>
      <c r="BF1005">
        <v>9</v>
      </c>
      <c r="BG1005" s="2">
        <v>45809</v>
      </c>
      <c r="BH1005" t="s">
        <v>142</v>
      </c>
      <c r="BI1005" s="2">
        <v>46026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299.39999999999998</v>
      </c>
      <c r="BQ1005">
        <v>299.39999999999998</v>
      </c>
      <c r="BR1005">
        <v>0</v>
      </c>
      <c r="BS1005">
        <v>0</v>
      </c>
      <c r="BT1005">
        <v>0</v>
      </c>
      <c r="BU1005">
        <v>0</v>
      </c>
      <c r="BV1005">
        <v>692.93</v>
      </c>
      <c r="BW1005">
        <v>692.93</v>
      </c>
      <c r="BX1005">
        <v>0</v>
      </c>
      <c r="BY1005">
        <v>0</v>
      </c>
      <c r="BZ1005">
        <v>0</v>
      </c>
      <c r="CA1005">
        <v>0</v>
      </c>
      <c r="CB1005">
        <v>282.41000000000003</v>
      </c>
      <c r="CC1005" t="s">
        <v>143</v>
      </c>
    </row>
    <row r="1006" spans="1:81" x14ac:dyDescent="0.25">
      <c r="A1006">
        <v>345</v>
      </c>
      <c r="B1006">
        <v>2</v>
      </c>
      <c r="C1006">
        <v>2940</v>
      </c>
      <c r="D1006" t="s">
        <v>5726</v>
      </c>
      <c r="E1006" t="s">
        <v>5427</v>
      </c>
      <c r="F1006" t="s">
        <v>5727</v>
      </c>
      <c r="G1006" t="s">
        <v>5728</v>
      </c>
      <c r="H1006" t="s">
        <v>5729</v>
      </c>
      <c r="I1006" t="s">
        <v>5730</v>
      </c>
      <c r="J1006" t="s">
        <v>126</v>
      </c>
      <c r="K1006" t="s">
        <v>1853</v>
      </c>
      <c r="L1006" t="s">
        <v>128</v>
      </c>
      <c r="M1006" t="s">
        <v>1854</v>
      </c>
      <c r="N1006" t="s">
        <v>5731</v>
      </c>
      <c r="O1006" t="s">
        <v>149</v>
      </c>
      <c r="P1006">
        <v>0</v>
      </c>
      <c r="Q1006" t="s">
        <v>125</v>
      </c>
      <c r="R1006">
        <v>3</v>
      </c>
      <c r="S1006">
        <v>88</v>
      </c>
      <c r="T1006" t="s">
        <v>132</v>
      </c>
      <c r="U1006" t="s">
        <v>133</v>
      </c>
      <c r="V1006" s="1">
        <v>1000</v>
      </c>
      <c r="W1006">
        <v>0</v>
      </c>
      <c r="X1006" s="1">
        <v>1000</v>
      </c>
      <c r="Y1006">
        <v>7</v>
      </c>
      <c r="Z1006">
        <v>0</v>
      </c>
      <c r="AA1006">
        <v>0</v>
      </c>
      <c r="AB1006">
        <v>0</v>
      </c>
      <c r="AC1006">
        <v>0</v>
      </c>
      <c r="AD1006" t="s">
        <v>134</v>
      </c>
      <c r="AE1006" t="s">
        <v>134</v>
      </c>
      <c r="AF1006" s="2">
        <v>45615</v>
      </c>
      <c r="AG1006" s="2">
        <v>46014</v>
      </c>
      <c r="AH1006">
        <v>159.97</v>
      </c>
      <c r="AI1006">
        <v>254.16</v>
      </c>
      <c r="AJ1006" s="1">
        <v>1599.77</v>
      </c>
      <c r="AK1006">
        <v>0</v>
      </c>
      <c r="AL1006">
        <v>0</v>
      </c>
      <c r="AM1006">
        <v>0</v>
      </c>
      <c r="AN1006" t="s">
        <v>135</v>
      </c>
      <c r="AO1006" t="s">
        <v>135</v>
      </c>
      <c r="AP1006" t="s">
        <v>136</v>
      </c>
      <c r="AQ1006" t="s">
        <v>137</v>
      </c>
      <c r="AR1006" t="s">
        <v>138</v>
      </c>
      <c r="AS1006" t="s">
        <v>139</v>
      </c>
      <c r="AT1006" t="s">
        <v>140</v>
      </c>
      <c r="AU1006">
        <v>103</v>
      </c>
      <c r="AV1006">
        <v>10</v>
      </c>
      <c r="AW1006">
        <v>1</v>
      </c>
      <c r="AX1006" s="2">
        <v>45978</v>
      </c>
      <c r="AY1006" t="s">
        <v>141</v>
      </c>
      <c r="AZ1006" s="2">
        <v>46027</v>
      </c>
      <c r="BA1006">
        <v>0</v>
      </c>
      <c r="BB1006">
        <v>0</v>
      </c>
      <c r="BC1006">
        <v>0</v>
      </c>
      <c r="BD1006">
        <v>700</v>
      </c>
      <c r="BE1006">
        <v>70</v>
      </c>
      <c r="BF1006">
        <v>9</v>
      </c>
      <c r="BG1006" s="2">
        <v>45809</v>
      </c>
      <c r="BH1006" t="s">
        <v>142</v>
      </c>
      <c r="BI1006" s="2">
        <v>46026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703.99</v>
      </c>
      <c r="BQ1006">
        <v>703.99</v>
      </c>
      <c r="BR1006">
        <v>0</v>
      </c>
      <c r="BS1006">
        <v>0</v>
      </c>
      <c r="BT1006">
        <v>0</v>
      </c>
      <c r="BU1006">
        <v>0</v>
      </c>
      <c r="BV1006">
        <v>200.1</v>
      </c>
      <c r="BW1006">
        <v>200.1</v>
      </c>
      <c r="BX1006">
        <v>0</v>
      </c>
      <c r="BY1006">
        <v>0</v>
      </c>
      <c r="BZ1006">
        <v>0</v>
      </c>
      <c r="CA1006">
        <v>0</v>
      </c>
      <c r="CB1006">
        <v>722.34</v>
      </c>
      <c r="CC1006" t="s">
        <v>152</v>
      </c>
    </row>
    <row r="1007" spans="1:81" x14ac:dyDescent="0.25">
      <c r="A1007">
        <v>345</v>
      </c>
      <c r="B1007">
        <v>2</v>
      </c>
      <c r="C1007">
        <v>2941</v>
      </c>
      <c r="D1007" t="s">
        <v>5732</v>
      </c>
      <c r="E1007" t="s">
        <v>121</v>
      </c>
      <c r="F1007" t="s">
        <v>5733</v>
      </c>
      <c r="G1007" t="s">
        <v>5734</v>
      </c>
      <c r="H1007" t="s">
        <v>5735</v>
      </c>
      <c r="I1007" t="s">
        <v>5736</v>
      </c>
      <c r="J1007" t="s">
        <v>126</v>
      </c>
      <c r="K1007" t="s">
        <v>466</v>
      </c>
      <c r="L1007" t="s">
        <v>128</v>
      </c>
      <c r="M1007" t="s">
        <v>467</v>
      </c>
      <c r="N1007" t="s">
        <v>5737</v>
      </c>
      <c r="O1007" t="s">
        <v>195</v>
      </c>
      <c r="P1007">
        <v>0</v>
      </c>
      <c r="Q1007" t="s">
        <v>125</v>
      </c>
      <c r="R1007">
        <v>6</v>
      </c>
      <c r="S1007">
        <v>14</v>
      </c>
      <c r="T1007" t="s">
        <v>132</v>
      </c>
      <c r="U1007" t="s">
        <v>133</v>
      </c>
      <c r="V1007">
        <v>0</v>
      </c>
      <c r="W1007">
        <v>180.41</v>
      </c>
      <c r="X1007">
        <v>-180.41</v>
      </c>
      <c r="Y1007">
        <v>7</v>
      </c>
      <c r="Z1007">
        <v>0</v>
      </c>
      <c r="AA1007">
        <v>5</v>
      </c>
      <c r="AB1007">
        <v>27</v>
      </c>
      <c r="AC1007">
        <v>100</v>
      </c>
      <c r="AD1007" t="s">
        <v>134</v>
      </c>
      <c r="AE1007" t="s">
        <v>134</v>
      </c>
      <c r="AF1007" s="2">
        <v>45618</v>
      </c>
      <c r="AG1007" s="2">
        <v>45955</v>
      </c>
      <c r="AH1007">
        <v>180.41</v>
      </c>
      <c r="AI1007">
        <v>180.41</v>
      </c>
      <c r="AJ1007">
        <v>180.41</v>
      </c>
      <c r="AK1007">
        <v>180.41</v>
      </c>
      <c r="AL1007">
        <v>0</v>
      </c>
      <c r="AM1007">
        <v>0</v>
      </c>
      <c r="AN1007" t="s">
        <v>135</v>
      </c>
      <c r="AO1007" t="s">
        <v>135</v>
      </c>
      <c r="AP1007" t="s">
        <v>136</v>
      </c>
      <c r="AQ1007" t="s">
        <v>137</v>
      </c>
      <c r="AR1007" t="s">
        <v>138</v>
      </c>
      <c r="AS1007" t="s">
        <v>150</v>
      </c>
      <c r="AT1007" t="s">
        <v>140</v>
      </c>
      <c r="AU1007">
        <v>105</v>
      </c>
      <c r="AV1007">
        <v>10</v>
      </c>
      <c r="AW1007">
        <v>1</v>
      </c>
      <c r="AX1007" s="2">
        <v>45856</v>
      </c>
      <c r="AY1007" t="s">
        <v>151</v>
      </c>
      <c r="AZ1007" s="2">
        <v>46024</v>
      </c>
      <c r="BA1007">
        <v>0</v>
      </c>
      <c r="BB1007">
        <v>0</v>
      </c>
      <c r="BC1007">
        <v>0</v>
      </c>
      <c r="BD1007">
        <v>700</v>
      </c>
      <c r="BE1007">
        <v>70</v>
      </c>
      <c r="BF1007">
        <v>9</v>
      </c>
      <c r="BG1007" s="2">
        <v>45809</v>
      </c>
      <c r="BH1007" t="s">
        <v>142</v>
      </c>
      <c r="BI1007" s="2">
        <v>46026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60.13</v>
      </c>
      <c r="CC1007" t="s">
        <v>161</v>
      </c>
    </row>
    <row r="1008" spans="1:81" x14ac:dyDescent="0.25">
      <c r="A1008">
        <v>345</v>
      </c>
      <c r="B1008">
        <v>2</v>
      </c>
      <c r="C1008">
        <v>2943</v>
      </c>
      <c r="D1008" t="s">
        <v>5738</v>
      </c>
      <c r="E1008" t="s">
        <v>5427</v>
      </c>
      <c r="F1008" t="s">
        <v>5450</v>
      </c>
      <c r="G1008" t="s">
        <v>5739</v>
      </c>
      <c r="H1008" t="s">
        <v>5740</v>
      </c>
      <c r="I1008" t="s">
        <v>5741</v>
      </c>
      <c r="J1008" t="s">
        <v>126</v>
      </c>
      <c r="K1008" t="s">
        <v>4248</v>
      </c>
      <c r="L1008" t="s">
        <v>128</v>
      </c>
      <c r="M1008" t="s">
        <v>1325</v>
      </c>
      <c r="N1008" t="s">
        <v>5742</v>
      </c>
      <c r="O1008" t="s">
        <v>149</v>
      </c>
      <c r="P1008">
        <v>0</v>
      </c>
      <c r="Q1008" t="s">
        <v>125</v>
      </c>
      <c r="R1008">
        <v>2</v>
      </c>
      <c r="S1008">
        <v>91</v>
      </c>
      <c r="T1008" t="s">
        <v>132</v>
      </c>
      <c r="U1008" t="s">
        <v>133</v>
      </c>
      <c r="V1008" s="1">
        <v>3800</v>
      </c>
      <c r="W1008">
        <v>0</v>
      </c>
      <c r="X1008" s="1">
        <v>3800</v>
      </c>
      <c r="Y1008">
        <v>7</v>
      </c>
      <c r="Z1008">
        <v>0</v>
      </c>
      <c r="AA1008">
        <v>0</v>
      </c>
      <c r="AB1008">
        <v>0</v>
      </c>
      <c r="AC1008">
        <v>0</v>
      </c>
      <c r="AD1008" t="s">
        <v>134</v>
      </c>
      <c r="AE1008" t="s">
        <v>134</v>
      </c>
      <c r="AF1008" s="2">
        <v>45619</v>
      </c>
      <c r="AG1008" s="2">
        <v>45989</v>
      </c>
      <c r="AH1008">
        <v>999.98</v>
      </c>
      <c r="AI1008" s="1">
        <v>4442.17</v>
      </c>
      <c r="AJ1008" s="1">
        <v>6999.86</v>
      </c>
      <c r="AK1008">
        <v>0</v>
      </c>
      <c r="AL1008">
        <v>0</v>
      </c>
      <c r="AM1008">
        <v>0</v>
      </c>
      <c r="AN1008" t="s">
        <v>135</v>
      </c>
      <c r="AO1008" t="s">
        <v>135</v>
      </c>
      <c r="AP1008" t="s">
        <v>136</v>
      </c>
      <c r="AQ1008" t="s">
        <v>137</v>
      </c>
      <c r="AR1008" t="s">
        <v>138</v>
      </c>
      <c r="AS1008" t="s">
        <v>139</v>
      </c>
      <c r="AT1008" t="s">
        <v>140</v>
      </c>
      <c r="AU1008">
        <v>104</v>
      </c>
      <c r="AV1008">
        <v>10</v>
      </c>
      <c r="AW1008">
        <v>1</v>
      </c>
      <c r="AX1008" s="2">
        <v>45939</v>
      </c>
      <c r="AY1008" t="s">
        <v>308</v>
      </c>
      <c r="AZ1008" s="2">
        <v>46023</v>
      </c>
      <c r="BA1008">
        <v>0</v>
      </c>
      <c r="BB1008">
        <v>0</v>
      </c>
      <c r="BC1008">
        <v>0</v>
      </c>
      <c r="BD1008">
        <v>700</v>
      </c>
      <c r="BE1008">
        <v>70</v>
      </c>
      <c r="BF1008">
        <v>9</v>
      </c>
      <c r="BG1008" s="2">
        <v>45809</v>
      </c>
      <c r="BH1008" t="s">
        <v>142</v>
      </c>
      <c r="BI1008" s="2">
        <v>46026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 s="1">
        <v>6225.53</v>
      </c>
      <c r="BQ1008" s="1">
        <v>6225.53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 s="1">
        <v>6909.17</v>
      </c>
      <c r="CC1008" t="s">
        <v>152</v>
      </c>
    </row>
    <row r="1009" spans="1:81" x14ac:dyDescent="0.25">
      <c r="A1009">
        <v>345</v>
      </c>
      <c r="B1009">
        <v>2</v>
      </c>
      <c r="C1009">
        <v>2945</v>
      </c>
      <c r="D1009" t="s">
        <v>5743</v>
      </c>
      <c r="E1009" t="s">
        <v>121</v>
      </c>
      <c r="F1009" t="s">
        <v>5744</v>
      </c>
      <c r="G1009" t="s">
        <v>5745</v>
      </c>
      <c r="H1009" t="s">
        <v>5746</v>
      </c>
      <c r="I1009" t="s">
        <v>125</v>
      </c>
      <c r="J1009" t="s">
        <v>126</v>
      </c>
      <c r="K1009" t="s">
        <v>1853</v>
      </c>
      <c r="L1009" t="s">
        <v>128</v>
      </c>
      <c r="M1009" t="s">
        <v>1854</v>
      </c>
      <c r="N1009" t="s">
        <v>5747</v>
      </c>
      <c r="O1009" t="s">
        <v>1650</v>
      </c>
      <c r="P1009">
        <v>0</v>
      </c>
      <c r="Q1009" t="s">
        <v>125</v>
      </c>
      <c r="R1009">
        <v>3</v>
      </c>
      <c r="S1009">
        <v>85</v>
      </c>
      <c r="T1009" t="s">
        <v>132</v>
      </c>
      <c r="U1009" t="s">
        <v>133</v>
      </c>
      <c r="V1009" s="1">
        <v>6100</v>
      </c>
      <c r="W1009">
        <v>0</v>
      </c>
      <c r="X1009" s="1">
        <v>6100</v>
      </c>
      <c r="Y1009">
        <v>7</v>
      </c>
      <c r="Z1009">
        <v>0</v>
      </c>
      <c r="AA1009">
        <v>7</v>
      </c>
      <c r="AB1009">
        <v>0</v>
      </c>
      <c r="AC1009">
        <v>0</v>
      </c>
      <c r="AD1009" t="s">
        <v>234</v>
      </c>
      <c r="AE1009" t="s">
        <v>134</v>
      </c>
      <c r="AF1009" s="2">
        <v>45621</v>
      </c>
      <c r="AG1009" s="2">
        <v>46015</v>
      </c>
      <c r="AH1009" s="1">
        <v>3111.5</v>
      </c>
      <c r="AI1009" s="1">
        <v>4384.62</v>
      </c>
      <c r="AJ1009" s="1">
        <v>31115.040000000001</v>
      </c>
      <c r="AK1009">
        <v>0</v>
      </c>
      <c r="AL1009">
        <v>0</v>
      </c>
      <c r="AM1009">
        <v>0</v>
      </c>
      <c r="AN1009" t="s">
        <v>135</v>
      </c>
      <c r="AO1009" t="s">
        <v>135</v>
      </c>
      <c r="AP1009" t="s">
        <v>136</v>
      </c>
      <c r="AQ1009" t="s">
        <v>137</v>
      </c>
      <c r="AR1009" t="s">
        <v>138</v>
      </c>
      <c r="AS1009" t="s">
        <v>150</v>
      </c>
      <c r="AT1009" t="s">
        <v>140</v>
      </c>
      <c r="AU1009">
        <v>103</v>
      </c>
      <c r="AV1009">
        <v>10</v>
      </c>
      <c r="AW1009">
        <v>1</v>
      </c>
      <c r="AX1009" s="2">
        <v>46006</v>
      </c>
      <c r="AY1009" t="s">
        <v>141</v>
      </c>
      <c r="AZ1009" s="2">
        <v>46027</v>
      </c>
      <c r="BA1009">
        <v>0</v>
      </c>
      <c r="BB1009">
        <v>0</v>
      </c>
      <c r="BC1009">
        <v>0</v>
      </c>
      <c r="BD1009">
        <v>700</v>
      </c>
      <c r="BE1009">
        <v>70</v>
      </c>
      <c r="BF1009">
        <v>9</v>
      </c>
      <c r="BG1009" s="2">
        <v>45809</v>
      </c>
      <c r="BH1009" t="s">
        <v>142</v>
      </c>
      <c r="BI1009" s="2">
        <v>46026</v>
      </c>
      <c r="BJ1009">
        <v>0</v>
      </c>
      <c r="BK1009">
        <v>0</v>
      </c>
      <c r="BL1009">
        <v>0</v>
      </c>
      <c r="BM1009">
        <v>6.31</v>
      </c>
      <c r="BN1009">
        <v>6.31</v>
      </c>
      <c r="BO1009" s="1">
        <v>12633.01</v>
      </c>
      <c r="BP1009">
        <v>0</v>
      </c>
      <c r="BQ1009" s="1">
        <v>12633.01</v>
      </c>
      <c r="BR1009" s="1">
        <v>2441.0300000000002</v>
      </c>
      <c r="BS1009">
        <v>6.21</v>
      </c>
      <c r="BT1009">
        <v>6.21</v>
      </c>
      <c r="BU1009" s="1">
        <v>12083.56</v>
      </c>
      <c r="BV1009">
        <v>0</v>
      </c>
      <c r="BW1009" s="1">
        <v>12083.56</v>
      </c>
      <c r="BX1009">
        <v>0</v>
      </c>
      <c r="BY1009">
        <v>0</v>
      </c>
      <c r="BZ1009">
        <v>0</v>
      </c>
      <c r="CA1009">
        <v>0</v>
      </c>
      <c r="CB1009" s="1">
        <v>7506.73</v>
      </c>
      <c r="CC1009" t="s">
        <v>143</v>
      </c>
    </row>
    <row r="1010" spans="1:81" x14ac:dyDescent="0.25">
      <c r="A1010">
        <v>345</v>
      </c>
      <c r="B1010">
        <v>2</v>
      </c>
      <c r="C1010">
        <v>2947</v>
      </c>
      <c r="D1010" t="s">
        <v>5748</v>
      </c>
      <c r="E1010" t="s">
        <v>121</v>
      </c>
      <c r="F1010" t="s">
        <v>5749</v>
      </c>
      <c r="G1010" t="s">
        <v>5750</v>
      </c>
      <c r="H1010" t="s">
        <v>5751</v>
      </c>
      <c r="I1010" t="s">
        <v>5752</v>
      </c>
      <c r="J1010" t="s">
        <v>1263</v>
      </c>
      <c r="K1010" t="s">
        <v>466</v>
      </c>
      <c r="L1010" t="s">
        <v>128</v>
      </c>
      <c r="M1010" t="s">
        <v>467</v>
      </c>
      <c r="N1010" t="s">
        <v>5753</v>
      </c>
      <c r="O1010" t="s">
        <v>149</v>
      </c>
      <c r="P1010">
        <v>0</v>
      </c>
      <c r="Q1010" t="s">
        <v>125</v>
      </c>
      <c r="R1010">
        <v>3</v>
      </c>
      <c r="S1010">
        <v>83</v>
      </c>
      <c r="T1010" t="s">
        <v>132</v>
      </c>
      <c r="U1010" t="s">
        <v>133</v>
      </c>
      <c r="V1010" s="1">
        <v>4100</v>
      </c>
      <c r="W1010" s="1">
        <v>3390.31</v>
      </c>
      <c r="X1010">
        <v>709.69</v>
      </c>
      <c r="Y1010">
        <v>0</v>
      </c>
      <c r="Z1010">
        <v>0</v>
      </c>
      <c r="AA1010">
        <v>9</v>
      </c>
      <c r="AB1010">
        <v>2</v>
      </c>
      <c r="AC1010">
        <v>22</v>
      </c>
      <c r="AD1010" t="s">
        <v>134</v>
      </c>
      <c r="AE1010" t="s">
        <v>134</v>
      </c>
      <c r="AF1010" s="2">
        <v>45623</v>
      </c>
      <c r="AG1010" s="2">
        <v>46004</v>
      </c>
      <c r="AH1010" s="1">
        <v>2240.31</v>
      </c>
      <c r="AI1010" s="1">
        <v>3766.71</v>
      </c>
      <c r="AJ1010" s="1">
        <v>15682.18</v>
      </c>
      <c r="AK1010" s="1">
        <v>3390.31</v>
      </c>
      <c r="AL1010">
        <v>0</v>
      </c>
      <c r="AM1010">
        <v>0</v>
      </c>
      <c r="AN1010" t="s">
        <v>135</v>
      </c>
      <c r="AO1010" t="s">
        <v>135</v>
      </c>
      <c r="AP1010" t="s">
        <v>136</v>
      </c>
      <c r="AQ1010" t="s">
        <v>137</v>
      </c>
      <c r="AR1010" t="s">
        <v>138</v>
      </c>
      <c r="AS1010" t="s">
        <v>150</v>
      </c>
      <c r="AT1010" t="s">
        <v>140</v>
      </c>
      <c r="AU1010">
        <v>500</v>
      </c>
      <c r="AV1010">
        <v>10</v>
      </c>
      <c r="AW1010">
        <v>1</v>
      </c>
      <c r="AX1010" s="2">
        <v>45877</v>
      </c>
      <c r="AY1010" t="s">
        <v>151</v>
      </c>
      <c r="AZ1010" s="2">
        <v>46024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 t="s">
        <v>135</v>
      </c>
      <c r="BH1010" t="s">
        <v>250</v>
      </c>
      <c r="BI1010" t="s">
        <v>135</v>
      </c>
      <c r="BJ1010">
        <v>0</v>
      </c>
      <c r="BK1010">
        <v>0</v>
      </c>
      <c r="BL1010">
        <v>0</v>
      </c>
      <c r="BM1010">
        <v>7.04</v>
      </c>
      <c r="BN1010">
        <v>7.04</v>
      </c>
      <c r="BO1010" s="1">
        <v>7820.17</v>
      </c>
      <c r="BP1010">
        <v>0</v>
      </c>
      <c r="BQ1010" s="1">
        <v>7820.17</v>
      </c>
      <c r="BR1010" s="1">
        <v>1927.79</v>
      </c>
      <c r="BS1010">
        <v>9</v>
      </c>
      <c r="BT1010">
        <v>9</v>
      </c>
      <c r="BU1010" s="1">
        <v>3390.31</v>
      </c>
      <c r="BV1010">
        <v>0</v>
      </c>
      <c r="BW1010" s="1">
        <v>3390.31</v>
      </c>
      <c r="BX1010">
        <v>0</v>
      </c>
      <c r="BY1010">
        <v>0</v>
      </c>
      <c r="BZ1010">
        <v>0</v>
      </c>
      <c r="CA1010">
        <v>0</v>
      </c>
      <c r="CB1010" s="1">
        <v>4590.33</v>
      </c>
      <c r="CC1010" t="s">
        <v>152</v>
      </c>
    </row>
    <row r="1011" spans="1:81" x14ac:dyDescent="0.25">
      <c r="A1011">
        <v>345</v>
      </c>
      <c r="B1011">
        <v>2</v>
      </c>
      <c r="C1011">
        <v>2948</v>
      </c>
      <c r="D1011" t="s">
        <v>5754</v>
      </c>
      <c r="E1011" t="s">
        <v>121</v>
      </c>
      <c r="F1011" t="s">
        <v>5755</v>
      </c>
      <c r="G1011" t="s">
        <v>5756</v>
      </c>
      <c r="H1011" t="s">
        <v>5757</v>
      </c>
      <c r="I1011" t="s">
        <v>125</v>
      </c>
      <c r="J1011" t="s">
        <v>5758</v>
      </c>
      <c r="K1011" t="s">
        <v>466</v>
      </c>
      <c r="L1011" t="s">
        <v>128</v>
      </c>
      <c r="M1011" t="s">
        <v>467</v>
      </c>
      <c r="N1011" t="s">
        <v>5759</v>
      </c>
      <c r="O1011" t="s">
        <v>159</v>
      </c>
      <c r="P1011">
        <v>0</v>
      </c>
      <c r="Q1011" t="s">
        <v>125</v>
      </c>
      <c r="R1011">
        <v>5</v>
      </c>
      <c r="S1011">
        <v>73</v>
      </c>
      <c r="T1011" t="s">
        <v>132</v>
      </c>
      <c r="U1011" t="s">
        <v>133</v>
      </c>
      <c r="V1011" s="1">
        <v>10000</v>
      </c>
      <c r="W1011" s="1">
        <v>9852.1</v>
      </c>
      <c r="X1011">
        <v>147.9</v>
      </c>
      <c r="Y1011">
        <v>7</v>
      </c>
      <c r="Z1011">
        <v>0</v>
      </c>
      <c r="AA1011">
        <v>9</v>
      </c>
      <c r="AB1011">
        <v>1</v>
      </c>
      <c r="AC1011">
        <v>30</v>
      </c>
      <c r="AD1011" t="s">
        <v>234</v>
      </c>
      <c r="AE1011" t="s">
        <v>134</v>
      </c>
      <c r="AF1011" s="2">
        <v>45623</v>
      </c>
      <c r="AG1011" s="2">
        <v>46018</v>
      </c>
      <c r="AH1011" s="1">
        <v>4795.97</v>
      </c>
      <c r="AI1011" s="1">
        <v>15696.5</v>
      </c>
      <c r="AJ1011" s="1">
        <v>71939.56</v>
      </c>
      <c r="AK1011">
        <v>0</v>
      </c>
      <c r="AL1011" s="1">
        <v>9852.1</v>
      </c>
      <c r="AM1011">
        <v>0</v>
      </c>
      <c r="AN1011" t="s">
        <v>135</v>
      </c>
      <c r="AO1011" t="s">
        <v>135</v>
      </c>
      <c r="AP1011" t="s">
        <v>136</v>
      </c>
      <c r="AQ1011" t="s">
        <v>137</v>
      </c>
      <c r="AR1011" t="s">
        <v>138</v>
      </c>
      <c r="AS1011" t="s">
        <v>150</v>
      </c>
      <c r="AT1011" t="s">
        <v>140</v>
      </c>
      <c r="AU1011">
        <v>500</v>
      </c>
      <c r="AV1011">
        <v>10</v>
      </c>
      <c r="AW1011">
        <v>1</v>
      </c>
      <c r="AX1011" s="2">
        <v>45881</v>
      </c>
      <c r="AY1011" t="s">
        <v>377</v>
      </c>
      <c r="AZ1011" s="2">
        <v>46035</v>
      </c>
      <c r="BA1011">
        <v>0</v>
      </c>
      <c r="BB1011">
        <v>0</v>
      </c>
      <c r="BC1011">
        <v>0</v>
      </c>
      <c r="BD1011">
        <v>999</v>
      </c>
      <c r="BE1011">
        <v>99</v>
      </c>
      <c r="BF1011">
        <v>9</v>
      </c>
      <c r="BG1011" t="s">
        <v>135</v>
      </c>
      <c r="BH1011" t="s">
        <v>250</v>
      </c>
      <c r="BI1011" t="s">
        <v>135</v>
      </c>
      <c r="BJ1011">
        <v>0</v>
      </c>
      <c r="BK1011">
        <v>0</v>
      </c>
      <c r="BL1011">
        <v>0</v>
      </c>
      <c r="BM1011">
        <v>3.74</v>
      </c>
      <c r="BN1011">
        <v>3.74</v>
      </c>
      <c r="BO1011" s="1">
        <v>19816.150000000001</v>
      </c>
      <c r="BP1011">
        <v>0</v>
      </c>
      <c r="BQ1011" s="1">
        <v>19816.150000000001</v>
      </c>
      <c r="BR1011">
        <v>0</v>
      </c>
      <c r="BS1011">
        <v>7.54</v>
      </c>
      <c r="BT1011">
        <v>6.14</v>
      </c>
      <c r="BU1011" s="1">
        <v>25589.34</v>
      </c>
      <c r="BV1011" s="1">
        <v>5844.4</v>
      </c>
      <c r="BW1011" s="1">
        <v>31433.74</v>
      </c>
      <c r="BX1011" s="1">
        <v>9852.1</v>
      </c>
      <c r="BY1011">
        <v>38.5</v>
      </c>
      <c r="BZ1011">
        <v>0</v>
      </c>
      <c r="CA1011">
        <v>0</v>
      </c>
      <c r="CB1011" s="1">
        <v>17860.75</v>
      </c>
      <c r="CC1011" t="s">
        <v>161</v>
      </c>
    </row>
    <row r="1012" spans="1:81" x14ac:dyDescent="0.25">
      <c r="A1012">
        <v>345</v>
      </c>
      <c r="B1012">
        <v>2</v>
      </c>
      <c r="C1012">
        <v>2949</v>
      </c>
      <c r="D1012" t="s">
        <v>5760</v>
      </c>
      <c r="E1012" t="s">
        <v>121</v>
      </c>
      <c r="F1012" t="s">
        <v>5761</v>
      </c>
      <c r="G1012" t="s">
        <v>5762</v>
      </c>
      <c r="H1012" t="s">
        <v>5763</v>
      </c>
      <c r="I1012" t="s">
        <v>5764</v>
      </c>
      <c r="J1012" t="s">
        <v>3074</v>
      </c>
      <c r="K1012" t="s">
        <v>1853</v>
      </c>
      <c r="L1012" t="s">
        <v>128</v>
      </c>
      <c r="M1012" t="s">
        <v>5488</v>
      </c>
      <c r="N1012" t="s">
        <v>5765</v>
      </c>
      <c r="O1012" t="s">
        <v>5766</v>
      </c>
      <c r="P1012">
        <v>0</v>
      </c>
      <c r="Q1012" t="s">
        <v>125</v>
      </c>
      <c r="R1012">
        <v>6</v>
      </c>
      <c r="S1012">
        <v>42</v>
      </c>
      <c r="T1012" t="s">
        <v>132</v>
      </c>
      <c r="U1012" t="s">
        <v>133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134</v>
      </c>
      <c r="AE1012" t="s">
        <v>134</v>
      </c>
      <c r="AF1012" s="2">
        <v>45623</v>
      </c>
      <c r="AG1012" s="2">
        <v>46015</v>
      </c>
      <c r="AH1012">
        <v>277.87</v>
      </c>
      <c r="AI1012">
        <v>646.54</v>
      </c>
      <c r="AJ1012" s="1">
        <v>2500.85</v>
      </c>
      <c r="AK1012">
        <v>0</v>
      </c>
      <c r="AL1012">
        <v>0</v>
      </c>
      <c r="AM1012">
        <v>0</v>
      </c>
      <c r="AN1012" t="s">
        <v>135</v>
      </c>
      <c r="AO1012" t="s">
        <v>135</v>
      </c>
      <c r="AP1012" t="s">
        <v>136</v>
      </c>
      <c r="AQ1012" t="s">
        <v>137</v>
      </c>
      <c r="AR1012" t="s">
        <v>138</v>
      </c>
      <c r="AS1012" t="s">
        <v>150</v>
      </c>
      <c r="AT1012" t="s">
        <v>140</v>
      </c>
      <c r="AU1012">
        <v>106</v>
      </c>
      <c r="AV1012">
        <v>10</v>
      </c>
      <c r="AW1012">
        <v>1</v>
      </c>
      <c r="AX1012" s="2">
        <v>45825</v>
      </c>
      <c r="AY1012" t="s">
        <v>377</v>
      </c>
      <c r="AZ1012" s="2">
        <v>46028</v>
      </c>
      <c r="BA1012">
        <v>0</v>
      </c>
      <c r="BB1012">
        <v>0</v>
      </c>
      <c r="BC1012">
        <v>0</v>
      </c>
      <c r="BD1012">
        <v>700</v>
      </c>
      <c r="BE1012">
        <v>70</v>
      </c>
      <c r="BF1012">
        <v>9</v>
      </c>
      <c r="BG1012" s="2">
        <v>45809</v>
      </c>
      <c r="BH1012" t="s">
        <v>142</v>
      </c>
      <c r="BI1012" s="2">
        <v>46026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 s="1">
        <v>1066.9000000000001</v>
      </c>
      <c r="BQ1012" s="1">
        <v>1066.9000000000001</v>
      </c>
      <c r="BR1012">
        <v>0</v>
      </c>
      <c r="BS1012">
        <v>0</v>
      </c>
      <c r="BT1012">
        <v>0</v>
      </c>
      <c r="BU1012">
        <v>0</v>
      </c>
      <c r="BV1012">
        <v>749.59</v>
      </c>
      <c r="BW1012">
        <v>749.59</v>
      </c>
      <c r="BX1012">
        <v>0</v>
      </c>
      <c r="BY1012">
        <v>0</v>
      </c>
      <c r="BZ1012">
        <v>0</v>
      </c>
      <c r="CA1012">
        <v>0</v>
      </c>
      <c r="CB1012">
        <v>792.44</v>
      </c>
      <c r="CC1012" t="s">
        <v>161</v>
      </c>
    </row>
    <row r="1013" spans="1:81" x14ac:dyDescent="0.25">
      <c r="A1013">
        <v>345</v>
      </c>
      <c r="B1013">
        <v>2</v>
      </c>
      <c r="C1013">
        <v>2950</v>
      </c>
      <c r="D1013" t="s">
        <v>5767</v>
      </c>
      <c r="E1013" t="s">
        <v>121</v>
      </c>
      <c r="F1013" t="s">
        <v>5768</v>
      </c>
      <c r="G1013" t="s">
        <v>5769</v>
      </c>
      <c r="H1013" t="s">
        <v>5770</v>
      </c>
      <c r="I1013" t="s">
        <v>5771</v>
      </c>
      <c r="J1013" t="s">
        <v>3074</v>
      </c>
      <c r="K1013" t="s">
        <v>1853</v>
      </c>
      <c r="L1013" t="s">
        <v>128</v>
      </c>
      <c r="M1013" t="s">
        <v>1854</v>
      </c>
      <c r="N1013" t="s">
        <v>5772</v>
      </c>
      <c r="O1013" t="s">
        <v>619</v>
      </c>
      <c r="P1013">
        <v>0</v>
      </c>
      <c r="Q1013" t="s">
        <v>125</v>
      </c>
      <c r="R1013">
        <v>6</v>
      </c>
      <c r="S1013">
        <v>41</v>
      </c>
      <c r="T1013" t="s">
        <v>132</v>
      </c>
      <c r="U1013" t="s">
        <v>133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134</v>
      </c>
      <c r="AE1013" t="s">
        <v>134</v>
      </c>
      <c r="AF1013" s="2">
        <v>45624</v>
      </c>
      <c r="AG1013" s="2">
        <v>45980</v>
      </c>
      <c r="AH1013" s="1">
        <v>1341.87</v>
      </c>
      <c r="AI1013" s="1">
        <v>2802.37</v>
      </c>
      <c r="AJ1013" s="1">
        <v>9393.1299999999992</v>
      </c>
      <c r="AK1013">
        <v>0</v>
      </c>
      <c r="AL1013">
        <v>0</v>
      </c>
      <c r="AM1013">
        <v>0</v>
      </c>
      <c r="AN1013" t="s">
        <v>135</v>
      </c>
      <c r="AO1013" t="s">
        <v>135</v>
      </c>
      <c r="AP1013" t="s">
        <v>136</v>
      </c>
      <c r="AQ1013" t="s">
        <v>137</v>
      </c>
      <c r="AR1013" t="s">
        <v>138</v>
      </c>
      <c r="AS1013" t="s">
        <v>150</v>
      </c>
      <c r="AT1013" t="s">
        <v>140</v>
      </c>
      <c r="AU1013">
        <v>106</v>
      </c>
      <c r="AV1013">
        <v>10</v>
      </c>
      <c r="AW1013">
        <v>1</v>
      </c>
      <c r="AX1013" s="2">
        <v>45825</v>
      </c>
      <c r="AY1013" t="s">
        <v>377</v>
      </c>
      <c r="AZ1013" s="2">
        <v>46028</v>
      </c>
      <c r="BA1013">
        <v>0</v>
      </c>
      <c r="BB1013">
        <v>0</v>
      </c>
      <c r="BC1013">
        <v>0</v>
      </c>
      <c r="BD1013">
        <v>700</v>
      </c>
      <c r="BE1013">
        <v>70</v>
      </c>
      <c r="BF1013">
        <v>9</v>
      </c>
      <c r="BG1013" s="2">
        <v>45809</v>
      </c>
      <c r="BH1013" t="s">
        <v>142</v>
      </c>
      <c r="BI1013" s="2">
        <v>46026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 s="1">
        <v>4258.6099999999997</v>
      </c>
      <c r="BQ1013" s="1">
        <v>4258.6099999999997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 s="1">
        <v>4656.93</v>
      </c>
      <c r="CC1013" t="s">
        <v>143</v>
      </c>
    </row>
    <row r="1014" spans="1:81" x14ac:dyDescent="0.25">
      <c r="A1014">
        <v>345</v>
      </c>
      <c r="B1014">
        <v>2</v>
      </c>
      <c r="C1014">
        <v>2951</v>
      </c>
      <c r="D1014" t="s">
        <v>5773</v>
      </c>
      <c r="E1014" t="s">
        <v>121</v>
      </c>
      <c r="F1014" t="s">
        <v>5774</v>
      </c>
      <c r="G1014" t="s">
        <v>5775</v>
      </c>
      <c r="H1014" t="s">
        <v>5776</v>
      </c>
      <c r="I1014" t="s">
        <v>5777</v>
      </c>
      <c r="J1014" t="s">
        <v>459</v>
      </c>
      <c r="K1014" t="s">
        <v>336</v>
      </c>
      <c r="L1014" t="s">
        <v>128</v>
      </c>
      <c r="M1014" t="s">
        <v>337</v>
      </c>
      <c r="N1014" t="s">
        <v>5778</v>
      </c>
      <c r="O1014" t="s">
        <v>167</v>
      </c>
      <c r="P1014">
        <v>0</v>
      </c>
      <c r="Q1014" t="s">
        <v>125</v>
      </c>
      <c r="R1014">
        <v>6</v>
      </c>
      <c r="S1014">
        <v>33</v>
      </c>
      <c r="T1014" t="s">
        <v>132</v>
      </c>
      <c r="U1014" t="s">
        <v>133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134</v>
      </c>
      <c r="AE1014" t="s">
        <v>134</v>
      </c>
      <c r="AF1014" s="2">
        <v>45624</v>
      </c>
      <c r="AG1014" s="2">
        <v>46001</v>
      </c>
      <c r="AH1014">
        <v>261.60000000000002</v>
      </c>
      <c r="AI1014">
        <v>261.60000000000002</v>
      </c>
      <c r="AJ1014">
        <v>261.60000000000002</v>
      </c>
      <c r="AK1014">
        <v>0</v>
      </c>
      <c r="AL1014">
        <v>0</v>
      </c>
      <c r="AM1014">
        <v>0</v>
      </c>
      <c r="AN1014" t="s">
        <v>135</v>
      </c>
      <c r="AO1014" t="s">
        <v>135</v>
      </c>
      <c r="AP1014" t="s">
        <v>136</v>
      </c>
      <c r="AQ1014" t="s">
        <v>137</v>
      </c>
      <c r="AR1014" t="s">
        <v>138</v>
      </c>
      <c r="AS1014" t="s">
        <v>139</v>
      </c>
      <c r="AT1014" t="s">
        <v>140</v>
      </c>
      <c r="AU1014">
        <v>100</v>
      </c>
      <c r="AV1014">
        <v>10</v>
      </c>
      <c r="AW1014">
        <v>1</v>
      </c>
      <c r="AX1014" s="2">
        <v>45824</v>
      </c>
      <c r="AY1014" t="s">
        <v>141</v>
      </c>
      <c r="AZ1014" s="2">
        <v>46027</v>
      </c>
      <c r="BA1014">
        <v>0</v>
      </c>
      <c r="BB1014">
        <v>0</v>
      </c>
      <c r="BC1014">
        <v>0</v>
      </c>
      <c r="BD1014">
        <v>700</v>
      </c>
      <c r="BE1014">
        <v>70</v>
      </c>
      <c r="BF1014">
        <v>9</v>
      </c>
      <c r="BG1014" s="2">
        <v>45809</v>
      </c>
      <c r="BH1014" t="s">
        <v>142</v>
      </c>
      <c r="BI1014" s="2">
        <v>46026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261.60000000000002</v>
      </c>
      <c r="BW1014">
        <v>261.60000000000002</v>
      </c>
      <c r="BX1014">
        <v>0</v>
      </c>
      <c r="BY1014">
        <v>0</v>
      </c>
      <c r="BZ1014">
        <v>0</v>
      </c>
      <c r="CA1014">
        <v>0</v>
      </c>
      <c r="CB1014">
        <v>63.93</v>
      </c>
      <c r="CC1014" t="s">
        <v>161</v>
      </c>
    </row>
    <row r="1015" spans="1:81" x14ac:dyDescent="0.25">
      <c r="A1015">
        <v>345</v>
      </c>
      <c r="B1015">
        <v>2</v>
      </c>
      <c r="C1015">
        <v>2954</v>
      </c>
      <c r="D1015" t="s">
        <v>5779</v>
      </c>
      <c r="E1015" t="s">
        <v>5780</v>
      </c>
      <c r="F1015" t="s">
        <v>5781</v>
      </c>
      <c r="G1015" t="s">
        <v>5782</v>
      </c>
      <c r="H1015" t="s">
        <v>4231</v>
      </c>
      <c r="I1015" t="s">
        <v>5783</v>
      </c>
      <c r="J1015" t="s">
        <v>3074</v>
      </c>
      <c r="K1015" t="s">
        <v>1853</v>
      </c>
      <c r="L1015" t="s">
        <v>128</v>
      </c>
      <c r="M1015" t="s">
        <v>1854</v>
      </c>
      <c r="N1015" t="s">
        <v>5784</v>
      </c>
      <c r="O1015" t="s">
        <v>2996</v>
      </c>
      <c r="P1015">
        <v>0</v>
      </c>
      <c r="Q1015" t="s">
        <v>125</v>
      </c>
      <c r="R1015">
        <v>6</v>
      </c>
      <c r="S1015">
        <v>40</v>
      </c>
      <c r="T1015" t="s">
        <v>132</v>
      </c>
      <c r="U1015" t="s">
        <v>133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134</v>
      </c>
      <c r="AE1015" t="s">
        <v>234</v>
      </c>
      <c r="AF1015" s="2">
        <v>45625</v>
      </c>
      <c r="AG1015" s="2">
        <v>46008</v>
      </c>
      <c r="AH1015">
        <v>227.72</v>
      </c>
      <c r="AI1015">
        <v>398.1</v>
      </c>
      <c r="AJ1015" s="1">
        <v>1821.76</v>
      </c>
      <c r="AK1015">
        <v>0</v>
      </c>
      <c r="AL1015">
        <v>0</v>
      </c>
      <c r="AM1015">
        <v>0</v>
      </c>
      <c r="AN1015" t="s">
        <v>135</v>
      </c>
      <c r="AO1015" t="s">
        <v>135</v>
      </c>
      <c r="AP1015" t="s">
        <v>136</v>
      </c>
      <c r="AQ1015" t="s">
        <v>137</v>
      </c>
      <c r="AR1015" t="s">
        <v>138</v>
      </c>
      <c r="AS1015" t="s">
        <v>150</v>
      </c>
      <c r="AT1015" t="s">
        <v>140</v>
      </c>
      <c r="AU1015">
        <v>106</v>
      </c>
      <c r="AV1015">
        <v>10</v>
      </c>
      <c r="AW1015">
        <v>1</v>
      </c>
      <c r="AX1015" s="2">
        <v>45818</v>
      </c>
      <c r="AY1015" t="s">
        <v>377</v>
      </c>
      <c r="AZ1015" s="2">
        <v>46028</v>
      </c>
      <c r="BA1015">
        <v>0</v>
      </c>
      <c r="BB1015">
        <v>0</v>
      </c>
      <c r="BC1015">
        <v>0</v>
      </c>
      <c r="BD1015">
        <v>700</v>
      </c>
      <c r="BE1015">
        <v>70</v>
      </c>
      <c r="BF1015">
        <v>9</v>
      </c>
      <c r="BG1015" s="2">
        <v>45809</v>
      </c>
      <c r="BH1015" t="s">
        <v>142</v>
      </c>
      <c r="BI1015" s="2">
        <v>46026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864.54</v>
      </c>
      <c r="BQ1015">
        <v>864.54</v>
      </c>
      <c r="BR1015">
        <v>0</v>
      </c>
      <c r="BS1015">
        <v>0</v>
      </c>
      <c r="BT1015">
        <v>0</v>
      </c>
      <c r="BU1015">
        <v>0</v>
      </c>
      <c r="BV1015">
        <v>226.74</v>
      </c>
      <c r="BW1015">
        <v>226.74</v>
      </c>
      <c r="BX1015">
        <v>0</v>
      </c>
      <c r="BY1015">
        <v>0</v>
      </c>
      <c r="BZ1015">
        <v>0</v>
      </c>
      <c r="CA1015">
        <v>0</v>
      </c>
      <c r="CB1015">
        <v>764.63</v>
      </c>
      <c r="CC1015" t="s">
        <v>161</v>
      </c>
    </row>
    <row r="1016" spans="1:81" x14ac:dyDescent="0.25">
      <c r="A1016">
        <v>345</v>
      </c>
      <c r="B1016">
        <v>2</v>
      </c>
      <c r="C1016">
        <v>2956</v>
      </c>
      <c r="D1016" t="s">
        <v>5785</v>
      </c>
      <c r="E1016" t="s">
        <v>121</v>
      </c>
      <c r="F1016" t="s">
        <v>5786</v>
      </c>
      <c r="G1016" t="s">
        <v>5787</v>
      </c>
      <c r="H1016" t="s">
        <v>3235</v>
      </c>
      <c r="I1016" t="s">
        <v>5788</v>
      </c>
      <c r="J1016" t="s">
        <v>1263</v>
      </c>
      <c r="K1016" t="s">
        <v>466</v>
      </c>
      <c r="L1016" t="s">
        <v>128</v>
      </c>
      <c r="M1016" t="s">
        <v>467</v>
      </c>
      <c r="N1016" t="s">
        <v>5789</v>
      </c>
      <c r="O1016" t="s">
        <v>296</v>
      </c>
      <c r="P1016">
        <v>0</v>
      </c>
      <c r="Q1016" t="s">
        <v>125</v>
      </c>
      <c r="R1016">
        <v>6</v>
      </c>
      <c r="S1016">
        <v>38</v>
      </c>
      <c r="T1016" t="s">
        <v>132</v>
      </c>
      <c r="U1016" t="s">
        <v>133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134</v>
      </c>
      <c r="AE1016" t="s">
        <v>134</v>
      </c>
      <c r="AF1016" s="2">
        <v>45628</v>
      </c>
      <c r="AG1016" s="2">
        <v>46017</v>
      </c>
      <c r="AH1016">
        <v>786.09</v>
      </c>
      <c r="AI1016" s="1">
        <v>1003.2</v>
      </c>
      <c r="AJ1016" s="1">
        <v>7860.95</v>
      </c>
      <c r="AK1016">
        <v>0</v>
      </c>
      <c r="AL1016">
        <v>0</v>
      </c>
      <c r="AM1016">
        <v>0</v>
      </c>
      <c r="AN1016" t="s">
        <v>135</v>
      </c>
      <c r="AO1016" t="s">
        <v>135</v>
      </c>
      <c r="AP1016" t="s">
        <v>136</v>
      </c>
      <c r="AQ1016" t="s">
        <v>137</v>
      </c>
      <c r="AR1016" t="s">
        <v>138</v>
      </c>
      <c r="AS1016" t="s">
        <v>139</v>
      </c>
      <c r="AT1016" t="s">
        <v>140</v>
      </c>
      <c r="AU1016">
        <v>106</v>
      </c>
      <c r="AV1016">
        <v>10</v>
      </c>
      <c r="AW1016">
        <v>1</v>
      </c>
      <c r="AX1016" s="2">
        <v>45631</v>
      </c>
      <c r="AY1016" t="s">
        <v>308</v>
      </c>
      <c r="AZ1016" s="2">
        <v>46023</v>
      </c>
      <c r="BA1016">
        <v>0</v>
      </c>
      <c r="BB1016">
        <v>0</v>
      </c>
      <c r="BC1016">
        <v>0</v>
      </c>
      <c r="BD1016">
        <v>700</v>
      </c>
      <c r="BE1016">
        <v>70</v>
      </c>
      <c r="BF1016">
        <v>9</v>
      </c>
      <c r="BG1016" s="2">
        <v>45809</v>
      </c>
      <c r="BH1016" t="s">
        <v>142</v>
      </c>
      <c r="BI1016" s="2">
        <v>46026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 s="1">
        <v>2684.15</v>
      </c>
      <c r="BQ1016" s="1">
        <v>2684.15</v>
      </c>
      <c r="BR1016">
        <v>0</v>
      </c>
      <c r="BS1016">
        <v>0</v>
      </c>
      <c r="BT1016">
        <v>0</v>
      </c>
      <c r="BU1016">
        <v>0</v>
      </c>
      <c r="BV1016" s="1">
        <v>3478</v>
      </c>
      <c r="BW1016" s="1">
        <v>3478</v>
      </c>
      <c r="BX1016">
        <v>0</v>
      </c>
      <c r="BY1016">
        <v>0</v>
      </c>
      <c r="BZ1016">
        <v>0</v>
      </c>
      <c r="CA1016">
        <v>0</v>
      </c>
      <c r="CB1016" s="1">
        <v>2209.4299999999998</v>
      </c>
      <c r="CC1016" t="s">
        <v>297</v>
      </c>
    </row>
    <row r="1017" spans="1:81" x14ac:dyDescent="0.25">
      <c r="A1017">
        <v>345</v>
      </c>
      <c r="B1017">
        <v>2</v>
      </c>
      <c r="C1017">
        <v>2959</v>
      </c>
      <c r="D1017" t="s">
        <v>5790</v>
      </c>
      <c r="E1017" t="s">
        <v>121</v>
      </c>
      <c r="F1017" t="s">
        <v>5791</v>
      </c>
      <c r="G1017" t="s">
        <v>5792</v>
      </c>
      <c r="H1017" t="s">
        <v>5793</v>
      </c>
      <c r="I1017" t="s">
        <v>5794</v>
      </c>
      <c r="J1017" t="s">
        <v>126</v>
      </c>
      <c r="K1017" t="s">
        <v>127</v>
      </c>
      <c r="L1017" t="s">
        <v>128</v>
      </c>
      <c r="M1017" t="s">
        <v>129</v>
      </c>
      <c r="N1017" t="s">
        <v>5795</v>
      </c>
      <c r="O1017" t="s">
        <v>149</v>
      </c>
      <c r="P1017">
        <v>0</v>
      </c>
      <c r="Q1017" t="s">
        <v>125</v>
      </c>
      <c r="R1017">
        <v>6</v>
      </c>
      <c r="S1017">
        <v>39</v>
      </c>
      <c r="T1017" t="s">
        <v>132</v>
      </c>
      <c r="U1017" t="s">
        <v>133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134</v>
      </c>
      <c r="AE1017" t="s">
        <v>134</v>
      </c>
      <c r="AF1017" s="2">
        <v>45628</v>
      </c>
      <c r="AG1017" s="2">
        <v>46013</v>
      </c>
      <c r="AH1017" s="1">
        <v>1950.92</v>
      </c>
      <c r="AI1017" s="1">
        <v>2954.32</v>
      </c>
      <c r="AJ1017" s="1">
        <v>19509.25</v>
      </c>
      <c r="AK1017">
        <v>0</v>
      </c>
      <c r="AL1017">
        <v>0</v>
      </c>
      <c r="AM1017">
        <v>0</v>
      </c>
      <c r="AN1017" t="s">
        <v>135</v>
      </c>
      <c r="AO1017" t="s">
        <v>135</v>
      </c>
      <c r="AP1017" t="s">
        <v>136</v>
      </c>
      <c r="AQ1017" t="s">
        <v>137</v>
      </c>
      <c r="AR1017" t="s">
        <v>138</v>
      </c>
      <c r="AS1017" t="s">
        <v>139</v>
      </c>
      <c r="AT1017" t="s">
        <v>140</v>
      </c>
      <c r="AU1017">
        <v>102</v>
      </c>
      <c r="AV1017">
        <v>10</v>
      </c>
      <c r="AW1017">
        <v>1</v>
      </c>
      <c r="AX1017" s="2">
        <v>45843</v>
      </c>
      <c r="AY1017" t="s">
        <v>160</v>
      </c>
      <c r="AZ1017" s="2">
        <v>46025</v>
      </c>
      <c r="BA1017">
        <v>0</v>
      </c>
      <c r="BB1017">
        <v>0</v>
      </c>
      <c r="BC1017">
        <v>0</v>
      </c>
      <c r="BD1017">
        <v>700</v>
      </c>
      <c r="BE1017">
        <v>70</v>
      </c>
      <c r="BF1017">
        <v>9</v>
      </c>
      <c r="BG1017" s="2">
        <v>45809</v>
      </c>
      <c r="BH1017" t="s">
        <v>142</v>
      </c>
      <c r="BI1017" s="2">
        <v>46026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 s="1">
        <v>3947.99</v>
      </c>
      <c r="BQ1017" s="1">
        <v>3947.99</v>
      </c>
      <c r="BR1017">
        <v>0</v>
      </c>
      <c r="BS1017">
        <v>0</v>
      </c>
      <c r="BT1017">
        <v>0</v>
      </c>
      <c r="BU1017">
        <v>0</v>
      </c>
      <c r="BV1017" s="1">
        <v>7838.11</v>
      </c>
      <c r="BW1017" s="1">
        <v>7838.11</v>
      </c>
      <c r="BX1017">
        <v>0</v>
      </c>
      <c r="BY1017">
        <v>0</v>
      </c>
      <c r="BZ1017">
        <v>0</v>
      </c>
      <c r="CA1017">
        <v>0</v>
      </c>
      <c r="CB1017" s="1">
        <v>7053.08</v>
      </c>
      <c r="CC1017" t="s">
        <v>152</v>
      </c>
    </row>
    <row r="1018" spans="1:81" x14ac:dyDescent="0.25">
      <c r="A1018">
        <v>345</v>
      </c>
      <c r="B1018">
        <v>2</v>
      </c>
      <c r="C1018">
        <v>2960</v>
      </c>
      <c r="D1018" t="s">
        <v>5796</v>
      </c>
      <c r="E1018" t="s">
        <v>121</v>
      </c>
      <c r="F1018" t="s">
        <v>5797</v>
      </c>
      <c r="G1018" t="s">
        <v>5798</v>
      </c>
      <c r="H1018" t="s">
        <v>5799</v>
      </c>
      <c r="I1018" t="s">
        <v>5800</v>
      </c>
      <c r="J1018" t="s">
        <v>3074</v>
      </c>
      <c r="K1018" t="s">
        <v>1853</v>
      </c>
      <c r="L1018" t="s">
        <v>128</v>
      </c>
      <c r="M1018" t="s">
        <v>1854</v>
      </c>
      <c r="N1018" t="s">
        <v>5801</v>
      </c>
      <c r="O1018" t="s">
        <v>296</v>
      </c>
      <c r="P1018">
        <v>0</v>
      </c>
      <c r="Q1018" t="s">
        <v>125</v>
      </c>
      <c r="R1018">
        <v>6</v>
      </c>
      <c r="S1018">
        <v>39</v>
      </c>
      <c r="T1018" t="s">
        <v>132</v>
      </c>
      <c r="U1018" t="s">
        <v>133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134</v>
      </c>
      <c r="AE1018" t="s">
        <v>134</v>
      </c>
      <c r="AF1018" s="2">
        <v>45628</v>
      </c>
      <c r="AG1018" s="2">
        <v>46017</v>
      </c>
      <c r="AH1018" s="1">
        <v>1126.8699999999999</v>
      </c>
      <c r="AI1018" s="1">
        <v>2244.4299999999998</v>
      </c>
      <c r="AJ1018" s="1">
        <v>14649.38</v>
      </c>
      <c r="AK1018">
        <v>0</v>
      </c>
      <c r="AL1018">
        <v>0</v>
      </c>
      <c r="AM1018">
        <v>0</v>
      </c>
      <c r="AN1018" t="s">
        <v>135</v>
      </c>
      <c r="AO1018" t="s">
        <v>135</v>
      </c>
      <c r="AP1018" t="s">
        <v>136</v>
      </c>
      <c r="AQ1018" t="s">
        <v>137</v>
      </c>
      <c r="AR1018" t="s">
        <v>138</v>
      </c>
      <c r="AS1018" t="s">
        <v>139</v>
      </c>
      <c r="AT1018" t="s">
        <v>140</v>
      </c>
      <c r="AU1018">
        <v>106</v>
      </c>
      <c r="AV1018">
        <v>10</v>
      </c>
      <c r="AW1018">
        <v>1</v>
      </c>
      <c r="AX1018" s="2">
        <v>45854</v>
      </c>
      <c r="AY1018" t="s">
        <v>168</v>
      </c>
      <c r="AZ1018" s="2">
        <v>46022</v>
      </c>
      <c r="BA1018">
        <v>0</v>
      </c>
      <c r="BB1018">
        <v>0</v>
      </c>
      <c r="BC1018">
        <v>0</v>
      </c>
      <c r="BD1018">
        <v>700</v>
      </c>
      <c r="BE1018">
        <v>70</v>
      </c>
      <c r="BF1018">
        <v>9</v>
      </c>
      <c r="BG1018" s="2">
        <v>45809</v>
      </c>
      <c r="BH1018" t="s">
        <v>142</v>
      </c>
      <c r="BI1018" s="2">
        <v>46026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 s="1">
        <v>4532.92</v>
      </c>
      <c r="BQ1018" s="1">
        <v>4532.92</v>
      </c>
      <c r="BR1018">
        <v>0</v>
      </c>
      <c r="BS1018">
        <v>0</v>
      </c>
      <c r="BT1018">
        <v>0</v>
      </c>
      <c r="BU1018">
        <v>0</v>
      </c>
      <c r="BV1018" s="1">
        <v>5677.22</v>
      </c>
      <c r="BW1018" s="1">
        <v>5677.22</v>
      </c>
      <c r="BX1018">
        <v>0</v>
      </c>
      <c r="BY1018">
        <v>0</v>
      </c>
      <c r="BZ1018">
        <v>0</v>
      </c>
      <c r="CA1018">
        <v>0</v>
      </c>
      <c r="CB1018" s="1">
        <v>4319.97</v>
      </c>
      <c r="CC1018" t="s">
        <v>297</v>
      </c>
    </row>
    <row r="1019" spans="1:81" x14ac:dyDescent="0.25">
      <c r="A1019">
        <v>345</v>
      </c>
      <c r="B1019">
        <v>2</v>
      </c>
      <c r="C1019">
        <v>2961</v>
      </c>
      <c r="D1019" t="s">
        <v>5802</v>
      </c>
      <c r="E1019" t="s">
        <v>121</v>
      </c>
      <c r="F1019" t="s">
        <v>5803</v>
      </c>
      <c r="G1019" t="s">
        <v>5804</v>
      </c>
      <c r="H1019" t="s">
        <v>5805</v>
      </c>
      <c r="I1019" t="s">
        <v>5806</v>
      </c>
      <c r="J1019" t="s">
        <v>606</v>
      </c>
      <c r="K1019" t="s">
        <v>336</v>
      </c>
      <c r="L1019" t="s">
        <v>128</v>
      </c>
      <c r="M1019" t="s">
        <v>337</v>
      </c>
      <c r="N1019" t="s">
        <v>5807</v>
      </c>
      <c r="O1019" t="s">
        <v>159</v>
      </c>
      <c r="P1019">
        <v>0</v>
      </c>
      <c r="Q1019" t="s">
        <v>125</v>
      </c>
      <c r="R1019">
        <v>6</v>
      </c>
      <c r="S1019">
        <v>38</v>
      </c>
      <c r="T1019" t="s">
        <v>132</v>
      </c>
      <c r="U1019" t="s">
        <v>133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134</v>
      </c>
      <c r="AE1019" t="s">
        <v>134</v>
      </c>
      <c r="AF1019" s="2">
        <v>45628</v>
      </c>
      <c r="AG1019" s="2">
        <v>46018</v>
      </c>
      <c r="AH1019">
        <v>414.81</v>
      </c>
      <c r="AI1019">
        <v>553.70000000000005</v>
      </c>
      <c r="AJ1019" s="1">
        <v>2074.0700000000002</v>
      </c>
      <c r="AK1019">
        <v>0</v>
      </c>
      <c r="AL1019">
        <v>0</v>
      </c>
      <c r="AM1019">
        <v>0</v>
      </c>
      <c r="AN1019" t="s">
        <v>135</v>
      </c>
      <c r="AO1019" t="s">
        <v>135</v>
      </c>
      <c r="AP1019" t="s">
        <v>136</v>
      </c>
      <c r="AQ1019" t="s">
        <v>137</v>
      </c>
      <c r="AR1019" t="s">
        <v>138</v>
      </c>
      <c r="AS1019" t="s">
        <v>150</v>
      </c>
      <c r="AT1019" t="s">
        <v>140</v>
      </c>
      <c r="AU1019">
        <v>101</v>
      </c>
      <c r="AV1019">
        <v>10</v>
      </c>
      <c r="AW1019">
        <v>1</v>
      </c>
      <c r="AX1019" s="2">
        <v>45966</v>
      </c>
      <c r="AY1019" t="s">
        <v>168</v>
      </c>
      <c r="AZ1019" s="2">
        <v>46022</v>
      </c>
      <c r="BA1019">
        <v>0</v>
      </c>
      <c r="BB1019">
        <v>0</v>
      </c>
      <c r="BC1019">
        <v>0</v>
      </c>
      <c r="BD1019">
        <v>700</v>
      </c>
      <c r="BE1019">
        <v>70</v>
      </c>
      <c r="BF1019">
        <v>9</v>
      </c>
      <c r="BG1019" s="2">
        <v>45809</v>
      </c>
      <c r="BH1019" t="s">
        <v>142</v>
      </c>
      <c r="BI1019" s="2">
        <v>46026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873.5</v>
      </c>
      <c r="BQ1019">
        <v>873.5</v>
      </c>
      <c r="BR1019">
        <v>0</v>
      </c>
      <c r="BS1019">
        <v>0</v>
      </c>
      <c r="BT1019">
        <v>0</v>
      </c>
      <c r="BU1019">
        <v>0</v>
      </c>
      <c r="BV1019">
        <v>705.6</v>
      </c>
      <c r="BW1019">
        <v>705.6</v>
      </c>
      <c r="BX1019">
        <v>0</v>
      </c>
      <c r="BY1019">
        <v>0</v>
      </c>
      <c r="BZ1019">
        <v>0</v>
      </c>
      <c r="CA1019">
        <v>0</v>
      </c>
      <c r="CB1019">
        <v>906.9</v>
      </c>
      <c r="CC1019" t="s">
        <v>161</v>
      </c>
    </row>
    <row r="1020" spans="1:81" x14ac:dyDescent="0.25">
      <c r="A1020">
        <v>345</v>
      </c>
      <c r="B1020">
        <v>2</v>
      </c>
      <c r="C1020">
        <v>2965</v>
      </c>
      <c r="D1020" t="s">
        <v>5808</v>
      </c>
      <c r="E1020" t="s">
        <v>5427</v>
      </c>
      <c r="F1020" t="s">
        <v>5809</v>
      </c>
      <c r="G1020" t="s">
        <v>5810</v>
      </c>
      <c r="H1020" t="s">
        <v>5811</v>
      </c>
      <c r="I1020" t="s">
        <v>5812</v>
      </c>
      <c r="J1020" t="s">
        <v>3074</v>
      </c>
      <c r="K1020" t="s">
        <v>1853</v>
      </c>
      <c r="L1020" t="s">
        <v>128</v>
      </c>
      <c r="M1020" t="s">
        <v>1854</v>
      </c>
      <c r="N1020" t="s">
        <v>5813</v>
      </c>
      <c r="O1020" t="s">
        <v>296</v>
      </c>
      <c r="P1020">
        <v>0</v>
      </c>
      <c r="Q1020" t="s">
        <v>125</v>
      </c>
      <c r="R1020">
        <v>3</v>
      </c>
      <c r="S1020">
        <v>87</v>
      </c>
      <c r="T1020" t="s">
        <v>132</v>
      </c>
      <c r="U1020" t="s">
        <v>133</v>
      </c>
      <c r="V1020" s="1">
        <v>1000</v>
      </c>
      <c r="W1020">
        <v>0</v>
      </c>
      <c r="X1020" s="1">
        <v>1000</v>
      </c>
      <c r="Y1020">
        <v>7</v>
      </c>
      <c r="Z1020">
        <v>0</v>
      </c>
      <c r="AA1020">
        <v>0</v>
      </c>
      <c r="AB1020">
        <v>0</v>
      </c>
      <c r="AC1020">
        <v>0</v>
      </c>
      <c r="AD1020" t="s">
        <v>134</v>
      </c>
      <c r="AE1020" t="s">
        <v>134</v>
      </c>
      <c r="AF1020" s="2">
        <v>45630</v>
      </c>
      <c r="AG1020" s="2">
        <v>46015</v>
      </c>
      <c r="AH1020">
        <v>444.82</v>
      </c>
      <c r="AI1020">
        <v>728.49</v>
      </c>
      <c r="AJ1020" s="1">
        <v>1779.31</v>
      </c>
      <c r="AK1020">
        <v>0</v>
      </c>
      <c r="AL1020">
        <v>0</v>
      </c>
      <c r="AM1020">
        <v>0</v>
      </c>
      <c r="AN1020" t="s">
        <v>135</v>
      </c>
      <c r="AO1020" t="s">
        <v>135</v>
      </c>
      <c r="AP1020" t="s">
        <v>136</v>
      </c>
      <c r="AQ1020" t="s">
        <v>137</v>
      </c>
      <c r="AR1020" t="s">
        <v>138</v>
      </c>
      <c r="AS1020" t="s">
        <v>139</v>
      </c>
      <c r="AT1020" t="s">
        <v>140</v>
      </c>
      <c r="AU1020">
        <v>106</v>
      </c>
      <c r="AV1020">
        <v>10</v>
      </c>
      <c r="AW1020">
        <v>1</v>
      </c>
      <c r="AX1020" s="2">
        <v>45818</v>
      </c>
      <c r="AY1020" t="s">
        <v>377</v>
      </c>
      <c r="AZ1020" s="2">
        <v>46028</v>
      </c>
      <c r="BA1020">
        <v>0</v>
      </c>
      <c r="BB1020">
        <v>0</v>
      </c>
      <c r="BC1020">
        <v>0</v>
      </c>
      <c r="BD1020">
        <v>700</v>
      </c>
      <c r="BE1020">
        <v>70</v>
      </c>
      <c r="BF1020">
        <v>9</v>
      </c>
      <c r="BG1020" s="2">
        <v>45809</v>
      </c>
      <c r="BH1020" t="s">
        <v>142</v>
      </c>
      <c r="BI1020" s="2">
        <v>46026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 s="1">
        <v>1181.6500000000001</v>
      </c>
      <c r="BQ1020" s="1">
        <v>1181.6500000000001</v>
      </c>
      <c r="BR1020">
        <v>0</v>
      </c>
      <c r="BS1020">
        <v>0</v>
      </c>
      <c r="BT1020">
        <v>0</v>
      </c>
      <c r="BU1020">
        <v>0</v>
      </c>
      <c r="BV1020">
        <v>161.78</v>
      </c>
      <c r="BW1020">
        <v>161.78</v>
      </c>
      <c r="BX1020">
        <v>0</v>
      </c>
      <c r="BY1020">
        <v>0</v>
      </c>
      <c r="BZ1020">
        <v>0</v>
      </c>
      <c r="CA1020">
        <v>0</v>
      </c>
      <c r="CB1020">
        <v>745.57</v>
      </c>
      <c r="CC1020" t="s">
        <v>297</v>
      </c>
    </row>
    <row r="1021" spans="1:81" x14ac:dyDescent="0.25">
      <c r="A1021">
        <v>345</v>
      </c>
      <c r="B1021">
        <v>2</v>
      </c>
      <c r="C1021">
        <v>2967</v>
      </c>
      <c r="D1021" t="s">
        <v>5814</v>
      </c>
      <c r="E1021" t="s">
        <v>121</v>
      </c>
      <c r="F1021" t="s">
        <v>5815</v>
      </c>
      <c r="G1021" t="s">
        <v>5816</v>
      </c>
      <c r="H1021" t="s">
        <v>5817</v>
      </c>
      <c r="I1021" t="s">
        <v>5818</v>
      </c>
      <c r="J1021" t="s">
        <v>126</v>
      </c>
      <c r="K1021" t="s">
        <v>1853</v>
      </c>
      <c r="L1021" t="s">
        <v>128</v>
      </c>
      <c r="M1021" t="s">
        <v>1854</v>
      </c>
      <c r="N1021" t="s">
        <v>5819</v>
      </c>
      <c r="O1021" t="s">
        <v>159</v>
      </c>
      <c r="P1021">
        <v>0</v>
      </c>
      <c r="Q1021" t="s">
        <v>125</v>
      </c>
      <c r="R1021">
        <v>6</v>
      </c>
      <c r="S1021">
        <v>34</v>
      </c>
      <c r="T1021" t="s">
        <v>132</v>
      </c>
      <c r="U1021" t="s">
        <v>133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134</v>
      </c>
      <c r="AE1021" t="s">
        <v>134</v>
      </c>
      <c r="AF1021" s="2">
        <v>45635</v>
      </c>
      <c r="AG1021" s="2">
        <v>46007</v>
      </c>
      <c r="AH1021">
        <v>500.3</v>
      </c>
      <c r="AI1021" s="1">
        <v>1129.8900000000001</v>
      </c>
      <c r="AJ1021" s="1">
        <v>4002.45</v>
      </c>
      <c r="AK1021">
        <v>0</v>
      </c>
      <c r="AL1021">
        <v>0</v>
      </c>
      <c r="AM1021">
        <v>0</v>
      </c>
      <c r="AN1021" t="s">
        <v>135</v>
      </c>
      <c r="AO1021" t="s">
        <v>135</v>
      </c>
      <c r="AP1021" t="s">
        <v>136</v>
      </c>
      <c r="AQ1021" t="s">
        <v>137</v>
      </c>
      <c r="AR1021" t="s">
        <v>138</v>
      </c>
      <c r="AS1021" t="s">
        <v>139</v>
      </c>
      <c r="AT1021" t="s">
        <v>140</v>
      </c>
      <c r="AU1021">
        <v>103</v>
      </c>
      <c r="AV1021">
        <v>10</v>
      </c>
      <c r="AW1021">
        <v>1</v>
      </c>
      <c r="AX1021" s="2">
        <v>45635</v>
      </c>
      <c r="AY1021" t="s">
        <v>141</v>
      </c>
      <c r="AZ1021" s="2">
        <v>46027</v>
      </c>
      <c r="BA1021">
        <v>0</v>
      </c>
      <c r="BB1021">
        <v>0</v>
      </c>
      <c r="BC1021">
        <v>0</v>
      </c>
      <c r="BD1021">
        <v>700</v>
      </c>
      <c r="BE1021">
        <v>70</v>
      </c>
      <c r="BF1021">
        <v>9</v>
      </c>
      <c r="BG1021" s="2">
        <v>45809</v>
      </c>
      <c r="BH1021" t="s">
        <v>142</v>
      </c>
      <c r="BI1021" s="2">
        <v>46026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 s="1">
        <v>1892.31</v>
      </c>
      <c r="BQ1021" s="1">
        <v>1892.31</v>
      </c>
      <c r="BR1021">
        <v>0</v>
      </c>
      <c r="BS1021">
        <v>0</v>
      </c>
      <c r="BT1021">
        <v>0</v>
      </c>
      <c r="BU1021">
        <v>0</v>
      </c>
      <c r="BV1021">
        <v>677.34</v>
      </c>
      <c r="BW1021">
        <v>677.34</v>
      </c>
      <c r="BX1021">
        <v>0</v>
      </c>
      <c r="BY1021">
        <v>0</v>
      </c>
      <c r="BZ1021">
        <v>0</v>
      </c>
      <c r="CA1021">
        <v>0</v>
      </c>
      <c r="CB1021" s="1">
        <v>1226.52</v>
      </c>
      <c r="CC1021" t="s">
        <v>161</v>
      </c>
    </row>
    <row r="1022" spans="1:81" x14ac:dyDescent="0.25">
      <c r="A1022">
        <v>345</v>
      </c>
      <c r="B1022">
        <v>2</v>
      </c>
      <c r="C1022">
        <v>2968</v>
      </c>
      <c r="D1022" t="s">
        <v>5820</v>
      </c>
      <c r="E1022" t="s">
        <v>121</v>
      </c>
      <c r="F1022" t="s">
        <v>5821</v>
      </c>
      <c r="G1022" t="s">
        <v>5822</v>
      </c>
      <c r="H1022" t="s">
        <v>5823</v>
      </c>
      <c r="I1022" t="s">
        <v>5824</v>
      </c>
      <c r="J1022" t="s">
        <v>126</v>
      </c>
      <c r="K1022" t="s">
        <v>1853</v>
      </c>
      <c r="L1022" t="s">
        <v>128</v>
      </c>
      <c r="M1022" t="s">
        <v>1854</v>
      </c>
      <c r="N1022" t="s">
        <v>5825</v>
      </c>
      <c r="O1022" t="s">
        <v>3115</v>
      </c>
      <c r="P1022">
        <v>0</v>
      </c>
      <c r="Q1022" t="s">
        <v>125</v>
      </c>
      <c r="R1022">
        <v>3</v>
      </c>
      <c r="S1022">
        <v>82</v>
      </c>
      <c r="T1022" t="s">
        <v>132</v>
      </c>
      <c r="U1022" t="s">
        <v>133</v>
      </c>
      <c r="V1022" s="1">
        <v>1500</v>
      </c>
      <c r="W1022">
        <v>0</v>
      </c>
      <c r="X1022" s="1">
        <v>1500</v>
      </c>
      <c r="Y1022">
        <v>7</v>
      </c>
      <c r="Z1022">
        <v>0</v>
      </c>
      <c r="AA1022">
        <v>0</v>
      </c>
      <c r="AB1022">
        <v>0</v>
      </c>
      <c r="AC1022">
        <v>0</v>
      </c>
      <c r="AD1022" t="s">
        <v>134</v>
      </c>
      <c r="AE1022" t="s">
        <v>134</v>
      </c>
      <c r="AF1022" s="2">
        <v>45635</v>
      </c>
      <c r="AG1022" s="2">
        <v>46021</v>
      </c>
      <c r="AH1022">
        <v>258.49</v>
      </c>
      <c r="AI1022">
        <v>564.64</v>
      </c>
      <c r="AJ1022" s="1">
        <v>2584.9899999999998</v>
      </c>
      <c r="AK1022">
        <v>0</v>
      </c>
      <c r="AL1022">
        <v>0</v>
      </c>
      <c r="AM1022">
        <v>0</v>
      </c>
      <c r="AN1022" t="s">
        <v>135</v>
      </c>
      <c r="AO1022" t="s">
        <v>135</v>
      </c>
      <c r="AP1022" t="s">
        <v>136</v>
      </c>
      <c r="AQ1022" t="s">
        <v>137</v>
      </c>
      <c r="AR1022" t="s">
        <v>138</v>
      </c>
      <c r="AS1022" t="s">
        <v>150</v>
      </c>
      <c r="AT1022" t="s">
        <v>140</v>
      </c>
      <c r="AU1022">
        <v>103</v>
      </c>
      <c r="AV1022">
        <v>10</v>
      </c>
      <c r="AW1022">
        <v>1</v>
      </c>
      <c r="AX1022" s="2">
        <v>45866</v>
      </c>
      <c r="AY1022" t="s">
        <v>141</v>
      </c>
      <c r="AZ1022" s="2">
        <v>46027</v>
      </c>
      <c r="BA1022">
        <v>0</v>
      </c>
      <c r="BB1022">
        <v>0</v>
      </c>
      <c r="BC1022">
        <v>0</v>
      </c>
      <c r="BD1022">
        <v>999</v>
      </c>
      <c r="BE1022">
        <v>99</v>
      </c>
      <c r="BF1022">
        <v>9</v>
      </c>
      <c r="BG1022" t="s">
        <v>135</v>
      </c>
      <c r="BH1022" t="s">
        <v>250</v>
      </c>
      <c r="BI1022" t="s">
        <v>135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433.3</v>
      </c>
      <c r="BQ1022">
        <v>433.3</v>
      </c>
      <c r="BR1022">
        <v>0</v>
      </c>
      <c r="BS1022">
        <v>0</v>
      </c>
      <c r="BT1022">
        <v>0</v>
      </c>
      <c r="BU1022">
        <v>0</v>
      </c>
      <c r="BV1022" s="1">
        <v>1657.22</v>
      </c>
      <c r="BW1022" s="1">
        <v>1657.22</v>
      </c>
      <c r="BX1022">
        <v>0</v>
      </c>
      <c r="BY1022">
        <v>0</v>
      </c>
      <c r="BZ1022">
        <v>0</v>
      </c>
      <c r="CA1022">
        <v>0</v>
      </c>
      <c r="CB1022">
        <v>601.04999999999995</v>
      </c>
      <c r="CC1022" t="s">
        <v>3116</v>
      </c>
    </row>
    <row r="1023" spans="1:81" x14ac:dyDescent="0.25">
      <c r="A1023">
        <v>345</v>
      </c>
      <c r="B1023">
        <v>2</v>
      </c>
      <c r="C1023">
        <v>2971</v>
      </c>
      <c r="D1023" t="s">
        <v>5826</v>
      </c>
      <c r="E1023" t="s">
        <v>121</v>
      </c>
      <c r="F1023" t="s">
        <v>5827</v>
      </c>
      <c r="G1023" t="s">
        <v>5827</v>
      </c>
      <c r="H1023" t="s">
        <v>5828</v>
      </c>
      <c r="I1023" t="s">
        <v>5829</v>
      </c>
      <c r="J1023" t="s">
        <v>667</v>
      </c>
      <c r="K1023" t="s">
        <v>336</v>
      </c>
      <c r="L1023" t="s">
        <v>128</v>
      </c>
      <c r="M1023" t="s">
        <v>337</v>
      </c>
      <c r="N1023" t="s">
        <v>5830</v>
      </c>
      <c r="O1023" t="s">
        <v>167</v>
      </c>
      <c r="P1023">
        <v>0</v>
      </c>
      <c r="Q1023" t="s">
        <v>125</v>
      </c>
      <c r="R1023">
        <v>6</v>
      </c>
      <c r="S1023">
        <v>36</v>
      </c>
      <c r="T1023" t="s">
        <v>132</v>
      </c>
      <c r="U1023" t="s">
        <v>133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134</v>
      </c>
      <c r="AE1023" t="s">
        <v>134</v>
      </c>
      <c r="AF1023" s="2">
        <v>45636</v>
      </c>
      <c r="AG1023" s="2">
        <v>46020</v>
      </c>
      <c r="AH1023">
        <v>766.53</v>
      </c>
      <c r="AI1023" s="1">
        <v>1889.5</v>
      </c>
      <c r="AJ1023" s="1">
        <v>9198.39</v>
      </c>
      <c r="AK1023">
        <v>0</v>
      </c>
      <c r="AL1023">
        <v>0</v>
      </c>
      <c r="AM1023">
        <v>0</v>
      </c>
      <c r="AN1023" t="s">
        <v>135</v>
      </c>
      <c r="AO1023" t="s">
        <v>135</v>
      </c>
      <c r="AP1023" t="s">
        <v>136</v>
      </c>
      <c r="AQ1023" t="s">
        <v>137</v>
      </c>
      <c r="AR1023" t="s">
        <v>138</v>
      </c>
      <c r="AS1023" t="s">
        <v>139</v>
      </c>
      <c r="AT1023" t="s">
        <v>140</v>
      </c>
      <c r="AU1023">
        <v>101</v>
      </c>
      <c r="AV1023">
        <v>10</v>
      </c>
      <c r="AW1023">
        <v>1</v>
      </c>
      <c r="AX1023" s="2">
        <v>45730</v>
      </c>
      <c r="AY1023" t="s">
        <v>151</v>
      </c>
      <c r="AZ1023" s="2">
        <v>46024</v>
      </c>
      <c r="BA1023">
        <v>0</v>
      </c>
      <c r="BB1023">
        <v>0</v>
      </c>
      <c r="BC1023">
        <v>0</v>
      </c>
      <c r="BD1023">
        <v>700</v>
      </c>
      <c r="BE1023">
        <v>70</v>
      </c>
      <c r="BF1023">
        <v>9</v>
      </c>
      <c r="BG1023" s="2">
        <v>45809</v>
      </c>
      <c r="BH1023" t="s">
        <v>142</v>
      </c>
      <c r="BI1023" s="2">
        <v>46026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 s="1">
        <v>2876.66</v>
      </c>
      <c r="BQ1023" s="1">
        <v>2876.66</v>
      </c>
      <c r="BR1023">
        <v>0</v>
      </c>
      <c r="BS1023">
        <v>0</v>
      </c>
      <c r="BT1023">
        <v>0</v>
      </c>
      <c r="BU1023">
        <v>0</v>
      </c>
      <c r="BV1023" s="1">
        <v>5086.91</v>
      </c>
      <c r="BW1023" s="1">
        <v>5086.91</v>
      </c>
      <c r="BX1023">
        <v>0</v>
      </c>
      <c r="BY1023">
        <v>0</v>
      </c>
      <c r="BZ1023">
        <v>0</v>
      </c>
      <c r="CA1023">
        <v>0</v>
      </c>
      <c r="CB1023" s="1">
        <v>1568.16</v>
      </c>
      <c r="CC1023" t="s">
        <v>161</v>
      </c>
    </row>
    <row r="1024" spans="1:81" x14ac:dyDescent="0.25">
      <c r="A1024">
        <v>345</v>
      </c>
      <c r="B1024">
        <v>2</v>
      </c>
      <c r="C1024">
        <v>2972</v>
      </c>
      <c r="D1024" t="s">
        <v>5831</v>
      </c>
      <c r="E1024" t="s">
        <v>121</v>
      </c>
      <c r="F1024" t="s">
        <v>5832</v>
      </c>
      <c r="G1024" t="s">
        <v>5833</v>
      </c>
      <c r="H1024" t="s">
        <v>5834</v>
      </c>
      <c r="I1024" t="s">
        <v>5835</v>
      </c>
      <c r="J1024" t="s">
        <v>3080</v>
      </c>
      <c r="K1024" t="s">
        <v>336</v>
      </c>
      <c r="L1024" t="s">
        <v>128</v>
      </c>
      <c r="M1024" t="s">
        <v>337</v>
      </c>
      <c r="N1024" t="s">
        <v>5836</v>
      </c>
      <c r="O1024" t="s">
        <v>167</v>
      </c>
      <c r="P1024">
        <v>0</v>
      </c>
      <c r="Q1024" t="s">
        <v>125</v>
      </c>
      <c r="R1024">
        <v>6</v>
      </c>
      <c r="S1024">
        <v>33</v>
      </c>
      <c r="T1024" t="s">
        <v>132</v>
      </c>
      <c r="U1024" t="s">
        <v>133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134</v>
      </c>
      <c r="AE1024" t="s">
        <v>134</v>
      </c>
      <c r="AF1024" s="2">
        <v>45636</v>
      </c>
      <c r="AG1024" s="2">
        <v>46015</v>
      </c>
      <c r="AH1024">
        <v>185.2</v>
      </c>
      <c r="AI1024">
        <v>280.18</v>
      </c>
      <c r="AJ1024">
        <v>926</v>
      </c>
      <c r="AK1024">
        <v>0</v>
      </c>
      <c r="AL1024">
        <v>0</v>
      </c>
      <c r="AM1024">
        <v>0</v>
      </c>
      <c r="AN1024" t="s">
        <v>135</v>
      </c>
      <c r="AO1024" t="s">
        <v>135</v>
      </c>
      <c r="AP1024" t="s">
        <v>136</v>
      </c>
      <c r="AQ1024" t="s">
        <v>137</v>
      </c>
      <c r="AR1024" t="s">
        <v>138</v>
      </c>
      <c r="AS1024" t="s">
        <v>139</v>
      </c>
      <c r="AT1024" t="s">
        <v>140</v>
      </c>
      <c r="AU1024">
        <v>100</v>
      </c>
      <c r="AV1024">
        <v>10</v>
      </c>
      <c r="AW1024">
        <v>1</v>
      </c>
      <c r="AX1024" s="2">
        <v>45824</v>
      </c>
      <c r="AY1024" t="s">
        <v>141</v>
      </c>
      <c r="AZ1024" s="2">
        <v>46027</v>
      </c>
      <c r="BA1024">
        <v>0</v>
      </c>
      <c r="BB1024">
        <v>0</v>
      </c>
      <c r="BC1024">
        <v>0</v>
      </c>
      <c r="BD1024">
        <v>700</v>
      </c>
      <c r="BE1024">
        <v>70</v>
      </c>
      <c r="BF1024">
        <v>9</v>
      </c>
      <c r="BG1024" s="2">
        <v>45809</v>
      </c>
      <c r="BH1024" t="s">
        <v>142</v>
      </c>
      <c r="BI1024" s="2">
        <v>46026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241.89</v>
      </c>
      <c r="BQ1024">
        <v>241.89</v>
      </c>
      <c r="BR1024">
        <v>0</v>
      </c>
      <c r="BS1024">
        <v>0</v>
      </c>
      <c r="BT1024">
        <v>0</v>
      </c>
      <c r="BU1024">
        <v>0</v>
      </c>
      <c r="BV1024">
        <v>403.93</v>
      </c>
      <c r="BW1024">
        <v>403.93</v>
      </c>
      <c r="BX1024">
        <v>0</v>
      </c>
      <c r="BY1024">
        <v>0</v>
      </c>
      <c r="BZ1024">
        <v>0</v>
      </c>
      <c r="CA1024">
        <v>0</v>
      </c>
      <c r="CB1024">
        <v>433.75</v>
      </c>
      <c r="CC1024" t="s">
        <v>161</v>
      </c>
    </row>
    <row r="1025" spans="1:81" x14ac:dyDescent="0.25">
      <c r="A1025">
        <v>345</v>
      </c>
      <c r="B1025">
        <v>2</v>
      </c>
      <c r="C1025">
        <v>2974</v>
      </c>
      <c r="D1025" t="s">
        <v>5837</v>
      </c>
      <c r="E1025" t="s">
        <v>121</v>
      </c>
      <c r="F1025" t="s">
        <v>5838</v>
      </c>
      <c r="G1025" t="s">
        <v>5839</v>
      </c>
      <c r="H1025" t="s">
        <v>5840</v>
      </c>
      <c r="I1025" t="s">
        <v>5841</v>
      </c>
      <c r="J1025" t="s">
        <v>1263</v>
      </c>
      <c r="K1025" t="s">
        <v>466</v>
      </c>
      <c r="L1025" t="s">
        <v>128</v>
      </c>
      <c r="M1025" t="s">
        <v>467</v>
      </c>
      <c r="N1025" t="s">
        <v>5842</v>
      </c>
      <c r="O1025" t="s">
        <v>195</v>
      </c>
      <c r="P1025">
        <v>0</v>
      </c>
      <c r="Q1025" t="s">
        <v>125</v>
      </c>
      <c r="R1025">
        <v>6</v>
      </c>
      <c r="S1025">
        <v>36</v>
      </c>
      <c r="T1025" t="s">
        <v>132</v>
      </c>
      <c r="U1025" t="s">
        <v>133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134</v>
      </c>
      <c r="AE1025" t="s">
        <v>134</v>
      </c>
      <c r="AF1025" s="2">
        <v>45636</v>
      </c>
      <c r="AG1025" s="2">
        <v>46004</v>
      </c>
      <c r="AH1025">
        <v>96.47</v>
      </c>
      <c r="AI1025">
        <v>96.47</v>
      </c>
      <c r="AJ1025">
        <v>96.47</v>
      </c>
      <c r="AK1025">
        <v>0</v>
      </c>
      <c r="AL1025">
        <v>0</v>
      </c>
      <c r="AM1025">
        <v>0</v>
      </c>
      <c r="AN1025" t="s">
        <v>135</v>
      </c>
      <c r="AO1025" t="s">
        <v>135</v>
      </c>
      <c r="AP1025" t="s">
        <v>136</v>
      </c>
      <c r="AQ1025" t="s">
        <v>137</v>
      </c>
      <c r="AR1025" t="s">
        <v>138</v>
      </c>
      <c r="AS1025" t="s">
        <v>139</v>
      </c>
      <c r="AT1025" t="s">
        <v>140</v>
      </c>
      <c r="AU1025">
        <v>106</v>
      </c>
      <c r="AV1025">
        <v>10</v>
      </c>
      <c r="AW1025">
        <v>1</v>
      </c>
      <c r="AX1025" s="2">
        <v>45814</v>
      </c>
      <c r="AY1025" t="s">
        <v>151</v>
      </c>
      <c r="AZ1025" s="2">
        <v>46024</v>
      </c>
      <c r="BA1025">
        <v>0</v>
      </c>
      <c r="BB1025">
        <v>0</v>
      </c>
      <c r="BC1025">
        <v>0</v>
      </c>
      <c r="BD1025">
        <v>700</v>
      </c>
      <c r="BE1025">
        <v>70</v>
      </c>
      <c r="BF1025">
        <v>9</v>
      </c>
      <c r="BG1025" s="2">
        <v>45809</v>
      </c>
      <c r="BH1025" t="s">
        <v>142</v>
      </c>
      <c r="BI1025" s="2">
        <v>46026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96.47</v>
      </c>
      <c r="BW1025">
        <v>96.47</v>
      </c>
      <c r="BX1025">
        <v>0</v>
      </c>
      <c r="BY1025">
        <v>0</v>
      </c>
      <c r="BZ1025">
        <v>0</v>
      </c>
      <c r="CA1025">
        <v>0</v>
      </c>
      <c r="CB1025">
        <v>37.79</v>
      </c>
      <c r="CC1025" t="s">
        <v>161</v>
      </c>
    </row>
    <row r="1026" spans="1:81" x14ac:dyDescent="0.25">
      <c r="A1026">
        <v>345</v>
      </c>
      <c r="B1026">
        <v>2</v>
      </c>
      <c r="C1026">
        <v>2975</v>
      </c>
      <c r="D1026" t="s">
        <v>5843</v>
      </c>
      <c r="E1026" t="s">
        <v>121</v>
      </c>
      <c r="F1026" t="s">
        <v>5844</v>
      </c>
      <c r="G1026" t="s">
        <v>5845</v>
      </c>
      <c r="H1026" t="s">
        <v>5846</v>
      </c>
      <c r="I1026" t="s">
        <v>5847</v>
      </c>
      <c r="J1026" t="s">
        <v>217</v>
      </c>
      <c r="K1026" t="s">
        <v>336</v>
      </c>
      <c r="L1026" t="s">
        <v>128</v>
      </c>
      <c r="M1026" t="s">
        <v>337</v>
      </c>
      <c r="N1026" t="s">
        <v>5848</v>
      </c>
      <c r="O1026" t="s">
        <v>149</v>
      </c>
      <c r="P1026">
        <v>0</v>
      </c>
      <c r="Q1026" t="s">
        <v>125</v>
      </c>
      <c r="R1026">
        <v>6</v>
      </c>
      <c r="S1026">
        <v>40</v>
      </c>
      <c r="T1026" t="s">
        <v>132</v>
      </c>
      <c r="U1026" t="s">
        <v>133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134</v>
      </c>
      <c r="AE1026" t="s">
        <v>134</v>
      </c>
      <c r="AF1026" s="2">
        <v>45636</v>
      </c>
      <c r="AG1026" s="2">
        <v>46019</v>
      </c>
      <c r="AH1026">
        <v>788.82</v>
      </c>
      <c r="AI1026" s="1">
        <v>1478.7</v>
      </c>
      <c r="AJ1026" s="1">
        <v>9465.8700000000008</v>
      </c>
      <c r="AK1026">
        <v>0</v>
      </c>
      <c r="AL1026">
        <v>0</v>
      </c>
      <c r="AM1026">
        <v>0</v>
      </c>
      <c r="AN1026" t="s">
        <v>135</v>
      </c>
      <c r="AO1026" t="s">
        <v>135</v>
      </c>
      <c r="AP1026" t="s">
        <v>136</v>
      </c>
      <c r="AQ1026" t="s">
        <v>137</v>
      </c>
      <c r="AR1026" t="s">
        <v>138</v>
      </c>
      <c r="AS1026" t="s">
        <v>139</v>
      </c>
      <c r="AT1026" t="s">
        <v>140</v>
      </c>
      <c r="AU1026">
        <v>102</v>
      </c>
      <c r="AV1026">
        <v>10</v>
      </c>
      <c r="AW1026">
        <v>1</v>
      </c>
      <c r="AX1026" s="2">
        <v>45842</v>
      </c>
      <c r="AY1026" t="s">
        <v>151</v>
      </c>
      <c r="AZ1026" s="2">
        <v>46024</v>
      </c>
      <c r="BA1026">
        <v>0</v>
      </c>
      <c r="BB1026">
        <v>0</v>
      </c>
      <c r="BC1026">
        <v>0</v>
      </c>
      <c r="BD1026">
        <v>700</v>
      </c>
      <c r="BE1026">
        <v>70</v>
      </c>
      <c r="BF1026">
        <v>9</v>
      </c>
      <c r="BG1026" s="2">
        <v>45809</v>
      </c>
      <c r="BH1026" t="s">
        <v>142</v>
      </c>
      <c r="BI1026" s="2">
        <v>46026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 s="1">
        <v>3105.77</v>
      </c>
      <c r="BQ1026" s="1">
        <v>3105.77</v>
      </c>
      <c r="BR1026">
        <v>0</v>
      </c>
      <c r="BS1026">
        <v>0</v>
      </c>
      <c r="BT1026">
        <v>0</v>
      </c>
      <c r="BU1026">
        <v>0</v>
      </c>
      <c r="BV1026" s="1">
        <v>3720.68</v>
      </c>
      <c r="BW1026" s="1">
        <v>3720.68</v>
      </c>
      <c r="BX1026">
        <v>0</v>
      </c>
      <c r="BY1026">
        <v>0</v>
      </c>
      <c r="BZ1026">
        <v>0</v>
      </c>
      <c r="CA1026">
        <v>0</v>
      </c>
      <c r="CB1026" s="1">
        <v>2817.96</v>
      </c>
      <c r="CC1026" t="s">
        <v>152</v>
      </c>
    </row>
    <row r="1027" spans="1:81" x14ac:dyDescent="0.25">
      <c r="A1027">
        <v>345</v>
      </c>
      <c r="B1027">
        <v>2</v>
      </c>
      <c r="C1027">
        <v>2977</v>
      </c>
      <c r="D1027" t="s">
        <v>5849</v>
      </c>
      <c r="E1027" t="s">
        <v>121</v>
      </c>
      <c r="F1027" t="s">
        <v>5850</v>
      </c>
      <c r="G1027" t="s">
        <v>5851</v>
      </c>
      <c r="H1027" t="s">
        <v>5763</v>
      </c>
      <c r="I1027" t="s">
        <v>5852</v>
      </c>
      <c r="J1027" t="s">
        <v>126</v>
      </c>
      <c r="K1027" t="s">
        <v>1853</v>
      </c>
      <c r="L1027" t="s">
        <v>128</v>
      </c>
      <c r="M1027" t="s">
        <v>1854</v>
      </c>
      <c r="N1027" t="s">
        <v>5853</v>
      </c>
      <c r="O1027" t="s">
        <v>159</v>
      </c>
      <c r="P1027">
        <v>0</v>
      </c>
      <c r="Q1027" t="s">
        <v>125</v>
      </c>
      <c r="R1027">
        <v>4</v>
      </c>
      <c r="S1027">
        <v>79</v>
      </c>
      <c r="T1027" t="s">
        <v>132</v>
      </c>
      <c r="U1027" t="s">
        <v>133</v>
      </c>
      <c r="V1027" s="1">
        <v>1800</v>
      </c>
      <c r="W1027" s="1">
        <v>1798.46</v>
      </c>
      <c r="X1027">
        <v>1.54</v>
      </c>
      <c r="Y1027">
        <v>7</v>
      </c>
      <c r="Z1027">
        <v>0</v>
      </c>
      <c r="AA1027">
        <v>7</v>
      </c>
      <c r="AB1027">
        <v>0</v>
      </c>
      <c r="AC1027">
        <v>0</v>
      </c>
      <c r="AD1027" t="s">
        <v>134</v>
      </c>
      <c r="AE1027" t="s">
        <v>134</v>
      </c>
      <c r="AF1027" s="2">
        <v>45636</v>
      </c>
      <c r="AG1027" s="2">
        <v>46007</v>
      </c>
      <c r="AH1027">
        <v>918.08</v>
      </c>
      <c r="AI1027" s="1">
        <v>1798.46</v>
      </c>
      <c r="AJ1027" s="1">
        <v>4590.4399999999996</v>
      </c>
      <c r="AK1027">
        <v>0</v>
      </c>
      <c r="AL1027" s="1">
        <v>1798.46</v>
      </c>
      <c r="AM1027">
        <v>0</v>
      </c>
      <c r="AN1027" t="s">
        <v>135</v>
      </c>
      <c r="AO1027" t="s">
        <v>135</v>
      </c>
      <c r="AP1027" t="s">
        <v>136</v>
      </c>
      <c r="AQ1027" t="s">
        <v>137</v>
      </c>
      <c r="AR1027" t="s">
        <v>138</v>
      </c>
      <c r="AS1027" t="s">
        <v>150</v>
      </c>
      <c r="AT1027" t="s">
        <v>140</v>
      </c>
      <c r="AU1027">
        <v>500</v>
      </c>
      <c r="AV1027">
        <v>10</v>
      </c>
      <c r="AW1027">
        <v>1</v>
      </c>
      <c r="AX1027" s="2">
        <v>45894</v>
      </c>
      <c r="AY1027" t="s">
        <v>141</v>
      </c>
      <c r="AZ1027" s="2">
        <v>46027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 t="s">
        <v>135</v>
      </c>
      <c r="BH1027" t="s">
        <v>250</v>
      </c>
      <c r="BI1027" t="s">
        <v>135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576.21</v>
      </c>
      <c r="BQ1027">
        <v>576.21</v>
      </c>
      <c r="BR1027">
        <v>0</v>
      </c>
      <c r="BS1027">
        <v>7</v>
      </c>
      <c r="BT1027">
        <v>4.6100000000000003</v>
      </c>
      <c r="BU1027" s="1">
        <v>1798.46</v>
      </c>
      <c r="BV1027">
        <v>931.2</v>
      </c>
      <c r="BW1027" s="1">
        <v>2729.66</v>
      </c>
      <c r="BX1027" s="1">
        <v>1798.46</v>
      </c>
      <c r="BY1027">
        <v>100</v>
      </c>
      <c r="BZ1027">
        <v>0</v>
      </c>
      <c r="CA1027">
        <v>0</v>
      </c>
      <c r="CB1027" s="1">
        <v>1239.5</v>
      </c>
      <c r="CC1027" t="s">
        <v>161</v>
      </c>
    </row>
    <row r="1028" spans="1:81" x14ac:dyDescent="0.25">
      <c r="A1028">
        <v>345</v>
      </c>
      <c r="B1028">
        <v>2</v>
      </c>
      <c r="C1028">
        <v>2978</v>
      </c>
      <c r="D1028" t="s">
        <v>5854</v>
      </c>
      <c r="E1028" t="s">
        <v>121</v>
      </c>
      <c r="F1028" t="s">
        <v>5855</v>
      </c>
      <c r="G1028" t="s">
        <v>5856</v>
      </c>
      <c r="H1028" t="s">
        <v>5857</v>
      </c>
      <c r="I1028" t="s">
        <v>2509</v>
      </c>
      <c r="J1028" t="s">
        <v>858</v>
      </c>
      <c r="K1028" t="s">
        <v>336</v>
      </c>
      <c r="L1028" t="s">
        <v>128</v>
      </c>
      <c r="M1028" t="s">
        <v>337</v>
      </c>
      <c r="N1028" t="s">
        <v>5858</v>
      </c>
      <c r="O1028" t="s">
        <v>201</v>
      </c>
      <c r="P1028">
        <v>0</v>
      </c>
      <c r="Q1028" t="s">
        <v>125</v>
      </c>
      <c r="R1028">
        <v>6</v>
      </c>
      <c r="S1028">
        <v>40</v>
      </c>
      <c r="T1028" t="s">
        <v>132</v>
      </c>
      <c r="U1028" t="s">
        <v>133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134</v>
      </c>
      <c r="AE1028" t="s">
        <v>134</v>
      </c>
      <c r="AF1028" s="2">
        <v>45636</v>
      </c>
      <c r="AG1028" s="2">
        <v>46021</v>
      </c>
      <c r="AH1028">
        <v>876.31</v>
      </c>
      <c r="AI1028" s="1">
        <v>1396.42</v>
      </c>
      <c r="AJ1028" s="1">
        <v>4381.55</v>
      </c>
      <c r="AK1028">
        <v>0</v>
      </c>
      <c r="AL1028">
        <v>0</v>
      </c>
      <c r="AM1028">
        <v>0</v>
      </c>
      <c r="AN1028" t="s">
        <v>135</v>
      </c>
      <c r="AO1028" t="s">
        <v>135</v>
      </c>
      <c r="AP1028" t="s">
        <v>136</v>
      </c>
      <c r="AQ1028" t="s">
        <v>137</v>
      </c>
      <c r="AR1028" t="s">
        <v>138</v>
      </c>
      <c r="AS1028" t="s">
        <v>150</v>
      </c>
      <c r="AT1028" t="s">
        <v>140</v>
      </c>
      <c r="AU1028">
        <v>501</v>
      </c>
      <c r="AV1028">
        <v>10</v>
      </c>
      <c r="AW1028">
        <v>1</v>
      </c>
      <c r="AX1028" s="2">
        <v>45859</v>
      </c>
      <c r="AY1028" t="s">
        <v>141</v>
      </c>
      <c r="AZ1028" s="2">
        <v>46027</v>
      </c>
      <c r="BA1028">
        <v>0</v>
      </c>
      <c r="BB1028">
        <v>0</v>
      </c>
      <c r="BC1028">
        <v>0</v>
      </c>
      <c r="BD1028">
        <v>700</v>
      </c>
      <c r="BE1028">
        <v>70</v>
      </c>
      <c r="BF1028">
        <v>9</v>
      </c>
      <c r="BG1028" s="2">
        <v>45809</v>
      </c>
      <c r="BH1028" t="s">
        <v>142</v>
      </c>
      <c r="BI1028" s="2">
        <v>46026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 s="1">
        <v>1165.71</v>
      </c>
      <c r="BQ1028" s="1">
        <v>1165.71</v>
      </c>
      <c r="BR1028">
        <v>0</v>
      </c>
      <c r="BS1028">
        <v>0</v>
      </c>
      <c r="BT1028">
        <v>0</v>
      </c>
      <c r="BU1028">
        <v>0</v>
      </c>
      <c r="BV1028" s="1">
        <v>3215.84</v>
      </c>
      <c r="BW1028" s="1">
        <v>3215.84</v>
      </c>
      <c r="BX1028">
        <v>0</v>
      </c>
      <c r="BY1028">
        <v>0</v>
      </c>
      <c r="BZ1028">
        <v>0</v>
      </c>
      <c r="CA1028">
        <v>0</v>
      </c>
      <c r="CB1028">
        <v>540.55999999999995</v>
      </c>
      <c r="CC1028" t="s">
        <v>143</v>
      </c>
    </row>
    <row r="1029" spans="1:81" x14ac:dyDescent="0.25">
      <c r="A1029">
        <v>345</v>
      </c>
      <c r="B1029">
        <v>2</v>
      </c>
      <c r="C1029">
        <v>2979</v>
      </c>
      <c r="D1029" t="s">
        <v>5859</v>
      </c>
      <c r="E1029" t="s">
        <v>121</v>
      </c>
      <c r="F1029" t="s">
        <v>5860</v>
      </c>
      <c r="G1029" t="s">
        <v>5861</v>
      </c>
      <c r="H1029" t="s">
        <v>5763</v>
      </c>
      <c r="I1029" t="s">
        <v>5862</v>
      </c>
      <c r="J1029" t="s">
        <v>3074</v>
      </c>
      <c r="K1029" t="s">
        <v>1853</v>
      </c>
      <c r="L1029" t="s">
        <v>128</v>
      </c>
      <c r="M1029" t="s">
        <v>1854</v>
      </c>
      <c r="N1029" t="s">
        <v>5863</v>
      </c>
      <c r="O1029" t="s">
        <v>159</v>
      </c>
      <c r="P1029">
        <v>0</v>
      </c>
      <c r="Q1029" t="s">
        <v>125</v>
      </c>
      <c r="R1029">
        <v>6</v>
      </c>
      <c r="S1029">
        <v>38</v>
      </c>
      <c r="T1029" t="s">
        <v>132</v>
      </c>
      <c r="U1029" t="s">
        <v>133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134</v>
      </c>
      <c r="AE1029" t="s">
        <v>134</v>
      </c>
      <c r="AF1029" s="2">
        <v>45636</v>
      </c>
      <c r="AG1029" s="2">
        <v>46015</v>
      </c>
      <c r="AH1029">
        <v>836.89</v>
      </c>
      <c r="AI1029" s="1">
        <v>1409.17</v>
      </c>
      <c r="AJ1029" s="1">
        <v>9205.82</v>
      </c>
      <c r="AK1029">
        <v>0</v>
      </c>
      <c r="AL1029">
        <v>0</v>
      </c>
      <c r="AM1029">
        <v>0</v>
      </c>
      <c r="AN1029" t="s">
        <v>135</v>
      </c>
      <c r="AO1029" t="s">
        <v>135</v>
      </c>
      <c r="AP1029" t="s">
        <v>136</v>
      </c>
      <c r="AQ1029" t="s">
        <v>137</v>
      </c>
      <c r="AR1029" t="s">
        <v>138</v>
      </c>
      <c r="AS1029" t="s">
        <v>150</v>
      </c>
      <c r="AT1029" t="s">
        <v>140</v>
      </c>
      <c r="AU1029">
        <v>500</v>
      </c>
      <c r="AV1029">
        <v>10</v>
      </c>
      <c r="AW1029">
        <v>1</v>
      </c>
      <c r="AX1029" s="2">
        <v>45824</v>
      </c>
      <c r="AY1029" t="s">
        <v>141</v>
      </c>
      <c r="AZ1029" s="2">
        <v>46027</v>
      </c>
      <c r="BA1029">
        <v>0</v>
      </c>
      <c r="BB1029">
        <v>0</v>
      </c>
      <c r="BC1029">
        <v>0</v>
      </c>
      <c r="BD1029">
        <v>700</v>
      </c>
      <c r="BE1029">
        <v>70</v>
      </c>
      <c r="BF1029">
        <v>9</v>
      </c>
      <c r="BG1029" s="2">
        <v>45809</v>
      </c>
      <c r="BH1029" t="s">
        <v>142</v>
      </c>
      <c r="BI1029" s="2">
        <v>46026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 s="1">
        <v>3224.58</v>
      </c>
      <c r="BQ1029" s="1">
        <v>3224.58</v>
      </c>
      <c r="BR1029">
        <v>0</v>
      </c>
      <c r="BS1029">
        <v>0</v>
      </c>
      <c r="BT1029">
        <v>0</v>
      </c>
      <c r="BU1029">
        <v>0</v>
      </c>
      <c r="BV1029" s="1">
        <v>3385.3</v>
      </c>
      <c r="BW1029" s="1">
        <v>3385.3</v>
      </c>
      <c r="BX1029">
        <v>0</v>
      </c>
      <c r="BY1029">
        <v>0</v>
      </c>
      <c r="BZ1029">
        <v>0</v>
      </c>
      <c r="CA1029">
        <v>0</v>
      </c>
      <c r="CB1029" s="1">
        <v>2518.75</v>
      </c>
      <c r="CC1029" t="s">
        <v>161</v>
      </c>
    </row>
    <row r="1030" spans="1:81" x14ac:dyDescent="0.25">
      <c r="A1030">
        <v>345</v>
      </c>
      <c r="B1030">
        <v>2</v>
      </c>
      <c r="C1030">
        <v>2980</v>
      </c>
      <c r="D1030" t="s">
        <v>5864</v>
      </c>
      <c r="E1030" t="s">
        <v>121</v>
      </c>
      <c r="F1030" t="s">
        <v>5865</v>
      </c>
      <c r="G1030" t="s">
        <v>5866</v>
      </c>
      <c r="H1030" t="s">
        <v>5867</v>
      </c>
      <c r="I1030" t="s">
        <v>5868</v>
      </c>
      <c r="J1030" t="s">
        <v>606</v>
      </c>
      <c r="K1030" t="s">
        <v>336</v>
      </c>
      <c r="L1030" t="s">
        <v>128</v>
      </c>
      <c r="M1030" t="s">
        <v>337</v>
      </c>
      <c r="N1030" t="s">
        <v>5869</v>
      </c>
      <c r="O1030" t="s">
        <v>167</v>
      </c>
      <c r="P1030">
        <v>0</v>
      </c>
      <c r="Q1030" t="s">
        <v>125</v>
      </c>
      <c r="R1030">
        <v>6</v>
      </c>
      <c r="S1030">
        <v>35</v>
      </c>
      <c r="T1030" t="s">
        <v>132</v>
      </c>
      <c r="U1030" t="s">
        <v>133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134</v>
      </c>
      <c r="AE1030" t="s">
        <v>134</v>
      </c>
      <c r="AF1030" s="2">
        <v>45636</v>
      </c>
      <c r="AG1030" s="2">
        <v>46009</v>
      </c>
      <c r="AH1030" s="1">
        <v>3027.54</v>
      </c>
      <c r="AI1030" s="1">
        <v>5811.88</v>
      </c>
      <c r="AJ1030" s="1">
        <v>18165.25</v>
      </c>
      <c r="AK1030">
        <v>0</v>
      </c>
      <c r="AL1030">
        <v>0</v>
      </c>
      <c r="AM1030">
        <v>0</v>
      </c>
      <c r="AN1030" t="s">
        <v>135</v>
      </c>
      <c r="AO1030" t="s">
        <v>135</v>
      </c>
      <c r="AP1030" t="s">
        <v>136</v>
      </c>
      <c r="AQ1030" t="s">
        <v>137</v>
      </c>
      <c r="AR1030" t="s">
        <v>138</v>
      </c>
      <c r="AS1030" t="s">
        <v>139</v>
      </c>
      <c r="AT1030" t="s">
        <v>140</v>
      </c>
      <c r="AU1030">
        <v>101</v>
      </c>
      <c r="AV1030">
        <v>10</v>
      </c>
      <c r="AW1030">
        <v>1</v>
      </c>
      <c r="AX1030" s="2">
        <v>45812</v>
      </c>
      <c r="AY1030" t="s">
        <v>168</v>
      </c>
      <c r="AZ1030" s="2">
        <v>46022</v>
      </c>
      <c r="BA1030">
        <v>0</v>
      </c>
      <c r="BB1030">
        <v>0</v>
      </c>
      <c r="BC1030">
        <v>0</v>
      </c>
      <c r="BD1030">
        <v>700</v>
      </c>
      <c r="BE1030">
        <v>70</v>
      </c>
      <c r="BF1030">
        <v>9</v>
      </c>
      <c r="BG1030" s="2">
        <v>45809</v>
      </c>
      <c r="BH1030" t="s">
        <v>142</v>
      </c>
      <c r="BI1030" s="2">
        <v>46026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 s="1">
        <v>4083.9</v>
      </c>
      <c r="BQ1030" s="1">
        <v>4083.9</v>
      </c>
      <c r="BR1030">
        <v>0</v>
      </c>
      <c r="BS1030">
        <v>0</v>
      </c>
      <c r="BT1030">
        <v>0</v>
      </c>
      <c r="BU1030">
        <v>0</v>
      </c>
      <c r="BV1030" s="1">
        <v>10673.54</v>
      </c>
      <c r="BW1030" s="1">
        <v>10673.54</v>
      </c>
      <c r="BX1030">
        <v>0</v>
      </c>
      <c r="BY1030">
        <v>0</v>
      </c>
      <c r="BZ1030">
        <v>0</v>
      </c>
      <c r="CA1030">
        <v>0</v>
      </c>
      <c r="CB1030" s="1">
        <v>5894.55</v>
      </c>
      <c r="CC1030" t="s">
        <v>161</v>
      </c>
    </row>
    <row r="1031" spans="1:81" x14ac:dyDescent="0.25">
      <c r="A1031">
        <v>345</v>
      </c>
      <c r="B1031">
        <v>2</v>
      </c>
      <c r="C1031">
        <v>2981</v>
      </c>
      <c r="D1031" t="s">
        <v>5870</v>
      </c>
      <c r="E1031" t="s">
        <v>121</v>
      </c>
      <c r="F1031" t="s">
        <v>5871</v>
      </c>
      <c r="G1031" t="s">
        <v>5872</v>
      </c>
      <c r="H1031" t="s">
        <v>5873</v>
      </c>
      <c r="I1031" t="s">
        <v>5874</v>
      </c>
      <c r="J1031" t="s">
        <v>206</v>
      </c>
      <c r="K1031" t="s">
        <v>127</v>
      </c>
      <c r="L1031" t="s">
        <v>128</v>
      </c>
      <c r="M1031" t="s">
        <v>129</v>
      </c>
      <c r="N1031" t="s">
        <v>5875</v>
      </c>
      <c r="O1031" t="s">
        <v>149</v>
      </c>
      <c r="P1031">
        <v>0</v>
      </c>
      <c r="Q1031" t="s">
        <v>125</v>
      </c>
      <c r="R1031">
        <v>6</v>
      </c>
      <c r="S1031">
        <v>38</v>
      </c>
      <c r="T1031" t="s">
        <v>132</v>
      </c>
      <c r="U1031" t="s">
        <v>133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134</v>
      </c>
      <c r="AE1031" t="s">
        <v>134</v>
      </c>
      <c r="AF1031" s="2">
        <v>45636</v>
      </c>
      <c r="AG1031" s="2">
        <v>46018</v>
      </c>
      <c r="AH1031">
        <v>749.64</v>
      </c>
      <c r="AI1031" s="1">
        <v>1535.52</v>
      </c>
      <c r="AJ1031" s="1">
        <v>7496.43</v>
      </c>
      <c r="AK1031">
        <v>0</v>
      </c>
      <c r="AL1031">
        <v>0</v>
      </c>
      <c r="AM1031">
        <v>0</v>
      </c>
      <c r="AN1031" t="s">
        <v>135</v>
      </c>
      <c r="AO1031" t="s">
        <v>135</v>
      </c>
      <c r="AP1031" t="s">
        <v>136</v>
      </c>
      <c r="AQ1031" t="s">
        <v>137</v>
      </c>
      <c r="AR1031" t="s">
        <v>138</v>
      </c>
      <c r="AS1031" t="s">
        <v>139</v>
      </c>
      <c r="AT1031" t="s">
        <v>140</v>
      </c>
      <c r="AU1031">
        <v>102</v>
      </c>
      <c r="AV1031">
        <v>10</v>
      </c>
      <c r="AW1031">
        <v>1</v>
      </c>
      <c r="AX1031" s="2">
        <v>45967</v>
      </c>
      <c r="AY1031" t="s">
        <v>308</v>
      </c>
      <c r="AZ1031" s="2">
        <v>46023</v>
      </c>
      <c r="BA1031">
        <v>0</v>
      </c>
      <c r="BB1031">
        <v>0</v>
      </c>
      <c r="BC1031">
        <v>0</v>
      </c>
      <c r="BD1031">
        <v>700</v>
      </c>
      <c r="BE1031">
        <v>70</v>
      </c>
      <c r="BF1031">
        <v>9</v>
      </c>
      <c r="BG1031" s="2">
        <v>45809</v>
      </c>
      <c r="BH1031" t="s">
        <v>142</v>
      </c>
      <c r="BI1031" s="2">
        <v>46026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 s="1">
        <v>5163.3500000000004</v>
      </c>
      <c r="BQ1031" s="1">
        <v>5163.3500000000004</v>
      </c>
      <c r="BR1031">
        <v>0</v>
      </c>
      <c r="BS1031">
        <v>0</v>
      </c>
      <c r="BT1031">
        <v>0</v>
      </c>
      <c r="BU1031">
        <v>0</v>
      </c>
      <c r="BV1031" s="1">
        <v>1390.54</v>
      </c>
      <c r="BW1031" s="1">
        <v>1390.54</v>
      </c>
      <c r="BX1031">
        <v>0</v>
      </c>
      <c r="BY1031">
        <v>0</v>
      </c>
      <c r="BZ1031">
        <v>0</v>
      </c>
      <c r="CA1031">
        <v>0</v>
      </c>
      <c r="CB1031" s="1">
        <v>2417.29</v>
      </c>
      <c r="CC1031" t="s">
        <v>152</v>
      </c>
    </row>
    <row r="1032" spans="1:81" x14ac:dyDescent="0.25">
      <c r="A1032">
        <v>345</v>
      </c>
      <c r="B1032">
        <v>2</v>
      </c>
      <c r="C1032">
        <v>2983</v>
      </c>
      <c r="D1032" t="s">
        <v>5876</v>
      </c>
      <c r="E1032" t="s">
        <v>5427</v>
      </c>
      <c r="F1032" t="s">
        <v>5877</v>
      </c>
      <c r="G1032" t="s">
        <v>5878</v>
      </c>
      <c r="H1032" t="s">
        <v>5740</v>
      </c>
      <c r="I1032" t="s">
        <v>5879</v>
      </c>
      <c r="J1032" t="s">
        <v>126</v>
      </c>
      <c r="K1032" t="s">
        <v>4248</v>
      </c>
      <c r="L1032" t="s">
        <v>128</v>
      </c>
      <c r="M1032" t="s">
        <v>1325</v>
      </c>
      <c r="N1032" t="s">
        <v>5742</v>
      </c>
      <c r="O1032" t="s">
        <v>149</v>
      </c>
      <c r="P1032">
        <v>0</v>
      </c>
      <c r="Q1032" t="s">
        <v>125</v>
      </c>
      <c r="R1032">
        <v>2</v>
      </c>
      <c r="S1032">
        <v>91</v>
      </c>
      <c r="T1032" t="s">
        <v>132</v>
      </c>
      <c r="U1032" t="s">
        <v>133</v>
      </c>
      <c r="V1032" s="1">
        <v>3600</v>
      </c>
      <c r="W1032">
        <v>0</v>
      </c>
      <c r="X1032" s="1">
        <v>3600</v>
      </c>
      <c r="Y1032">
        <v>7</v>
      </c>
      <c r="Z1032">
        <v>0</v>
      </c>
      <c r="AA1032">
        <v>0</v>
      </c>
      <c r="AB1032">
        <v>0</v>
      </c>
      <c r="AC1032">
        <v>0</v>
      </c>
      <c r="AD1032" t="s">
        <v>134</v>
      </c>
      <c r="AE1032" t="s">
        <v>134</v>
      </c>
      <c r="AF1032" s="2">
        <v>45637</v>
      </c>
      <c r="AG1032" s="2">
        <v>46021</v>
      </c>
      <c r="AH1032" s="1">
        <v>2224.96</v>
      </c>
      <c r="AI1032" s="1">
        <v>4327.5</v>
      </c>
      <c r="AJ1032" s="1">
        <v>26699.63</v>
      </c>
      <c r="AK1032">
        <v>0</v>
      </c>
      <c r="AL1032">
        <v>0</v>
      </c>
      <c r="AM1032">
        <v>0</v>
      </c>
      <c r="AN1032" t="s">
        <v>135</v>
      </c>
      <c r="AO1032" t="s">
        <v>135</v>
      </c>
      <c r="AP1032" t="s">
        <v>136</v>
      </c>
      <c r="AQ1032" t="s">
        <v>137</v>
      </c>
      <c r="AR1032" t="s">
        <v>138</v>
      </c>
      <c r="AS1032" t="s">
        <v>139</v>
      </c>
      <c r="AT1032" t="s">
        <v>140</v>
      </c>
      <c r="AU1032">
        <v>104</v>
      </c>
      <c r="AV1032">
        <v>10</v>
      </c>
      <c r="AW1032">
        <v>1</v>
      </c>
      <c r="AX1032" s="2">
        <v>45939</v>
      </c>
      <c r="AY1032" t="s">
        <v>308</v>
      </c>
      <c r="AZ1032" s="2">
        <v>46023</v>
      </c>
      <c r="BA1032">
        <v>0</v>
      </c>
      <c r="BB1032">
        <v>0</v>
      </c>
      <c r="BC1032">
        <v>0</v>
      </c>
      <c r="BD1032">
        <v>700</v>
      </c>
      <c r="BE1032">
        <v>70</v>
      </c>
      <c r="BF1032">
        <v>9</v>
      </c>
      <c r="BG1032" s="2">
        <v>45809</v>
      </c>
      <c r="BH1032" t="s">
        <v>142</v>
      </c>
      <c r="BI1032" s="2">
        <v>46026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 s="1">
        <v>5451.45</v>
      </c>
      <c r="BQ1032" s="1">
        <v>5451.45</v>
      </c>
      <c r="BR1032">
        <v>0</v>
      </c>
      <c r="BS1032">
        <v>0</v>
      </c>
      <c r="BT1032">
        <v>0</v>
      </c>
      <c r="BU1032">
        <v>0</v>
      </c>
      <c r="BV1032" s="1">
        <v>12780.97</v>
      </c>
      <c r="BW1032" s="1">
        <v>12780.97</v>
      </c>
      <c r="BX1032">
        <v>0</v>
      </c>
      <c r="BY1032">
        <v>0</v>
      </c>
      <c r="BZ1032">
        <v>0</v>
      </c>
      <c r="CA1032">
        <v>0</v>
      </c>
      <c r="CB1032" s="1">
        <v>5922.23</v>
      </c>
      <c r="CC1032" t="s">
        <v>152</v>
      </c>
    </row>
    <row r="1033" spans="1:81" x14ac:dyDescent="0.25">
      <c r="A1033">
        <v>345</v>
      </c>
      <c r="B1033">
        <v>2</v>
      </c>
      <c r="C1033">
        <v>2984</v>
      </c>
      <c r="D1033" t="s">
        <v>5880</v>
      </c>
      <c r="E1033" t="s">
        <v>121</v>
      </c>
      <c r="F1033" t="s">
        <v>5881</v>
      </c>
      <c r="G1033" t="s">
        <v>5882</v>
      </c>
      <c r="H1033" t="s">
        <v>5883</v>
      </c>
      <c r="I1033" t="s">
        <v>125</v>
      </c>
      <c r="J1033" t="s">
        <v>4569</v>
      </c>
      <c r="K1033" t="s">
        <v>466</v>
      </c>
      <c r="L1033" t="s">
        <v>128</v>
      </c>
      <c r="M1033" t="s">
        <v>467</v>
      </c>
      <c r="N1033" t="s">
        <v>5884</v>
      </c>
      <c r="O1033" t="s">
        <v>159</v>
      </c>
      <c r="P1033">
        <v>0</v>
      </c>
      <c r="Q1033" t="s">
        <v>125</v>
      </c>
      <c r="R1033">
        <v>6</v>
      </c>
      <c r="S1033">
        <v>38</v>
      </c>
      <c r="T1033" t="s">
        <v>132</v>
      </c>
      <c r="U1033" t="s">
        <v>133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134</v>
      </c>
      <c r="AE1033" t="s">
        <v>134</v>
      </c>
      <c r="AF1033" s="2">
        <v>45637</v>
      </c>
      <c r="AG1033" s="2">
        <v>46017</v>
      </c>
      <c r="AH1033" s="1">
        <v>2560.91</v>
      </c>
      <c r="AI1033" s="1">
        <v>5217</v>
      </c>
      <c r="AJ1033" s="1">
        <v>17926.43</v>
      </c>
      <c r="AK1033">
        <v>0</v>
      </c>
      <c r="AL1033">
        <v>0</v>
      </c>
      <c r="AM1033">
        <v>0</v>
      </c>
      <c r="AN1033" t="s">
        <v>135</v>
      </c>
      <c r="AO1033" t="s">
        <v>135</v>
      </c>
      <c r="AP1033" t="s">
        <v>136</v>
      </c>
      <c r="AQ1033" t="s">
        <v>137</v>
      </c>
      <c r="AR1033" t="s">
        <v>138</v>
      </c>
      <c r="AS1033" t="s">
        <v>150</v>
      </c>
      <c r="AT1033" t="s">
        <v>140</v>
      </c>
      <c r="AU1033">
        <v>500</v>
      </c>
      <c r="AV1033">
        <v>10</v>
      </c>
      <c r="AW1033">
        <v>1</v>
      </c>
      <c r="AX1033" s="2">
        <v>45861</v>
      </c>
      <c r="AY1033" t="s">
        <v>168</v>
      </c>
      <c r="AZ1033" s="2">
        <v>46022</v>
      </c>
      <c r="BA1033">
        <v>0</v>
      </c>
      <c r="BB1033">
        <v>0</v>
      </c>
      <c r="BC1033">
        <v>0</v>
      </c>
      <c r="BD1033">
        <v>700</v>
      </c>
      <c r="BE1033">
        <v>70</v>
      </c>
      <c r="BF1033">
        <v>9</v>
      </c>
      <c r="BG1033" s="2">
        <v>45809</v>
      </c>
      <c r="BH1033" t="s">
        <v>142</v>
      </c>
      <c r="BI1033" s="2">
        <v>46026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 s="1">
        <v>6179.72</v>
      </c>
      <c r="BQ1033" s="1">
        <v>6179.72</v>
      </c>
      <c r="BR1033">
        <v>0</v>
      </c>
      <c r="BS1033">
        <v>0</v>
      </c>
      <c r="BT1033">
        <v>0</v>
      </c>
      <c r="BU1033">
        <v>0</v>
      </c>
      <c r="BV1033" s="1">
        <v>9138.2099999999991</v>
      </c>
      <c r="BW1033" s="1">
        <v>9138.2099999999991</v>
      </c>
      <c r="BX1033">
        <v>0</v>
      </c>
      <c r="BY1033">
        <v>0</v>
      </c>
      <c r="BZ1033">
        <v>0</v>
      </c>
      <c r="CA1033">
        <v>0</v>
      </c>
      <c r="CB1033" s="1">
        <v>2929.4</v>
      </c>
      <c r="CC1033" t="s">
        <v>161</v>
      </c>
    </row>
    <row r="1034" spans="1:81" x14ac:dyDescent="0.25">
      <c r="A1034">
        <v>345</v>
      </c>
      <c r="B1034">
        <v>2</v>
      </c>
      <c r="C1034">
        <v>2990</v>
      </c>
      <c r="D1034" t="s">
        <v>5885</v>
      </c>
      <c r="E1034" t="s">
        <v>121</v>
      </c>
      <c r="F1034" t="s">
        <v>5886</v>
      </c>
      <c r="G1034" t="s">
        <v>5887</v>
      </c>
      <c r="H1034" t="s">
        <v>3705</v>
      </c>
      <c r="I1034" t="s">
        <v>5888</v>
      </c>
      <c r="J1034" t="s">
        <v>3074</v>
      </c>
      <c r="K1034" t="s">
        <v>1853</v>
      </c>
      <c r="L1034" t="s">
        <v>128</v>
      </c>
      <c r="M1034" t="s">
        <v>1854</v>
      </c>
      <c r="N1034" t="s">
        <v>5889</v>
      </c>
      <c r="O1034" t="s">
        <v>1146</v>
      </c>
      <c r="P1034">
        <v>0</v>
      </c>
      <c r="Q1034" t="s">
        <v>125</v>
      </c>
      <c r="R1034">
        <v>6</v>
      </c>
      <c r="S1034">
        <v>37</v>
      </c>
      <c r="T1034" t="s">
        <v>132</v>
      </c>
      <c r="U1034" t="s">
        <v>133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134</v>
      </c>
      <c r="AE1034" t="s">
        <v>134</v>
      </c>
      <c r="AF1034" s="2">
        <v>45644</v>
      </c>
      <c r="AG1034" s="2">
        <v>46001</v>
      </c>
      <c r="AH1034">
        <v>877.42</v>
      </c>
      <c r="AI1034" s="1">
        <v>1313.84</v>
      </c>
      <c r="AJ1034" s="1">
        <v>3509.7</v>
      </c>
      <c r="AK1034">
        <v>0</v>
      </c>
      <c r="AL1034">
        <v>0</v>
      </c>
      <c r="AM1034">
        <v>0</v>
      </c>
      <c r="AN1034" t="s">
        <v>135</v>
      </c>
      <c r="AO1034" t="s">
        <v>135</v>
      </c>
      <c r="AP1034" t="s">
        <v>136</v>
      </c>
      <c r="AQ1034" t="s">
        <v>137</v>
      </c>
      <c r="AR1034" t="s">
        <v>138</v>
      </c>
      <c r="AS1034" t="s">
        <v>150</v>
      </c>
      <c r="AT1034" t="s">
        <v>140</v>
      </c>
      <c r="AU1034">
        <v>106</v>
      </c>
      <c r="AV1034">
        <v>10</v>
      </c>
      <c r="AW1034">
        <v>1</v>
      </c>
      <c r="AX1034" s="2">
        <v>45811</v>
      </c>
      <c r="AY1034" t="s">
        <v>377</v>
      </c>
      <c r="AZ1034" s="2">
        <v>46028</v>
      </c>
      <c r="BA1034">
        <v>0</v>
      </c>
      <c r="BB1034">
        <v>0</v>
      </c>
      <c r="BC1034">
        <v>0</v>
      </c>
      <c r="BD1034">
        <v>700</v>
      </c>
      <c r="BE1034">
        <v>70</v>
      </c>
      <c r="BF1034">
        <v>9</v>
      </c>
      <c r="BG1034" s="2">
        <v>45809</v>
      </c>
      <c r="BH1034" t="s">
        <v>142</v>
      </c>
      <c r="BI1034" s="2">
        <v>46026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 s="1">
        <v>1313.84</v>
      </c>
      <c r="BQ1034" s="1">
        <v>1313.84</v>
      </c>
      <c r="BR1034">
        <v>0</v>
      </c>
      <c r="BS1034">
        <v>0</v>
      </c>
      <c r="BT1034">
        <v>0</v>
      </c>
      <c r="BU1034">
        <v>0</v>
      </c>
      <c r="BV1034" s="1">
        <v>1755.74</v>
      </c>
      <c r="BW1034" s="1">
        <v>1755.74</v>
      </c>
      <c r="BX1034">
        <v>0</v>
      </c>
      <c r="BY1034">
        <v>0</v>
      </c>
      <c r="BZ1034">
        <v>0</v>
      </c>
      <c r="CA1034">
        <v>0</v>
      </c>
      <c r="CB1034">
        <v>750.68</v>
      </c>
      <c r="CC1034" t="s">
        <v>161</v>
      </c>
    </row>
    <row r="1035" spans="1:81" x14ac:dyDescent="0.25">
      <c r="A1035">
        <v>345</v>
      </c>
      <c r="B1035">
        <v>2</v>
      </c>
      <c r="C1035">
        <v>2992</v>
      </c>
      <c r="D1035" t="s">
        <v>5890</v>
      </c>
      <c r="E1035" t="s">
        <v>121</v>
      </c>
      <c r="F1035" t="s">
        <v>5891</v>
      </c>
      <c r="G1035" t="s">
        <v>5892</v>
      </c>
      <c r="H1035" t="s">
        <v>5893</v>
      </c>
      <c r="I1035" t="s">
        <v>5894</v>
      </c>
      <c r="J1035" t="s">
        <v>1278</v>
      </c>
      <c r="K1035" t="s">
        <v>336</v>
      </c>
      <c r="L1035" t="s">
        <v>128</v>
      </c>
      <c r="M1035" t="s">
        <v>337</v>
      </c>
      <c r="N1035" t="s">
        <v>5895</v>
      </c>
      <c r="O1035" t="s">
        <v>167</v>
      </c>
      <c r="P1035">
        <v>0</v>
      </c>
      <c r="Q1035" t="s">
        <v>125</v>
      </c>
      <c r="R1035">
        <v>4</v>
      </c>
      <c r="S1035">
        <v>81</v>
      </c>
      <c r="T1035" t="s">
        <v>132</v>
      </c>
      <c r="U1035" t="s">
        <v>133</v>
      </c>
      <c r="V1035" s="1">
        <v>1000</v>
      </c>
      <c r="W1035">
        <v>0</v>
      </c>
      <c r="X1035" s="1">
        <v>1000</v>
      </c>
      <c r="Y1035">
        <v>7</v>
      </c>
      <c r="Z1035">
        <v>0</v>
      </c>
      <c r="AA1035">
        <v>0</v>
      </c>
      <c r="AB1035">
        <v>0</v>
      </c>
      <c r="AC1035">
        <v>0</v>
      </c>
      <c r="AD1035" t="s">
        <v>134</v>
      </c>
      <c r="AE1035" t="s">
        <v>134</v>
      </c>
      <c r="AF1035" s="2">
        <v>45644</v>
      </c>
      <c r="AG1035" s="2">
        <v>46018</v>
      </c>
      <c r="AH1035">
        <v>341.48</v>
      </c>
      <c r="AI1035">
        <v>407.04</v>
      </c>
      <c r="AJ1035" s="1">
        <v>2731.9</v>
      </c>
      <c r="AK1035">
        <v>0</v>
      </c>
      <c r="AL1035">
        <v>0</v>
      </c>
      <c r="AM1035">
        <v>0</v>
      </c>
      <c r="AN1035" t="s">
        <v>135</v>
      </c>
      <c r="AO1035" t="s">
        <v>135</v>
      </c>
      <c r="AP1035" t="s">
        <v>136</v>
      </c>
      <c r="AQ1035" t="s">
        <v>137</v>
      </c>
      <c r="AR1035" t="s">
        <v>138</v>
      </c>
      <c r="AS1035" t="s">
        <v>139</v>
      </c>
      <c r="AT1035" t="s">
        <v>140</v>
      </c>
      <c r="AU1035">
        <v>101</v>
      </c>
      <c r="AV1035">
        <v>10</v>
      </c>
      <c r="AW1035">
        <v>1</v>
      </c>
      <c r="AX1035" s="2">
        <v>45812</v>
      </c>
      <c r="AY1035" t="s">
        <v>168</v>
      </c>
      <c r="AZ1035" s="2">
        <v>46022</v>
      </c>
      <c r="BA1035">
        <v>0</v>
      </c>
      <c r="BB1035">
        <v>0</v>
      </c>
      <c r="BC1035">
        <v>0</v>
      </c>
      <c r="BD1035">
        <v>700</v>
      </c>
      <c r="BE1035">
        <v>70</v>
      </c>
      <c r="BF1035">
        <v>9</v>
      </c>
      <c r="BG1035" s="2">
        <v>45809</v>
      </c>
      <c r="BH1035" t="s">
        <v>142</v>
      </c>
      <c r="BI1035" s="2">
        <v>46026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270.98</v>
      </c>
      <c r="BQ1035">
        <v>270.98</v>
      </c>
      <c r="BR1035">
        <v>0</v>
      </c>
      <c r="BS1035">
        <v>0</v>
      </c>
      <c r="BT1035">
        <v>0</v>
      </c>
      <c r="BU1035">
        <v>0</v>
      </c>
      <c r="BV1035" s="1">
        <v>1446.25</v>
      </c>
      <c r="BW1035" s="1">
        <v>1446.25</v>
      </c>
      <c r="BX1035">
        <v>0</v>
      </c>
      <c r="BY1035">
        <v>0</v>
      </c>
      <c r="BZ1035">
        <v>0</v>
      </c>
      <c r="CA1035">
        <v>0</v>
      </c>
      <c r="CB1035">
        <v>635.12</v>
      </c>
      <c r="CC1035" t="s">
        <v>161</v>
      </c>
    </row>
    <row r="1036" spans="1:81" x14ac:dyDescent="0.25">
      <c r="A1036">
        <v>345</v>
      </c>
      <c r="B1036">
        <v>2</v>
      </c>
      <c r="C1036">
        <v>2993</v>
      </c>
      <c r="D1036" t="s">
        <v>5896</v>
      </c>
      <c r="E1036" t="s">
        <v>121</v>
      </c>
      <c r="F1036" t="s">
        <v>5897</v>
      </c>
      <c r="G1036" t="s">
        <v>5898</v>
      </c>
      <c r="H1036" t="s">
        <v>5899</v>
      </c>
      <c r="I1036" t="s">
        <v>5900</v>
      </c>
      <c r="J1036" t="s">
        <v>1263</v>
      </c>
      <c r="K1036" t="s">
        <v>466</v>
      </c>
      <c r="L1036" t="s">
        <v>128</v>
      </c>
      <c r="M1036" t="s">
        <v>467</v>
      </c>
      <c r="N1036" t="s">
        <v>5901</v>
      </c>
      <c r="O1036" t="s">
        <v>159</v>
      </c>
      <c r="P1036">
        <v>0</v>
      </c>
      <c r="Q1036" t="s">
        <v>125</v>
      </c>
      <c r="R1036">
        <v>6</v>
      </c>
      <c r="S1036">
        <v>33</v>
      </c>
      <c r="T1036" t="s">
        <v>132</v>
      </c>
      <c r="U1036" t="s">
        <v>133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134</v>
      </c>
      <c r="AE1036" t="s">
        <v>134</v>
      </c>
      <c r="AF1036" s="2">
        <v>45644</v>
      </c>
      <c r="AG1036" s="2">
        <v>45955</v>
      </c>
      <c r="AH1036">
        <v>238.54</v>
      </c>
      <c r="AI1036">
        <v>238.54</v>
      </c>
      <c r="AJ1036">
        <v>238.54</v>
      </c>
      <c r="AK1036">
        <v>0</v>
      </c>
      <c r="AL1036">
        <v>0</v>
      </c>
      <c r="AM1036">
        <v>0</v>
      </c>
      <c r="AN1036" t="s">
        <v>135</v>
      </c>
      <c r="AO1036" t="s">
        <v>135</v>
      </c>
      <c r="AP1036" t="s">
        <v>136</v>
      </c>
      <c r="AQ1036" t="s">
        <v>137</v>
      </c>
      <c r="AR1036" t="s">
        <v>138</v>
      </c>
      <c r="AS1036" t="s">
        <v>139</v>
      </c>
      <c r="AT1036" t="s">
        <v>140</v>
      </c>
      <c r="AU1036">
        <v>106</v>
      </c>
      <c r="AV1036">
        <v>10</v>
      </c>
      <c r="AW1036">
        <v>1</v>
      </c>
      <c r="AX1036" s="2">
        <v>45814</v>
      </c>
      <c r="AY1036" t="s">
        <v>151</v>
      </c>
      <c r="AZ1036" s="2">
        <v>46024</v>
      </c>
      <c r="BA1036">
        <v>0</v>
      </c>
      <c r="BB1036">
        <v>0</v>
      </c>
      <c r="BC1036">
        <v>0</v>
      </c>
      <c r="BD1036">
        <v>700</v>
      </c>
      <c r="BE1036">
        <v>70</v>
      </c>
      <c r="BF1036">
        <v>9</v>
      </c>
      <c r="BG1036" s="2">
        <v>45809</v>
      </c>
      <c r="BH1036" t="s">
        <v>142</v>
      </c>
      <c r="BI1036" s="2">
        <v>46026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79.510000000000005</v>
      </c>
      <c r="CC1036" t="s">
        <v>161</v>
      </c>
    </row>
    <row r="1037" spans="1:81" x14ac:dyDescent="0.25">
      <c r="A1037">
        <v>345</v>
      </c>
      <c r="B1037">
        <v>2</v>
      </c>
      <c r="C1037">
        <v>2994</v>
      </c>
      <c r="D1037" t="s">
        <v>5902</v>
      </c>
      <c r="E1037" t="s">
        <v>121</v>
      </c>
      <c r="F1037" t="s">
        <v>5903</v>
      </c>
      <c r="G1037" t="s">
        <v>5904</v>
      </c>
      <c r="H1037" t="s">
        <v>5905</v>
      </c>
      <c r="I1037" t="s">
        <v>5906</v>
      </c>
      <c r="J1037" t="s">
        <v>1278</v>
      </c>
      <c r="K1037" t="s">
        <v>336</v>
      </c>
      <c r="L1037" t="s">
        <v>128</v>
      </c>
      <c r="M1037" t="s">
        <v>337</v>
      </c>
      <c r="N1037" t="s">
        <v>5907</v>
      </c>
      <c r="O1037" t="s">
        <v>5908</v>
      </c>
      <c r="P1037">
        <v>0</v>
      </c>
      <c r="Q1037" t="s">
        <v>125</v>
      </c>
      <c r="R1037">
        <v>6</v>
      </c>
      <c r="S1037">
        <v>38</v>
      </c>
      <c r="T1037" t="s">
        <v>132</v>
      </c>
      <c r="U1037" t="s">
        <v>133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134</v>
      </c>
      <c r="AE1037" t="s">
        <v>134</v>
      </c>
      <c r="AF1037" s="2">
        <v>45644</v>
      </c>
      <c r="AG1037" s="2">
        <v>46020</v>
      </c>
      <c r="AH1037" s="1">
        <v>2174.6799999999998</v>
      </c>
      <c r="AI1037" s="1">
        <v>2552.86</v>
      </c>
      <c r="AJ1037" s="1">
        <v>4349.37</v>
      </c>
      <c r="AK1037">
        <v>0</v>
      </c>
      <c r="AL1037">
        <v>0</v>
      </c>
      <c r="AM1037">
        <v>0</v>
      </c>
      <c r="AN1037" t="s">
        <v>135</v>
      </c>
      <c r="AO1037" t="s">
        <v>135</v>
      </c>
      <c r="AP1037" t="s">
        <v>136</v>
      </c>
      <c r="AQ1037" t="s">
        <v>137</v>
      </c>
      <c r="AR1037" t="s">
        <v>138</v>
      </c>
      <c r="AS1037" t="s">
        <v>150</v>
      </c>
      <c r="AT1037" t="s">
        <v>140</v>
      </c>
      <c r="AU1037">
        <v>101</v>
      </c>
      <c r="AV1037">
        <v>10</v>
      </c>
      <c r="AW1037">
        <v>1</v>
      </c>
      <c r="AX1037" s="2">
        <v>45842</v>
      </c>
      <c r="AY1037" t="s">
        <v>151</v>
      </c>
      <c r="AZ1037" s="2">
        <v>46024</v>
      </c>
      <c r="BA1037">
        <v>0</v>
      </c>
      <c r="BB1037">
        <v>0</v>
      </c>
      <c r="BC1037">
        <v>0</v>
      </c>
      <c r="BD1037">
        <v>700</v>
      </c>
      <c r="BE1037">
        <v>70</v>
      </c>
      <c r="BF1037">
        <v>9</v>
      </c>
      <c r="BG1037" s="2">
        <v>45809</v>
      </c>
      <c r="BH1037" t="s">
        <v>142</v>
      </c>
      <c r="BI1037" s="2">
        <v>46026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s="1">
        <v>4349.37</v>
      </c>
      <c r="BW1037" s="1">
        <v>4349.37</v>
      </c>
      <c r="BX1037">
        <v>0</v>
      </c>
      <c r="BY1037">
        <v>0</v>
      </c>
      <c r="BZ1037">
        <v>0</v>
      </c>
      <c r="CA1037">
        <v>0</v>
      </c>
      <c r="CB1037">
        <v>487.65</v>
      </c>
      <c r="CC1037" t="s">
        <v>339</v>
      </c>
    </row>
    <row r="1038" spans="1:81" x14ac:dyDescent="0.25">
      <c r="A1038">
        <v>345</v>
      </c>
      <c r="B1038">
        <v>2</v>
      </c>
      <c r="C1038">
        <v>2997</v>
      </c>
      <c r="D1038" t="s">
        <v>5909</v>
      </c>
      <c r="E1038" t="s">
        <v>121</v>
      </c>
      <c r="F1038" t="s">
        <v>5910</v>
      </c>
      <c r="G1038" t="s">
        <v>5911</v>
      </c>
      <c r="H1038" t="s">
        <v>5912</v>
      </c>
      <c r="I1038" t="s">
        <v>5913</v>
      </c>
      <c r="J1038" t="s">
        <v>126</v>
      </c>
      <c r="K1038" t="s">
        <v>336</v>
      </c>
      <c r="L1038" t="s">
        <v>128</v>
      </c>
      <c r="M1038" t="s">
        <v>337</v>
      </c>
      <c r="N1038" t="s">
        <v>5914</v>
      </c>
      <c r="O1038" t="s">
        <v>619</v>
      </c>
      <c r="P1038">
        <v>0</v>
      </c>
      <c r="Q1038" t="s">
        <v>125</v>
      </c>
      <c r="R1038">
        <v>6</v>
      </c>
      <c r="S1038">
        <v>41</v>
      </c>
      <c r="T1038" t="s">
        <v>132</v>
      </c>
      <c r="U1038" t="s">
        <v>133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134</v>
      </c>
      <c r="AE1038" t="s">
        <v>134</v>
      </c>
      <c r="AF1038" s="2">
        <v>45644</v>
      </c>
      <c r="AG1038" s="2">
        <v>45996</v>
      </c>
      <c r="AH1038">
        <v>195.02</v>
      </c>
      <c r="AI1038">
        <v>266.16000000000003</v>
      </c>
      <c r="AJ1038">
        <v>585.08000000000004</v>
      </c>
      <c r="AK1038">
        <v>0</v>
      </c>
      <c r="AL1038">
        <v>0</v>
      </c>
      <c r="AM1038">
        <v>0</v>
      </c>
      <c r="AN1038" t="s">
        <v>135</v>
      </c>
      <c r="AO1038" t="s">
        <v>135</v>
      </c>
      <c r="AP1038" t="s">
        <v>136</v>
      </c>
      <c r="AQ1038" t="s">
        <v>137</v>
      </c>
      <c r="AR1038" t="s">
        <v>138</v>
      </c>
      <c r="AS1038" t="s">
        <v>150</v>
      </c>
      <c r="AT1038" t="s">
        <v>140</v>
      </c>
      <c r="AU1038">
        <v>101</v>
      </c>
      <c r="AV1038">
        <v>10</v>
      </c>
      <c r="AW1038">
        <v>1</v>
      </c>
      <c r="AX1038" s="2">
        <v>45813</v>
      </c>
      <c r="AY1038" t="s">
        <v>308</v>
      </c>
      <c r="AZ1038" s="2">
        <v>46023</v>
      </c>
      <c r="BA1038">
        <v>0</v>
      </c>
      <c r="BB1038">
        <v>0</v>
      </c>
      <c r="BC1038">
        <v>0</v>
      </c>
      <c r="BD1038">
        <v>700</v>
      </c>
      <c r="BE1038">
        <v>70</v>
      </c>
      <c r="BF1038">
        <v>9</v>
      </c>
      <c r="BG1038" s="2">
        <v>45809</v>
      </c>
      <c r="BH1038" t="s">
        <v>142</v>
      </c>
      <c r="BI1038" s="2">
        <v>46026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170.84</v>
      </c>
      <c r="BQ1038">
        <v>170.84</v>
      </c>
      <c r="BR1038">
        <v>0</v>
      </c>
      <c r="BS1038">
        <v>0</v>
      </c>
      <c r="BT1038">
        <v>0</v>
      </c>
      <c r="BU1038">
        <v>0</v>
      </c>
      <c r="BV1038">
        <v>266.16000000000003</v>
      </c>
      <c r="BW1038">
        <v>266.16000000000003</v>
      </c>
      <c r="BX1038">
        <v>0</v>
      </c>
      <c r="BY1038">
        <v>0</v>
      </c>
      <c r="BZ1038">
        <v>0</v>
      </c>
      <c r="CA1038">
        <v>0</v>
      </c>
      <c r="CB1038">
        <v>183.77</v>
      </c>
      <c r="CC1038" t="s">
        <v>143</v>
      </c>
    </row>
    <row r="1039" spans="1:81" x14ac:dyDescent="0.25">
      <c r="A1039">
        <v>345</v>
      </c>
      <c r="B1039">
        <v>2</v>
      </c>
      <c r="C1039">
        <v>2998</v>
      </c>
      <c r="D1039" t="s">
        <v>5915</v>
      </c>
      <c r="E1039" t="s">
        <v>121</v>
      </c>
      <c r="F1039" t="s">
        <v>5916</v>
      </c>
      <c r="G1039" t="s">
        <v>5917</v>
      </c>
      <c r="H1039" t="s">
        <v>5918</v>
      </c>
      <c r="I1039" t="s">
        <v>5919</v>
      </c>
      <c r="J1039" t="s">
        <v>554</v>
      </c>
      <c r="K1039" t="s">
        <v>336</v>
      </c>
      <c r="L1039" t="s">
        <v>128</v>
      </c>
      <c r="M1039" t="s">
        <v>337</v>
      </c>
      <c r="N1039" t="s">
        <v>5920</v>
      </c>
      <c r="O1039" t="s">
        <v>3269</v>
      </c>
      <c r="P1039">
        <v>0</v>
      </c>
      <c r="Q1039" t="s">
        <v>125</v>
      </c>
      <c r="R1039">
        <v>6</v>
      </c>
      <c r="S1039">
        <v>41</v>
      </c>
      <c r="T1039" t="s">
        <v>132</v>
      </c>
      <c r="U1039" t="s">
        <v>133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134</v>
      </c>
      <c r="AE1039" t="s">
        <v>134</v>
      </c>
      <c r="AF1039" s="2">
        <v>45644</v>
      </c>
      <c r="AG1039" s="2">
        <v>46009</v>
      </c>
      <c r="AH1039">
        <v>182.02</v>
      </c>
      <c r="AI1039">
        <v>284.99</v>
      </c>
      <c r="AJ1039" s="1">
        <v>1092.1500000000001</v>
      </c>
      <c r="AK1039">
        <v>0</v>
      </c>
      <c r="AL1039">
        <v>0</v>
      </c>
      <c r="AM1039">
        <v>0</v>
      </c>
      <c r="AN1039" t="s">
        <v>135</v>
      </c>
      <c r="AO1039" t="s">
        <v>135</v>
      </c>
      <c r="AP1039" t="s">
        <v>136</v>
      </c>
      <c r="AQ1039" t="s">
        <v>137</v>
      </c>
      <c r="AR1039" t="s">
        <v>138</v>
      </c>
      <c r="AS1039" t="s">
        <v>150</v>
      </c>
      <c r="AT1039" t="s">
        <v>140</v>
      </c>
      <c r="AU1039">
        <v>101</v>
      </c>
      <c r="AV1039">
        <v>10</v>
      </c>
      <c r="AW1039">
        <v>1</v>
      </c>
      <c r="AX1039" s="2">
        <v>45882</v>
      </c>
      <c r="AY1039" t="s">
        <v>168</v>
      </c>
      <c r="AZ1039" s="2">
        <v>46022</v>
      </c>
      <c r="BA1039">
        <v>0</v>
      </c>
      <c r="BB1039">
        <v>0</v>
      </c>
      <c r="BC1039">
        <v>0</v>
      </c>
      <c r="BD1039">
        <v>700</v>
      </c>
      <c r="BE1039">
        <v>70</v>
      </c>
      <c r="BF1039">
        <v>9</v>
      </c>
      <c r="BG1039" s="2">
        <v>45809</v>
      </c>
      <c r="BH1039" t="s">
        <v>142</v>
      </c>
      <c r="BI1039" s="2">
        <v>46026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185.85</v>
      </c>
      <c r="BQ1039">
        <v>185.85</v>
      </c>
      <c r="BR1039">
        <v>0</v>
      </c>
      <c r="BS1039">
        <v>0</v>
      </c>
      <c r="BT1039">
        <v>0</v>
      </c>
      <c r="BU1039">
        <v>0</v>
      </c>
      <c r="BV1039">
        <v>592.53</v>
      </c>
      <c r="BW1039">
        <v>592.53</v>
      </c>
      <c r="BX1039">
        <v>0</v>
      </c>
      <c r="BY1039">
        <v>0</v>
      </c>
      <c r="BZ1039">
        <v>0</v>
      </c>
      <c r="CA1039">
        <v>0</v>
      </c>
      <c r="CB1039">
        <v>221.3</v>
      </c>
      <c r="CC1039" t="s">
        <v>339</v>
      </c>
    </row>
    <row r="1040" spans="1:81" x14ac:dyDescent="0.25">
      <c r="A1040">
        <v>345</v>
      </c>
      <c r="B1040">
        <v>2</v>
      </c>
      <c r="C1040">
        <v>3000</v>
      </c>
      <c r="D1040" t="s">
        <v>5921</v>
      </c>
      <c r="E1040" t="s">
        <v>121</v>
      </c>
      <c r="F1040" t="s">
        <v>5922</v>
      </c>
      <c r="G1040" t="s">
        <v>5923</v>
      </c>
      <c r="H1040" t="s">
        <v>5924</v>
      </c>
      <c r="I1040" t="s">
        <v>5925</v>
      </c>
      <c r="J1040" t="s">
        <v>1465</v>
      </c>
      <c r="K1040" t="s">
        <v>466</v>
      </c>
      <c r="L1040" t="s">
        <v>128</v>
      </c>
      <c r="M1040" t="s">
        <v>467</v>
      </c>
      <c r="N1040" t="s">
        <v>5926</v>
      </c>
      <c r="O1040" t="s">
        <v>149</v>
      </c>
      <c r="P1040">
        <v>0</v>
      </c>
      <c r="Q1040" t="s">
        <v>125</v>
      </c>
      <c r="R1040">
        <v>6</v>
      </c>
      <c r="S1040">
        <v>39</v>
      </c>
      <c r="T1040" t="s">
        <v>132</v>
      </c>
      <c r="U1040" t="s">
        <v>133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134</v>
      </c>
      <c r="AE1040" t="s">
        <v>134</v>
      </c>
      <c r="AF1040" s="2">
        <v>45646</v>
      </c>
      <c r="AG1040" s="2">
        <v>46017</v>
      </c>
      <c r="AH1040" s="1">
        <v>1238.9000000000001</v>
      </c>
      <c r="AI1040" s="1">
        <v>2292</v>
      </c>
      <c r="AJ1040" s="1">
        <v>13627.97</v>
      </c>
      <c r="AK1040">
        <v>0</v>
      </c>
      <c r="AL1040">
        <v>0</v>
      </c>
      <c r="AM1040">
        <v>0</v>
      </c>
      <c r="AN1040" t="s">
        <v>135</v>
      </c>
      <c r="AO1040" t="s">
        <v>135</v>
      </c>
      <c r="AP1040" t="s">
        <v>136</v>
      </c>
      <c r="AQ1040" t="s">
        <v>137</v>
      </c>
      <c r="AR1040" t="s">
        <v>138</v>
      </c>
      <c r="AS1040" t="s">
        <v>139</v>
      </c>
      <c r="AT1040" t="s">
        <v>140</v>
      </c>
      <c r="AU1040">
        <v>100</v>
      </c>
      <c r="AV1040">
        <v>10</v>
      </c>
      <c r="AW1040">
        <v>1</v>
      </c>
      <c r="AX1040" s="2">
        <v>45812</v>
      </c>
      <c r="AY1040" t="s">
        <v>168</v>
      </c>
      <c r="AZ1040" s="2">
        <v>46022</v>
      </c>
      <c r="BA1040">
        <v>0</v>
      </c>
      <c r="BB1040">
        <v>0</v>
      </c>
      <c r="BC1040">
        <v>0</v>
      </c>
      <c r="BD1040">
        <v>700</v>
      </c>
      <c r="BE1040">
        <v>70</v>
      </c>
      <c r="BF1040">
        <v>9</v>
      </c>
      <c r="BG1040" s="2">
        <v>45809</v>
      </c>
      <c r="BH1040" t="s">
        <v>142</v>
      </c>
      <c r="BI1040" s="2">
        <v>46026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 s="1">
        <v>4068.3</v>
      </c>
      <c r="BQ1040" s="1">
        <v>4068.3</v>
      </c>
      <c r="BR1040">
        <v>0</v>
      </c>
      <c r="BS1040">
        <v>0</v>
      </c>
      <c r="BT1040">
        <v>0</v>
      </c>
      <c r="BU1040">
        <v>0</v>
      </c>
      <c r="BV1040" s="1">
        <v>2062</v>
      </c>
      <c r="BW1040" s="1">
        <v>2062</v>
      </c>
      <c r="BX1040">
        <v>0</v>
      </c>
      <c r="BY1040">
        <v>0</v>
      </c>
      <c r="BZ1040">
        <v>0</v>
      </c>
      <c r="CA1040">
        <v>0</v>
      </c>
      <c r="CB1040" s="1">
        <v>5846.95</v>
      </c>
      <c r="CC1040" t="s">
        <v>152</v>
      </c>
    </row>
    <row r="1041" spans="1:81" x14ac:dyDescent="0.25">
      <c r="A1041">
        <v>345</v>
      </c>
      <c r="B1041">
        <v>2</v>
      </c>
      <c r="C1041">
        <v>3005</v>
      </c>
      <c r="D1041" t="s">
        <v>5927</v>
      </c>
      <c r="E1041" t="s">
        <v>121</v>
      </c>
      <c r="F1041" t="s">
        <v>5928</v>
      </c>
      <c r="G1041" t="s">
        <v>5929</v>
      </c>
      <c r="H1041" t="s">
        <v>5930</v>
      </c>
      <c r="I1041" t="s">
        <v>5931</v>
      </c>
      <c r="J1041" t="s">
        <v>5932</v>
      </c>
      <c r="K1041" t="s">
        <v>336</v>
      </c>
      <c r="L1041" t="s">
        <v>128</v>
      </c>
      <c r="M1041" t="s">
        <v>337</v>
      </c>
      <c r="N1041" t="s">
        <v>5933</v>
      </c>
      <c r="O1041" t="s">
        <v>159</v>
      </c>
      <c r="P1041">
        <v>0</v>
      </c>
      <c r="Q1041" t="s">
        <v>125</v>
      </c>
      <c r="R1041">
        <v>6</v>
      </c>
      <c r="S1041">
        <v>37</v>
      </c>
      <c r="T1041" t="s">
        <v>132</v>
      </c>
      <c r="U1041" t="s">
        <v>133</v>
      </c>
      <c r="V1041" s="1">
        <v>3400</v>
      </c>
      <c r="W1041">
        <v>0</v>
      </c>
      <c r="X1041" s="1">
        <v>3400</v>
      </c>
      <c r="Y1041">
        <v>7</v>
      </c>
      <c r="Z1041">
        <v>0</v>
      </c>
      <c r="AA1041">
        <v>7</v>
      </c>
      <c r="AB1041">
        <v>0</v>
      </c>
      <c r="AC1041">
        <v>0</v>
      </c>
      <c r="AD1041" t="s">
        <v>134</v>
      </c>
      <c r="AE1041" t="s">
        <v>234</v>
      </c>
      <c r="AF1041" s="2">
        <v>45646</v>
      </c>
      <c r="AG1041" s="2">
        <v>46001</v>
      </c>
      <c r="AH1041" s="1">
        <v>1329.28</v>
      </c>
      <c r="AI1041" s="1">
        <v>1972.98</v>
      </c>
      <c r="AJ1041" s="1">
        <v>9304.99</v>
      </c>
      <c r="AK1041">
        <v>0</v>
      </c>
      <c r="AL1041">
        <v>0</v>
      </c>
      <c r="AM1041">
        <v>0</v>
      </c>
      <c r="AN1041" t="s">
        <v>135</v>
      </c>
      <c r="AO1041" t="s">
        <v>135</v>
      </c>
      <c r="AP1041" t="s">
        <v>136</v>
      </c>
      <c r="AQ1041" t="s">
        <v>137</v>
      </c>
      <c r="AR1041" t="s">
        <v>138</v>
      </c>
      <c r="AS1041" t="s">
        <v>150</v>
      </c>
      <c r="AT1041" t="s">
        <v>140</v>
      </c>
      <c r="AU1041">
        <v>501</v>
      </c>
      <c r="AV1041">
        <v>10</v>
      </c>
      <c r="AW1041">
        <v>1</v>
      </c>
      <c r="AX1041" s="2">
        <v>45860</v>
      </c>
      <c r="AY1041" t="s">
        <v>377</v>
      </c>
      <c r="AZ1041" s="2">
        <v>46028</v>
      </c>
      <c r="BA1041">
        <v>0</v>
      </c>
      <c r="BB1041">
        <v>0</v>
      </c>
      <c r="BC1041">
        <v>0</v>
      </c>
      <c r="BD1041">
        <v>700</v>
      </c>
      <c r="BE1041">
        <v>70</v>
      </c>
      <c r="BF1041">
        <v>9</v>
      </c>
      <c r="BG1041" s="2">
        <v>45809</v>
      </c>
      <c r="BH1041" t="s">
        <v>142</v>
      </c>
      <c r="BI1041" s="2">
        <v>46026</v>
      </c>
      <c r="BJ1041">
        <v>0</v>
      </c>
      <c r="BK1041">
        <v>0</v>
      </c>
      <c r="BL1041">
        <v>0</v>
      </c>
      <c r="BM1041">
        <v>7</v>
      </c>
      <c r="BN1041">
        <v>7</v>
      </c>
      <c r="BO1041" s="1">
        <v>2838.3</v>
      </c>
      <c r="BP1041">
        <v>0</v>
      </c>
      <c r="BQ1041" s="1">
        <v>2838.3</v>
      </c>
      <c r="BR1041">
        <v>0</v>
      </c>
      <c r="BS1041">
        <v>7</v>
      </c>
      <c r="BT1041">
        <v>7</v>
      </c>
      <c r="BU1041" s="1">
        <v>1520.3</v>
      </c>
      <c r="BV1041">
        <v>0</v>
      </c>
      <c r="BW1041" s="1">
        <v>1520.3</v>
      </c>
      <c r="BX1041">
        <v>0</v>
      </c>
      <c r="BY1041">
        <v>0</v>
      </c>
      <c r="BZ1041">
        <v>0</v>
      </c>
      <c r="CA1041">
        <v>0</v>
      </c>
      <c r="CB1041" s="1">
        <v>3915.27</v>
      </c>
      <c r="CC1041" t="s">
        <v>161</v>
      </c>
    </row>
    <row r="1042" spans="1:81" x14ac:dyDescent="0.25">
      <c r="A1042">
        <v>345</v>
      </c>
      <c r="B1042">
        <v>2</v>
      </c>
      <c r="C1042">
        <v>3009</v>
      </c>
      <c r="D1042" t="s">
        <v>5934</v>
      </c>
      <c r="E1042" t="s">
        <v>5427</v>
      </c>
      <c r="F1042" t="s">
        <v>5935</v>
      </c>
      <c r="G1042" t="s">
        <v>5936</v>
      </c>
      <c r="H1042" t="s">
        <v>5937</v>
      </c>
      <c r="I1042" t="s">
        <v>5938</v>
      </c>
      <c r="J1042" t="s">
        <v>126</v>
      </c>
      <c r="K1042" t="s">
        <v>4248</v>
      </c>
      <c r="L1042" t="s">
        <v>128</v>
      </c>
      <c r="M1042" t="s">
        <v>1325</v>
      </c>
      <c r="N1042" t="s">
        <v>5939</v>
      </c>
      <c r="O1042" t="s">
        <v>131</v>
      </c>
      <c r="P1042">
        <v>0</v>
      </c>
      <c r="Q1042" t="s">
        <v>125</v>
      </c>
      <c r="R1042">
        <v>6</v>
      </c>
      <c r="S1042">
        <v>38</v>
      </c>
      <c r="T1042" t="s">
        <v>132</v>
      </c>
      <c r="U1042" t="s">
        <v>133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134</v>
      </c>
      <c r="AE1042" t="s">
        <v>134</v>
      </c>
      <c r="AF1042" s="2">
        <v>45653</v>
      </c>
      <c r="AG1042" s="2">
        <v>46010</v>
      </c>
      <c r="AH1042">
        <v>475.19</v>
      </c>
      <c r="AI1042">
        <v>854.1</v>
      </c>
      <c r="AJ1042" s="1">
        <v>3801.59</v>
      </c>
      <c r="AK1042">
        <v>0</v>
      </c>
      <c r="AL1042">
        <v>0</v>
      </c>
      <c r="AM1042">
        <v>0</v>
      </c>
      <c r="AN1042" t="s">
        <v>135</v>
      </c>
      <c r="AO1042" t="s">
        <v>135</v>
      </c>
      <c r="AP1042" t="s">
        <v>136</v>
      </c>
      <c r="AQ1042" t="s">
        <v>137</v>
      </c>
      <c r="AR1042" t="s">
        <v>138</v>
      </c>
      <c r="AS1042" t="s">
        <v>139</v>
      </c>
      <c r="AT1042" t="s">
        <v>140</v>
      </c>
      <c r="AU1042">
        <v>104</v>
      </c>
      <c r="AV1042">
        <v>10</v>
      </c>
      <c r="AW1042">
        <v>1</v>
      </c>
      <c r="AX1042" s="2">
        <v>45813</v>
      </c>
      <c r="AY1042" t="s">
        <v>308</v>
      </c>
      <c r="AZ1042" s="2">
        <v>46023</v>
      </c>
      <c r="BA1042">
        <v>0</v>
      </c>
      <c r="BB1042">
        <v>0</v>
      </c>
      <c r="BC1042">
        <v>0</v>
      </c>
      <c r="BD1042">
        <v>700</v>
      </c>
      <c r="BE1042">
        <v>70</v>
      </c>
      <c r="BF1042">
        <v>9</v>
      </c>
      <c r="BG1042" s="2">
        <v>45809</v>
      </c>
      <c r="BH1042" t="s">
        <v>142</v>
      </c>
      <c r="BI1042" s="2">
        <v>46026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761.45</v>
      </c>
      <c r="BQ1042">
        <v>761.45</v>
      </c>
      <c r="BR1042">
        <v>0</v>
      </c>
      <c r="BS1042">
        <v>0</v>
      </c>
      <c r="BT1042">
        <v>0</v>
      </c>
      <c r="BU1042">
        <v>0</v>
      </c>
      <c r="BV1042" s="1">
        <v>2103.3000000000002</v>
      </c>
      <c r="BW1042" s="1">
        <v>2103.3000000000002</v>
      </c>
      <c r="BX1042">
        <v>0</v>
      </c>
      <c r="BY1042">
        <v>0</v>
      </c>
      <c r="BZ1042">
        <v>0</v>
      </c>
      <c r="CA1042">
        <v>0</v>
      </c>
      <c r="CB1042">
        <v>716.96</v>
      </c>
      <c r="CC1042" t="s">
        <v>143</v>
      </c>
    </row>
    <row r="1043" spans="1:81" x14ac:dyDescent="0.25">
      <c r="A1043">
        <v>345</v>
      </c>
      <c r="B1043">
        <v>2</v>
      </c>
      <c r="C1043">
        <v>3014</v>
      </c>
      <c r="D1043" t="s">
        <v>5940</v>
      </c>
      <c r="E1043" t="s">
        <v>121</v>
      </c>
      <c r="F1043" t="s">
        <v>5941</v>
      </c>
      <c r="G1043" t="s">
        <v>5942</v>
      </c>
      <c r="H1043" t="s">
        <v>3705</v>
      </c>
      <c r="I1043" t="s">
        <v>5943</v>
      </c>
      <c r="J1043" t="s">
        <v>3074</v>
      </c>
      <c r="K1043" t="s">
        <v>1853</v>
      </c>
      <c r="L1043" t="s">
        <v>128</v>
      </c>
      <c r="M1043" t="s">
        <v>1854</v>
      </c>
      <c r="N1043" t="s">
        <v>5944</v>
      </c>
      <c r="O1043" t="s">
        <v>159</v>
      </c>
      <c r="P1043">
        <v>0</v>
      </c>
      <c r="Q1043" t="s">
        <v>125</v>
      </c>
      <c r="R1043">
        <v>6</v>
      </c>
      <c r="S1043">
        <v>37</v>
      </c>
      <c r="T1043" t="s">
        <v>132</v>
      </c>
      <c r="U1043" t="s">
        <v>133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134</v>
      </c>
      <c r="AE1043" t="s">
        <v>134</v>
      </c>
      <c r="AF1043" s="2">
        <v>45661</v>
      </c>
      <c r="AG1043" s="2">
        <v>46015</v>
      </c>
      <c r="AH1043">
        <v>650.27</v>
      </c>
      <c r="AI1043">
        <v>727.6</v>
      </c>
      <c r="AJ1043" s="1">
        <v>1950.81</v>
      </c>
      <c r="AK1043">
        <v>0</v>
      </c>
      <c r="AL1043">
        <v>0</v>
      </c>
      <c r="AM1043">
        <v>0</v>
      </c>
      <c r="AN1043" t="s">
        <v>135</v>
      </c>
      <c r="AO1043" t="s">
        <v>135</v>
      </c>
      <c r="AP1043" t="s">
        <v>136</v>
      </c>
      <c r="AQ1043" t="s">
        <v>137</v>
      </c>
      <c r="AR1043" t="s">
        <v>138</v>
      </c>
      <c r="AS1043" t="s">
        <v>150</v>
      </c>
      <c r="AT1043" t="s">
        <v>140</v>
      </c>
      <c r="AU1043">
        <v>106</v>
      </c>
      <c r="AV1043">
        <v>10</v>
      </c>
      <c r="AW1043">
        <v>1</v>
      </c>
      <c r="AX1043" s="2">
        <v>45663</v>
      </c>
      <c r="AY1043" t="s">
        <v>141</v>
      </c>
      <c r="AZ1043" s="2">
        <v>46027</v>
      </c>
      <c r="BA1043">
        <v>0</v>
      </c>
      <c r="BB1043">
        <v>0</v>
      </c>
      <c r="BC1043">
        <v>0</v>
      </c>
      <c r="BD1043">
        <v>700</v>
      </c>
      <c r="BE1043">
        <v>70</v>
      </c>
      <c r="BF1043">
        <v>9</v>
      </c>
      <c r="BG1043" s="2">
        <v>45809</v>
      </c>
      <c r="BH1043" t="s">
        <v>142</v>
      </c>
      <c r="BI1043" s="2">
        <v>46026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677.51</v>
      </c>
      <c r="BQ1043">
        <v>677.51</v>
      </c>
      <c r="BR1043">
        <v>0</v>
      </c>
      <c r="BS1043">
        <v>0</v>
      </c>
      <c r="BT1043">
        <v>0</v>
      </c>
      <c r="BU1043">
        <v>0</v>
      </c>
      <c r="BV1043">
        <v>727.6</v>
      </c>
      <c r="BW1043">
        <v>727.6</v>
      </c>
      <c r="BX1043">
        <v>0</v>
      </c>
      <c r="BY1043">
        <v>0</v>
      </c>
      <c r="BZ1043">
        <v>0</v>
      </c>
      <c r="CA1043">
        <v>0</v>
      </c>
      <c r="CB1043">
        <v>591.78</v>
      </c>
      <c r="CC1043" t="s">
        <v>161</v>
      </c>
    </row>
    <row r="1044" spans="1:81" x14ac:dyDescent="0.25">
      <c r="A1044">
        <v>345</v>
      </c>
      <c r="B1044">
        <v>2</v>
      </c>
      <c r="C1044">
        <v>3017</v>
      </c>
      <c r="D1044" t="s">
        <v>5945</v>
      </c>
      <c r="E1044" t="s">
        <v>5427</v>
      </c>
      <c r="F1044" t="s">
        <v>5946</v>
      </c>
      <c r="G1044" t="s">
        <v>5947</v>
      </c>
      <c r="H1044" t="s">
        <v>5948</v>
      </c>
      <c r="I1044" t="s">
        <v>5949</v>
      </c>
      <c r="J1044" t="s">
        <v>126</v>
      </c>
      <c r="K1044" t="s">
        <v>473</v>
      </c>
      <c r="L1044" t="s">
        <v>128</v>
      </c>
      <c r="M1044" t="s">
        <v>474</v>
      </c>
      <c r="N1044" t="s">
        <v>5950</v>
      </c>
      <c r="O1044" t="s">
        <v>296</v>
      </c>
      <c r="P1044">
        <v>0</v>
      </c>
      <c r="Q1044" t="s">
        <v>125</v>
      </c>
      <c r="R1044">
        <v>6</v>
      </c>
      <c r="S1044">
        <v>39</v>
      </c>
      <c r="T1044" t="s">
        <v>132</v>
      </c>
      <c r="U1044" t="s">
        <v>133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134</v>
      </c>
      <c r="AE1044" t="s">
        <v>134</v>
      </c>
      <c r="AF1044" s="2">
        <v>45664</v>
      </c>
      <c r="AG1044" s="2">
        <v>46018</v>
      </c>
      <c r="AH1044">
        <v>348.87</v>
      </c>
      <c r="AI1044">
        <v>524.89</v>
      </c>
      <c r="AJ1044" s="1">
        <v>3139.85</v>
      </c>
      <c r="AK1044">
        <v>0</v>
      </c>
      <c r="AL1044">
        <v>0</v>
      </c>
      <c r="AM1044">
        <v>0</v>
      </c>
      <c r="AN1044" t="s">
        <v>135</v>
      </c>
      <c r="AO1044" t="s">
        <v>135</v>
      </c>
      <c r="AP1044" t="s">
        <v>136</v>
      </c>
      <c r="AQ1044" t="s">
        <v>137</v>
      </c>
      <c r="AR1044" t="s">
        <v>138</v>
      </c>
      <c r="AS1044" t="s">
        <v>139</v>
      </c>
      <c r="AT1044" t="s">
        <v>140</v>
      </c>
      <c r="AU1044">
        <v>105</v>
      </c>
      <c r="AV1044">
        <v>10</v>
      </c>
      <c r="AW1044">
        <v>1</v>
      </c>
      <c r="AX1044" s="2">
        <v>45966</v>
      </c>
      <c r="AY1044" t="s">
        <v>168</v>
      </c>
      <c r="AZ1044" s="2">
        <v>46022</v>
      </c>
      <c r="BA1044">
        <v>0</v>
      </c>
      <c r="BB1044">
        <v>0</v>
      </c>
      <c r="BC1044">
        <v>0</v>
      </c>
      <c r="BD1044">
        <v>700</v>
      </c>
      <c r="BE1044">
        <v>70</v>
      </c>
      <c r="BF1044">
        <v>9</v>
      </c>
      <c r="BG1044" s="2">
        <v>45809</v>
      </c>
      <c r="BH1044" t="s">
        <v>142</v>
      </c>
      <c r="BI1044" s="2">
        <v>46026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935.69</v>
      </c>
      <c r="BQ1044">
        <v>935.69</v>
      </c>
      <c r="BR1044">
        <v>0</v>
      </c>
      <c r="BS1044">
        <v>0</v>
      </c>
      <c r="BT1044">
        <v>0</v>
      </c>
      <c r="BU1044">
        <v>0</v>
      </c>
      <c r="BV1044" s="1">
        <v>1481.8</v>
      </c>
      <c r="BW1044" s="1">
        <v>1481.8</v>
      </c>
      <c r="BX1044">
        <v>0</v>
      </c>
      <c r="BY1044">
        <v>0</v>
      </c>
      <c r="BZ1044">
        <v>0</v>
      </c>
      <c r="CA1044">
        <v>0</v>
      </c>
      <c r="CB1044">
        <v>748.36</v>
      </c>
      <c r="CC1044" t="s">
        <v>297</v>
      </c>
    </row>
    <row r="1045" spans="1:81" x14ac:dyDescent="0.25">
      <c r="A1045">
        <v>345</v>
      </c>
      <c r="B1045">
        <v>2</v>
      </c>
      <c r="C1045">
        <v>3018</v>
      </c>
      <c r="D1045" t="s">
        <v>5951</v>
      </c>
      <c r="E1045" t="s">
        <v>5427</v>
      </c>
      <c r="F1045" t="s">
        <v>5952</v>
      </c>
      <c r="G1045" t="s">
        <v>5953</v>
      </c>
      <c r="H1045" t="s">
        <v>5954</v>
      </c>
      <c r="I1045" t="s">
        <v>2902</v>
      </c>
      <c r="J1045" t="s">
        <v>126</v>
      </c>
      <c r="K1045" t="s">
        <v>4248</v>
      </c>
      <c r="L1045" t="s">
        <v>128</v>
      </c>
      <c r="M1045" t="s">
        <v>1325</v>
      </c>
      <c r="N1045" t="s">
        <v>5955</v>
      </c>
      <c r="O1045" t="s">
        <v>2996</v>
      </c>
      <c r="P1045">
        <v>0</v>
      </c>
      <c r="Q1045" t="s">
        <v>125</v>
      </c>
      <c r="R1045">
        <v>6</v>
      </c>
      <c r="S1045">
        <v>38</v>
      </c>
      <c r="T1045" t="s">
        <v>132</v>
      </c>
      <c r="U1045" t="s">
        <v>133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134</v>
      </c>
      <c r="AE1045" t="s">
        <v>134</v>
      </c>
      <c r="AF1045" s="2">
        <v>45664</v>
      </c>
      <c r="AG1045" s="2">
        <v>46011</v>
      </c>
      <c r="AH1045" s="1">
        <v>2083.9699999999998</v>
      </c>
      <c r="AI1045" s="1">
        <v>2641.17</v>
      </c>
      <c r="AJ1045" s="1">
        <v>14587.8</v>
      </c>
      <c r="AK1045">
        <v>0</v>
      </c>
      <c r="AL1045">
        <v>0</v>
      </c>
      <c r="AM1045">
        <v>0</v>
      </c>
      <c r="AN1045" t="s">
        <v>135</v>
      </c>
      <c r="AO1045" t="s">
        <v>135</v>
      </c>
      <c r="AP1045" t="s">
        <v>136</v>
      </c>
      <c r="AQ1045" t="s">
        <v>137</v>
      </c>
      <c r="AR1045" t="s">
        <v>138</v>
      </c>
      <c r="AS1045" t="s">
        <v>139</v>
      </c>
      <c r="AT1045" t="s">
        <v>140</v>
      </c>
      <c r="AU1045">
        <v>104</v>
      </c>
      <c r="AV1045">
        <v>10</v>
      </c>
      <c r="AW1045">
        <v>1</v>
      </c>
      <c r="AX1045" s="2">
        <v>45841</v>
      </c>
      <c r="AY1045" t="s">
        <v>308</v>
      </c>
      <c r="AZ1045" s="2">
        <v>46023</v>
      </c>
      <c r="BA1045">
        <v>0</v>
      </c>
      <c r="BB1045">
        <v>0</v>
      </c>
      <c r="BC1045">
        <v>0</v>
      </c>
      <c r="BD1045">
        <v>700</v>
      </c>
      <c r="BE1045">
        <v>70</v>
      </c>
      <c r="BF1045">
        <v>9</v>
      </c>
      <c r="BG1045" s="2">
        <v>45809</v>
      </c>
      <c r="BH1045" t="s">
        <v>142</v>
      </c>
      <c r="BI1045" s="2">
        <v>46026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 s="1">
        <v>6817.26</v>
      </c>
      <c r="BQ1045" s="1">
        <v>6817.26</v>
      </c>
      <c r="BR1045">
        <v>0</v>
      </c>
      <c r="BS1045">
        <v>0</v>
      </c>
      <c r="BT1045">
        <v>0</v>
      </c>
      <c r="BU1045">
        <v>0</v>
      </c>
      <c r="BV1045" s="1">
        <v>2584.42</v>
      </c>
      <c r="BW1045" s="1">
        <v>2584.42</v>
      </c>
      <c r="BX1045">
        <v>0</v>
      </c>
      <c r="BY1045">
        <v>0</v>
      </c>
      <c r="BZ1045">
        <v>0</v>
      </c>
      <c r="CA1045">
        <v>0</v>
      </c>
      <c r="CB1045" s="1">
        <v>5248.72</v>
      </c>
      <c r="CC1045" t="s">
        <v>5433</v>
      </c>
    </row>
    <row r="1046" spans="1:81" x14ac:dyDescent="0.25">
      <c r="A1046">
        <v>345</v>
      </c>
      <c r="B1046">
        <v>2</v>
      </c>
      <c r="C1046">
        <v>3021</v>
      </c>
      <c r="D1046" t="s">
        <v>5956</v>
      </c>
      <c r="E1046" t="s">
        <v>5427</v>
      </c>
      <c r="F1046" t="s">
        <v>5957</v>
      </c>
      <c r="G1046" t="s">
        <v>5958</v>
      </c>
      <c r="H1046" t="s">
        <v>5959</v>
      </c>
      <c r="I1046" t="s">
        <v>125</v>
      </c>
      <c r="J1046" t="s">
        <v>126</v>
      </c>
      <c r="K1046" t="s">
        <v>466</v>
      </c>
      <c r="L1046" t="s">
        <v>128</v>
      </c>
      <c r="M1046" t="s">
        <v>467</v>
      </c>
      <c r="N1046" t="s">
        <v>5784</v>
      </c>
      <c r="O1046" t="s">
        <v>149</v>
      </c>
      <c r="P1046">
        <v>0</v>
      </c>
      <c r="Q1046" t="s">
        <v>125</v>
      </c>
      <c r="R1046">
        <v>3</v>
      </c>
      <c r="S1046">
        <v>89</v>
      </c>
      <c r="T1046" t="s">
        <v>132</v>
      </c>
      <c r="U1046" t="s">
        <v>133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134</v>
      </c>
      <c r="AE1046" t="s">
        <v>134</v>
      </c>
      <c r="AF1046" s="2">
        <v>45666</v>
      </c>
      <c r="AG1046" s="2">
        <v>46020</v>
      </c>
      <c r="AH1046">
        <v>640.61</v>
      </c>
      <c r="AI1046" s="1">
        <v>1741.8</v>
      </c>
      <c r="AJ1046" s="1">
        <v>4484.3100000000004</v>
      </c>
      <c r="AK1046">
        <v>0</v>
      </c>
      <c r="AL1046">
        <v>0</v>
      </c>
      <c r="AM1046">
        <v>0</v>
      </c>
      <c r="AN1046" t="s">
        <v>135</v>
      </c>
      <c r="AO1046" t="s">
        <v>135</v>
      </c>
      <c r="AP1046" t="s">
        <v>136</v>
      </c>
      <c r="AQ1046" t="s">
        <v>137</v>
      </c>
      <c r="AR1046" t="s">
        <v>138</v>
      </c>
      <c r="AS1046" t="s">
        <v>139</v>
      </c>
      <c r="AT1046" t="s">
        <v>140</v>
      </c>
      <c r="AU1046">
        <v>105</v>
      </c>
      <c r="AV1046">
        <v>10</v>
      </c>
      <c r="AW1046">
        <v>1</v>
      </c>
      <c r="AX1046" s="2">
        <v>46020</v>
      </c>
      <c r="AY1046" t="s">
        <v>141</v>
      </c>
      <c r="AZ1046" s="2">
        <v>46027</v>
      </c>
      <c r="BA1046">
        <v>0</v>
      </c>
      <c r="BB1046">
        <v>0</v>
      </c>
      <c r="BC1046">
        <v>0</v>
      </c>
      <c r="BD1046">
        <v>700</v>
      </c>
      <c r="BE1046">
        <v>70</v>
      </c>
      <c r="BF1046">
        <v>9</v>
      </c>
      <c r="BG1046" s="2">
        <v>45809</v>
      </c>
      <c r="BH1046" t="s">
        <v>142</v>
      </c>
      <c r="BI1046" s="2">
        <v>46026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 s="1">
        <v>1610.68</v>
      </c>
      <c r="BQ1046" s="1">
        <v>1610.68</v>
      </c>
      <c r="BR1046">
        <v>0</v>
      </c>
      <c r="BS1046">
        <v>0</v>
      </c>
      <c r="BT1046">
        <v>0</v>
      </c>
      <c r="BU1046">
        <v>0</v>
      </c>
      <c r="BV1046" s="1">
        <v>2528.08</v>
      </c>
      <c r="BW1046" s="1">
        <v>2528.08</v>
      </c>
      <c r="BX1046">
        <v>0</v>
      </c>
      <c r="BY1046">
        <v>0</v>
      </c>
      <c r="BZ1046">
        <v>0</v>
      </c>
      <c r="CA1046">
        <v>0</v>
      </c>
      <c r="CB1046" s="1">
        <v>1558.82</v>
      </c>
      <c r="CC1046" t="s">
        <v>152</v>
      </c>
    </row>
    <row r="1047" spans="1:81" x14ac:dyDescent="0.25">
      <c r="A1047">
        <v>345</v>
      </c>
      <c r="B1047">
        <v>2</v>
      </c>
      <c r="C1047">
        <v>3022</v>
      </c>
      <c r="D1047" t="s">
        <v>5960</v>
      </c>
      <c r="E1047" t="s">
        <v>5780</v>
      </c>
      <c r="F1047" t="s">
        <v>5451</v>
      </c>
      <c r="G1047" t="s">
        <v>5961</v>
      </c>
      <c r="H1047" t="s">
        <v>5962</v>
      </c>
      <c r="I1047" t="s">
        <v>5963</v>
      </c>
      <c r="J1047" t="s">
        <v>126</v>
      </c>
      <c r="K1047" t="s">
        <v>4248</v>
      </c>
      <c r="L1047" t="s">
        <v>128</v>
      </c>
      <c r="M1047" t="s">
        <v>1325</v>
      </c>
      <c r="N1047" t="s">
        <v>5454</v>
      </c>
      <c r="O1047" t="s">
        <v>149</v>
      </c>
      <c r="P1047">
        <v>0</v>
      </c>
      <c r="Q1047" t="s">
        <v>125</v>
      </c>
      <c r="R1047">
        <v>6</v>
      </c>
      <c r="S1047">
        <v>44</v>
      </c>
      <c r="T1047" t="s">
        <v>132</v>
      </c>
      <c r="U1047" t="s">
        <v>133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134</v>
      </c>
      <c r="AE1047" t="s">
        <v>234</v>
      </c>
      <c r="AF1047" s="2">
        <v>45666</v>
      </c>
      <c r="AG1047" s="2">
        <v>46011</v>
      </c>
      <c r="AH1047">
        <v>789.84</v>
      </c>
      <c r="AI1047" s="1">
        <v>1639.69</v>
      </c>
      <c r="AJ1047" s="1">
        <v>8688.31</v>
      </c>
      <c r="AK1047">
        <v>0</v>
      </c>
      <c r="AL1047">
        <v>0</v>
      </c>
      <c r="AM1047">
        <v>0</v>
      </c>
      <c r="AN1047" t="s">
        <v>135</v>
      </c>
      <c r="AO1047" t="s">
        <v>135</v>
      </c>
      <c r="AP1047" t="s">
        <v>136</v>
      </c>
      <c r="AQ1047" t="s">
        <v>137</v>
      </c>
      <c r="AR1047" t="s">
        <v>138</v>
      </c>
      <c r="AS1047" t="s">
        <v>150</v>
      </c>
      <c r="AT1047" t="s">
        <v>140</v>
      </c>
      <c r="AU1047">
        <v>104</v>
      </c>
      <c r="AV1047">
        <v>10</v>
      </c>
      <c r="AW1047">
        <v>1</v>
      </c>
      <c r="AX1047" s="2">
        <v>45813</v>
      </c>
      <c r="AY1047" t="s">
        <v>308</v>
      </c>
      <c r="AZ1047" s="2">
        <v>46023</v>
      </c>
      <c r="BA1047">
        <v>0</v>
      </c>
      <c r="BB1047">
        <v>0</v>
      </c>
      <c r="BC1047">
        <v>0</v>
      </c>
      <c r="BD1047">
        <v>700</v>
      </c>
      <c r="BE1047">
        <v>70</v>
      </c>
      <c r="BF1047">
        <v>9</v>
      </c>
      <c r="BG1047" s="2">
        <v>45809</v>
      </c>
      <c r="BH1047" t="s">
        <v>142</v>
      </c>
      <c r="BI1047" s="2">
        <v>46026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 s="1">
        <v>4595.12</v>
      </c>
      <c r="BQ1047" s="1">
        <v>4595.12</v>
      </c>
      <c r="BR1047">
        <v>0</v>
      </c>
      <c r="BS1047">
        <v>0</v>
      </c>
      <c r="BT1047">
        <v>0</v>
      </c>
      <c r="BU1047">
        <v>0</v>
      </c>
      <c r="BV1047">
        <v>618.33000000000004</v>
      </c>
      <c r="BW1047">
        <v>618.33000000000004</v>
      </c>
      <c r="BX1047">
        <v>0</v>
      </c>
      <c r="BY1047">
        <v>0</v>
      </c>
      <c r="BZ1047">
        <v>0</v>
      </c>
      <c r="CA1047">
        <v>0</v>
      </c>
      <c r="CB1047" s="1">
        <v>4293.1400000000003</v>
      </c>
      <c r="CC1047" t="s">
        <v>152</v>
      </c>
    </row>
    <row r="1048" spans="1:81" x14ac:dyDescent="0.25">
      <c r="A1048">
        <v>345</v>
      </c>
      <c r="B1048">
        <v>2</v>
      </c>
      <c r="C1048">
        <v>3023</v>
      </c>
      <c r="D1048" t="s">
        <v>5964</v>
      </c>
      <c r="E1048" t="s">
        <v>5427</v>
      </c>
      <c r="F1048" t="s">
        <v>5965</v>
      </c>
      <c r="G1048" t="s">
        <v>5958</v>
      </c>
      <c r="H1048" t="s">
        <v>5966</v>
      </c>
      <c r="I1048" t="s">
        <v>5967</v>
      </c>
      <c r="J1048" t="s">
        <v>126</v>
      </c>
      <c r="K1048" t="s">
        <v>336</v>
      </c>
      <c r="L1048" t="s">
        <v>128</v>
      </c>
      <c r="M1048" t="s">
        <v>337</v>
      </c>
      <c r="N1048" t="s">
        <v>5784</v>
      </c>
      <c r="O1048" t="s">
        <v>3269</v>
      </c>
      <c r="P1048">
        <v>0</v>
      </c>
      <c r="Q1048" t="s">
        <v>125</v>
      </c>
      <c r="R1048">
        <v>6</v>
      </c>
      <c r="S1048">
        <v>38</v>
      </c>
      <c r="T1048" t="s">
        <v>132</v>
      </c>
      <c r="U1048" t="s">
        <v>133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134</v>
      </c>
      <c r="AE1048" t="s">
        <v>134</v>
      </c>
      <c r="AF1048" s="2">
        <v>45666</v>
      </c>
      <c r="AG1048" s="2">
        <v>46002</v>
      </c>
      <c r="AH1048">
        <v>387.13</v>
      </c>
      <c r="AI1048" s="1">
        <v>1590.44</v>
      </c>
      <c r="AJ1048" s="1">
        <v>2322.83</v>
      </c>
      <c r="AK1048">
        <v>0</v>
      </c>
      <c r="AL1048">
        <v>0</v>
      </c>
      <c r="AM1048">
        <v>0</v>
      </c>
      <c r="AN1048" t="s">
        <v>135</v>
      </c>
      <c r="AO1048" t="s">
        <v>135</v>
      </c>
      <c r="AP1048" t="s">
        <v>136</v>
      </c>
      <c r="AQ1048" t="s">
        <v>137</v>
      </c>
      <c r="AR1048" t="s">
        <v>138</v>
      </c>
      <c r="AS1048" t="s">
        <v>139</v>
      </c>
      <c r="AT1048" t="s">
        <v>140</v>
      </c>
      <c r="AU1048">
        <v>101</v>
      </c>
      <c r="AV1048">
        <v>10</v>
      </c>
      <c r="AW1048">
        <v>1</v>
      </c>
      <c r="AX1048" s="2">
        <v>45854</v>
      </c>
      <c r="AY1048" t="s">
        <v>168</v>
      </c>
      <c r="AZ1048" s="2">
        <v>46022</v>
      </c>
      <c r="BA1048">
        <v>0</v>
      </c>
      <c r="BB1048">
        <v>0</v>
      </c>
      <c r="BC1048">
        <v>0</v>
      </c>
      <c r="BD1048">
        <v>700</v>
      </c>
      <c r="BE1048">
        <v>70</v>
      </c>
      <c r="BF1048">
        <v>9</v>
      </c>
      <c r="BG1048" s="2">
        <v>45809</v>
      </c>
      <c r="BH1048" t="s">
        <v>142</v>
      </c>
      <c r="BI1048" s="2">
        <v>46026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210.96</v>
      </c>
      <c r="BQ1048">
        <v>210.96</v>
      </c>
      <c r="BR1048">
        <v>0</v>
      </c>
      <c r="BS1048">
        <v>0</v>
      </c>
      <c r="BT1048">
        <v>0</v>
      </c>
      <c r="BU1048">
        <v>0</v>
      </c>
      <c r="BV1048" s="1">
        <v>1698.86</v>
      </c>
      <c r="BW1048" s="1">
        <v>1698.86</v>
      </c>
      <c r="BX1048">
        <v>0</v>
      </c>
      <c r="BY1048">
        <v>0</v>
      </c>
      <c r="BZ1048">
        <v>0</v>
      </c>
      <c r="CA1048">
        <v>0</v>
      </c>
      <c r="CB1048">
        <v>715.96</v>
      </c>
      <c r="CC1048" t="s">
        <v>339</v>
      </c>
    </row>
    <row r="1049" spans="1:81" x14ac:dyDescent="0.25">
      <c r="A1049">
        <v>345</v>
      </c>
      <c r="B1049">
        <v>2</v>
      </c>
      <c r="C1049">
        <v>3024</v>
      </c>
      <c r="D1049" t="s">
        <v>5968</v>
      </c>
      <c r="E1049" t="s">
        <v>5427</v>
      </c>
      <c r="F1049" t="s">
        <v>5969</v>
      </c>
      <c r="G1049" t="s">
        <v>5958</v>
      </c>
      <c r="H1049" t="s">
        <v>5970</v>
      </c>
      <c r="I1049" t="s">
        <v>5971</v>
      </c>
      <c r="J1049" t="s">
        <v>126</v>
      </c>
      <c r="K1049" t="s">
        <v>466</v>
      </c>
      <c r="L1049" t="s">
        <v>128</v>
      </c>
      <c r="M1049" t="s">
        <v>467</v>
      </c>
      <c r="N1049" t="s">
        <v>5784</v>
      </c>
      <c r="O1049" t="s">
        <v>149</v>
      </c>
      <c r="P1049">
        <v>0</v>
      </c>
      <c r="Q1049" t="s">
        <v>125</v>
      </c>
      <c r="R1049">
        <v>6</v>
      </c>
      <c r="S1049">
        <v>40</v>
      </c>
      <c r="T1049" t="s">
        <v>132</v>
      </c>
      <c r="U1049" t="s">
        <v>133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134</v>
      </c>
      <c r="AE1049" t="s">
        <v>134</v>
      </c>
      <c r="AF1049" s="2">
        <v>45666</v>
      </c>
      <c r="AG1049" s="2">
        <v>46018</v>
      </c>
      <c r="AH1049" s="1">
        <v>1633.13</v>
      </c>
      <c r="AI1049" s="1">
        <v>2750.4</v>
      </c>
      <c r="AJ1049" s="1">
        <v>19597.63</v>
      </c>
      <c r="AK1049">
        <v>0</v>
      </c>
      <c r="AL1049">
        <v>0</v>
      </c>
      <c r="AM1049">
        <v>0</v>
      </c>
      <c r="AN1049" t="s">
        <v>135</v>
      </c>
      <c r="AO1049" t="s">
        <v>135</v>
      </c>
      <c r="AP1049" t="s">
        <v>136</v>
      </c>
      <c r="AQ1049" t="s">
        <v>137</v>
      </c>
      <c r="AR1049" t="s">
        <v>138</v>
      </c>
      <c r="AS1049" t="s">
        <v>139</v>
      </c>
      <c r="AT1049" t="s">
        <v>140</v>
      </c>
      <c r="AU1049">
        <v>105</v>
      </c>
      <c r="AV1049">
        <v>10</v>
      </c>
      <c r="AW1049">
        <v>1</v>
      </c>
      <c r="AX1049" s="2">
        <v>45841</v>
      </c>
      <c r="AY1049" t="s">
        <v>308</v>
      </c>
      <c r="AZ1049" s="2">
        <v>46023</v>
      </c>
      <c r="BA1049">
        <v>0</v>
      </c>
      <c r="BB1049">
        <v>0</v>
      </c>
      <c r="BC1049">
        <v>0</v>
      </c>
      <c r="BD1049">
        <v>700</v>
      </c>
      <c r="BE1049">
        <v>70</v>
      </c>
      <c r="BF1049">
        <v>9</v>
      </c>
      <c r="BG1049" s="2">
        <v>45809</v>
      </c>
      <c r="BH1049" t="s">
        <v>142</v>
      </c>
      <c r="BI1049" s="2">
        <v>46026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 s="1">
        <v>10678.02</v>
      </c>
      <c r="BQ1049" s="1">
        <v>10678.02</v>
      </c>
      <c r="BR1049">
        <v>0</v>
      </c>
      <c r="BS1049">
        <v>0</v>
      </c>
      <c r="BT1049">
        <v>0</v>
      </c>
      <c r="BU1049">
        <v>0</v>
      </c>
      <c r="BV1049" s="1">
        <v>7095.67</v>
      </c>
      <c r="BW1049" s="1">
        <v>7095.67</v>
      </c>
      <c r="BX1049">
        <v>0</v>
      </c>
      <c r="BY1049">
        <v>0</v>
      </c>
      <c r="BZ1049">
        <v>0</v>
      </c>
      <c r="CA1049">
        <v>0</v>
      </c>
      <c r="CB1049" s="1">
        <v>6171.72</v>
      </c>
      <c r="CC1049" t="s">
        <v>152</v>
      </c>
    </row>
    <row r="1050" spans="1:81" x14ac:dyDescent="0.25">
      <c r="A1050">
        <v>345</v>
      </c>
      <c r="B1050">
        <v>2</v>
      </c>
      <c r="C1050">
        <v>3025</v>
      </c>
      <c r="D1050" t="s">
        <v>5972</v>
      </c>
      <c r="E1050" t="s">
        <v>5427</v>
      </c>
      <c r="F1050" t="s">
        <v>5973</v>
      </c>
      <c r="G1050" t="s">
        <v>5974</v>
      </c>
      <c r="H1050" t="s">
        <v>5975</v>
      </c>
      <c r="I1050" t="s">
        <v>125</v>
      </c>
      <c r="J1050" t="s">
        <v>126</v>
      </c>
      <c r="K1050" t="s">
        <v>336</v>
      </c>
      <c r="L1050" t="s">
        <v>128</v>
      </c>
      <c r="M1050" t="s">
        <v>337</v>
      </c>
      <c r="N1050" t="s">
        <v>5976</v>
      </c>
      <c r="O1050" t="s">
        <v>5977</v>
      </c>
      <c r="P1050">
        <v>0</v>
      </c>
      <c r="Q1050" t="s">
        <v>125</v>
      </c>
      <c r="R1050">
        <v>6</v>
      </c>
      <c r="S1050">
        <v>41</v>
      </c>
      <c r="T1050" t="s">
        <v>132</v>
      </c>
      <c r="U1050" t="s">
        <v>133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134</v>
      </c>
      <c r="AE1050" t="s">
        <v>134</v>
      </c>
      <c r="AF1050" s="2">
        <v>45667</v>
      </c>
      <c r="AG1050" s="2">
        <v>46017</v>
      </c>
      <c r="AH1050" s="1">
        <v>1160.9000000000001</v>
      </c>
      <c r="AI1050" s="1">
        <v>2246</v>
      </c>
      <c r="AJ1050" s="1">
        <v>10448.14</v>
      </c>
      <c r="AK1050">
        <v>0</v>
      </c>
      <c r="AL1050">
        <v>0</v>
      </c>
      <c r="AM1050">
        <v>0</v>
      </c>
      <c r="AN1050" t="s">
        <v>135</v>
      </c>
      <c r="AO1050" t="s">
        <v>135</v>
      </c>
      <c r="AP1050" t="s">
        <v>136</v>
      </c>
      <c r="AQ1050" t="s">
        <v>137</v>
      </c>
      <c r="AR1050" t="s">
        <v>138</v>
      </c>
      <c r="AS1050" t="s">
        <v>139</v>
      </c>
      <c r="AT1050" t="s">
        <v>140</v>
      </c>
      <c r="AU1050">
        <v>101</v>
      </c>
      <c r="AV1050">
        <v>10</v>
      </c>
      <c r="AW1050">
        <v>1</v>
      </c>
      <c r="AX1050" s="2">
        <v>45874</v>
      </c>
      <c r="AY1050" t="s">
        <v>377</v>
      </c>
      <c r="AZ1050" s="2">
        <v>46028</v>
      </c>
      <c r="BA1050">
        <v>0</v>
      </c>
      <c r="BB1050">
        <v>0</v>
      </c>
      <c r="BC1050">
        <v>0</v>
      </c>
      <c r="BD1050">
        <v>700</v>
      </c>
      <c r="BE1050">
        <v>70</v>
      </c>
      <c r="BF1050">
        <v>9</v>
      </c>
      <c r="BG1050" s="2">
        <v>45809</v>
      </c>
      <c r="BH1050" t="s">
        <v>142</v>
      </c>
      <c r="BI1050" s="2">
        <v>46026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 s="1">
        <v>4716.8</v>
      </c>
      <c r="BQ1050" s="1">
        <v>4716.8</v>
      </c>
      <c r="BR1050">
        <v>0</v>
      </c>
      <c r="BS1050">
        <v>0</v>
      </c>
      <c r="BT1050">
        <v>0</v>
      </c>
      <c r="BU1050">
        <v>0</v>
      </c>
      <c r="BV1050" s="1">
        <v>2427</v>
      </c>
      <c r="BW1050" s="1">
        <v>2427</v>
      </c>
      <c r="BX1050">
        <v>0</v>
      </c>
      <c r="BY1050">
        <v>0</v>
      </c>
      <c r="BZ1050">
        <v>0</v>
      </c>
      <c r="CA1050">
        <v>0</v>
      </c>
      <c r="CB1050" s="1">
        <v>4080.44</v>
      </c>
      <c r="CC1050" t="s">
        <v>152</v>
      </c>
    </row>
    <row r="1051" spans="1:81" x14ac:dyDescent="0.25">
      <c r="A1051">
        <v>345</v>
      </c>
      <c r="B1051">
        <v>2</v>
      </c>
      <c r="C1051">
        <v>3029</v>
      </c>
      <c r="D1051" t="s">
        <v>5978</v>
      </c>
      <c r="E1051" t="s">
        <v>121</v>
      </c>
      <c r="F1051" t="s">
        <v>5979</v>
      </c>
      <c r="G1051" t="s">
        <v>5980</v>
      </c>
      <c r="H1051" t="s">
        <v>5981</v>
      </c>
      <c r="I1051" t="s">
        <v>125</v>
      </c>
      <c r="J1051" t="s">
        <v>126</v>
      </c>
      <c r="K1051" t="s">
        <v>1853</v>
      </c>
      <c r="L1051" t="s">
        <v>128</v>
      </c>
      <c r="M1051" t="s">
        <v>1854</v>
      </c>
      <c r="N1051" t="s">
        <v>5982</v>
      </c>
      <c r="O1051" t="s">
        <v>3115</v>
      </c>
      <c r="P1051">
        <v>0</v>
      </c>
      <c r="Q1051" t="s">
        <v>125</v>
      </c>
      <c r="R1051">
        <v>3</v>
      </c>
      <c r="S1051">
        <v>83</v>
      </c>
      <c r="T1051" t="s">
        <v>132</v>
      </c>
      <c r="U1051" t="s">
        <v>133</v>
      </c>
      <c r="V1051" s="1">
        <v>20000</v>
      </c>
      <c r="W1051" s="1">
        <v>7690</v>
      </c>
      <c r="X1051" s="1">
        <v>12310</v>
      </c>
      <c r="Y1051">
        <v>21</v>
      </c>
      <c r="Z1051">
        <v>0</v>
      </c>
      <c r="AA1051">
        <v>21</v>
      </c>
      <c r="AB1051">
        <v>0</v>
      </c>
      <c r="AC1051">
        <v>0</v>
      </c>
      <c r="AD1051" t="s">
        <v>134</v>
      </c>
      <c r="AE1051" t="s">
        <v>134</v>
      </c>
      <c r="AF1051" s="2">
        <v>45670</v>
      </c>
      <c r="AG1051" s="2">
        <v>46001</v>
      </c>
      <c r="AH1051" s="1">
        <v>4219.08</v>
      </c>
      <c r="AI1051" s="1">
        <v>7690</v>
      </c>
      <c r="AJ1051" s="1">
        <v>8438.17</v>
      </c>
      <c r="AK1051">
        <v>0</v>
      </c>
      <c r="AL1051" s="1">
        <v>7690</v>
      </c>
      <c r="AM1051">
        <v>9.73</v>
      </c>
      <c r="AN1051" t="s">
        <v>135</v>
      </c>
      <c r="AO1051" t="s">
        <v>135</v>
      </c>
      <c r="AP1051" t="s">
        <v>136</v>
      </c>
      <c r="AQ1051" t="s">
        <v>137</v>
      </c>
      <c r="AR1051" t="s">
        <v>138</v>
      </c>
      <c r="AS1051" t="s">
        <v>150</v>
      </c>
      <c r="AT1051" t="s">
        <v>140</v>
      </c>
      <c r="AU1051">
        <v>500</v>
      </c>
      <c r="AV1051">
        <v>10</v>
      </c>
      <c r="AW1051">
        <v>1</v>
      </c>
      <c r="AX1051" s="2">
        <v>45880</v>
      </c>
      <c r="AY1051" t="s">
        <v>141</v>
      </c>
      <c r="AZ1051" s="2">
        <v>46027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 t="s">
        <v>135</v>
      </c>
      <c r="BH1051" t="s">
        <v>250</v>
      </c>
      <c r="BI1051" t="s">
        <v>135</v>
      </c>
      <c r="BJ1051">
        <v>0</v>
      </c>
      <c r="BK1051">
        <v>0</v>
      </c>
      <c r="BL1051">
        <v>0</v>
      </c>
      <c r="BM1051">
        <v>21</v>
      </c>
      <c r="BN1051">
        <v>21</v>
      </c>
      <c r="BO1051">
        <v>748.17</v>
      </c>
      <c r="BP1051">
        <v>0</v>
      </c>
      <c r="BQ1051">
        <v>748.17</v>
      </c>
      <c r="BR1051">
        <v>748.17</v>
      </c>
      <c r="BS1051">
        <v>21</v>
      </c>
      <c r="BT1051">
        <v>21</v>
      </c>
      <c r="BU1051" s="1">
        <v>7690</v>
      </c>
      <c r="BV1051">
        <v>0</v>
      </c>
      <c r="BW1051" s="1">
        <v>7690</v>
      </c>
      <c r="BX1051">
        <v>0</v>
      </c>
      <c r="BY1051">
        <v>0</v>
      </c>
      <c r="BZ1051">
        <v>0</v>
      </c>
      <c r="CA1051">
        <v>0</v>
      </c>
      <c r="CB1051" s="1">
        <v>1815.39</v>
      </c>
      <c r="CC1051" t="s">
        <v>3116</v>
      </c>
    </row>
    <row r="1052" spans="1:81" x14ac:dyDescent="0.25">
      <c r="A1052">
        <v>345</v>
      </c>
      <c r="B1052">
        <v>2</v>
      </c>
      <c r="C1052">
        <v>3031</v>
      </c>
      <c r="D1052" t="s">
        <v>5983</v>
      </c>
      <c r="E1052" t="s">
        <v>121</v>
      </c>
      <c r="F1052" t="s">
        <v>5984</v>
      </c>
      <c r="G1052" t="s">
        <v>5984</v>
      </c>
      <c r="H1052" t="s">
        <v>5985</v>
      </c>
      <c r="I1052" t="s">
        <v>5986</v>
      </c>
      <c r="J1052" t="s">
        <v>667</v>
      </c>
      <c r="K1052" t="s">
        <v>336</v>
      </c>
      <c r="L1052" t="s">
        <v>128</v>
      </c>
      <c r="M1052" t="s">
        <v>337</v>
      </c>
      <c r="N1052" t="s">
        <v>5987</v>
      </c>
      <c r="O1052" t="s">
        <v>201</v>
      </c>
      <c r="P1052">
        <v>0</v>
      </c>
      <c r="Q1052" t="s">
        <v>125</v>
      </c>
      <c r="R1052">
        <v>3</v>
      </c>
      <c r="S1052">
        <v>84</v>
      </c>
      <c r="T1052" t="s">
        <v>132</v>
      </c>
      <c r="U1052" t="s">
        <v>133</v>
      </c>
      <c r="V1052" s="1">
        <v>1000</v>
      </c>
      <c r="W1052">
        <v>0</v>
      </c>
      <c r="X1052" s="1">
        <v>1000</v>
      </c>
      <c r="Y1052">
        <v>7</v>
      </c>
      <c r="Z1052">
        <v>0</v>
      </c>
      <c r="AA1052">
        <v>0</v>
      </c>
      <c r="AB1052">
        <v>0</v>
      </c>
      <c r="AC1052">
        <v>0</v>
      </c>
      <c r="AD1052" t="s">
        <v>134</v>
      </c>
      <c r="AE1052" t="s">
        <v>134</v>
      </c>
      <c r="AF1052" s="2">
        <v>45670</v>
      </c>
      <c r="AG1052" s="2">
        <v>45936</v>
      </c>
      <c r="AH1052">
        <v>219.28</v>
      </c>
      <c r="AI1052">
        <v>219.28</v>
      </c>
      <c r="AJ1052">
        <v>219.28</v>
      </c>
      <c r="AK1052">
        <v>0</v>
      </c>
      <c r="AL1052">
        <v>0</v>
      </c>
      <c r="AM1052">
        <v>0</v>
      </c>
      <c r="AN1052" t="s">
        <v>135</v>
      </c>
      <c r="AO1052" t="s">
        <v>135</v>
      </c>
      <c r="AP1052" t="s">
        <v>136</v>
      </c>
      <c r="AQ1052" t="s">
        <v>137</v>
      </c>
      <c r="AR1052" t="s">
        <v>138</v>
      </c>
      <c r="AS1052" t="s">
        <v>139</v>
      </c>
      <c r="AT1052" t="s">
        <v>140</v>
      </c>
      <c r="AU1052">
        <v>101</v>
      </c>
      <c r="AV1052">
        <v>10</v>
      </c>
      <c r="AW1052">
        <v>1</v>
      </c>
      <c r="AX1052" s="2">
        <v>45891</v>
      </c>
      <c r="AY1052" t="s">
        <v>151</v>
      </c>
      <c r="AZ1052" s="2">
        <v>46024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 t="s">
        <v>135</v>
      </c>
      <c r="BH1052" t="s">
        <v>250</v>
      </c>
      <c r="BI1052" t="s">
        <v>135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73.09</v>
      </c>
      <c r="CC1052" t="s">
        <v>143</v>
      </c>
    </row>
    <row r="1053" spans="1:81" x14ac:dyDescent="0.25">
      <c r="A1053">
        <v>345</v>
      </c>
      <c r="B1053">
        <v>2</v>
      </c>
      <c r="C1053">
        <v>3032</v>
      </c>
      <c r="D1053" t="s">
        <v>5988</v>
      </c>
      <c r="E1053" t="s">
        <v>121</v>
      </c>
      <c r="F1053" t="s">
        <v>5989</v>
      </c>
      <c r="G1053" t="s">
        <v>5990</v>
      </c>
      <c r="H1053" t="s">
        <v>5991</v>
      </c>
      <c r="I1053" t="s">
        <v>5992</v>
      </c>
      <c r="J1053" t="s">
        <v>606</v>
      </c>
      <c r="K1053" t="s">
        <v>336</v>
      </c>
      <c r="L1053" t="s">
        <v>128</v>
      </c>
      <c r="M1053" t="s">
        <v>337</v>
      </c>
      <c r="N1053" t="s">
        <v>5443</v>
      </c>
      <c r="O1053" t="s">
        <v>149</v>
      </c>
      <c r="P1053">
        <v>0</v>
      </c>
      <c r="Q1053" t="s">
        <v>125</v>
      </c>
      <c r="R1053">
        <v>3</v>
      </c>
      <c r="S1053">
        <v>88</v>
      </c>
      <c r="T1053" t="s">
        <v>132</v>
      </c>
      <c r="U1053" t="s">
        <v>133</v>
      </c>
      <c r="V1053" s="1">
        <v>1161</v>
      </c>
      <c r="W1053">
        <v>0</v>
      </c>
      <c r="X1053" s="1">
        <v>1161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134</v>
      </c>
      <c r="AE1053" t="s">
        <v>134</v>
      </c>
      <c r="AF1053" s="2">
        <v>45670</v>
      </c>
      <c r="AG1053" s="2">
        <v>45994</v>
      </c>
      <c r="AH1053">
        <v>470.4</v>
      </c>
      <c r="AI1053">
        <v>983.73</v>
      </c>
      <c r="AJ1053" s="1">
        <v>2822.41</v>
      </c>
      <c r="AK1053">
        <v>0</v>
      </c>
      <c r="AL1053">
        <v>0</v>
      </c>
      <c r="AM1053">
        <v>0</v>
      </c>
      <c r="AN1053" t="s">
        <v>135</v>
      </c>
      <c r="AO1053" t="s">
        <v>135</v>
      </c>
      <c r="AP1053" t="s">
        <v>136</v>
      </c>
      <c r="AQ1053" t="s">
        <v>137</v>
      </c>
      <c r="AR1053" t="s">
        <v>138</v>
      </c>
      <c r="AS1053" t="s">
        <v>139</v>
      </c>
      <c r="AT1053" t="s">
        <v>140</v>
      </c>
      <c r="AU1053">
        <v>101</v>
      </c>
      <c r="AV1053">
        <v>10</v>
      </c>
      <c r="AW1053">
        <v>1</v>
      </c>
      <c r="AX1053" s="2">
        <v>46021</v>
      </c>
      <c r="AY1053" t="s">
        <v>377</v>
      </c>
      <c r="AZ1053" s="2">
        <v>46028</v>
      </c>
      <c r="BA1053">
        <v>0</v>
      </c>
      <c r="BB1053">
        <v>0</v>
      </c>
      <c r="BC1053">
        <v>0</v>
      </c>
      <c r="BD1053">
        <v>700</v>
      </c>
      <c r="BE1053">
        <v>70</v>
      </c>
      <c r="BF1053">
        <v>9</v>
      </c>
      <c r="BG1053" t="s">
        <v>135</v>
      </c>
      <c r="BH1053" t="s">
        <v>250</v>
      </c>
      <c r="BI1053" t="s">
        <v>135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145.66</v>
      </c>
      <c r="BQ1053">
        <v>145.66</v>
      </c>
      <c r="BR1053">
        <v>0</v>
      </c>
      <c r="BS1053">
        <v>0</v>
      </c>
      <c r="BT1053">
        <v>0</v>
      </c>
      <c r="BU1053">
        <v>0</v>
      </c>
      <c r="BV1053">
        <v>532.71</v>
      </c>
      <c r="BW1053">
        <v>532.71</v>
      </c>
      <c r="BX1053">
        <v>0</v>
      </c>
      <c r="BY1053">
        <v>0</v>
      </c>
      <c r="BZ1053">
        <v>0</v>
      </c>
      <c r="CA1053">
        <v>0</v>
      </c>
      <c r="CB1053" s="1">
        <v>1368.7</v>
      </c>
      <c r="CC1053" t="s">
        <v>152</v>
      </c>
    </row>
    <row r="1054" spans="1:81" x14ac:dyDescent="0.25">
      <c r="A1054">
        <v>345</v>
      </c>
      <c r="B1054">
        <v>2</v>
      </c>
      <c r="C1054">
        <v>3033</v>
      </c>
      <c r="D1054" t="s">
        <v>5993</v>
      </c>
      <c r="E1054" t="s">
        <v>121</v>
      </c>
      <c r="F1054" t="s">
        <v>5994</v>
      </c>
      <c r="G1054" t="s">
        <v>5995</v>
      </c>
      <c r="H1054" t="s">
        <v>5996</v>
      </c>
      <c r="I1054" t="s">
        <v>5997</v>
      </c>
      <c r="J1054" t="s">
        <v>1263</v>
      </c>
      <c r="K1054" t="s">
        <v>466</v>
      </c>
      <c r="L1054" t="s">
        <v>128</v>
      </c>
      <c r="M1054" t="s">
        <v>467</v>
      </c>
      <c r="N1054" t="s">
        <v>5998</v>
      </c>
      <c r="O1054" t="s">
        <v>159</v>
      </c>
      <c r="P1054">
        <v>0</v>
      </c>
      <c r="Q1054" t="s">
        <v>125</v>
      </c>
      <c r="R1054">
        <v>6</v>
      </c>
      <c r="S1054">
        <v>33</v>
      </c>
      <c r="T1054" t="s">
        <v>132</v>
      </c>
      <c r="U1054" t="s">
        <v>133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134</v>
      </c>
      <c r="AE1054" t="s">
        <v>134</v>
      </c>
      <c r="AF1054" s="2">
        <v>45670</v>
      </c>
      <c r="AG1054" s="2">
        <v>45994</v>
      </c>
      <c r="AH1054">
        <v>334.28</v>
      </c>
      <c r="AI1054">
        <v>355.33</v>
      </c>
      <c r="AJ1054" s="1">
        <v>1002.85</v>
      </c>
      <c r="AK1054">
        <v>0</v>
      </c>
      <c r="AL1054">
        <v>0</v>
      </c>
      <c r="AM1054">
        <v>0</v>
      </c>
      <c r="AN1054" t="s">
        <v>135</v>
      </c>
      <c r="AO1054" t="s">
        <v>135</v>
      </c>
      <c r="AP1054" t="s">
        <v>136</v>
      </c>
      <c r="AQ1054" t="s">
        <v>137</v>
      </c>
      <c r="AR1054" t="s">
        <v>138</v>
      </c>
      <c r="AS1054" t="s">
        <v>139</v>
      </c>
      <c r="AT1054" t="s">
        <v>140</v>
      </c>
      <c r="AU1054">
        <v>100</v>
      </c>
      <c r="AV1054">
        <v>10</v>
      </c>
      <c r="AW1054">
        <v>1</v>
      </c>
      <c r="AX1054" s="2">
        <v>45839</v>
      </c>
      <c r="AY1054" t="s">
        <v>377</v>
      </c>
      <c r="AZ1054" s="2">
        <v>46028</v>
      </c>
      <c r="BA1054">
        <v>0</v>
      </c>
      <c r="BB1054">
        <v>0</v>
      </c>
      <c r="BC1054">
        <v>0</v>
      </c>
      <c r="BD1054">
        <v>700</v>
      </c>
      <c r="BE1054">
        <v>70</v>
      </c>
      <c r="BF1054">
        <v>9</v>
      </c>
      <c r="BG1054" s="2">
        <v>45809</v>
      </c>
      <c r="BH1054" t="s">
        <v>142</v>
      </c>
      <c r="BI1054" s="2">
        <v>46026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348.73</v>
      </c>
      <c r="BW1054">
        <v>348.73</v>
      </c>
      <c r="BX1054">
        <v>0</v>
      </c>
      <c r="BY1054">
        <v>0</v>
      </c>
      <c r="BZ1054">
        <v>0</v>
      </c>
      <c r="CA1054">
        <v>0</v>
      </c>
      <c r="CB1054">
        <v>447.34</v>
      </c>
      <c r="CC1054" t="s">
        <v>161</v>
      </c>
    </row>
    <row r="1055" spans="1:81" x14ac:dyDescent="0.25">
      <c r="A1055">
        <v>345</v>
      </c>
      <c r="B1055">
        <v>2</v>
      </c>
      <c r="C1055">
        <v>3035</v>
      </c>
      <c r="D1055" t="s">
        <v>5999</v>
      </c>
      <c r="E1055" t="s">
        <v>121</v>
      </c>
      <c r="F1055" t="s">
        <v>6000</v>
      </c>
      <c r="G1055" t="s">
        <v>6001</v>
      </c>
      <c r="H1055" t="s">
        <v>6002</v>
      </c>
      <c r="I1055" t="s">
        <v>6003</v>
      </c>
      <c r="J1055" t="s">
        <v>1671</v>
      </c>
      <c r="K1055" t="s">
        <v>466</v>
      </c>
      <c r="L1055" t="s">
        <v>128</v>
      </c>
      <c r="M1055" t="s">
        <v>467</v>
      </c>
      <c r="N1055" t="s">
        <v>6004</v>
      </c>
      <c r="O1055" t="s">
        <v>201</v>
      </c>
      <c r="P1055">
        <v>0</v>
      </c>
      <c r="Q1055" t="s">
        <v>125</v>
      </c>
      <c r="R1055">
        <v>3</v>
      </c>
      <c r="S1055">
        <v>86</v>
      </c>
      <c r="T1055" t="s">
        <v>132</v>
      </c>
      <c r="U1055" t="s">
        <v>133</v>
      </c>
      <c r="V1055">
        <v>572</v>
      </c>
      <c r="W1055">
        <v>0</v>
      </c>
      <c r="X1055">
        <v>572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134</v>
      </c>
      <c r="AE1055" t="s">
        <v>134</v>
      </c>
      <c r="AF1055" s="2">
        <v>45670</v>
      </c>
      <c r="AG1055" s="2">
        <v>46020</v>
      </c>
      <c r="AH1055">
        <v>290.93</v>
      </c>
      <c r="AI1055">
        <v>456.2</v>
      </c>
      <c r="AJ1055" s="1">
        <v>2327.4499999999998</v>
      </c>
      <c r="AK1055">
        <v>0</v>
      </c>
      <c r="AL1055">
        <v>0</v>
      </c>
      <c r="AM1055">
        <v>0</v>
      </c>
      <c r="AN1055" t="s">
        <v>135</v>
      </c>
      <c r="AO1055" t="s">
        <v>135</v>
      </c>
      <c r="AP1055" t="s">
        <v>136</v>
      </c>
      <c r="AQ1055" t="s">
        <v>137</v>
      </c>
      <c r="AR1055" t="s">
        <v>138</v>
      </c>
      <c r="AS1055" t="s">
        <v>139</v>
      </c>
      <c r="AT1055" t="s">
        <v>140</v>
      </c>
      <c r="AU1055">
        <v>105</v>
      </c>
      <c r="AV1055">
        <v>10</v>
      </c>
      <c r="AW1055">
        <v>1</v>
      </c>
      <c r="AX1055" s="2">
        <v>45975</v>
      </c>
      <c r="AY1055" t="s">
        <v>151</v>
      </c>
      <c r="AZ1055" s="2">
        <v>46024</v>
      </c>
      <c r="BA1055">
        <v>0</v>
      </c>
      <c r="BB1055">
        <v>0</v>
      </c>
      <c r="BC1055">
        <v>0</v>
      </c>
      <c r="BD1055">
        <v>700</v>
      </c>
      <c r="BE1055">
        <v>70</v>
      </c>
      <c r="BF1055">
        <v>9</v>
      </c>
      <c r="BG1055" s="2">
        <v>45809</v>
      </c>
      <c r="BH1055" t="s">
        <v>142</v>
      </c>
      <c r="BI1055" s="2">
        <v>46026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717.47</v>
      </c>
      <c r="BQ1055">
        <v>717.47</v>
      </c>
      <c r="BR1055">
        <v>0</v>
      </c>
      <c r="BS1055">
        <v>0</v>
      </c>
      <c r="BT1055">
        <v>0</v>
      </c>
      <c r="BU1055">
        <v>0</v>
      </c>
      <c r="BV1055" s="1">
        <v>1364.49</v>
      </c>
      <c r="BW1055" s="1">
        <v>1364.49</v>
      </c>
      <c r="BX1055">
        <v>0</v>
      </c>
      <c r="BY1055">
        <v>0</v>
      </c>
      <c r="BZ1055">
        <v>0</v>
      </c>
      <c r="CA1055">
        <v>0</v>
      </c>
      <c r="CB1055">
        <v>578.09</v>
      </c>
      <c r="CC1055" t="s">
        <v>143</v>
      </c>
    </row>
    <row r="1056" spans="1:81" x14ac:dyDescent="0.25">
      <c r="A1056">
        <v>345</v>
      </c>
      <c r="B1056">
        <v>2</v>
      </c>
      <c r="C1056">
        <v>3036</v>
      </c>
      <c r="D1056" t="s">
        <v>6005</v>
      </c>
      <c r="E1056" t="s">
        <v>5780</v>
      </c>
      <c r="F1056" t="s">
        <v>5974</v>
      </c>
      <c r="G1056" t="s">
        <v>6006</v>
      </c>
      <c r="H1056" t="s">
        <v>6007</v>
      </c>
      <c r="I1056" t="s">
        <v>6008</v>
      </c>
      <c r="J1056" t="s">
        <v>126</v>
      </c>
      <c r="K1056" t="s">
        <v>336</v>
      </c>
      <c r="L1056" t="s">
        <v>128</v>
      </c>
      <c r="M1056" t="s">
        <v>337</v>
      </c>
      <c r="N1056" t="s">
        <v>5976</v>
      </c>
      <c r="O1056" t="s">
        <v>2996</v>
      </c>
      <c r="P1056">
        <v>0</v>
      </c>
      <c r="Q1056" t="s">
        <v>125</v>
      </c>
      <c r="R1056">
        <v>6</v>
      </c>
      <c r="S1056">
        <v>42</v>
      </c>
      <c r="T1056" t="s">
        <v>132</v>
      </c>
      <c r="U1056" t="s">
        <v>133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134</v>
      </c>
      <c r="AE1056" t="s">
        <v>234</v>
      </c>
      <c r="AF1056" s="2">
        <v>45671</v>
      </c>
      <c r="AG1056" s="2">
        <v>46017</v>
      </c>
      <c r="AH1056" s="1">
        <v>1639.6</v>
      </c>
      <c r="AI1056" s="1">
        <v>2661.36</v>
      </c>
      <c r="AJ1056" s="1">
        <v>18035.650000000001</v>
      </c>
      <c r="AK1056">
        <v>0</v>
      </c>
      <c r="AL1056">
        <v>0</v>
      </c>
      <c r="AM1056">
        <v>0</v>
      </c>
      <c r="AN1056" t="s">
        <v>135</v>
      </c>
      <c r="AO1056" t="s">
        <v>135</v>
      </c>
      <c r="AP1056" t="s">
        <v>136</v>
      </c>
      <c r="AQ1056" t="s">
        <v>137</v>
      </c>
      <c r="AR1056" t="s">
        <v>138</v>
      </c>
      <c r="AS1056" t="s">
        <v>150</v>
      </c>
      <c r="AT1056" t="s">
        <v>140</v>
      </c>
      <c r="AU1056">
        <v>501</v>
      </c>
      <c r="AV1056">
        <v>10</v>
      </c>
      <c r="AW1056">
        <v>1</v>
      </c>
      <c r="AX1056" s="2">
        <v>45860</v>
      </c>
      <c r="AY1056" t="s">
        <v>377</v>
      </c>
      <c r="AZ1056" s="2">
        <v>46028</v>
      </c>
      <c r="BA1056">
        <v>0</v>
      </c>
      <c r="BB1056">
        <v>0</v>
      </c>
      <c r="BC1056">
        <v>0</v>
      </c>
      <c r="BD1056">
        <v>700</v>
      </c>
      <c r="BE1056">
        <v>70</v>
      </c>
      <c r="BF1056">
        <v>9</v>
      </c>
      <c r="BG1056" s="2">
        <v>45809</v>
      </c>
      <c r="BH1056" t="s">
        <v>142</v>
      </c>
      <c r="BI1056" s="2">
        <v>46026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 s="1">
        <v>5130.5200000000004</v>
      </c>
      <c r="BQ1056" s="1">
        <v>5130.5200000000004</v>
      </c>
      <c r="BR1056">
        <v>0</v>
      </c>
      <c r="BS1056">
        <v>0</v>
      </c>
      <c r="BT1056">
        <v>0</v>
      </c>
      <c r="BU1056">
        <v>0</v>
      </c>
      <c r="BV1056" s="1">
        <v>8019.23</v>
      </c>
      <c r="BW1056" s="1">
        <v>8019.23</v>
      </c>
      <c r="BX1056">
        <v>0</v>
      </c>
      <c r="BY1056">
        <v>0</v>
      </c>
      <c r="BZ1056">
        <v>0</v>
      </c>
      <c r="CA1056">
        <v>0</v>
      </c>
      <c r="CB1056" s="1">
        <v>3716.6</v>
      </c>
      <c r="CC1056" t="s">
        <v>161</v>
      </c>
    </row>
    <row r="1057" spans="1:81" x14ac:dyDescent="0.25">
      <c r="A1057">
        <v>345</v>
      </c>
      <c r="B1057">
        <v>2</v>
      </c>
      <c r="C1057">
        <v>3040</v>
      </c>
      <c r="D1057" t="s">
        <v>6009</v>
      </c>
      <c r="E1057" t="s">
        <v>121</v>
      </c>
      <c r="F1057" t="s">
        <v>6010</v>
      </c>
      <c r="G1057" t="s">
        <v>6011</v>
      </c>
      <c r="H1057" t="s">
        <v>3705</v>
      </c>
      <c r="I1057" t="s">
        <v>6012</v>
      </c>
      <c r="J1057" t="s">
        <v>3074</v>
      </c>
      <c r="K1057" t="s">
        <v>1853</v>
      </c>
      <c r="L1057" t="s">
        <v>128</v>
      </c>
      <c r="M1057" t="s">
        <v>1854</v>
      </c>
      <c r="N1057" t="s">
        <v>6013</v>
      </c>
      <c r="O1057" t="s">
        <v>6014</v>
      </c>
      <c r="P1057">
        <v>0</v>
      </c>
      <c r="Q1057" t="s">
        <v>125</v>
      </c>
      <c r="R1057">
        <v>6</v>
      </c>
      <c r="S1057">
        <v>41</v>
      </c>
      <c r="T1057" t="s">
        <v>132</v>
      </c>
      <c r="U1057" t="s">
        <v>133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134</v>
      </c>
      <c r="AE1057" t="s">
        <v>134</v>
      </c>
      <c r="AF1057" s="2">
        <v>45671</v>
      </c>
      <c r="AG1057" s="2">
        <v>46015</v>
      </c>
      <c r="AH1057">
        <v>747.52</v>
      </c>
      <c r="AI1057" s="1">
        <v>1486.44</v>
      </c>
      <c r="AJ1057" s="1">
        <v>7475.22</v>
      </c>
      <c r="AK1057">
        <v>0</v>
      </c>
      <c r="AL1057">
        <v>0</v>
      </c>
      <c r="AM1057">
        <v>0</v>
      </c>
      <c r="AN1057" t="s">
        <v>135</v>
      </c>
      <c r="AO1057" t="s">
        <v>135</v>
      </c>
      <c r="AP1057" t="s">
        <v>136</v>
      </c>
      <c r="AQ1057" t="s">
        <v>137</v>
      </c>
      <c r="AR1057" t="s">
        <v>138</v>
      </c>
      <c r="AS1057" t="s">
        <v>150</v>
      </c>
      <c r="AT1057" t="s">
        <v>140</v>
      </c>
      <c r="AU1057">
        <v>106</v>
      </c>
      <c r="AV1057">
        <v>10</v>
      </c>
      <c r="AW1057">
        <v>1</v>
      </c>
      <c r="AX1057" s="2">
        <v>45838</v>
      </c>
      <c r="AY1057" t="s">
        <v>141</v>
      </c>
      <c r="AZ1057" s="2">
        <v>46027</v>
      </c>
      <c r="BA1057">
        <v>0</v>
      </c>
      <c r="BB1057">
        <v>0</v>
      </c>
      <c r="BC1057">
        <v>0</v>
      </c>
      <c r="BD1057">
        <v>700</v>
      </c>
      <c r="BE1057">
        <v>70</v>
      </c>
      <c r="BF1057">
        <v>9</v>
      </c>
      <c r="BG1057" s="2">
        <v>45809</v>
      </c>
      <c r="BH1057" t="s">
        <v>142</v>
      </c>
      <c r="BI1057" s="2">
        <v>46026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 s="1">
        <v>2965.61</v>
      </c>
      <c r="BQ1057" s="1">
        <v>2965.61</v>
      </c>
      <c r="BR1057">
        <v>0</v>
      </c>
      <c r="BS1057">
        <v>0</v>
      </c>
      <c r="BT1057">
        <v>0</v>
      </c>
      <c r="BU1057">
        <v>0</v>
      </c>
      <c r="BV1057" s="1">
        <v>1065.8</v>
      </c>
      <c r="BW1057" s="1">
        <v>1065.8</v>
      </c>
      <c r="BX1057">
        <v>0</v>
      </c>
      <c r="BY1057">
        <v>0</v>
      </c>
      <c r="BZ1057">
        <v>0</v>
      </c>
      <c r="CA1057">
        <v>0</v>
      </c>
      <c r="CB1057" s="1">
        <v>3875.07</v>
      </c>
      <c r="CC1057" t="s">
        <v>161</v>
      </c>
    </row>
    <row r="1058" spans="1:81" x14ac:dyDescent="0.25">
      <c r="A1058">
        <v>345</v>
      </c>
      <c r="B1058">
        <v>2</v>
      </c>
      <c r="C1058">
        <v>3042</v>
      </c>
      <c r="D1058" t="s">
        <v>6015</v>
      </c>
      <c r="E1058" t="s">
        <v>121</v>
      </c>
      <c r="F1058" t="s">
        <v>6016</v>
      </c>
      <c r="G1058" t="s">
        <v>6017</v>
      </c>
      <c r="H1058" t="s">
        <v>6018</v>
      </c>
      <c r="I1058" t="s">
        <v>6019</v>
      </c>
      <c r="J1058" t="s">
        <v>4247</v>
      </c>
      <c r="K1058" t="s">
        <v>4248</v>
      </c>
      <c r="L1058" t="s">
        <v>128</v>
      </c>
      <c r="M1058" t="s">
        <v>1325</v>
      </c>
      <c r="N1058" t="s">
        <v>6020</v>
      </c>
      <c r="O1058" t="s">
        <v>167</v>
      </c>
      <c r="P1058">
        <v>0</v>
      </c>
      <c r="Q1058" t="s">
        <v>125</v>
      </c>
      <c r="R1058">
        <v>6</v>
      </c>
      <c r="S1058">
        <v>35</v>
      </c>
      <c r="T1058" t="s">
        <v>132</v>
      </c>
      <c r="U1058" t="s">
        <v>133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134</v>
      </c>
      <c r="AE1058" t="s">
        <v>134</v>
      </c>
      <c r="AF1058" s="2">
        <v>45671</v>
      </c>
      <c r="AG1058" s="2">
        <v>46018</v>
      </c>
      <c r="AH1058">
        <v>700.89</v>
      </c>
      <c r="AI1058" s="1">
        <v>2009.39</v>
      </c>
      <c r="AJ1058" s="1">
        <v>8410.7000000000007</v>
      </c>
      <c r="AK1058">
        <v>0</v>
      </c>
      <c r="AL1058">
        <v>0</v>
      </c>
      <c r="AM1058">
        <v>0</v>
      </c>
      <c r="AN1058" t="s">
        <v>135</v>
      </c>
      <c r="AO1058" t="s">
        <v>135</v>
      </c>
      <c r="AP1058" t="s">
        <v>136</v>
      </c>
      <c r="AQ1058" t="s">
        <v>137</v>
      </c>
      <c r="AR1058" t="s">
        <v>138</v>
      </c>
      <c r="AS1058" t="s">
        <v>139</v>
      </c>
      <c r="AT1058" t="s">
        <v>140</v>
      </c>
      <c r="AU1058">
        <v>104</v>
      </c>
      <c r="AV1058">
        <v>10</v>
      </c>
      <c r="AW1058">
        <v>1</v>
      </c>
      <c r="AX1058" s="2">
        <v>45813</v>
      </c>
      <c r="AY1058" t="s">
        <v>308</v>
      </c>
      <c r="AZ1058" s="2">
        <v>46023</v>
      </c>
      <c r="BA1058">
        <v>0</v>
      </c>
      <c r="BB1058">
        <v>0</v>
      </c>
      <c r="BC1058">
        <v>0</v>
      </c>
      <c r="BD1058">
        <v>700</v>
      </c>
      <c r="BE1058">
        <v>70</v>
      </c>
      <c r="BF1058">
        <v>9</v>
      </c>
      <c r="BG1058" s="2">
        <v>45809</v>
      </c>
      <c r="BH1058" t="s">
        <v>142</v>
      </c>
      <c r="BI1058" s="2">
        <v>46026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 s="1">
        <v>3830.42</v>
      </c>
      <c r="BQ1058" s="1">
        <v>3830.42</v>
      </c>
      <c r="BR1058">
        <v>0</v>
      </c>
      <c r="BS1058">
        <v>0</v>
      </c>
      <c r="BT1058">
        <v>0</v>
      </c>
      <c r="BU1058">
        <v>0</v>
      </c>
      <c r="BV1058">
        <v>967.83</v>
      </c>
      <c r="BW1058">
        <v>967.83</v>
      </c>
      <c r="BX1058">
        <v>0</v>
      </c>
      <c r="BY1058">
        <v>0</v>
      </c>
      <c r="BZ1058">
        <v>0</v>
      </c>
      <c r="CA1058">
        <v>0</v>
      </c>
      <c r="CB1058" s="1">
        <v>3446.76</v>
      </c>
      <c r="CC1058" t="s">
        <v>161</v>
      </c>
    </row>
    <row r="1059" spans="1:81" x14ac:dyDescent="0.25">
      <c r="A1059">
        <v>345</v>
      </c>
      <c r="B1059">
        <v>2</v>
      </c>
      <c r="C1059">
        <v>3043</v>
      </c>
      <c r="D1059" t="s">
        <v>6021</v>
      </c>
      <c r="E1059" t="s">
        <v>121</v>
      </c>
      <c r="F1059" t="s">
        <v>6022</v>
      </c>
      <c r="G1059" t="s">
        <v>6023</v>
      </c>
      <c r="H1059" t="s">
        <v>6024</v>
      </c>
      <c r="I1059" t="s">
        <v>6025</v>
      </c>
      <c r="J1059" t="s">
        <v>5604</v>
      </c>
      <c r="K1059" t="s">
        <v>127</v>
      </c>
      <c r="L1059" t="s">
        <v>128</v>
      </c>
      <c r="M1059" t="s">
        <v>129</v>
      </c>
      <c r="N1059" t="s">
        <v>6026</v>
      </c>
      <c r="O1059" t="s">
        <v>3269</v>
      </c>
      <c r="P1059">
        <v>0</v>
      </c>
      <c r="Q1059" t="s">
        <v>125</v>
      </c>
      <c r="R1059">
        <v>6</v>
      </c>
      <c r="S1059">
        <v>42</v>
      </c>
      <c r="T1059" t="s">
        <v>132</v>
      </c>
      <c r="U1059" t="s">
        <v>133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134</v>
      </c>
      <c r="AE1059" t="s">
        <v>134</v>
      </c>
      <c r="AF1059" s="2">
        <v>45671</v>
      </c>
      <c r="AG1059" s="2">
        <v>46020</v>
      </c>
      <c r="AH1059">
        <v>402.14</v>
      </c>
      <c r="AI1059">
        <v>699.64</v>
      </c>
      <c r="AJ1059" s="1">
        <v>2815.02</v>
      </c>
      <c r="AK1059">
        <v>0</v>
      </c>
      <c r="AL1059">
        <v>0</v>
      </c>
      <c r="AM1059">
        <v>0</v>
      </c>
      <c r="AN1059" t="s">
        <v>135</v>
      </c>
      <c r="AO1059" t="s">
        <v>135</v>
      </c>
      <c r="AP1059" t="s">
        <v>136</v>
      </c>
      <c r="AQ1059" t="s">
        <v>137</v>
      </c>
      <c r="AR1059" t="s">
        <v>138</v>
      </c>
      <c r="AS1059" t="s">
        <v>150</v>
      </c>
      <c r="AT1059" t="s">
        <v>140</v>
      </c>
      <c r="AU1059">
        <v>102</v>
      </c>
      <c r="AV1059">
        <v>10</v>
      </c>
      <c r="AW1059">
        <v>1</v>
      </c>
      <c r="AX1059" s="2">
        <v>45815</v>
      </c>
      <c r="AY1059" t="s">
        <v>160</v>
      </c>
      <c r="AZ1059" s="2">
        <v>46025</v>
      </c>
      <c r="BA1059">
        <v>0</v>
      </c>
      <c r="BB1059">
        <v>0</v>
      </c>
      <c r="BC1059">
        <v>0</v>
      </c>
      <c r="BD1059">
        <v>700</v>
      </c>
      <c r="BE1059">
        <v>70</v>
      </c>
      <c r="BF1059">
        <v>9</v>
      </c>
      <c r="BG1059" s="2">
        <v>45809</v>
      </c>
      <c r="BH1059" t="s">
        <v>142</v>
      </c>
      <c r="BI1059" s="2">
        <v>46026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974.65</v>
      </c>
      <c r="BQ1059">
        <v>974.65</v>
      </c>
      <c r="BR1059">
        <v>0</v>
      </c>
      <c r="BS1059">
        <v>0</v>
      </c>
      <c r="BT1059">
        <v>0</v>
      </c>
      <c r="BU1059">
        <v>0</v>
      </c>
      <c r="BV1059" s="1">
        <v>1464.95</v>
      </c>
      <c r="BW1059" s="1">
        <v>1464.95</v>
      </c>
      <c r="BX1059">
        <v>0</v>
      </c>
      <c r="BY1059">
        <v>0</v>
      </c>
      <c r="BZ1059">
        <v>0</v>
      </c>
      <c r="CA1059">
        <v>0</v>
      </c>
      <c r="CB1059">
        <v>724.47</v>
      </c>
      <c r="CC1059" t="s">
        <v>161</v>
      </c>
    </row>
    <row r="1060" spans="1:81" x14ac:dyDescent="0.25">
      <c r="A1060">
        <v>345</v>
      </c>
      <c r="B1060">
        <v>2</v>
      </c>
      <c r="C1060">
        <v>3045</v>
      </c>
      <c r="D1060" t="s">
        <v>6027</v>
      </c>
      <c r="E1060" t="s">
        <v>121</v>
      </c>
      <c r="F1060" t="s">
        <v>6028</v>
      </c>
      <c r="G1060" t="s">
        <v>6029</v>
      </c>
      <c r="H1060" t="s">
        <v>6030</v>
      </c>
      <c r="I1060" t="s">
        <v>4543</v>
      </c>
      <c r="J1060" t="s">
        <v>5604</v>
      </c>
      <c r="K1060" t="s">
        <v>127</v>
      </c>
      <c r="L1060" t="s">
        <v>128</v>
      </c>
      <c r="M1060" t="s">
        <v>129</v>
      </c>
      <c r="N1060" t="s">
        <v>6031</v>
      </c>
      <c r="O1060" t="s">
        <v>201</v>
      </c>
      <c r="P1060">
        <v>0</v>
      </c>
      <c r="Q1060" t="s">
        <v>125</v>
      </c>
      <c r="R1060">
        <v>3</v>
      </c>
      <c r="S1060">
        <v>87</v>
      </c>
      <c r="T1060" t="s">
        <v>132</v>
      </c>
      <c r="U1060" t="s">
        <v>133</v>
      </c>
      <c r="V1060" s="1">
        <v>1019</v>
      </c>
      <c r="W1060">
        <v>0</v>
      </c>
      <c r="X1060" s="1">
        <v>1019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134</v>
      </c>
      <c r="AE1060" t="s">
        <v>134</v>
      </c>
      <c r="AF1060" s="2">
        <v>45671</v>
      </c>
      <c r="AG1060" s="2">
        <v>46018</v>
      </c>
      <c r="AH1060">
        <v>595.29999999999995</v>
      </c>
      <c r="AI1060">
        <v>889.5</v>
      </c>
      <c r="AJ1060" s="1">
        <v>7738.91</v>
      </c>
      <c r="AK1060">
        <v>0</v>
      </c>
      <c r="AL1060">
        <v>0</v>
      </c>
      <c r="AM1060">
        <v>0</v>
      </c>
      <c r="AN1060" t="s">
        <v>135</v>
      </c>
      <c r="AO1060" t="s">
        <v>135</v>
      </c>
      <c r="AP1060" t="s">
        <v>136</v>
      </c>
      <c r="AQ1060" t="s">
        <v>137</v>
      </c>
      <c r="AR1060" t="s">
        <v>138</v>
      </c>
      <c r="AS1060" t="s">
        <v>139</v>
      </c>
      <c r="AT1060" t="s">
        <v>140</v>
      </c>
      <c r="AU1060">
        <v>102</v>
      </c>
      <c r="AV1060">
        <v>10</v>
      </c>
      <c r="AW1060">
        <v>1</v>
      </c>
      <c r="AX1060" s="2">
        <v>45995</v>
      </c>
      <c r="AY1060" t="s">
        <v>308</v>
      </c>
      <c r="AZ1060" s="2">
        <v>46023</v>
      </c>
      <c r="BA1060">
        <v>0</v>
      </c>
      <c r="BB1060">
        <v>0</v>
      </c>
      <c r="BC1060">
        <v>0</v>
      </c>
      <c r="BD1060">
        <v>700</v>
      </c>
      <c r="BE1060">
        <v>70</v>
      </c>
      <c r="BF1060">
        <v>9</v>
      </c>
      <c r="BG1060" s="2">
        <v>45809</v>
      </c>
      <c r="BH1060" t="s">
        <v>142</v>
      </c>
      <c r="BI1060" s="2">
        <v>46026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 s="1">
        <v>2691.81</v>
      </c>
      <c r="BQ1060" s="1">
        <v>2691.81</v>
      </c>
      <c r="BR1060">
        <v>0</v>
      </c>
      <c r="BS1060">
        <v>0</v>
      </c>
      <c r="BT1060">
        <v>0</v>
      </c>
      <c r="BU1060">
        <v>0</v>
      </c>
      <c r="BV1060" s="1">
        <v>3351.1</v>
      </c>
      <c r="BW1060" s="1">
        <v>3351.1</v>
      </c>
      <c r="BX1060">
        <v>0</v>
      </c>
      <c r="BY1060">
        <v>0</v>
      </c>
      <c r="BZ1060">
        <v>0</v>
      </c>
      <c r="CA1060">
        <v>0</v>
      </c>
      <c r="CB1060" s="1">
        <v>2060.27</v>
      </c>
      <c r="CC1060" t="s">
        <v>143</v>
      </c>
    </row>
    <row r="1061" spans="1:81" x14ac:dyDescent="0.25">
      <c r="A1061">
        <v>345</v>
      </c>
      <c r="B1061">
        <v>2</v>
      </c>
      <c r="C1061">
        <v>3048</v>
      </c>
      <c r="D1061" t="s">
        <v>6032</v>
      </c>
      <c r="E1061" t="s">
        <v>121</v>
      </c>
      <c r="F1061" t="s">
        <v>6033</v>
      </c>
      <c r="G1061" t="s">
        <v>6034</v>
      </c>
      <c r="H1061" t="s">
        <v>6035</v>
      </c>
      <c r="I1061" t="s">
        <v>6036</v>
      </c>
      <c r="J1061" t="s">
        <v>1375</v>
      </c>
      <c r="K1061" t="s">
        <v>473</v>
      </c>
      <c r="L1061" t="s">
        <v>128</v>
      </c>
      <c r="M1061" t="s">
        <v>474</v>
      </c>
      <c r="N1061" t="s">
        <v>6037</v>
      </c>
      <c r="O1061" t="s">
        <v>167</v>
      </c>
      <c r="P1061">
        <v>0</v>
      </c>
      <c r="Q1061" t="s">
        <v>125</v>
      </c>
      <c r="R1061">
        <v>6</v>
      </c>
      <c r="S1061">
        <v>35</v>
      </c>
      <c r="T1061" t="s">
        <v>132</v>
      </c>
      <c r="U1061" t="s">
        <v>133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134</v>
      </c>
      <c r="AE1061" t="s">
        <v>134</v>
      </c>
      <c r="AF1061" s="2">
        <v>45671</v>
      </c>
      <c r="AG1061" s="2">
        <v>46017</v>
      </c>
      <c r="AH1061">
        <v>987.8</v>
      </c>
      <c r="AI1061" s="1">
        <v>3266.57</v>
      </c>
      <c r="AJ1061" s="1">
        <v>10865.89</v>
      </c>
      <c r="AK1061">
        <v>0</v>
      </c>
      <c r="AL1061">
        <v>0</v>
      </c>
      <c r="AM1061">
        <v>0</v>
      </c>
      <c r="AN1061" t="s">
        <v>135</v>
      </c>
      <c r="AO1061" t="s">
        <v>135</v>
      </c>
      <c r="AP1061" t="s">
        <v>136</v>
      </c>
      <c r="AQ1061" t="s">
        <v>137</v>
      </c>
      <c r="AR1061" t="s">
        <v>138</v>
      </c>
      <c r="AS1061" t="s">
        <v>139</v>
      </c>
      <c r="AT1061" t="s">
        <v>140</v>
      </c>
      <c r="AU1061">
        <v>102</v>
      </c>
      <c r="AV1061">
        <v>10</v>
      </c>
      <c r="AW1061">
        <v>1</v>
      </c>
      <c r="AX1061" s="2">
        <v>45846</v>
      </c>
      <c r="AY1061" t="s">
        <v>377</v>
      </c>
      <c r="AZ1061" s="2">
        <v>46028</v>
      </c>
      <c r="BA1061">
        <v>0</v>
      </c>
      <c r="BB1061">
        <v>0</v>
      </c>
      <c r="BC1061">
        <v>0</v>
      </c>
      <c r="BD1061">
        <v>700</v>
      </c>
      <c r="BE1061">
        <v>70</v>
      </c>
      <c r="BF1061">
        <v>9</v>
      </c>
      <c r="BG1061" s="2">
        <v>45809</v>
      </c>
      <c r="BH1061" t="s">
        <v>142</v>
      </c>
      <c r="BI1061" s="2">
        <v>46026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 s="1">
        <v>1948.6</v>
      </c>
      <c r="BQ1061" s="1">
        <v>1948.6</v>
      </c>
      <c r="BR1061">
        <v>0</v>
      </c>
      <c r="BS1061">
        <v>0</v>
      </c>
      <c r="BT1061">
        <v>0</v>
      </c>
      <c r="BU1061">
        <v>0</v>
      </c>
      <c r="BV1061" s="1">
        <v>1702.24</v>
      </c>
      <c r="BW1061" s="1">
        <v>1702.24</v>
      </c>
      <c r="BX1061">
        <v>0</v>
      </c>
      <c r="BY1061">
        <v>0</v>
      </c>
      <c r="BZ1061">
        <v>0</v>
      </c>
      <c r="CA1061">
        <v>0</v>
      </c>
      <c r="CB1061" s="1">
        <v>5357.83</v>
      </c>
      <c r="CC1061" t="s">
        <v>161</v>
      </c>
    </row>
    <row r="1062" spans="1:81" x14ac:dyDescent="0.25">
      <c r="A1062">
        <v>345</v>
      </c>
      <c r="B1062">
        <v>2</v>
      </c>
      <c r="C1062">
        <v>3050</v>
      </c>
      <c r="D1062" t="s">
        <v>6038</v>
      </c>
      <c r="E1062" t="s">
        <v>121</v>
      </c>
      <c r="F1062" t="s">
        <v>6039</v>
      </c>
      <c r="G1062" t="s">
        <v>6040</v>
      </c>
      <c r="H1062" t="s">
        <v>6041</v>
      </c>
      <c r="I1062" t="s">
        <v>6042</v>
      </c>
      <c r="J1062" t="s">
        <v>126</v>
      </c>
      <c r="K1062" t="s">
        <v>336</v>
      </c>
      <c r="L1062" t="s">
        <v>128</v>
      </c>
      <c r="M1062" t="s">
        <v>474</v>
      </c>
      <c r="N1062" t="s">
        <v>6043</v>
      </c>
      <c r="O1062" t="s">
        <v>3269</v>
      </c>
      <c r="P1062">
        <v>0</v>
      </c>
      <c r="Q1062" t="s">
        <v>125</v>
      </c>
      <c r="R1062">
        <v>6</v>
      </c>
      <c r="S1062">
        <v>42</v>
      </c>
      <c r="T1062" t="s">
        <v>132</v>
      </c>
      <c r="U1062" t="s">
        <v>133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134</v>
      </c>
      <c r="AE1062" t="s">
        <v>134</v>
      </c>
      <c r="AF1062" s="2">
        <v>45671</v>
      </c>
      <c r="AG1062" s="2">
        <v>46006</v>
      </c>
      <c r="AH1062" s="1">
        <v>3186.21</v>
      </c>
      <c r="AI1062" s="1">
        <v>7065.28</v>
      </c>
      <c r="AJ1062" s="1">
        <v>19117.310000000001</v>
      </c>
      <c r="AK1062">
        <v>0</v>
      </c>
      <c r="AL1062">
        <v>0</v>
      </c>
      <c r="AM1062">
        <v>0</v>
      </c>
      <c r="AN1062" t="s">
        <v>135</v>
      </c>
      <c r="AO1062" t="s">
        <v>135</v>
      </c>
      <c r="AP1062" t="s">
        <v>136</v>
      </c>
      <c r="AQ1062" t="s">
        <v>137</v>
      </c>
      <c r="AR1062" t="s">
        <v>138</v>
      </c>
      <c r="AS1062" t="s">
        <v>150</v>
      </c>
      <c r="AT1062" t="s">
        <v>140</v>
      </c>
      <c r="AU1062">
        <v>501</v>
      </c>
      <c r="AV1062">
        <v>10</v>
      </c>
      <c r="AW1062">
        <v>1</v>
      </c>
      <c r="AX1062" s="2">
        <v>45856</v>
      </c>
      <c r="AY1062" t="s">
        <v>151</v>
      </c>
      <c r="AZ1062" s="2">
        <v>46024</v>
      </c>
      <c r="BA1062">
        <v>0</v>
      </c>
      <c r="BB1062">
        <v>0</v>
      </c>
      <c r="BC1062">
        <v>0</v>
      </c>
      <c r="BD1062">
        <v>700</v>
      </c>
      <c r="BE1062">
        <v>70</v>
      </c>
      <c r="BF1062">
        <v>9</v>
      </c>
      <c r="BG1062" s="2">
        <v>45809</v>
      </c>
      <c r="BH1062" t="s">
        <v>142</v>
      </c>
      <c r="BI1062" s="2">
        <v>46026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 s="1">
        <v>13008.88</v>
      </c>
      <c r="BQ1062" s="1">
        <v>13008.88</v>
      </c>
      <c r="BR1062">
        <v>0</v>
      </c>
      <c r="BS1062">
        <v>0</v>
      </c>
      <c r="BT1062">
        <v>0</v>
      </c>
      <c r="BU1062">
        <v>0</v>
      </c>
      <c r="BV1062">
        <v>410.11</v>
      </c>
      <c r="BW1062">
        <v>410.11</v>
      </c>
      <c r="BX1062">
        <v>0</v>
      </c>
      <c r="BY1062">
        <v>0</v>
      </c>
      <c r="BZ1062">
        <v>0</v>
      </c>
      <c r="CA1062">
        <v>0</v>
      </c>
      <c r="CB1062" s="1">
        <v>6679.89</v>
      </c>
      <c r="CC1062" t="s">
        <v>143</v>
      </c>
    </row>
    <row r="1063" spans="1:81" x14ac:dyDescent="0.25">
      <c r="A1063">
        <v>345</v>
      </c>
      <c r="B1063">
        <v>2</v>
      </c>
      <c r="C1063">
        <v>3052</v>
      </c>
      <c r="D1063" t="s">
        <v>6044</v>
      </c>
      <c r="E1063" t="s">
        <v>121</v>
      </c>
      <c r="F1063" t="s">
        <v>6045</v>
      </c>
      <c r="G1063" t="s">
        <v>6046</v>
      </c>
      <c r="H1063" t="s">
        <v>6047</v>
      </c>
      <c r="I1063" t="s">
        <v>6048</v>
      </c>
      <c r="J1063" t="s">
        <v>606</v>
      </c>
      <c r="K1063" t="s">
        <v>336</v>
      </c>
      <c r="L1063" t="s">
        <v>128</v>
      </c>
      <c r="M1063" t="s">
        <v>337</v>
      </c>
      <c r="N1063" t="s">
        <v>6049</v>
      </c>
      <c r="O1063" t="s">
        <v>131</v>
      </c>
      <c r="P1063">
        <v>0</v>
      </c>
      <c r="Q1063" t="s">
        <v>125</v>
      </c>
      <c r="R1063">
        <v>6</v>
      </c>
      <c r="S1063">
        <v>39</v>
      </c>
      <c r="T1063" t="s">
        <v>132</v>
      </c>
      <c r="U1063" t="s">
        <v>133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134</v>
      </c>
      <c r="AE1063" t="s">
        <v>134</v>
      </c>
      <c r="AF1063" s="2">
        <v>45671</v>
      </c>
      <c r="AG1063" s="2">
        <v>45961</v>
      </c>
      <c r="AH1063">
        <v>106.79</v>
      </c>
      <c r="AI1063">
        <v>106.79</v>
      </c>
      <c r="AJ1063">
        <v>106.79</v>
      </c>
      <c r="AK1063">
        <v>0</v>
      </c>
      <c r="AL1063">
        <v>0</v>
      </c>
      <c r="AM1063">
        <v>0</v>
      </c>
      <c r="AN1063" t="s">
        <v>135</v>
      </c>
      <c r="AO1063" t="s">
        <v>135</v>
      </c>
      <c r="AP1063" t="s">
        <v>136</v>
      </c>
      <c r="AQ1063" t="s">
        <v>137</v>
      </c>
      <c r="AR1063" t="s">
        <v>138</v>
      </c>
      <c r="AS1063" t="s">
        <v>139</v>
      </c>
      <c r="AT1063" t="s">
        <v>140</v>
      </c>
      <c r="AU1063">
        <v>101</v>
      </c>
      <c r="AV1063">
        <v>10</v>
      </c>
      <c r="AW1063">
        <v>1</v>
      </c>
      <c r="AX1063" s="2">
        <v>45812</v>
      </c>
      <c r="AY1063" t="s">
        <v>168</v>
      </c>
      <c r="AZ1063" s="2">
        <v>46022</v>
      </c>
      <c r="BA1063">
        <v>0</v>
      </c>
      <c r="BB1063">
        <v>0</v>
      </c>
      <c r="BC1063">
        <v>0</v>
      </c>
      <c r="BD1063">
        <v>700</v>
      </c>
      <c r="BE1063">
        <v>70</v>
      </c>
      <c r="BF1063">
        <v>9</v>
      </c>
      <c r="BG1063" s="2">
        <v>45809</v>
      </c>
      <c r="BH1063" t="s">
        <v>142</v>
      </c>
      <c r="BI1063" s="2">
        <v>46026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53.17</v>
      </c>
      <c r="CC1063" t="s">
        <v>143</v>
      </c>
    </row>
    <row r="1064" spans="1:81" x14ac:dyDescent="0.25">
      <c r="A1064">
        <v>345</v>
      </c>
      <c r="B1064">
        <v>2</v>
      </c>
      <c r="C1064">
        <v>3055</v>
      </c>
      <c r="D1064" t="s">
        <v>6050</v>
      </c>
      <c r="E1064" t="s">
        <v>5427</v>
      </c>
      <c r="F1064" t="s">
        <v>6051</v>
      </c>
      <c r="G1064" t="s">
        <v>6052</v>
      </c>
      <c r="H1064" t="s">
        <v>3813</v>
      </c>
      <c r="I1064" t="s">
        <v>125</v>
      </c>
      <c r="J1064" t="s">
        <v>1263</v>
      </c>
      <c r="K1064" t="s">
        <v>466</v>
      </c>
      <c r="L1064" t="s">
        <v>128</v>
      </c>
      <c r="M1064" t="s">
        <v>467</v>
      </c>
      <c r="N1064" t="s">
        <v>6053</v>
      </c>
      <c r="O1064" t="s">
        <v>167</v>
      </c>
      <c r="P1064">
        <v>0</v>
      </c>
      <c r="Q1064" t="s">
        <v>125</v>
      </c>
      <c r="R1064">
        <v>5</v>
      </c>
      <c r="S1064">
        <v>68</v>
      </c>
      <c r="T1064" t="s">
        <v>132</v>
      </c>
      <c r="U1064" t="s">
        <v>133</v>
      </c>
      <c r="V1064" s="1">
        <v>1000</v>
      </c>
      <c r="W1064">
        <v>0</v>
      </c>
      <c r="X1064" s="1">
        <v>1000</v>
      </c>
      <c r="Y1064">
        <v>7</v>
      </c>
      <c r="Z1064">
        <v>0</v>
      </c>
      <c r="AA1064">
        <v>7</v>
      </c>
      <c r="AB1064">
        <v>4</v>
      </c>
      <c r="AC1064">
        <v>67</v>
      </c>
      <c r="AD1064" t="s">
        <v>134</v>
      </c>
      <c r="AE1064" t="s">
        <v>134</v>
      </c>
      <c r="AF1064" s="2">
        <v>45678</v>
      </c>
      <c r="AG1064" s="2">
        <v>46003</v>
      </c>
      <c r="AH1064">
        <v>495.7</v>
      </c>
      <c r="AI1064">
        <v>827.18</v>
      </c>
      <c r="AJ1064" s="1">
        <v>2974.24</v>
      </c>
      <c r="AK1064">
        <v>0</v>
      </c>
      <c r="AL1064">
        <v>0</v>
      </c>
      <c r="AM1064">
        <v>0</v>
      </c>
      <c r="AN1064" t="s">
        <v>135</v>
      </c>
      <c r="AO1064" t="s">
        <v>135</v>
      </c>
      <c r="AP1064" t="s">
        <v>136</v>
      </c>
      <c r="AQ1064" t="s">
        <v>137</v>
      </c>
      <c r="AR1064" t="s">
        <v>138</v>
      </c>
      <c r="AS1064" t="s">
        <v>139</v>
      </c>
      <c r="AT1064" t="s">
        <v>140</v>
      </c>
      <c r="AU1064">
        <v>106</v>
      </c>
      <c r="AV1064">
        <v>10</v>
      </c>
      <c r="AW1064">
        <v>1</v>
      </c>
      <c r="AX1064" s="2">
        <v>45932</v>
      </c>
      <c r="AY1064" t="s">
        <v>308</v>
      </c>
      <c r="AZ1064" s="2">
        <v>46030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 t="s">
        <v>135</v>
      </c>
      <c r="BH1064" t="s">
        <v>250</v>
      </c>
      <c r="BI1064" t="s">
        <v>135</v>
      </c>
      <c r="BJ1064">
        <v>0</v>
      </c>
      <c r="BK1064">
        <v>0</v>
      </c>
      <c r="BL1064">
        <v>0</v>
      </c>
      <c r="BM1064">
        <v>7</v>
      </c>
      <c r="BN1064">
        <v>7</v>
      </c>
      <c r="BO1064" s="1">
        <v>1375.38</v>
      </c>
      <c r="BP1064">
        <v>0</v>
      </c>
      <c r="BQ1064" s="1">
        <v>1375.38</v>
      </c>
      <c r="BR1064">
        <v>657.04</v>
      </c>
      <c r="BS1064">
        <v>7</v>
      </c>
      <c r="BT1064">
        <v>7</v>
      </c>
      <c r="BU1064">
        <v>827.18</v>
      </c>
      <c r="BV1064">
        <v>0</v>
      </c>
      <c r="BW1064">
        <v>827.18</v>
      </c>
      <c r="BX1064">
        <v>0</v>
      </c>
      <c r="BY1064">
        <v>0</v>
      </c>
      <c r="BZ1064">
        <v>0</v>
      </c>
      <c r="CA1064">
        <v>0</v>
      </c>
      <c r="CB1064">
        <v>715.68</v>
      </c>
      <c r="CC1064" t="s">
        <v>161</v>
      </c>
    </row>
    <row r="1065" spans="1:81" x14ac:dyDescent="0.25">
      <c r="A1065">
        <v>345</v>
      </c>
      <c r="B1065">
        <v>2</v>
      </c>
      <c r="C1065">
        <v>3057</v>
      </c>
      <c r="D1065" t="s">
        <v>6054</v>
      </c>
      <c r="E1065" t="s">
        <v>5780</v>
      </c>
      <c r="F1065" t="s">
        <v>6055</v>
      </c>
      <c r="G1065" t="s">
        <v>6056</v>
      </c>
      <c r="H1065" t="s">
        <v>6057</v>
      </c>
      <c r="I1065" t="s">
        <v>125</v>
      </c>
      <c r="J1065" t="s">
        <v>3174</v>
      </c>
      <c r="K1065" t="s">
        <v>1853</v>
      </c>
      <c r="L1065" t="s">
        <v>128</v>
      </c>
      <c r="M1065" t="s">
        <v>1854</v>
      </c>
      <c r="N1065" t="s">
        <v>6058</v>
      </c>
      <c r="O1065" t="s">
        <v>149</v>
      </c>
      <c r="P1065">
        <v>0</v>
      </c>
      <c r="Q1065" t="s">
        <v>125</v>
      </c>
      <c r="R1065">
        <v>3</v>
      </c>
      <c r="S1065">
        <v>83</v>
      </c>
      <c r="T1065" t="s">
        <v>132</v>
      </c>
      <c r="U1065" t="s">
        <v>133</v>
      </c>
      <c r="V1065" s="1">
        <v>1000</v>
      </c>
      <c r="W1065">
        <v>0</v>
      </c>
      <c r="X1065" s="1">
        <v>1000</v>
      </c>
      <c r="Y1065">
        <v>7</v>
      </c>
      <c r="Z1065">
        <v>0</v>
      </c>
      <c r="AA1065">
        <v>0</v>
      </c>
      <c r="AB1065">
        <v>0</v>
      </c>
      <c r="AC1065">
        <v>0</v>
      </c>
      <c r="AD1065" t="s">
        <v>134</v>
      </c>
      <c r="AE1065" t="s">
        <v>234</v>
      </c>
      <c r="AF1065" s="2">
        <v>45679</v>
      </c>
      <c r="AG1065" s="2">
        <v>45940</v>
      </c>
      <c r="AH1065">
        <v>281.2</v>
      </c>
      <c r="AI1065">
        <v>281.2</v>
      </c>
      <c r="AJ1065">
        <v>281.2</v>
      </c>
      <c r="AK1065">
        <v>0</v>
      </c>
      <c r="AL1065">
        <v>0</v>
      </c>
      <c r="AM1065">
        <v>0</v>
      </c>
      <c r="AN1065" t="s">
        <v>135</v>
      </c>
      <c r="AO1065" t="s">
        <v>135</v>
      </c>
      <c r="AP1065" t="s">
        <v>136</v>
      </c>
      <c r="AQ1065" t="s">
        <v>137</v>
      </c>
      <c r="AR1065" t="s">
        <v>138</v>
      </c>
      <c r="AS1065" t="s">
        <v>150</v>
      </c>
      <c r="AT1065" t="s">
        <v>140</v>
      </c>
      <c r="AU1065">
        <v>106</v>
      </c>
      <c r="AV1065">
        <v>10</v>
      </c>
      <c r="AW1065">
        <v>1</v>
      </c>
      <c r="AX1065" s="2">
        <v>45812</v>
      </c>
      <c r="AY1065" t="s">
        <v>168</v>
      </c>
      <c r="AZ1065" s="2">
        <v>46022</v>
      </c>
      <c r="BA1065">
        <v>0</v>
      </c>
      <c r="BB1065">
        <v>0</v>
      </c>
      <c r="BC1065">
        <v>0</v>
      </c>
      <c r="BD1065">
        <v>700</v>
      </c>
      <c r="BE1065">
        <v>70</v>
      </c>
      <c r="BF1065">
        <v>9</v>
      </c>
      <c r="BG1065" s="2">
        <v>45809</v>
      </c>
      <c r="BH1065" t="s">
        <v>142</v>
      </c>
      <c r="BI1065" s="2">
        <v>46026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93.73</v>
      </c>
      <c r="CC1065" t="s">
        <v>152</v>
      </c>
    </row>
    <row r="1066" spans="1:81" x14ac:dyDescent="0.25">
      <c r="A1066">
        <v>345</v>
      </c>
      <c r="B1066">
        <v>2</v>
      </c>
      <c r="C1066">
        <v>3062</v>
      </c>
      <c r="D1066" t="s">
        <v>6059</v>
      </c>
      <c r="E1066" t="s">
        <v>121</v>
      </c>
      <c r="F1066" t="s">
        <v>6060</v>
      </c>
      <c r="G1066" t="s">
        <v>6061</v>
      </c>
      <c r="H1066" t="s">
        <v>6062</v>
      </c>
      <c r="I1066" t="s">
        <v>6063</v>
      </c>
      <c r="J1066" t="s">
        <v>126</v>
      </c>
      <c r="K1066" t="s">
        <v>336</v>
      </c>
      <c r="L1066" t="s">
        <v>128</v>
      </c>
      <c r="M1066" t="s">
        <v>337</v>
      </c>
      <c r="N1066" t="s">
        <v>6064</v>
      </c>
      <c r="O1066" t="s">
        <v>201</v>
      </c>
      <c r="P1066">
        <v>0</v>
      </c>
      <c r="Q1066" t="s">
        <v>125</v>
      </c>
      <c r="R1066">
        <v>6</v>
      </c>
      <c r="S1066">
        <v>38</v>
      </c>
      <c r="T1066" t="s">
        <v>132</v>
      </c>
      <c r="U1066" t="s">
        <v>133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134</v>
      </c>
      <c r="AE1066" t="s">
        <v>134</v>
      </c>
      <c r="AF1066" s="2">
        <v>45680</v>
      </c>
      <c r="AG1066" s="2">
        <v>46021</v>
      </c>
      <c r="AH1066" s="1">
        <v>2538.9</v>
      </c>
      <c r="AI1066" s="1">
        <v>6507.6</v>
      </c>
      <c r="AJ1066" s="1">
        <v>25389.040000000001</v>
      </c>
      <c r="AK1066">
        <v>0</v>
      </c>
      <c r="AL1066">
        <v>0</v>
      </c>
      <c r="AM1066">
        <v>0</v>
      </c>
      <c r="AN1066" t="s">
        <v>135</v>
      </c>
      <c r="AO1066" t="s">
        <v>135</v>
      </c>
      <c r="AP1066" t="s">
        <v>136</v>
      </c>
      <c r="AQ1066" t="s">
        <v>137</v>
      </c>
      <c r="AR1066" t="s">
        <v>138</v>
      </c>
      <c r="AS1066" t="s">
        <v>139</v>
      </c>
      <c r="AT1066" t="s">
        <v>140</v>
      </c>
      <c r="AU1066">
        <v>501</v>
      </c>
      <c r="AV1066">
        <v>10</v>
      </c>
      <c r="AW1066">
        <v>1</v>
      </c>
      <c r="AX1066" s="2">
        <v>45859</v>
      </c>
      <c r="AY1066" t="s">
        <v>141</v>
      </c>
      <c r="AZ1066" s="2">
        <v>46027</v>
      </c>
      <c r="BA1066">
        <v>0</v>
      </c>
      <c r="BB1066">
        <v>0</v>
      </c>
      <c r="BC1066">
        <v>0</v>
      </c>
      <c r="BD1066">
        <v>700</v>
      </c>
      <c r="BE1066">
        <v>70</v>
      </c>
      <c r="BF1066">
        <v>9</v>
      </c>
      <c r="BG1066" s="2">
        <v>45809</v>
      </c>
      <c r="BH1066" t="s">
        <v>142</v>
      </c>
      <c r="BI1066" s="2">
        <v>46026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 s="1">
        <v>2736.11</v>
      </c>
      <c r="BQ1066" s="1">
        <v>2736.11</v>
      </c>
      <c r="BR1066">
        <v>0</v>
      </c>
      <c r="BS1066">
        <v>0</v>
      </c>
      <c r="BT1066">
        <v>0</v>
      </c>
      <c r="BU1066">
        <v>0</v>
      </c>
      <c r="BV1066" s="1">
        <v>18778.16</v>
      </c>
      <c r="BW1066" s="1">
        <v>18778.16</v>
      </c>
      <c r="BX1066">
        <v>0</v>
      </c>
      <c r="BY1066">
        <v>0</v>
      </c>
      <c r="BZ1066">
        <v>0</v>
      </c>
      <c r="CA1066">
        <v>0</v>
      </c>
      <c r="CB1066" s="1">
        <v>5417.68</v>
      </c>
      <c r="CC1066" t="s">
        <v>339</v>
      </c>
    </row>
    <row r="1067" spans="1:81" x14ac:dyDescent="0.25">
      <c r="A1067">
        <v>345</v>
      </c>
      <c r="B1067">
        <v>2</v>
      </c>
      <c r="C1067">
        <v>3063</v>
      </c>
      <c r="D1067" t="s">
        <v>6065</v>
      </c>
      <c r="E1067" t="s">
        <v>121</v>
      </c>
      <c r="F1067" t="s">
        <v>6066</v>
      </c>
      <c r="G1067" t="s">
        <v>6067</v>
      </c>
      <c r="H1067" t="s">
        <v>6068</v>
      </c>
      <c r="I1067" t="s">
        <v>6069</v>
      </c>
      <c r="J1067" t="s">
        <v>6070</v>
      </c>
      <c r="K1067" t="s">
        <v>466</v>
      </c>
      <c r="L1067" t="s">
        <v>128</v>
      </c>
      <c r="M1067" t="s">
        <v>467</v>
      </c>
      <c r="N1067" t="s">
        <v>6071</v>
      </c>
      <c r="O1067" t="s">
        <v>201</v>
      </c>
      <c r="P1067">
        <v>0</v>
      </c>
      <c r="Q1067" t="s">
        <v>125</v>
      </c>
      <c r="R1067">
        <v>6</v>
      </c>
      <c r="S1067">
        <v>38</v>
      </c>
      <c r="T1067" t="s">
        <v>132</v>
      </c>
      <c r="U1067" t="s">
        <v>133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134</v>
      </c>
      <c r="AE1067" t="s">
        <v>134</v>
      </c>
      <c r="AF1067" s="2">
        <v>45680</v>
      </c>
      <c r="AG1067" s="2">
        <v>45932</v>
      </c>
      <c r="AH1067">
        <v>12.31</v>
      </c>
      <c r="AI1067">
        <v>12.31</v>
      </c>
      <c r="AJ1067">
        <v>12.31</v>
      </c>
      <c r="AK1067">
        <v>0</v>
      </c>
      <c r="AL1067">
        <v>0</v>
      </c>
      <c r="AM1067">
        <v>0</v>
      </c>
      <c r="AN1067" t="s">
        <v>135</v>
      </c>
      <c r="AO1067" t="s">
        <v>135</v>
      </c>
      <c r="AP1067" t="s">
        <v>136</v>
      </c>
      <c r="AQ1067" t="s">
        <v>137</v>
      </c>
      <c r="AR1067" t="s">
        <v>138</v>
      </c>
      <c r="AS1067" t="s">
        <v>139</v>
      </c>
      <c r="AT1067" t="s">
        <v>140</v>
      </c>
      <c r="AU1067">
        <v>105</v>
      </c>
      <c r="AV1067">
        <v>10</v>
      </c>
      <c r="AW1067">
        <v>1</v>
      </c>
      <c r="AX1067" s="2">
        <v>45861</v>
      </c>
      <c r="AY1067" t="s">
        <v>168</v>
      </c>
      <c r="AZ1067" s="2">
        <v>46022</v>
      </c>
      <c r="BA1067">
        <v>0</v>
      </c>
      <c r="BB1067">
        <v>0</v>
      </c>
      <c r="BC1067">
        <v>0</v>
      </c>
      <c r="BD1067">
        <v>700</v>
      </c>
      <c r="BE1067">
        <v>70</v>
      </c>
      <c r="BF1067">
        <v>9</v>
      </c>
      <c r="BG1067" s="2">
        <v>45809</v>
      </c>
      <c r="BH1067" t="s">
        <v>142</v>
      </c>
      <c r="BI1067" s="2">
        <v>46026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32.03</v>
      </c>
      <c r="CC1067" t="s">
        <v>143</v>
      </c>
    </row>
    <row r="1068" spans="1:81" x14ac:dyDescent="0.25">
      <c r="A1068">
        <v>345</v>
      </c>
      <c r="B1068">
        <v>2</v>
      </c>
      <c r="C1068">
        <v>3065</v>
      </c>
      <c r="D1068" t="s">
        <v>6072</v>
      </c>
      <c r="E1068" t="s">
        <v>121</v>
      </c>
      <c r="F1068" t="s">
        <v>6073</v>
      </c>
      <c r="G1068" t="s">
        <v>6074</v>
      </c>
      <c r="H1068" t="s">
        <v>6075</v>
      </c>
      <c r="I1068" t="s">
        <v>6076</v>
      </c>
      <c r="J1068" t="s">
        <v>1217</v>
      </c>
      <c r="K1068" t="s">
        <v>4248</v>
      </c>
      <c r="L1068" t="s">
        <v>128</v>
      </c>
      <c r="M1068" t="s">
        <v>1325</v>
      </c>
      <c r="N1068" t="s">
        <v>6077</v>
      </c>
      <c r="O1068" t="s">
        <v>149</v>
      </c>
      <c r="P1068">
        <v>0</v>
      </c>
      <c r="Q1068" t="s">
        <v>125</v>
      </c>
      <c r="R1068">
        <v>6</v>
      </c>
      <c r="S1068">
        <v>37</v>
      </c>
      <c r="T1068" t="s">
        <v>132</v>
      </c>
      <c r="U1068" t="s">
        <v>133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134</v>
      </c>
      <c r="AE1068" t="s">
        <v>134</v>
      </c>
      <c r="AF1068" s="2">
        <v>45680</v>
      </c>
      <c r="AG1068" s="2">
        <v>45981</v>
      </c>
      <c r="AH1068">
        <v>462.88</v>
      </c>
      <c r="AI1068">
        <v>659.52</v>
      </c>
      <c r="AJ1068" s="1">
        <v>1851.52</v>
      </c>
      <c r="AK1068">
        <v>0</v>
      </c>
      <c r="AL1068">
        <v>0</v>
      </c>
      <c r="AM1068">
        <v>0</v>
      </c>
      <c r="AN1068" t="s">
        <v>135</v>
      </c>
      <c r="AO1068" t="s">
        <v>135</v>
      </c>
      <c r="AP1068" t="s">
        <v>136</v>
      </c>
      <c r="AQ1068" t="s">
        <v>137</v>
      </c>
      <c r="AR1068" t="s">
        <v>138</v>
      </c>
      <c r="AS1068" t="s">
        <v>139</v>
      </c>
      <c r="AT1068" t="s">
        <v>140</v>
      </c>
      <c r="AU1068">
        <v>104</v>
      </c>
      <c r="AV1068">
        <v>10</v>
      </c>
      <c r="AW1068">
        <v>1</v>
      </c>
      <c r="AX1068" s="2">
        <v>45812</v>
      </c>
      <c r="AY1068" t="s">
        <v>168</v>
      </c>
      <c r="AZ1068" s="2">
        <v>46022</v>
      </c>
      <c r="BA1068">
        <v>0</v>
      </c>
      <c r="BB1068">
        <v>0</v>
      </c>
      <c r="BC1068">
        <v>0</v>
      </c>
      <c r="BD1068">
        <v>700</v>
      </c>
      <c r="BE1068">
        <v>70</v>
      </c>
      <c r="BF1068">
        <v>9</v>
      </c>
      <c r="BG1068" s="2">
        <v>45809</v>
      </c>
      <c r="BH1068" t="s">
        <v>142</v>
      </c>
      <c r="BI1068" s="2">
        <v>46026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660.48</v>
      </c>
      <c r="BQ1068">
        <v>660.48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793.39</v>
      </c>
      <c r="CC1068" t="s">
        <v>152</v>
      </c>
    </row>
    <row r="1069" spans="1:81" x14ac:dyDescent="0.25">
      <c r="A1069">
        <v>345</v>
      </c>
      <c r="B1069">
        <v>2</v>
      </c>
      <c r="C1069">
        <v>3068</v>
      </c>
      <c r="D1069" t="s">
        <v>6078</v>
      </c>
      <c r="E1069" t="s">
        <v>5780</v>
      </c>
      <c r="F1069" t="s">
        <v>6079</v>
      </c>
      <c r="G1069" t="s">
        <v>6080</v>
      </c>
      <c r="H1069" t="s">
        <v>6081</v>
      </c>
      <c r="I1069" t="s">
        <v>6082</v>
      </c>
      <c r="J1069" t="s">
        <v>126</v>
      </c>
      <c r="K1069" t="s">
        <v>466</v>
      </c>
      <c r="L1069" t="s">
        <v>128</v>
      </c>
      <c r="M1069" t="s">
        <v>467</v>
      </c>
      <c r="N1069" t="s">
        <v>6083</v>
      </c>
      <c r="O1069" t="s">
        <v>131</v>
      </c>
      <c r="P1069">
        <v>0</v>
      </c>
      <c r="Q1069" t="s">
        <v>125</v>
      </c>
      <c r="R1069">
        <v>6</v>
      </c>
      <c r="S1069">
        <v>43</v>
      </c>
      <c r="T1069" t="s">
        <v>132</v>
      </c>
      <c r="U1069" t="s">
        <v>133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">
        <v>134</v>
      </c>
      <c r="AE1069" t="s">
        <v>234</v>
      </c>
      <c r="AF1069" s="2">
        <v>45685</v>
      </c>
      <c r="AG1069" s="2">
        <v>46011</v>
      </c>
      <c r="AH1069">
        <v>418.24</v>
      </c>
      <c r="AI1069">
        <v>690.73</v>
      </c>
      <c r="AJ1069" s="1">
        <v>3764.23</v>
      </c>
      <c r="AK1069">
        <v>0</v>
      </c>
      <c r="AL1069">
        <v>0</v>
      </c>
      <c r="AM1069">
        <v>0</v>
      </c>
      <c r="AN1069" t="s">
        <v>135</v>
      </c>
      <c r="AO1069" t="s">
        <v>135</v>
      </c>
      <c r="AP1069" t="s">
        <v>136</v>
      </c>
      <c r="AQ1069" t="s">
        <v>137</v>
      </c>
      <c r="AR1069" t="s">
        <v>138</v>
      </c>
      <c r="AS1069" t="s">
        <v>150</v>
      </c>
      <c r="AT1069" t="s">
        <v>140</v>
      </c>
      <c r="AU1069">
        <v>105</v>
      </c>
      <c r="AV1069">
        <v>10</v>
      </c>
      <c r="AW1069">
        <v>1</v>
      </c>
      <c r="AX1069" s="2">
        <v>45813</v>
      </c>
      <c r="AY1069" t="s">
        <v>308</v>
      </c>
      <c r="AZ1069" s="2">
        <v>46023</v>
      </c>
      <c r="BA1069">
        <v>0</v>
      </c>
      <c r="BB1069">
        <v>0</v>
      </c>
      <c r="BC1069">
        <v>0</v>
      </c>
      <c r="BD1069">
        <v>700</v>
      </c>
      <c r="BE1069">
        <v>70</v>
      </c>
      <c r="BF1069">
        <v>9</v>
      </c>
      <c r="BG1069" s="2">
        <v>45809</v>
      </c>
      <c r="BH1069" t="s">
        <v>142</v>
      </c>
      <c r="BI1069" s="2">
        <v>46026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 s="1">
        <v>1518.78</v>
      </c>
      <c r="BQ1069" s="1">
        <v>1518.78</v>
      </c>
      <c r="BR1069">
        <v>0</v>
      </c>
      <c r="BS1069">
        <v>0</v>
      </c>
      <c r="BT1069">
        <v>0</v>
      </c>
      <c r="BU1069">
        <v>0</v>
      </c>
      <c r="BV1069" s="1">
        <v>1423.36</v>
      </c>
      <c r="BW1069" s="1">
        <v>1423.36</v>
      </c>
      <c r="BX1069">
        <v>0</v>
      </c>
      <c r="BY1069">
        <v>0</v>
      </c>
      <c r="BZ1069">
        <v>0</v>
      </c>
      <c r="CA1069">
        <v>0</v>
      </c>
      <c r="CB1069" s="1">
        <v>1475.12</v>
      </c>
      <c r="CC1069" t="s">
        <v>143</v>
      </c>
    </row>
    <row r="1070" spans="1:81" x14ac:dyDescent="0.25">
      <c r="A1070">
        <v>345</v>
      </c>
      <c r="B1070">
        <v>2</v>
      </c>
      <c r="C1070">
        <v>3075</v>
      </c>
      <c r="D1070" t="s">
        <v>6084</v>
      </c>
      <c r="E1070" t="s">
        <v>121</v>
      </c>
      <c r="F1070" t="s">
        <v>6085</v>
      </c>
      <c r="G1070" t="s">
        <v>6086</v>
      </c>
      <c r="H1070" t="s">
        <v>6087</v>
      </c>
      <c r="I1070" t="s">
        <v>6088</v>
      </c>
      <c r="J1070" t="s">
        <v>459</v>
      </c>
      <c r="K1070" t="s">
        <v>336</v>
      </c>
      <c r="L1070" t="s">
        <v>128</v>
      </c>
      <c r="M1070" t="s">
        <v>337</v>
      </c>
      <c r="N1070" t="s">
        <v>6089</v>
      </c>
      <c r="O1070" t="s">
        <v>201</v>
      </c>
      <c r="P1070">
        <v>0</v>
      </c>
      <c r="Q1070" t="s">
        <v>125</v>
      </c>
      <c r="R1070">
        <v>6</v>
      </c>
      <c r="S1070">
        <v>37</v>
      </c>
      <c r="T1070" t="s">
        <v>132</v>
      </c>
      <c r="U1070" t="s">
        <v>133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134</v>
      </c>
      <c r="AE1070" t="s">
        <v>134</v>
      </c>
      <c r="AF1070" s="2">
        <v>45688</v>
      </c>
      <c r="AG1070" s="2">
        <v>46015</v>
      </c>
      <c r="AH1070">
        <v>558.77</v>
      </c>
      <c r="AI1070" s="1">
        <v>1443</v>
      </c>
      <c r="AJ1070" s="1">
        <v>3911.45</v>
      </c>
      <c r="AK1070">
        <v>0</v>
      </c>
      <c r="AL1070">
        <v>401.1</v>
      </c>
      <c r="AM1070">
        <v>0</v>
      </c>
      <c r="AN1070" t="s">
        <v>135</v>
      </c>
      <c r="AO1070" t="s">
        <v>135</v>
      </c>
      <c r="AP1070" t="s">
        <v>136</v>
      </c>
      <c r="AQ1070" t="s">
        <v>137</v>
      </c>
      <c r="AR1070" t="s">
        <v>138</v>
      </c>
      <c r="AS1070" t="s">
        <v>139</v>
      </c>
      <c r="AT1070" t="s">
        <v>140</v>
      </c>
      <c r="AU1070">
        <v>100</v>
      </c>
      <c r="AV1070">
        <v>10</v>
      </c>
      <c r="AW1070">
        <v>1</v>
      </c>
      <c r="AX1070" s="2">
        <v>45859</v>
      </c>
      <c r="AY1070" t="s">
        <v>141</v>
      </c>
      <c r="AZ1070" s="2">
        <v>46027</v>
      </c>
      <c r="BA1070">
        <v>0</v>
      </c>
      <c r="BB1070">
        <v>0</v>
      </c>
      <c r="BC1070">
        <v>0</v>
      </c>
      <c r="BD1070">
        <v>700</v>
      </c>
      <c r="BE1070">
        <v>70</v>
      </c>
      <c r="BF1070">
        <v>9</v>
      </c>
      <c r="BG1070" s="2">
        <v>45809</v>
      </c>
      <c r="BH1070" t="s">
        <v>142</v>
      </c>
      <c r="BI1070" s="2">
        <v>46026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844.1</v>
      </c>
      <c r="BQ1070">
        <v>844.1</v>
      </c>
      <c r="BR1070">
        <v>0</v>
      </c>
      <c r="BS1070">
        <v>0</v>
      </c>
      <c r="BT1070">
        <v>0</v>
      </c>
      <c r="BU1070">
        <v>0</v>
      </c>
      <c r="BV1070" s="1">
        <v>2447.17</v>
      </c>
      <c r="BW1070" s="1">
        <v>2447.17</v>
      </c>
      <c r="BX1070">
        <v>0</v>
      </c>
      <c r="BY1070">
        <v>0</v>
      </c>
      <c r="BZ1070">
        <v>0</v>
      </c>
      <c r="CA1070">
        <v>0</v>
      </c>
      <c r="CB1070" s="1">
        <v>1622.22</v>
      </c>
      <c r="CC1070" t="s">
        <v>143</v>
      </c>
    </row>
    <row r="1071" spans="1:81" x14ac:dyDescent="0.25">
      <c r="A1071">
        <v>345</v>
      </c>
      <c r="B1071">
        <v>2</v>
      </c>
      <c r="C1071">
        <v>3082</v>
      </c>
      <c r="D1071" t="s">
        <v>6090</v>
      </c>
      <c r="E1071" t="s">
        <v>121</v>
      </c>
      <c r="F1071" t="s">
        <v>6091</v>
      </c>
      <c r="G1071" t="s">
        <v>6092</v>
      </c>
      <c r="H1071" t="s">
        <v>6093</v>
      </c>
      <c r="I1071" t="s">
        <v>6094</v>
      </c>
      <c r="J1071" t="s">
        <v>3311</v>
      </c>
      <c r="K1071" t="s">
        <v>466</v>
      </c>
      <c r="L1071" t="s">
        <v>128</v>
      </c>
      <c r="M1071" t="s">
        <v>467</v>
      </c>
      <c r="N1071" t="s">
        <v>6095</v>
      </c>
      <c r="O1071" t="s">
        <v>167</v>
      </c>
      <c r="P1071">
        <v>0</v>
      </c>
      <c r="Q1071" t="s">
        <v>125</v>
      </c>
      <c r="R1071">
        <v>6</v>
      </c>
      <c r="S1071">
        <v>34</v>
      </c>
      <c r="T1071" t="s">
        <v>132</v>
      </c>
      <c r="U1071" t="s">
        <v>133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134</v>
      </c>
      <c r="AE1071" t="s">
        <v>134</v>
      </c>
      <c r="AF1071" s="2">
        <v>45688</v>
      </c>
      <c r="AG1071" s="2">
        <v>46017</v>
      </c>
      <c r="AH1071">
        <v>158.12</v>
      </c>
      <c r="AI1071">
        <v>286.5</v>
      </c>
      <c r="AJ1071" s="1">
        <v>1264.96</v>
      </c>
      <c r="AK1071">
        <v>0</v>
      </c>
      <c r="AL1071">
        <v>0</v>
      </c>
      <c r="AM1071">
        <v>0</v>
      </c>
      <c r="AN1071" t="s">
        <v>135</v>
      </c>
      <c r="AO1071" t="s">
        <v>135</v>
      </c>
      <c r="AP1071" t="s">
        <v>136</v>
      </c>
      <c r="AQ1071" t="s">
        <v>137</v>
      </c>
      <c r="AR1071" t="s">
        <v>138</v>
      </c>
      <c r="AS1071" t="s">
        <v>139</v>
      </c>
      <c r="AT1071" t="s">
        <v>140</v>
      </c>
      <c r="AU1071">
        <v>100</v>
      </c>
      <c r="AV1071">
        <v>10</v>
      </c>
      <c r="AW1071">
        <v>1</v>
      </c>
      <c r="AX1071" s="2">
        <v>45812</v>
      </c>
      <c r="AY1071" t="s">
        <v>168</v>
      </c>
      <c r="AZ1071" s="2">
        <v>46022</v>
      </c>
      <c r="BA1071">
        <v>0</v>
      </c>
      <c r="BB1071">
        <v>0</v>
      </c>
      <c r="BC1071">
        <v>0</v>
      </c>
      <c r="BD1071">
        <v>700</v>
      </c>
      <c r="BE1071">
        <v>70</v>
      </c>
      <c r="BF1071">
        <v>9</v>
      </c>
      <c r="BG1071" s="2">
        <v>45809</v>
      </c>
      <c r="BH1071" t="s">
        <v>142</v>
      </c>
      <c r="BI1071" s="2">
        <v>46026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660.9</v>
      </c>
      <c r="BQ1071">
        <v>660.9</v>
      </c>
      <c r="BR1071">
        <v>0</v>
      </c>
      <c r="BS1071">
        <v>0</v>
      </c>
      <c r="BT1071">
        <v>0</v>
      </c>
      <c r="BU1071">
        <v>0</v>
      </c>
      <c r="BV1071">
        <v>225.26</v>
      </c>
      <c r="BW1071">
        <v>225.26</v>
      </c>
      <c r="BX1071">
        <v>0</v>
      </c>
      <c r="BY1071">
        <v>0</v>
      </c>
      <c r="BZ1071">
        <v>0</v>
      </c>
      <c r="CA1071">
        <v>0</v>
      </c>
      <c r="CB1071">
        <v>434.15</v>
      </c>
      <c r="CC1071" t="s">
        <v>161</v>
      </c>
    </row>
    <row r="1072" spans="1:81" x14ac:dyDescent="0.25">
      <c r="A1072">
        <v>345</v>
      </c>
      <c r="B1072">
        <v>2</v>
      </c>
      <c r="C1072">
        <v>3083</v>
      </c>
      <c r="D1072" t="s">
        <v>6096</v>
      </c>
      <c r="E1072" t="s">
        <v>121</v>
      </c>
      <c r="F1072" t="s">
        <v>6097</v>
      </c>
      <c r="G1072" t="s">
        <v>6098</v>
      </c>
      <c r="H1072" t="s">
        <v>3235</v>
      </c>
      <c r="I1072" t="s">
        <v>6099</v>
      </c>
      <c r="J1072" t="s">
        <v>1263</v>
      </c>
      <c r="K1072" t="s">
        <v>466</v>
      </c>
      <c r="L1072" t="s">
        <v>128</v>
      </c>
      <c r="M1072" t="s">
        <v>467</v>
      </c>
      <c r="N1072" t="s">
        <v>6100</v>
      </c>
      <c r="O1072" t="s">
        <v>159</v>
      </c>
      <c r="P1072">
        <v>0</v>
      </c>
      <c r="Q1072" t="s">
        <v>125</v>
      </c>
      <c r="R1072">
        <v>4</v>
      </c>
      <c r="S1072">
        <v>79</v>
      </c>
      <c r="T1072" t="s">
        <v>132</v>
      </c>
      <c r="U1072" t="s">
        <v>133</v>
      </c>
      <c r="V1072" s="1">
        <v>1100</v>
      </c>
      <c r="W1072" s="1">
        <v>1065.24</v>
      </c>
      <c r="X1072">
        <v>34.76</v>
      </c>
      <c r="Y1072">
        <v>7</v>
      </c>
      <c r="Z1072">
        <v>0</v>
      </c>
      <c r="AA1072">
        <v>7</v>
      </c>
      <c r="AB1072">
        <v>0</v>
      </c>
      <c r="AC1072">
        <v>0</v>
      </c>
      <c r="AD1072" t="s">
        <v>134</v>
      </c>
      <c r="AE1072" t="s">
        <v>134</v>
      </c>
      <c r="AF1072" s="2">
        <v>45688</v>
      </c>
      <c r="AG1072" s="2">
        <v>46017</v>
      </c>
      <c r="AH1072">
        <v>615.55999999999995</v>
      </c>
      <c r="AI1072" s="1">
        <v>1065.24</v>
      </c>
      <c r="AJ1072" s="1">
        <v>1231.1300000000001</v>
      </c>
      <c r="AK1072">
        <v>0</v>
      </c>
      <c r="AL1072" s="1">
        <v>1065.24</v>
      </c>
      <c r="AM1072">
        <v>0</v>
      </c>
      <c r="AN1072" t="s">
        <v>135</v>
      </c>
      <c r="AO1072" t="s">
        <v>135</v>
      </c>
      <c r="AP1072" t="s">
        <v>136</v>
      </c>
      <c r="AQ1072" t="s">
        <v>137</v>
      </c>
      <c r="AR1072" t="s">
        <v>138</v>
      </c>
      <c r="AS1072" t="s">
        <v>150</v>
      </c>
      <c r="AT1072" t="s">
        <v>140</v>
      </c>
      <c r="AU1072">
        <v>106</v>
      </c>
      <c r="AV1072">
        <v>10</v>
      </c>
      <c r="AW1072">
        <v>1</v>
      </c>
      <c r="AX1072" s="2">
        <v>45841</v>
      </c>
      <c r="AY1072" t="s">
        <v>308</v>
      </c>
      <c r="AZ1072" s="2">
        <v>46023</v>
      </c>
      <c r="BA1072">
        <v>0</v>
      </c>
      <c r="BB1072">
        <v>0</v>
      </c>
      <c r="BC1072">
        <v>0</v>
      </c>
      <c r="BD1072">
        <v>700</v>
      </c>
      <c r="BE1072">
        <v>70</v>
      </c>
      <c r="BF1072">
        <v>9</v>
      </c>
      <c r="BG1072" s="2">
        <v>45809</v>
      </c>
      <c r="BH1072" t="s">
        <v>142</v>
      </c>
      <c r="BI1072" s="2">
        <v>46026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165.89</v>
      </c>
      <c r="BQ1072">
        <v>165.89</v>
      </c>
      <c r="BR1072">
        <v>0</v>
      </c>
      <c r="BS1072">
        <v>7</v>
      </c>
      <c r="BT1072">
        <v>7</v>
      </c>
      <c r="BU1072" s="1">
        <v>1065.24</v>
      </c>
      <c r="BV1072">
        <v>0</v>
      </c>
      <c r="BW1072" s="1">
        <v>1065.24</v>
      </c>
      <c r="BX1072" s="1">
        <v>1065.24</v>
      </c>
      <c r="BY1072">
        <v>100</v>
      </c>
      <c r="BZ1072">
        <v>0</v>
      </c>
      <c r="CA1072">
        <v>0</v>
      </c>
      <c r="CB1072">
        <v>151.13999999999999</v>
      </c>
      <c r="CC1072" t="s">
        <v>161</v>
      </c>
    </row>
    <row r="1073" spans="1:81" x14ac:dyDescent="0.25">
      <c r="A1073">
        <v>345</v>
      </c>
      <c r="B1073">
        <v>2</v>
      </c>
      <c r="C1073">
        <v>3086</v>
      </c>
      <c r="D1073" t="s">
        <v>6101</v>
      </c>
      <c r="E1073" t="s">
        <v>5780</v>
      </c>
      <c r="F1073" t="s">
        <v>6102</v>
      </c>
      <c r="G1073" t="s">
        <v>6103</v>
      </c>
      <c r="H1073" t="s">
        <v>6104</v>
      </c>
      <c r="I1073" t="s">
        <v>125</v>
      </c>
      <c r="J1073" t="s">
        <v>126</v>
      </c>
      <c r="K1073" t="s">
        <v>336</v>
      </c>
      <c r="L1073" t="s">
        <v>128</v>
      </c>
      <c r="M1073" t="s">
        <v>337</v>
      </c>
      <c r="N1073" t="s">
        <v>6105</v>
      </c>
      <c r="O1073" t="s">
        <v>2996</v>
      </c>
      <c r="P1073">
        <v>0</v>
      </c>
      <c r="Q1073" t="s">
        <v>125</v>
      </c>
      <c r="R1073">
        <v>6</v>
      </c>
      <c r="S1073">
        <v>40</v>
      </c>
      <c r="T1073" t="s">
        <v>132</v>
      </c>
      <c r="U1073" t="s">
        <v>133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134</v>
      </c>
      <c r="AE1073" t="s">
        <v>234</v>
      </c>
      <c r="AF1073" s="2">
        <v>45693</v>
      </c>
      <c r="AG1073" s="2">
        <v>46001</v>
      </c>
      <c r="AH1073">
        <v>275.29000000000002</v>
      </c>
      <c r="AI1073">
        <v>411.3</v>
      </c>
      <c r="AJ1073">
        <v>825.87</v>
      </c>
      <c r="AK1073">
        <v>0</v>
      </c>
      <c r="AL1073">
        <v>0</v>
      </c>
      <c r="AM1073">
        <v>0</v>
      </c>
      <c r="AN1073" t="s">
        <v>135</v>
      </c>
      <c r="AO1073" t="s">
        <v>135</v>
      </c>
      <c r="AP1073" t="s">
        <v>136</v>
      </c>
      <c r="AQ1073" t="s">
        <v>137</v>
      </c>
      <c r="AR1073" t="s">
        <v>138</v>
      </c>
      <c r="AS1073" t="s">
        <v>150</v>
      </c>
      <c r="AT1073" t="s">
        <v>140</v>
      </c>
      <c r="AU1073">
        <v>101</v>
      </c>
      <c r="AV1073">
        <v>10</v>
      </c>
      <c r="AW1073">
        <v>1</v>
      </c>
      <c r="AX1073" s="2">
        <v>45811</v>
      </c>
      <c r="AY1073" t="s">
        <v>377</v>
      </c>
      <c r="AZ1073" s="2">
        <v>46028</v>
      </c>
      <c r="BA1073">
        <v>0</v>
      </c>
      <c r="BB1073">
        <v>0</v>
      </c>
      <c r="BC1073">
        <v>0</v>
      </c>
      <c r="BD1073">
        <v>700</v>
      </c>
      <c r="BE1073">
        <v>70</v>
      </c>
      <c r="BF1073">
        <v>9</v>
      </c>
      <c r="BG1073" s="2">
        <v>45809</v>
      </c>
      <c r="BH1073" t="s">
        <v>142</v>
      </c>
      <c r="BI1073" s="2">
        <v>46026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411.3</v>
      </c>
      <c r="BQ1073">
        <v>411.3</v>
      </c>
      <c r="BR1073">
        <v>0</v>
      </c>
      <c r="BS1073">
        <v>0</v>
      </c>
      <c r="BT1073">
        <v>0</v>
      </c>
      <c r="BU1073">
        <v>0</v>
      </c>
      <c r="BV1073">
        <v>99.12</v>
      </c>
      <c r="BW1073">
        <v>99.12</v>
      </c>
      <c r="BX1073">
        <v>0</v>
      </c>
      <c r="BY1073">
        <v>0</v>
      </c>
      <c r="BZ1073">
        <v>0</v>
      </c>
      <c r="CA1073">
        <v>0</v>
      </c>
      <c r="CB1073">
        <v>366.81</v>
      </c>
      <c r="CC1073" t="s">
        <v>161</v>
      </c>
    </row>
    <row r="1074" spans="1:81" x14ac:dyDescent="0.25">
      <c r="A1074">
        <v>345</v>
      </c>
      <c r="B1074">
        <v>2</v>
      </c>
      <c r="C1074">
        <v>3089</v>
      </c>
      <c r="D1074" t="s">
        <v>6106</v>
      </c>
      <c r="E1074" t="s">
        <v>5427</v>
      </c>
      <c r="F1074" t="s">
        <v>6107</v>
      </c>
      <c r="G1074" t="s">
        <v>6108</v>
      </c>
      <c r="H1074" t="s">
        <v>6109</v>
      </c>
      <c r="I1074" t="s">
        <v>6110</v>
      </c>
      <c r="J1074" t="s">
        <v>126</v>
      </c>
      <c r="K1074" t="s">
        <v>127</v>
      </c>
      <c r="L1074" t="s">
        <v>128</v>
      </c>
      <c r="M1074" t="s">
        <v>129</v>
      </c>
      <c r="N1074" t="s">
        <v>6111</v>
      </c>
      <c r="O1074" t="s">
        <v>149</v>
      </c>
      <c r="P1074">
        <v>0</v>
      </c>
      <c r="Q1074" t="s">
        <v>125</v>
      </c>
      <c r="R1074">
        <v>6</v>
      </c>
      <c r="S1074">
        <v>39</v>
      </c>
      <c r="T1074" t="s">
        <v>132</v>
      </c>
      <c r="U1074" t="s">
        <v>133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134</v>
      </c>
      <c r="AE1074" t="s">
        <v>134</v>
      </c>
      <c r="AF1074" s="2">
        <v>45696</v>
      </c>
      <c r="AG1074" s="2">
        <v>46017</v>
      </c>
      <c r="AH1074" s="1">
        <v>9825.93</v>
      </c>
      <c r="AI1074" s="1">
        <v>49356</v>
      </c>
      <c r="AJ1074" s="1">
        <v>117911.24</v>
      </c>
      <c r="AK1074">
        <v>0</v>
      </c>
      <c r="AL1074">
        <v>0</v>
      </c>
      <c r="AM1074">
        <v>0</v>
      </c>
      <c r="AN1074" t="s">
        <v>135</v>
      </c>
      <c r="AO1074" t="s">
        <v>135</v>
      </c>
      <c r="AP1074" t="s">
        <v>136</v>
      </c>
      <c r="AQ1074" t="s">
        <v>137</v>
      </c>
      <c r="AR1074" t="s">
        <v>138</v>
      </c>
      <c r="AS1074" t="s">
        <v>139</v>
      </c>
      <c r="AT1074" t="s">
        <v>140</v>
      </c>
      <c r="AU1074">
        <v>501</v>
      </c>
      <c r="AV1074">
        <v>10</v>
      </c>
      <c r="AW1074">
        <v>1</v>
      </c>
      <c r="AX1074" s="2">
        <v>45996</v>
      </c>
      <c r="AY1074" t="s">
        <v>151</v>
      </c>
      <c r="AZ1074" s="2">
        <v>46024</v>
      </c>
      <c r="BA1074">
        <v>0</v>
      </c>
      <c r="BB1074">
        <v>0</v>
      </c>
      <c r="BC1074">
        <v>0</v>
      </c>
      <c r="BD1074">
        <v>700</v>
      </c>
      <c r="BE1074">
        <v>70</v>
      </c>
      <c r="BF1074">
        <v>9</v>
      </c>
      <c r="BG1074" s="2">
        <v>45809</v>
      </c>
      <c r="BH1074" t="s">
        <v>142</v>
      </c>
      <c r="BI1074" s="2">
        <v>46026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 s="1">
        <v>35398.980000000003</v>
      </c>
      <c r="BQ1074" s="1">
        <v>35398.980000000003</v>
      </c>
      <c r="BR1074">
        <v>0</v>
      </c>
      <c r="BS1074">
        <v>0</v>
      </c>
      <c r="BT1074">
        <v>0</v>
      </c>
      <c r="BU1074">
        <v>0</v>
      </c>
      <c r="BV1074" s="1">
        <v>75638.100000000006</v>
      </c>
      <c r="BW1074" s="1">
        <v>75638.100000000006</v>
      </c>
      <c r="BX1074">
        <v>0</v>
      </c>
      <c r="BY1074">
        <v>0</v>
      </c>
      <c r="BZ1074">
        <v>0</v>
      </c>
      <c r="CA1074">
        <v>0</v>
      </c>
      <c r="CB1074" s="1">
        <v>59254.46</v>
      </c>
      <c r="CC1074" t="s">
        <v>152</v>
      </c>
    </row>
    <row r="1075" spans="1:81" x14ac:dyDescent="0.25">
      <c r="A1075">
        <v>345</v>
      </c>
      <c r="B1075">
        <v>2</v>
      </c>
      <c r="C1075">
        <v>3090</v>
      </c>
      <c r="D1075" t="s">
        <v>6112</v>
      </c>
      <c r="E1075" t="s">
        <v>5780</v>
      </c>
      <c r="F1075" t="s">
        <v>6113</v>
      </c>
      <c r="G1075" t="s">
        <v>6114</v>
      </c>
      <c r="H1075" t="s">
        <v>6115</v>
      </c>
      <c r="I1075" t="s">
        <v>6116</v>
      </c>
      <c r="J1075" t="s">
        <v>3122</v>
      </c>
      <c r="K1075" t="s">
        <v>336</v>
      </c>
      <c r="L1075" t="s">
        <v>128</v>
      </c>
      <c r="M1075" t="s">
        <v>337</v>
      </c>
      <c r="N1075" t="s">
        <v>6117</v>
      </c>
      <c r="O1075" t="s">
        <v>159</v>
      </c>
      <c r="P1075">
        <v>0</v>
      </c>
      <c r="Q1075" t="s">
        <v>125</v>
      </c>
      <c r="R1075">
        <v>4</v>
      </c>
      <c r="S1075">
        <v>76</v>
      </c>
      <c r="T1075" t="s">
        <v>132</v>
      </c>
      <c r="U1075" t="s">
        <v>133</v>
      </c>
      <c r="V1075" s="1">
        <v>1922</v>
      </c>
      <c r="W1075" s="1">
        <v>1775.12</v>
      </c>
      <c r="X1075">
        <v>146.88</v>
      </c>
      <c r="Y1075">
        <v>7</v>
      </c>
      <c r="Z1075">
        <v>0</v>
      </c>
      <c r="AA1075">
        <v>9</v>
      </c>
      <c r="AB1075">
        <v>0</v>
      </c>
      <c r="AC1075">
        <v>7</v>
      </c>
      <c r="AD1075" t="s">
        <v>134</v>
      </c>
      <c r="AE1075" t="s">
        <v>234</v>
      </c>
      <c r="AF1075" s="2">
        <v>45696</v>
      </c>
      <c r="AG1075" s="2">
        <v>46018</v>
      </c>
      <c r="AH1075" s="1">
        <v>1291.99</v>
      </c>
      <c r="AI1075" s="1">
        <v>2436.6799999999998</v>
      </c>
      <c r="AJ1075" s="1">
        <v>9043.9699999999993</v>
      </c>
      <c r="AK1075">
        <v>0</v>
      </c>
      <c r="AL1075" s="1">
        <v>1775.12</v>
      </c>
      <c r="AM1075">
        <v>0</v>
      </c>
      <c r="AN1075" t="s">
        <v>135</v>
      </c>
      <c r="AO1075" t="s">
        <v>135</v>
      </c>
      <c r="AP1075" t="s">
        <v>136</v>
      </c>
      <c r="AQ1075" t="s">
        <v>137</v>
      </c>
      <c r="AR1075" t="s">
        <v>138</v>
      </c>
      <c r="AS1075" t="s">
        <v>150</v>
      </c>
      <c r="AT1075" t="s">
        <v>140</v>
      </c>
      <c r="AU1075">
        <v>500</v>
      </c>
      <c r="AV1075">
        <v>10</v>
      </c>
      <c r="AW1075">
        <v>1</v>
      </c>
      <c r="AX1075" s="2">
        <v>45840</v>
      </c>
      <c r="AY1075" t="s">
        <v>168</v>
      </c>
      <c r="AZ1075" s="2">
        <v>46022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 t="s">
        <v>135</v>
      </c>
      <c r="BH1075" t="s">
        <v>250</v>
      </c>
      <c r="BI1075" t="s">
        <v>135</v>
      </c>
      <c r="BJ1075">
        <v>0</v>
      </c>
      <c r="BK1075">
        <v>0</v>
      </c>
      <c r="BL1075">
        <v>0</v>
      </c>
      <c r="BM1075">
        <v>7</v>
      </c>
      <c r="BN1075">
        <v>1.59</v>
      </c>
      <c r="BO1075" s="1">
        <v>1022.05</v>
      </c>
      <c r="BP1075" s="1">
        <v>3468.18</v>
      </c>
      <c r="BQ1075" s="1">
        <v>4490.2299999999996</v>
      </c>
      <c r="BR1075">
        <v>0</v>
      </c>
      <c r="BS1075">
        <v>8.32</v>
      </c>
      <c r="BT1075">
        <v>8.32</v>
      </c>
      <c r="BU1075" s="1">
        <v>2698.72</v>
      </c>
      <c r="BV1075">
        <v>0</v>
      </c>
      <c r="BW1075" s="1">
        <v>2698.72</v>
      </c>
      <c r="BX1075" s="1">
        <v>1775.12</v>
      </c>
      <c r="BY1075">
        <v>65.78</v>
      </c>
      <c r="BZ1075">
        <v>0</v>
      </c>
      <c r="CA1075">
        <v>0</v>
      </c>
      <c r="CB1075" s="1">
        <v>2563.67</v>
      </c>
      <c r="CC1075" t="s">
        <v>161</v>
      </c>
    </row>
    <row r="1076" spans="1:81" x14ac:dyDescent="0.25">
      <c r="A1076">
        <v>345</v>
      </c>
      <c r="B1076">
        <v>2</v>
      </c>
      <c r="C1076">
        <v>3091</v>
      </c>
      <c r="D1076" t="s">
        <v>6118</v>
      </c>
      <c r="E1076" t="s">
        <v>121</v>
      </c>
      <c r="F1076" t="s">
        <v>6119</v>
      </c>
      <c r="G1076" t="s">
        <v>6119</v>
      </c>
      <c r="H1076" t="s">
        <v>6120</v>
      </c>
      <c r="I1076" t="s">
        <v>6121</v>
      </c>
      <c r="J1076" t="s">
        <v>126</v>
      </c>
      <c r="K1076" t="s">
        <v>1853</v>
      </c>
      <c r="L1076" t="s">
        <v>128</v>
      </c>
      <c r="M1076" t="s">
        <v>1854</v>
      </c>
      <c r="N1076" t="s">
        <v>6122</v>
      </c>
      <c r="O1076" t="s">
        <v>149</v>
      </c>
      <c r="P1076">
        <v>0</v>
      </c>
      <c r="Q1076" t="s">
        <v>125</v>
      </c>
      <c r="R1076">
        <v>6</v>
      </c>
      <c r="S1076">
        <v>39</v>
      </c>
      <c r="T1076" t="s">
        <v>132</v>
      </c>
      <c r="U1076" t="s">
        <v>133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134</v>
      </c>
      <c r="AE1076" t="s">
        <v>134</v>
      </c>
      <c r="AF1076" s="2">
        <v>45698</v>
      </c>
      <c r="AG1076" s="2">
        <v>46020</v>
      </c>
      <c r="AH1076" s="1">
        <v>1119.1500000000001</v>
      </c>
      <c r="AI1076" s="1">
        <v>2537.33</v>
      </c>
      <c r="AJ1076" s="1">
        <v>13429.88</v>
      </c>
      <c r="AK1076">
        <v>0</v>
      </c>
      <c r="AL1076">
        <v>0</v>
      </c>
      <c r="AM1076">
        <v>0</v>
      </c>
      <c r="AN1076" t="s">
        <v>135</v>
      </c>
      <c r="AO1076" t="s">
        <v>135</v>
      </c>
      <c r="AP1076" t="s">
        <v>136</v>
      </c>
      <c r="AQ1076" t="s">
        <v>137</v>
      </c>
      <c r="AR1076" t="s">
        <v>138</v>
      </c>
      <c r="AS1076" t="s">
        <v>139</v>
      </c>
      <c r="AT1076" t="s">
        <v>140</v>
      </c>
      <c r="AU1076">
        <v>103</v>
      </c>
      <c r="AV1076">
        <v>10</v>
      </c>
      <c r="AW1076">
        <v>1</v>
      </c>
      <c r="AX1076" s="2">
        <v>45842</v>
      </c>
      <c r="AY1076" t="s">
        <v>151</v>
      </c>
      <c r="AZ1076" s="2">
        <v>46024</v>
      </c>
      <c r="BA1076">
        <v>0</v>
      </c>
      <c r="BB1076">
        <v>0</v>
      </c>
      <c r="BC1076">
        <v>0</v>
      </c>
      <c r="BD1076">
        <v>700</v>
      </c>
      <c r="BE1076">
        <v>70</v>
      </c>
      <c r="BF1076">
        <v>9</v>
      </c>
      <c r="BG1076" s="2">
        <v>45809</v>
      </c>
      <c r="BH1076" t="s">
        <v>142</v>
      </c>
      <c r="BI1076" s="2">
        <v>46026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 s="1">
        <v>4639.99</v>
      </c>
      <c r="BQ1076" s="1">
        <v>4639.99</v>
      </c>
      <c r="BR1076">
        <v>0</v>
      </c>
      <c r="BS1076">
        <v>0</v>
      </c>
      <c r="BT1076">
        <v>0</v>
      </c>
      <c r="BU1076">
        <v>0</v>
      </c>
      <c r="BV1076" s="1">
        <v>3522.59</v>
      </c>
      <c r="BW1076" s="1">
        <v>3522.59</v>
      </c>
      <c r="BX1076">
        <v>0</v>
      </c>
      <c r="BY1076">
        <v>0</v>
      </c>
      <c r="BZ1076">
        <v>0</v>
      </c>
      <c r="CA1076">
        <v>0</v>
      </c>
      <c r="CB1076" s="1">
        <v>5222.8100000000004</v>
      </c>
      <c r="CC1076" t="s">
        <v>161</v>
      </c>
    </row>
    <row r="1077" spans="1:81" x14ac:dyDescent="0.25">
      <c r="A1077">
        <v>345</v>
      </c>
      <c r="B1077">
        <v>2</v>
      </c>
      <c r="C1077">
        <v>3095</v>
      </c>
      <c r="D1077" t="s">
        <v>6123</v>
      </c>
      <c r="E1077" t="s">
        <v>121</v>
      </c>
      <c r="F1077" t="s">
        <v>6124</v>
      </c>
      <c r="G1077" t="s">
        <v>6125</v>
      </c>
      <c r="H1077" t="s">
        <v>6126</v>
      </c>
      <c r="I1077" t="s">
        <v>6127</v>
      </c>
      <c r="J1077" t="s">
        <v>1852</v>
      </c>
      <c r="K1077" t="s">
        <v>336</v>
      </c>
      <c r="L1077" t="s">
        <v>128</v>
      </c>
      <c r="M1077" t="s">
        <v>337</v>
      </c>
      <c r="N1077" t="s">
        <v>6128</v>
      </c>
      <c r="O1077" t="s">
        <v>201</v>
      </c>
      <c r="P1077">
        <v>0</v>
      </c>
      <c r="Q1077" t="s">
        <v>125</v>
      </c>
      <c r="R1077">
        <v>6</v>
      </c>
      <c r="S1077">
        <v>37</v>
      </c>
      <c r="T1077" t="s">
        <v>132</v>
      </c>
      <c r="U1077" t="s">
        <v>133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134</v>
      </c>
      <c r="AE1077" t="s">
        <v>134</v>
      </c>
      <c r="AF1077" s="2">
        <v>45698</v>
      </c>
      <c r="AG1077" s="2">
        <v>46017</v>
      </c>
      <c r="AH1077">
        <v>286.44</v>
      </c>
      <c r="AI1077">
        <v>542.75</v>
      </c>
      <c r="AJ1077" s="1">
        <v>3150.88</v>
      </c>
      <c r="AK1077">
        <v>0</v>
      </c>
      <c r="AL1077">
        <v>0</v>
      </c>
      <c r="AM1077">
        <v>0</v>
      </c>
      <c r="AN1077" t="s">
        <v>135</v>
      </c>
      <c r="AO1077" t="s">
        <v>135</v>
      </c>
      <c r="AP1077" t="s">
        <v>136</v>
      </c>
      <c r="AQ1077" t="s">
        <v>137</v>
      </c>
      <c r="AR1077" t="s">
        <v>138</v>
      </c>
      <c r="AS1077" t="s">
        <v>139</v>
      </c>
      <c r="AT1077" t="s">
        <v>140</v>
      </c>
      <c r="AU1077">
        <v>100</v>
      </c>
      <c r="AV1077">
        <v>10</v>
      </c>
      <c r="AW1077">
        <v>1</v>
      </c>
      <c r="AX1077" s="2">
        <v>45699</v>
      </c>
      <c r="AY1077" t="s">
        <v>377</v>
      </c>
      <c r="AZ1077" s="2">
        <v>46028</v>
      </c>
      <c r="BA1077">
        <v>0</v>
      </c>
      <c r="BB1077">
        <v>0</v>
      </c>
      <c r="BC1077">
        <v>0</v>
      </c>
      <c r="BD1077">
        <v>700</v>
      </c>
      <c r="BE1077">
        <v>70</v>
      </c>
      <c r="BF1077">
        <v>9</v>
      </c>
      <c r="BG1077" s="2">
        <v>45809</v>
      </c>
      <c r="BH1077" t="s">
        <v>142</v>
      </c>
      <c r="BI1077" s="2">
        <v>46026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888.47</v>
      </c>
      <c r="BQ1077">
        <v>888.47</v>
      </c>
      <c r="BR1077">
        <v>0</v>
      </c>
      <c r="BS1077">
        <v>0</v>
      </c>
      <c r="BT1077">
        <v>0</v>
      </c>
      <c r="BU1077">
        <v>0</v>
      </c>
      <c r="BV1077" s="1">
        <v>1143.23</v>
      </c>
      <c r="BW1077" s="1">
        <v>1143.23</v>
      </c>
      <c r="BX1077">
        <v>0</v>
      </c>
      <c r="BY1077">
        <v>0</v>
      </c>
      <c r="BZ1077">
        <v>0</v>
      </c>
      <c r="CA1077">
        <v>0</v>
      </c>
      <c r="CB1077">
        <v>956.47</v>
      </c>
      <c r="CC1077" t="s">
        <v>161</v>
      </c>
    </row>
    <row r="1078" spans="1:81" x14ac:dyDescent="0.25">
      <c r="A1078">
        <v>345</v>
      </c>
      <c r="B1078">
        <v>2</v>
      </c>
      <c r="C1078">
        <v>3096</v>
      </c>
      <c r="D1078" t="s">
        <v>6129</v>
      </c>
      <c r="E1078" t="s">
        <v>121</v>
      </c>
      <c r="F1078" t="s">
        <v>6130</v>
      </c>
      <c r="G1078" t="s">
        <v>6131</v>
      </c>
      <c r="H1078" t="s">
        <v>6132</v>
      </c>
      <c r="I1078" t="s">
        <v>2345</v>
      </c>
      <c r="J1078" t="s">
        <v>459</v>
      </c>
      <c r="K1078" t="s">
        <v>336</v>
      </c>
      <c r="L1078" t="s">
        <v>128</v>
      </c>
      <c r="M1078" t="s">
        <v>6133</v>
      </c>
      <c r="N1078" t="s">
        <v>6134</v>
      </c>
      <c r="O1078" t="s">
        <v>195</v>
      </c>
      <c r="P1078">
        <v>0</v>
      </c>
      <c r="Q1078" t="s">
        <v>125</v>
      </c>
      <c r="R1078">
        <v>6</v>
      </c>
      <c r="S1078">
        <v>35</v>
      </c>
      <c r="T1078" t="s">
        <v>132</v>
      </c>
      <c r="U1078" t="s">
        <v>133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134</v>
      </c>
      <c r="AE1078" t="s">
        <v>134</v>
      </c>
      <c r="AF1078" s="2">
        <v>45698</v>
      </c>
      <c r="AG1078" s="2">
        <v>46014</v>
      </c>
      <c r="AH1078">
        <v>352.16</v>
      </c>
      <c r="AI1078">
        <v>607.94000000000005</v>
      </c>
      <c r="AJ1078" s="1">
        <v>3873.79</v>
      </c>
      <c r="AK1078">
        <v>0</v>
      </c>
      <c r="AL1078">
        <v>607.94000000000005</v>
      </c>
      <c r="AM1078">
        <v>0</v>
      </c>
      <c r="AN1078" t="s">
        <v>135</v>
      </c>
      <c r="AO1078" t="s">
        <v>135</v>
      </c>
      <c r="AP1078" t="s">
        <v>136</v>
      </c>
      <c r="AQ1078" t="s">
        <v>137</v>
      </c>
      <c r="AR1078" t="s">
        <v>138</v>
      </c>
      <c r="AS1078" t="s">
        <v>139</v>
      </c>
      <c r="AT1078" t="s">
        <v>140</v>
      </c>
      <c r="AU1078">
        <v>100</v>
      </c>
      <c r="AV1078">
        <v>10</v>
      </c>
      <c r="AW1078">
        <v>1</v>
      </c>
      <c r="AX1078" s="2">
        <v>45817</v>
      </c>
      <c r="AY1078" t="s">
        <v>141</v>
      </c>
      <c r="AZ1078" s="2">
        <v>46027</v>
      </c>
      <c r="BA1078">
        <v>0</v>
      </c>
      <c r="BB1078">
        <v>0</v>
      </c>
      <c r="BC1078">
        <v>0</v>
      </c>
      <c r="BD1078">
        <v>700</v>
      </c>
      <c r="BE1078">
        <v>70</v>
      </c>
      <c r="BF1078">
        <v>9</v>
      </c>
      <c r="BG1078" s="2">
        <v>45809</v>
      </c>
      <c r="BH1078" t="s">
        <v>142</v>
      </c>
      <c r="BI1078" s="2">
        <v>46026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623.20000000000005</v>
      </c>
      <c r="BQ1078">
        <v>623.20000000000005</v>
      </c>
      <c r="BR1078">
        <v>0</v>
      </c>
      <c r="BS1078">
        <v>0</v>
      </c>
      <c r="BT1078">
        <v>0</v>
      </c>
      <c r="BU1078">
        <v>0</v>
      </c>
      <c r="BV1078" s="1">
        <v>1817.85</v>
      </c>
      <c r="BW1078" s="1">
        <v>1817.85</v>
      </c>
      <c r="BX1078">
        <v>0</v>
      </c>
      <c r="BY1078">
        <v>0</v>
      </c>
      <c r="BZ1078">
        <v>0</v>
      </c>
      <c r="CA1078">
        <v>0</v>
      </c>
      <c r="CB1078" s="1">
        <v>1274.03</v>
      </c>
      <c r="CC1078" t="s">
        <v>161</v>
      </c>
    </row>
    <row r="1079" spans="1:81" x14ac:dyDescent="0.25">
      <c r="A1079">
        <v>345</v>
      </c>
      <c r="B1079">
        <v>2</v>
      </c>
      <c r="C1079">
        <v>3097</v>
      </c>
      <c r="D1079" t="s">
        <v>6135</v>
      </c>
      <c r="E1079" t="s">
        <v>121</v>
      </c>
      <c r="F1079" t="s">
        <v>6136</v>
      </c>
      <c r="G1079" t="s">
        <v>6137</v>
      </c>
      <c r="H1079" t="s">
        <v>6138</v>
      </c>
      <c r="I1079" t="s">
        <v>6139</v>
      </c>
      <c r="J1079" t="s">
        <v>3295</v>
      </c>
      <c r="K1079" t="s">
        <v>336</v>
      </c>
      <c r="L1079" t="s">
        <v>128</v>
      </c>
      <c r="M1079" t="s">
        <v>337</v>
      </c>
      <c r="N1079" t="s">
        <v>6140</v>
      </c>
      <c r="O1079" t="s">
        <v>159</v>
      </c>
      <c r="P1079">
        <v>0</v>
      </c>
      <c r="Q1079" t="s">
        <v>125</v>
      </c>
      <c r="R1079">
        <v>6</v>
      </c>
      <c r="S1079">
        <v>36</v>
      </c>
      <c r="T1079" t="s">
        <v>132</v>
      </c>
      <c r="U1079" t="s">
        <v>133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134</v>
      </c>
      <c r="AE1079" t="s">
        <v>134</v>
      </c>
      <c r="AF1079" s="2">
        <v>45698</v>
      </c>
      <c r="AG1079" s="2">
        <v>46014</v>
      </c>
      <c r="AH1079">
        <v>155.21</v>
      </c>
      <c r="AI1079">
        <v>215.41</v>
      </c>
      <c r="AJ1079" s="1">
        <v>1552.1</v>
      </c>
      <c r="AK1079">
        <v>0</v>
      </c>
      <c r="AL1079">
        <v>0</v>
      </c>
      <c r="AM1079">
        <v>0</v>
      </c>
      <c r="AN1079" t="s">
        <v>135</v>
      </c>
      <c r="AO1079" t="s">
        <v>135</v>
      </c>
      <c r="AP1079" t="s">
        <v>136</v>
      </c>
      <c r="AQ1079" t="s">
        <v>137</v>
      </c>
      <c r="AR1079" t="s">
        <v>138</v>
      </c>
      <c r="AS1079" t="s">
        <v>139</v>
      </c>
      <c r="AT1079" t="s">
        <v>140</v>
      </c>
      <c r="AU1079">
        <v>100</v>
      </c>
      <c r="AV1079">
        <v>10</v>
      </c>
      <c r="AW1079">
        <v>1</v>
      </c>
      <c r="AX1079" s="2">
        <v>45817</v>
      </c>
      <c r="AY1079" t="s">
        <v>141</v>
      </c>
      <c r="AZ1079" s="2">
        <v>46027</v>
      </c>
      <c r="BA1079">
        <v>0</v>
      </c>
      <c r="BB1079">
        <v>0</v>
      </c>
      <c r="BC1079">
        <v>0</v>
      </c>
      <c r="BD1079">
        <v>700</v>
      </c>
      <c r="BE1079">
        <v>70</v>
      </c>
      <c r="BF1079">
        <v>9</v>
      </c>
      <c r="BG1079" s="2">
        <v>45809</v>
      </c>
      <c r="BH1079" t="s">
        <v>142</v>
      </c>
      <c r="BI1079" s="2">
        <v>46026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444.61</v>
      </c>
      <c r="BQ1079">
        <v>444.61</v>
      </c>
      <c r="BR1079">
        <v>0</v>
      </c>
      <c r="BS1079">
        <v>0</v>
      </c>
      <c r="BT1079">
        <v>0</v>
      </c>
      <c r="BU1079">
        <v>0</v>
      </c>
      <c r="BV1079">
        <v>650.49</v>
      </c>
      <c r="BW1079">
        <v>650.49</v>
      </c>
      <c r="BX1079">
        <v>0</v>
      </c>
      <c r="BY1079">
        <v>0</v>
      </c>
      <c r="BZ1079">
        <v>0</v>
      </c>
      <c r="CA1079">
        <v>0</v>
      </c>
      <c r="CB1079">
        <v>465.55</v>
      </c>
      <c r="CC1079" t="s">
        <v>161</v>
      </c>
    </row>
    <row r="1080" spans="1:81" x14ac:dyDescent="0.25">
      <c r="A1080">
        <v>345</v>
      </c>
      <c r="B1080">
        <v>2</v>
      </c>
      <c r="C1080">
        <v>3098</v>
      </c>
      <c r="D1080" t="s">
        <v>6141</v>
      </c>
      <c r="E1080" t="s">
        <v>121</v>
      </c>
      <c r="F1080" t="s">
        <v>6142</v>
      </c>
      <c r="G1080" t="s">
        <v>6143</v>
      </c>
      <c r="H1080" t="s">
        <v>6087</v>
      </c>
      <c r="I1080" t="s">
        <v>6144</v>
      </c>
      <c r="J1080" t="s">
        <v>459</v>
      </c>
      <c r="K1080" t="s">
        <v>336</v>
      </c>
      <c r="L1080" t="s">
        <v>128</v>
      </c>
      <c r="M1080" t="s">
        <v>337</v>
      </c>
      <c r="N1080" t="s">
        <v>2685</v>
      </c>
      <c r="O1080" t="s">
        <v>201</v>
      </c>
      <c r="P1080">
        <v>0</v>
      </c>
      <c r="Q1080" t="s">
        <v>125</v>
      </c>
      <c r="R1080">
        <v>6</v>
      </c>
      <c r="S1080">
        <v>41</v>
      </c>
      <c r="T1080" t="s">
        <v>132</v>
      </c>
      <c r="U1080" t="s">
        <v>133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134</v>
      </c>
      <c r="AE1080" t="s">
        <v>134</v>
      </c>
      <c r="AF1080" s="2">
        <v>45698</v>
      </c>
      <c r="AG1080" s="2">
        <v>46000</v>
      </c>
      <c r="AH1080" s="1">
        <v>1089.27</v>
      </c>
      <c r="AI1080" s="1">
        <v>1243.2</v>
      </c>
      <c r="AJ1080" s="1">
        <v>4357.08</v>
      </c>
      <c r="AK1080">
        <v>0</v>
      </c>
      <c r="AL1080">
        <v>0</v>
      </c>
      <c r="AM1080">
        <v>0</v>
      </c>
      <c r="AN1080" t="s">
        <v>135</v>
      </c>
      <c r="AO1080" t="s">
        <v>135</v>
      </c>
      <c r="AP1080" t="s">
        <v>136</v>
      </c>
      <c r="AQ1080" t="s">
        <v>137</v>
      </c>
      <c r="AR1080" t="s">
        <v>138</v>
      </c>
      <c r="AS1080" t="s">
        <v>150</v>
      </c>
      <c r="AT1080" t="s">
        <v>140</v>
      </c>
      <c r="AU1080">
        <v>100</v>
      </c>
      <c r="AV1080">
        <v>10</v>
      </c>
      <c r="AW1080">
        <v>1</v>
      </c>
      <c r="AX1080" s="2">
        <v>45845</v>
      </c>
      <c r="AY1080" t="s">
        <v>141</v>
      </c>
      <c r="AZ1080" s="2">
        <v>46027</v>
      </c>
      <c r="BA1080">
        <v>0</v>
      </c>
      <c r="BB1080">
        <v>0</v>
      </c>
      <c r="BC1080">
        <v>0</v>
      </c>
      <c r="BD1080">
        <v>700</v>
      </c>
      <c r="BE1080">
        <v>70</v>
      </c>
      <c r="BF1080">
        <v>9</v>
      </c>
      <c r="BG1080" s="2">
        <v>45809</v>
      </c>
      <c r="BH1080" t="s">
        <v>142</v>
      </c>
      <c r="BI1080" s="2">
        <v>46026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 s="1">
        <v>3593.52</v>
      </c>
      <c r="BQ1080" s="1">
        <v>3593.52</v>
      </c>
      <c r="BR1080">
        <v>0</v>
      </c>
      <c r="BS1080">
        <v>0</v>
      </c>
      <c r="BT1080">
        <v>0</v>
      </c>
      <c r="BU1080">
        <v>0</v>
      </c>
      <c r="BV1080">
        <v>763.56</v>
      </c>
      <c r="BW1080">
        <v>763.56</v>
      </c>
      <c r="BX1080">
        <v>0</v>
      </c>
      <c r="BY1080">
        <v>0</v>
      </c>
      <c r="BZ1080">
        <v>0</v>
      </c>
      <c r="CA1080">
        <v>0</v>
      </c>
      <c r="CB1080" s="1">
        <v>2369.7399999999998</v>
      </c>
      <c r="CC1080" t="s">
        <v>161</v>
      </c>
    </row>
    <row r="1081" spans="1:81" x14ac:dyDescent="0.25">
      <c r="A1081">
        <v>345</v>
      </c>
      <c r="B1081">
        <v>2</v>
      </c>
      <c r="C1081">
        <v>3099</v>
      </c>
      <c r="D1081" t="s">
        <v>6145</v>
      </c>
      <c r="E1081" t="s">
        <v>121</v>
      </c>
      <c r="F1081" t="s">
        <v>6146</v>
      </c>
      <c r="G1081" t="s">
        <v>6147</v>
      </c>
      <c r="H1081" t="s">
        <v>1233</v>
      </c>
      <c r="I1081" t="s">
        <v>6148</v>
      </c>
      <c r="J1081" t="s">
        <v>967</v>
      </c>
      <c r="K1081" t="s">
        <v>466</v>
      </c>
      <c r="L1081" t="s">
        <v>128</v>
      </c>
      <c r="M1081" t="s">
        <v>467</v>
      </c>
      <c r="N1081" t="s">
        <v>6149</v>
      </c>
      <c r="O1081" t="s">
        <v>149</v>
      </c>
      <c r="P1081">
        <v>0</v>
      </c>
      <c r="Q1081" t="s">
        <v>125</v>
      </c>
      <c r="R1081">
        <v>6</v>
      </c>
      <c r="S1081">
        <v>39</v>
      </c>
      <c r="T1081" t="s">
        <v>132</v>
      </c>
      <c r="U1081" t="s">
        <v>133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134</v>
      </c>
      <c r="AE1081" t="s">
        <v>134</v>
      </c>
      <c r="AF1081" s="2">
        <v>45698</v>
      </c>
      <c r="AG1081" s="2">
        <v>46020</v>
      </c>
      <c r="AH1081" s="1">
        <v>1117.1500000000001</v>
      </c>
      <c r="AI1081" s="1">
        <v>3437.13</v>
      </c>
      <c r="AJ1081" s="1">
        <v>10054.42</v>
      </c>
      <c r="AK1081">
        <v>0</v>
      </c>
      <c r="AL1081">
        <v>0</v>
      </c>
      <c r="AM1081">
        <v>0</v>
      </c>
      <c r="AN1081" t="s">
        <v>135</v>
      </c>
      <c r="AO1081" t="s">
        <v>135</v>
      </c>
      <c r="AP1081" t="s">
        <v>136</v>
      </c>
      <c r="AQ1081" t="s">
        <v>137</v>
      </c>
      <c r="AR1081" t="s">
        <v>138</v>
      </c>
      <c r="AS1081" t="s">
        <v>139</v>
      </c>
      <c r="AT1081" t="s">
        <v>140</v>
      </c>
      <c r="AU1081">
        <v>100</v>
      </c>
      <c r="AV1081">
        <v>10</v>
      </c>
      <c r="AW1081">
        <v>1</v>
      </c>
      <c r="AX1081" s="2">
        <v>45842</v>
      </c>
      <c r="AY1081" t="s">
        <v>151</v>
      </c>
      <c r="AZ1081" s="2">
        <v>46024</v>
      </c>
      <c r="BA1081">
        <v>0</v>
      </c>
      <c r="BB1081">
        <v>0</v>
      </c>
      <c r="BC1081">
        <v>0</v>
      </c>
      <c r="BD1081">
        <v>700</v>
      </c>
      <c r="BE1081">
        <v>70</v>
      </c>
      <c r="BF1081">
        <v>9</v>
      </c>
      <c r="BG1081" s="2">
        <v>45809</v>
      </c>
      <c r="BH1081" t="s">
        <v>142</v>
      </c>
      <c r="BI1081" s="2">
        <v>46026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 s="1">
        <v>5744.91</v>
      </c>
      <c r="BQ1081" s="1">
        <v>5744.91</v>
      </c>
      <c r="BR1081">
        <v>0</v>
      </c>
      <c r="BS1081">
        <v>0</v>
      </c>
      <c r="BT1081">
        <v>0</v>
      </c>
      <c r="BU1081">
        <v>0</v>
      </c>
      <c r="BV1081" s="1">
        <v>4201.66</v>
      </c>
      <c r="BW1081" s="1">
        <v>4201.66</v>
      </c>
      <c r="BX1081">
        <v>0</v>
      </c>
      <c r="BY1081">
        <v>0</v>
      </c>
      <c r="BZ1081">
        <v>0</v>
      </c>
      <c r="CA1081">
        <v>0</v>
      </c>
      <c r="CB1081" s="1">
        <v>5591.64</v>
      </c>
      <c r="CC1081" t="s">
        <v>161</v>
      </c>
    </row>
    <row r="1082" spans="1:81" x14ac:dyDescent="0.25">
      <c r="A1082">
        <v>345</v>
      </c>
      <c r="B1082">
        <v>2</v>
      </c>
      <c r="C1082">
        <v>3101</v>
      </c>
      <c r="D1082" t="s">
        <v>6150</v>
      </c>
      <c r="E1082" t="s">
        <v>121</v>
      </c>
      <c r="F1082" t="s">
        <v>6151</v>
      </c>
      <c r="G1082" t="s">
        <v>6152</v>
      </c>
      <c r="H1082" t="s">
        <v>6153</v>
      </c>
      <c r="I1082" t="s">
        <v>6154</v>
      </c>
      <c r="J1082" t="s">
        <v>3074</v>
      </c>
      <c r="K1082" t="s">
        <v>1853</v>
      </c>
      <c r="L1082" t="s">
        <v>128</v>
      </c>
      <c r="M1082" t="s">
        <v>1854</v>
      </c>
      <c r="N1082" t="s">
        <v>6155</v>
      </c>
      <c r="O1082" t="s">
        <v>619</v>
      </c>
      <c r="P1082">
        <v>0</v>
      </c>
      <c r="Q1082" t="s">
        <v>125</v>
      </c>
      <c r="R1082">
        <v>3</v>
      </c>
      <c r="S1082">
        <v>83</v>
      </c>
      <c r="T1082" t="s">
        <v>132</v>
      </c>
      <c r="U1082" t="s">
        <v>133</v>
      </c>
      <c r="V1082" s="1">
        <v>1000</v>
      </c>
      <c r="W1082">
        <v>289.69</v>
      </c>
      <c r="X1082">
        <v>710.31</v>
      </c>
      <c r="Y1082">
        <v>0</v>
      </c>
      <c r="Z1082">
        <v>0</v>
      </c>
      <c r="AA1082">
        <v>7</v>
      </c>
      <c r="AB1082">
        <v>8</v>
      </c>
      <c r="AC1082">
        <v>0</v>
      </c>
      <c r="AD1082" t="s">
        <v>134</v>
      </c>
      <c r="AE1082" t="s">
        <v>134</v>
      </c>
      <c r="AF1082" s="2">
        <v>45698</v>
      </c>
      <c r="AG1082" s="2">
        <v>45986</v>
      </c>
      <c r="AH1082">
        <v>180.6</v>
      </c>
      <c r="AI1082">
        <v>289.69</v>
      </c>
      <c r="AJ1082">
        <v>722.43</v>
      </c>
      <c r="AK1082">
        <v>289.69</v>
      </c>
      <c r="AL1082">
        <v>0</v>
      </c>
      <c r="AM1082">
        <v>0</v>
      </c>
      <c r="AN1082" t="s">
        <v>135</v>
      </c>
      <c r="AO1082" t="s">
        <v>135</v>
      </c>
      <c r="AP1082" t="s">
        <v>136</v>
      </c>
      <c r="AQ1082" t="s">
        <v>137</v>
      </c>
      <c r="AR1082" t="s">
        <v>138</v>
      </c>
      <c r="AS1082" t="s">
        <v>150</v>
      </c>
      <c r="AT1082" t="s">
        <v>140</v>
      </c>
      <c r="AU1082">
        <v>106</v>
      </c>
      <c r="AV1082">
        <v>10</v>
      </c>
      <c r="AW1082">
        <v>1</v>
      </c>
      <c r="AX1082" s="2">
        <v>45810</v>
      </c>
      <c r="AY1082" t="s">
        <v>141</v>
      </c>
      <c r="AZ1082" s="2">
        <v>46027</v>
      </c>
      <c r="BA1082">
        <v>0</v>
      </c>
      <c r="BB1082">
        <v>0</v>
      </c>
      <c r="BC1082">
        <v>0</v>
      </c>
      <c r="BD1082">
        <v>700</v>
      </c>
      <c r="BE1082">
        <v>70</v>
      </c>
      <c r="BF1082">
        <v>9</v>
      </c>
      <c r="BG1082" s="2">
        <v>45809</v>
      </c>
      <c r="BH1082" t="s">
        <v>142</v>
      </c>
      <c r="BI1082" s="2">
        <v>46026</v>
      </c>
      <c r="BJ1082">
        <v>0</v>
      </c>
      <c r="BK1082">
        <v>0</v>
      </c>
      <c r="BL1082">
        <v>0</v>
      </c>
      <c r="BM1082">
        <v>7</v>
      </c>
      <c r="BN1082">
        <v>4.96</v>
      </c>
      <c r="BO1082">
        <v>289.69</v>
      </c>
      <c r="BP1082">
        <v>119.28</v>
      </c>
      <c r="BQ1082">
        <v>408.97</v>
      </c>
      <c r="BR1082">
        <v>289.69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240.81</v>
      </c>
      <c r="CC1082" t="s">
        <v>161</v>
      </c>
    </row>
    <row r="1083" spans="1:81" x14ac:dyDescent="0.25">
      <c r="A1083">
        <v>345</v>
      </c>
      <c r="B1083">
        <v>2</v>
      </c>
      <c r="C1083">
        <v>3104</v>
      </c>
      <c r="D1083" t="s">
        <v>6156</v>
      </c>
      <c r="E1083" t="s">
        <v>121</v>
      </c>
      <c r="F1083" t="s">
        <v>6157</v>
      </c>
      <c r="G1083" t="s">
        <v>6158</v>
      </c>
      <c r="H1083" t="s">
        <v>6159</v>
      </c>
      <c r="I1083" t="s">
        <v>6160</v>
      </c>
      <c r="J1083" t="s">
        <v>1762</v>
      </c>
      <c r="K1083" t="s">
        <v>466</v>
      </c>
      <c r="L1083" t="s">
        <v>128</v>
      </c>
      <c r="M1083" t="s">
        <v>467</v>
      </c>
      <c r="N1083" t="s">
        <v>6161</v>
      </c>
      <c r="O1083" t="s">
        <v>167</v>
      </c>
      <c r="P1083">
        <v>0</v>
      </c>
      <c r="Q1083" t="s">
        <v>125</v>
      </c>
      <c r="R1083">
        <v>6</v>
      </c>
      <c r="S1083">
        <v>34</v>
      </c>
      <c r="T1083" t="s">
        <v>132</v>
      </c>
      <c r="U1083" t="s">
        <v>133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134</v>
      </c>
      <c r="AE1083" t="s">
        <v>134</v>
      </c>
      <c r="AF1083" s="2">
        <v>45698</v>
      </c>
      <c r="AG1083" s="2">
        <v>46014</v>
      </c>
      <c r="AH1083">
        <v>550.95000000000005</v>
      </c>
      <c r="AI1083">
        <v>914.23</v>
      </c>
      <c r="AJ1083" s="1">
        <v>6611.4</v>
      </c>
      <c r="AK1083">
        <v>0</v>
      </c>
      <c r="AL1083">
        <v>914.23</v>
      </c>
      <c r="AM1083">
        <v>0</v>
      </c>
      <c r="AN1083" t="s">
        <v>135</v>
      </c>
      <c r="AO1083" t="s">
        <v>135</v>
      </c>
      <c r="AP1083" t="s">
        <v>136</v>
      </c>
      <c r="AQ1083" t="s">
        <v>137</v>
      </c>
      <c r="AR1083" t="s">
        <v>138</v>
      </c>
      <c r="AS1083" t="s">
        <v>139</v>
      </c>
      <c r="AT1083" t="s">
        <v>140</v>
      </c>
      <c r="AU1083">
        <v>105</v>
      </c>
      <c r="AV1083">
        <v>10</v>
      </c>
      <c r="AW1083">
        <v>1</v>
      </c>
      <c r="AX1083" s="2">
        <v>45810</v>
      </c>
      <c r="AY1083" t="s">
        <v>141</v>
      </c>
      <c r="AZ1083" s="2">
        <v>46027</v>
      </c>
      <c r="BA1083">
        <v>0</v>
      </c>
      <c r="BB1083">
        <v>0</v>
      </c>
      <c r="BC1083">
        <v>0</v>
      </c>
      <c r="BD1083">
        <v>700</v>
      </c>
      <c r="BE1083">
        <v>70</v>
      </c>
      <c r="BF1083">
        <v>9</v>
      </c>
      <c r="BG1083" s="2">
        <v>45809</v>
      </c>
      <c r="BH1083" t="s">
        <v>142</v>
      </c>
      <c r="BI1083" s="2">
        <v>46026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 s="1">
        <v>1489.65</v>
      </c>
      <c r="BQ1083" s="1">
        <v>1489.65</v>
      </c>
      <c r="BR1083">
        <v>0</v>
      </c>
      <c r="BS1083">
        <v>0</v>
      </c>
      <c r="BT1083">
        <v>0</v>
      </c>
      <c r="BU1083">
        <v>0</v>
      </c>
      <c r="BV1083" s="1">
        <v>3681.81</v>
      </c>
      <c r="BW1083" s="1">
        <v>3681.81</v>
      </c>
      <c r="BX1083">
        <v>0</v>
      </c>
      <c r="BY1083">
        <v>0</v>
      </c>
      <c r="BZ1083">
        <v>0</v>
      </c>
      <c r="CA1083">
        <v>0</v>
      </c>
      <c r="CB1083" s="1">
        <v>1370.57</v>
      </c>
      <c r="CC1083" t="s">
        <v>161</v>
      </c>
    </row>
    <row r="1084" spans="1:81" x14ac:dyDescent="0.25">
      <c r="A1084">
        <v>345</v>
      </c>
      <c r="B1084">
        <v>2</v>
      </c>
      <c r="C1084">
        <v>3105</v>
      </c>
      <c r="D1084" t="s">
        <v>6162</v>
      </c>
      <c r="E1084" t="s">
        <v>121</v>
      </c>
      <c r="F1084" t="s">
        <v>6163</v>
      </c>
      <c r="G1084" t="s">
        <v>6164</v>
      </c>
      <c r="H1084" t="s">
        <v>6165</v>
      </c>
      <c r="I1084" t="s">
        <v>125</v>
      </c>
      <c r="J1084" t="s">
        <v>6166</v>
      </c>
      <c r="K1084" t="s">
        <v>336</v>
      </c>
      <c r="L1084" t="s">
        <v>128</v>
      </c>
      <c r="M1084" t="s">
        <v>337</v>
      </c>
      <c r="N1084" t="s">
        <v>6167</v>
      </c>
      <c r="O1084" t="s">
        <v>159</v>
      </c>
      <c r="P1084">
        <v>0</v>
      </c>
      <c r="Q1084" t="s">
        <v>125</v>
      </c>
      <c r="R1084">
        <v>6</v>
      </c>
      <c r="S1084">
        <v>33</v>
      </c>
      <c r="T1084" t="s">
        <v>132</v>
      </c>
      <c r="U1084" t="s">
        <v>133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">
        <v>234</v>
      </c>
      <c r="AE1084" t="s">
        <v>134</v>
      </c>
      <c r="AF1084" s="2">
        <v>45698</v>
      </c>
      <c r="AG1084" s="2">
        <v>46014</v>
      </c>
      <c r="AH1084">
        <v>555.64</v>
      </c>
      <c r="AI1084">
        <v>710.88</v>
      </c>
      <c r="AJ1084" s="1">
        <v>3333.87</v>
      </c>
      <c r="AK1084">
        <v>0</v>
      </c>
      <c r="AL1084">
        <v>610.89</v>
      </c>
      <c r="AM1084">
        <v>0</v>
      </c>
      <c r="AN1084" t="s">
        <v>135</v>
      </c>
      <c r="AO1084" t="s">
        <v>135</v>
      </c>
      <c r="AP1084" t="s">
        <v>136</v>
      </c>
      <c r="AQ1084" t="s">
        <v>137</v>
      </c>
      <c r="AR1084" t="s">
        <v>138</v>
      </c>
      <c r="AS1084" t="s">
        <v>139</v>
      </c>
      <c r="AT1084" t="s">
        <v>140</v>
      </c>
      <c r="AU1084">
        <v>104</v>
      </c>
      <c r="AV1084">
        <v>10</v>
      </c>
      <c r="AW1084">
        <v>1</v>
      </c>
      <c r="AX1084" s="2">
        <v>45838</v>
      </c>
      <c r="AY1084" t="s">
        <v>141</v>
      </c>
      <c r="AZ1084" s="2">
        <v>46027</v>
      </c>
      <c r="BA1084">
        <v>0</v>
      </c>
      <c r="BB1084">
        <v>0</v>
      </c>
      <c r="BC1084">
        <v>0</v>
      </c>
      <c r="BD1084">
        <v>700</v>
      </c>
      <c r="BE1084">
        <v>70</v>
      </c>
      <c r="BF1084">
        <v>9</v>
      </c>
      <c r="BG1084" s="2">
        <v>45809</v>
      </c>
      <c r="BH1084" t="s">
        <v>142</v>
      </c>
      <c r="BI1084" s="2">
        <v>46026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710.88</v>
      </c>
      <c r="BQ1084">
        <v>710.88</v>
      </c>
      <c r="BR1084">
        <v>0</v>
      </c>
      <c r="BS1084">
        <v>0</v>
      </c>
      <c r="BT1084">
        <v>0</v>
      </c>
      <c r="BU1084">
        <v>0</v>
      </c>
      <c r="BV1084" s="1">
        <v>2622.99</v>
      </c>
      <c r="BW1084" s="1">
        <v>2622.99</v>
      </c>
      <c r="BX1084">
        <v>0</v>
      </c>
      <c r="BY1084">
        <v>0</v>
      </c>
      <c r="BZ1084">
        <v>0</v>
      </c>
      <c r="CA1084">
        <v>0</v>
      </c>
      <c r="CB1084">
        <v>406.72</v>
      </c>
      <c r="CC1084" t="s">
        <v>161</v>
      </c>
    </row>
    <row r="1085" spans="1:81" x14ac:dyDescent="0.25">
      <c r="A1085">
        <v>345</v>
      </c>
      <c r="B1085">
        <v>2</v>
      </c>
      <c r="C1085">
        <v>3106</v>
      </c>
      <c r="D1085" t="s">
        <v>6168</v>
      </c>
      <c r="E1085" t="s">
        <v>121</v>
      </c>
      <c r="F1085" t="s">
        <v>6169</v>
      </c>
      <c r="G1085" t="s">
        <v>6170</v>
      </c>
      <c r="H1085" t="s">
        <v>6171</v>
      </c>
      <c r="I1085" t="s">
        <v>6172</v>
      </c>
      <c r="J1085" t="s">
        <v>126</v>
      </c>
      <c r="K1085" t="s">
        <v>4248</v>
      </c>
      <c r="L1085" t="s">
        <v>128</v>
      </c>
      <c r="M1085" t="s">
        <v>1325</v>
      </c>
      <c r="N1085" t="s">
        <v>6173</v>
      </c>
      <c r="O1085" t="s">
        <v>149</v>
      </c>
      <c r="P1085">
        <v>0</v>
      </c>
      <c r="Q1085" t="s">
        <v>125</v>
      </c>
      <c r="R1085">
        <v>6</v>
      </c>
      <c r="S1085">
        <v>44</v>
      </c>
      <c r="T1085" t="s">
        <v>132</v>
      </c>
      <c r="U1085" t="s">
        <v>133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134</v>
      </c>
      <c r="AE1085" t="s">
        <v>134</v>
      </c>
      <c r="AF1085" s="2">
        <v>45698</v>
      </c>
      <c r="AG1085" s="2">
        <v>46021</v>
      </c>
      <c r="AH1085" s="1">
        <v>23944.79</v>
      </c>
      <c r="AI1085" s="1">
        <v>41540.699999999997</v>
      </c>
      <c r="AJ1085" s="1">
        <v>359171.94</v>
      </c>
      <c r="AK1085">
        <v>0</v>
      </c>
      <c r="AL1085">
        <v>0</v>
      </c>
      <c r="AM1085">
        <v>0</v>
      </c>
      <c r="AN1085" t="s">
        <v>135</v>
      </c>
      <c r="AO1085" t="s">
        <v>135</v>
      </c>
      <c r="AP1085" t="s">
        <v>136</v>
      </c>
      <c r="AQ1085" t="s">
        <v>137</v>
      </c>
      <c r="AR1085" t="s">
        <v>138</v>
      </c>
      <c r="AS1085" t="s">
        <v>150</v>
      </c>
      <c r="AT1085" t="s">
        <v>140</v>
      </c>
      <c r="AU1085">
        <v>501</v>
      </c>
      <c r="AV1085">
        <v>10</v>
      </c>
      <c r="AW1085">
        <v>1</v>
      </c>
      <c r="AX1085" s="2">
        <v>45859</v>
      </c>
      <c r="AY1085" t="s">
        <v>141</v>
      </c>
      <c r="AZ1085" s="2">
        <v>46027</v>
      </c>
      <c r="BA1085">
        <v>0</v>
      </c>
      <c r="BB1085">
        <v>0</v>
      </c>
      <c r="BC1085">
        <v>0</v>
      </c>
      <c r="BD1085">
        <v>700</v>
      </c>
      <c r="BE1085">
        <v>70</v>
      </c>
      <c r="BF1085">
        <v>9</v>
      </c>
      <c r="BG1085" s="2">
        <v>45809</v>
      </c>
      <c r="BH1085" t="s">
        <v>142</v>
      </c>
      <c r="BI1085" s="2">
        <v>46026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 s="1">
        <v>75109.23</v>
      </c>
      <c r="BQ1085" s="1">
        <v>75109.23</v>
      </c>
      <c r="BR1085">
        <v>0</v>
      </c>
      <c r="BS1085">
        <v>0</v>
      </c>
      <c r="BT1085">
        <v>0</v>
      </c>
      <c r="BU1085">
        <v>0</v>
      </c>
      <c r="BV1085" s="1">
        <v>171287.01</v>
      </c>
      <c r="BW1085" s="1">
        <v>171287.01</v>
      </c>
      <c r="BX1085">
        <v>0</v>
      </c>
      <c r="BY1085">
        <v>0</v>
      </c>
      <c r="BZ1085">
        <v>0</v>
      </c>
      <c r="CA1085">
        <v>0</v>
      </c>
      <c r="CB1085" s="1">
        <v>81682.91</v>
      </c>
      <c r="CC1085" t="s">
        <v>152</v>
      </c>
    </row>
    <row r="1086" spans="1:81" x14ac:dyDescent="0.25">
      <c r="A1086">
        <v>345</v>
      </c>
      <c r="B1086">
        <v>2</v>
      </c>
      <c r="C1086">
        <v>3107</v>
      </c>
      <c r="D1086" t="s">
        <v>6174</v>
      </c>
      <c r="E1086" t="s">
        <v>121</v>
      </c>
      <c r="F1086" t="s">
        <v>6175</v>
      </c>
      <c r="G1086" t="s">
        <v>6176</v>
      </c>
      <c r="H1086" t="s">
        <v>6177</v>
      </c>
      <c r="I1086" t="s">
        <v>6178</v>
      </c>
      <c r="J1086" t="s">
        <v>4647</v>
      </c>
      <c r="K1086" t="s">
        <v>4248</v>
      </c>
      <c r="L1086" t="s">
        <v>128</v>
      </c>
      <c r="M1086" t="s">
        <v>1325</v>
      </c>
      <c r="N1086" t="s">
        <v>6179</v>
      </c>
      <c r="O1086" t="s">
        <v>3269</v>
      </c>
      <c r="P1086">
        <v>0</v>
      </c>
      <c r="Q1086" t="s">
        <v>125</v>
      </c>
      <c r="R1086">
        <v>6</v>
      </c>
      <c r="S1086">
        <v>39</v>
      </c>
      <c r="T1086" t="s">
        <v>132</v>
      </c>
      <c r="U1086" t="s">
        <v>133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134</v>
      </c>
      <c r="AE1086" t="s">
        <v>134</v>
      </c>
      <c r="AF1086" s="2">
        <v>45698</v>
      </c>
      <c r="AG1086" s="2">
        <v>46010</v>
      </c>
      <c r="AH1086" s="1">
        <v>8648.4699999999993</v>
      </c>
      <c r="AI1086" s="1">
        <v>11791.3</v>
      </c>
      <c r="AJ1086" s="1">
        <v>60539.3</v>
      </c>
      <c r="AK1086">
        <v>0</v>
      </c>
      <c r="AL1086">
        <v>0</v>
      </c>
      <c r="AM1086">
        <v>0</v>
      </c>
      <c r="AN1086" t="s">
        <v>135</v>
      </c>
      <c r="AO1086" t="s">
        <v>135</v>
      </c>
      <c r="AP1086" t="s">
        <v>136</v>
      </c>
      <c r="AQ1086" t="s">
        <v>137</v>
      </c>
      <c r="AR1086" t="s">
        <v>138</v>
      </c>
      <c r="AS1086" t="s">
        <v>139</v>
      </c>
      <c r="AT1086" t="s">
        <v>140</v>
      </c>
      <c r="AU1086">
        <v>501</v>
      </c>
      <c r="AV1086">
        <v>10</v>
      </c>
      <c r="AW1086">
        <v>1</v>
      </c>
      <c r="AX1086" s="2">
        <v>45848</v>
      </c>
      <c r="AY1086" t="s">
        <v>308</v>
      </c>
      <c r="AZ1086" s="2">
        <v>46023</v>
      </c>
      <c r="BA1086">
        <v>0</v>
      </c>
      <c r="BB1086">
        <v>0</v>
      </c>
      <c r="BC1086">
        <v>0</v>
      </c>
      <c r="BD1086">
        <v>700</v>
      </c>
      <c r="BE1086">
        <v>70</v>
      </c>
      <c r="BF1086">
        <v>9</v>
      </c>
      <c r="BG1086" s="2">
        <v>45809</v>
      </c>
      <c r="BH1086" t="s">
        <v>142</v>
      </c>
      <c r="BI1086" s="2">
        <v>46026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 s="1">
        <v>36795.760000000002</v>
      </c>
      <c r="BQ1086" s="1">
        <v>36795.760000000002</v>
      </c>
      <c r="BR1086">
        <v>0</v>
      </c>
      <c r="BS1086">
        <v>0</v>
      </c>
      <c r="BT1086">
        <v>0</v>
      </c>
      <c r="BU1086">
        <v>0</v>
      </c>
      <c r="BV1086" s="1">
        <v>11791.3</v>
      </c>
      <c r="BW1086" s="1">
        <v>11791.3</v>
      </c>
      <c r="BX1086">
        <v>0</v>
      </c>
      <c r="BY1086">
        <v>0</v>
      </c>
      <c r="BZ1086">
        <v>0</v>
      </c>
      <c r="CA1086">
        <v>0</v>
      </c>
      <c r="CB1086" s="1">
        <v>23267.83</v>
      </c>
      <c r="CC1086" t="s">
        <v>161</v>
      </c>
    </row>
    <row r="1087" spans="1:81" x14ac:dyDescent="0.25">
      <c r="A1087">
        <v>345</v>
      </c>
      <c r="B1087">
        <v>2</v>
      </c>
      <c r="C1087">
        <v>3108</v>
      </c>
      <c r="D1087" t="s">
        <v>6180</v>
      </c>
      <c r="E1087" t="s">
        <v>121</v>
      </c>
      <c r="F1087" t="s">
        <v>6181</v>
      </c>
      <c r="G1087" t="s">
        <v>6182</v>
      </c>
      <c r="H1087" t="s">
        <v>6183</v>
      </c>
      <c r="I1087" t="s">
        <v>6184</v>
      </c>
      <c r="J1087" t="s">
        <v>126</v>
      </c>
      <c r="K1087" t="s">
        <v>4248</v>
      </c>
      <c r="L1087" t="s">
        <v>128</v>
      </c>
      <c r="M1087" t="s">
        <v>1325</v>
      </c>
      <c r="N1087" t="s">
        <v>6185</v>
      </c>
      <c r="O1087" t="s">
        <v>201</v>
      </c>
      <c r="P1087">
        <v>0</v>
      </c>
      <c r="Q1087" t="s">
        <v>125</v>
      </c>
      <c r="R1087">
        <v>3</v>
      </c>
      <c r="S1087">
        <v>85</v>
      </c>
      <c r="T1087" t="s">
        <v>132</v>
      </c>
      <c r="U1087" t="s">
        <v>133</v>
      </c>
      <c r="V1087" s="1">
        <v>1000</v>
      </c>
      <c r="W1087">
        <v>0</v>
      </c>
      <c r="X1087" s="1">
        <v>1000</v>
      </c>
      <c r="Y1087">
        <v>7</v>
      </c>
      <c r="Z1087">
        <v>0</v>
      </c>
      <c r="AA1087">
        <v>0</v>
      </c>
      <c r="AB1087">
        <v>0</v>
      </c>
      <c r="AC1087">
        <v>0</v>
      </c>
      <c r="AD1087" t="s">
        <v>134</v>
      </c>
      <c r="AE1087" t="s">
        <v>134</v>
      </c>
      <c r="AF1087" s="2">
        <v>45698</v>
      </c>
      <c r="AG1087" s="2">
        <v>46010</v>
      </c>
      <c r="AH1087">
        <v>51.82</v>
      </c>
      <c r="AI1087">
        <v>69.12</v>
      </c>
      <c r="AJ1087">
        <v>259.13</v>
      </c>
      <c r="AK1087">
        <v>0</v>
      </c>
      <c r="AL1087">
        <v>0</v>
      </c>
      <c r="AM1087">
        <v>0</v>
      </c>
      <c r="AN1087" t="s">
        <v>135</v>
      </c>
      <c r="AO1087" t="s">
        <v>135</v>
      </c>
      <c r="AP1087" t="s">
        <v>136</v>
      </c>
      <c r="AQ1087" t="s">
        <v>137</v>
      </c>
      <c r="AR1087" t="s">
        <v>138</v>
      </c>
      <c r="AS1087" t="s">
        <v>150</v>
      </c>
      <c r="AT1087" t="s">
        <v>140</v>
      </c>
      <c r="AU1087">
        <v>104</v>
      </c>
      <c r="AV1087">
        <v>10</v>
      </c>
      <c r="AW1087">
        <v>1</v>
      </c>
      <c r="AX1087" s="2">
        <v>45812</v>
      </c>
      <c r="AY1087" t="s">
        <v>168</v>
      </c>
      <c r="AZ1087" s="2">
        <v>46022</v>
      </c>
      <c r="BA1087">
        <v>0</v>
      </c>
      <c r="BB1087">
        <v>0</v>
      </c>
      <c r="BC1087">
        <v>0</v>
      </c>
      <c r="BD1087">
        <v>700</v>
      </c>
      <c r="BE1087">
        <v>70</v>
      </c>
      <c r="BF1087">
        <v>9</v>
      </c>
      <c r="BG1087" s="2">
        <v>45809</v>
      </c>
      <c r="BH1087" t="s">
        <v>142</v>
      </c>
      <c r="BI1087" s="2">
        <v>46026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107.76</v>
      </c>
      <c r="BQ1087">
        <v>107.76</v>
      </c>
      <c r="BR1087">
        <v>0</v>
      </c>
      <c r="BS1087">
        <v>0</v>
      </c>
      <c r="BT1087">
        <v>0</v>
      </c>
      <c r="BU1087">
        <v>0</v>
      </c>
      <c r="BV1087">
        <v>67.09</v>
      </c>
      <c r="BW1087">
        <v>67.09</v>
      </c>
      <c r="BX1087">
        <v>0</v>
      </c>
      <c r="BY1087">
        <v>0</v>
      </c>
      <c r="BZ1087">
        <v>0</v>
      </c>
      <c r="CA1087">
        <v>0</v>
      </c>
      <c r="CB1087">
        <v>156.80000000000001</v>
      </c>
      <c r="CC1087" t="s">
        <v>161</v>
      </c>
    </row>
    <row r="1088" spans="1:81" x14ac:dyDescent="0.25">
      <c r="A1088">
        <v>345</v>
      </c>
      <c r="B1088">
        <v>2</v>
      </c>
      <c r="C1088">
        <v>3111</v>
      </c>
      <c r="D1088" t="s">
        <v>6186</v>
      </c>
      <c r="E1088" t="s">
        <v>121</v>
      </c>
      <c r="F1088" t="s">
        <v>6187</v>
      </c>
      <c r="G1088" t="s">
        <v>6188</v>
      </c>
      <c r="H1088" t="s">
        <v>6189</v>
      </c>
      <c r="I1088" t="s">
        <v>6190</v>
      </c>
      <c r="J1088" t="s">
        <v>126</v>
      </c>
      <c r="K1088" t="s">
        <v>4248</v>
      </c>
      <c r="L1088" t="s">
        <v>128</v>
      </c>
      <c r="M1088" t="s">
        <v>1325</v>
      </c>
      <c r="N1088" t="s">
        <v>6191</v>
      </c>
      <c r="O1088" t="s">
        <v>195</v>
      </c>
      <c r="P1088">
        <v>0</v>
      </c>
      <c r="Q1088" t="s">
        <v>125</v>
      </c>
      <c r="R1088">
        <v>6</v>
      </c>
      <c r="S1088">
        <v>40</v>
      </c>
      <c r="T1088" t="s">
        <v>132</v>
      </c>
      <c r="U1088" t="s">
        <v>133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134</v>
      </c>
      <c r="AE1088" t="s">
        <v>134</v>
      </c>
      <c r="AF1088" s="2">
        <v>45698</v>
      </c>
      <c r="AG1088" s="2">
        <v>45990</v>
      </c>
      <c r="AH1088">
        <v>91.43</v>
      </c>
      <c r="AI1088">
        <v>94.6</v>
      </c>
      <c r="AJ1088">
        <v>182.87</v>
      </c>
      <c r="AK1088">
        <v>0</v>
      </c>
      <c r="AL1088">
        <v>0</v>
      </c>
      <c r="AM1088">
        <v>0</v>
      </c>
      <c r="AN1088" t="s">
        <v>135</v>
      </c>
      <c r="AO1088" t="s">
        <v>135</v>
      </c>
      <c r="AP1088" t="s">
        <v>136</v>
      </c>
      <c r="AQ1088" t="s">
        <v>137</v>
      </c>
      <c r="AR1088" t="s">
        <v>138</v>
      </c>
      <c r="AS1088" t="s">
        <v>150</v>
      </c>
      <c r="AT1088" t="s">
        <v>140</v>
      </c>
      <c r="AU1088">
        <v>104</v>
      </c>
      <c r="AV1088">
        <v>10</v>
      </c>
      <c r="AW1088">
        <v>1</v>
      </c>
      <c r="AX1088" s="2">
        <v>45842</v>
      </c>
      <c r="AY1088" t="s">
        <v>151</v>
      </c>
      <c r="AZ1088" s="2">
        <v>46024</v>
      </c>
      <c r="BA1088">
        <v>0</v>
      </c>
      <c r="BB1088">
        <v>0</v>
      </c>
      <c r="BC1088">
        <v>0</v>
      </c>
      <c r="BD1088">
        <v>700</v>
      </c>
      <c r="BE1088">
        <v>70</v>
      </c>
      <c r="BF1088">
        <v>9</v>
      </c>
      <c r="BG1088" s="2">
        <v>45809</v>
      </c>
      <c r="BH1088" t="s">
        <v>142</v>
      </c>
      <c r="BI1088" s="2">
        <v>46026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88.27</v>
      </c>
      <c r="BQ1088">
        <v>88.27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60.95</v>
      </c>
      <c r="CC1088" t="s">
        <v>161</v>
      </c>
    </row>
    <row r="1089" spans="1:81" x14ac:dyDescent="0.25">
      <c r="A1089">
        <v>345</v>
      </c>
      <c r="B1089">
        <v>2</v>
      </c>
      <c r="C1089">
        <v>3112</v>
      </c>
      <c r="D1089" t="s">
        <v>6192</v>
      </c>
      <c r="E1089" t="s">
        <v>121</v>
      </c>
      <c r="F1089" t="s">
        <v>6193</v>
      </c>
      <c r="G1089" t="s">
        <v>6194</v>
      </c>
      <c r="H1089" t="s">
        <v>6195</v>
      </c>
      <c r="I1089" t="s">
        <v>6196</v>
      </c>
      <c r="J1089" t="s">
        <v>126</v>
      </c>
      <c r="K1089" t="s">
        <v>127</v>
      </c>
      <c r="L1089" t="s">
        <v>128</v>
      </c>
      <c r="M1089" t="s">
        <v>129</v>
      </c>
      <c r="N1089" t="s">
        <v>6197</v>
      </c>
      <c r="O1089" t="s">
        <v>149</v>
      </c>
      <c r="P1089">
        <v>0</v>
      </c>
      <c r="Q1089" t="s">
        <v>125</v>
      </c>
      <c r="R1089">
        <v>6</v>
      </c>
      <c r="S1089">
        <v>42</v>
      </c>
      <c r="T1089" t="s">
        <v>132</v>
      </c>
      <c r="U1089" t="s">
        <v>133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134</v>
      </c>
      <c r="AE1089" t="s">
        <v>134</v>
      </c>
      <c r="AF1089" s="2">
        <v>45698</v>
      </c>
      <c r="AG1089" s="2">
        <v>46021</v>
      </c>
      <c r="AH1089" s="1">
        <v>1192.23</v>
      </c>
      <c r="AI1089" s="1">
        <v>1625</v>
      </c>
      <c r="AJ1089" s="1">
        <v>5961.18</v>
      </c>
      <c r="AK1089">
        <v>0</v>
      </c>
      <c r="AL1089">
        <v>0</v>
      </c>
      <c r="AM1089">
        <v>0</v>
      </c>
      <c r="AN1089" t="s">
        <v>135</v>
      </c>
      <c r="AO1089" t="s">
        <v>135</v>
      </c>
      <c r="AP1089" t="s">
        <v>136</v>
      </c>
      <c r="AQ1089" t="s">
        <v>137</v>
      </c>
      <c r="AR1089" t="s">
        <v>138</v>
      </c>
      <c r="AS1089" t="s">
        <v>150</v>
      </c>
      <c r="AT1089" t="s">
        <v>140</v>
      </c>
      <c r="AU1089">
        <v>102</v>
      </c>
      <c r="AV1089">
        <v>10</v>
      </c>
      <c r="AW1089">
        <v>1</v>
      </c>
      <c r="AX1089" s="2">
        <v>45810</v>
      </c>
      <c r="AY1089" t="s">
        <v>141</v>
      </c>
      <c r="AZ1089" s="2">
        <v>46027</v>
      </c>
      <c r="BA1089">
        <v>0</v>
      </c>
      <c r="BB1089">
        <v>0</v>
      </c>
      <c r="BC1089">
        <v>0</v>
      </c>
      <c r="BD1089">
        <v>700</v>
      </c>
      <c r="BE1089">
        <v>70</v>
      </c>
      <c r="BF1089">
        <v>9</v>
      </c>
      <c r="BG1089" s="2">
        <v>45809</v>
      </c>
      <c r="BH1089" t="s">
        <v>142</v>
      </c>
      <c r="BI1089" s="2">
        <v>46026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 s="1">
        <v>2080.5700000000002</v>
      </c>
      <c r="BQ1089" s="1">
        <v>2080.5700000000002</v>
      </c>
      <c r="BR1089">
        <v>0</v>
      </c>
      <c r="BS1089">
        <v>0</v>
      </c>
      <c r="BT1089">
        <v>0</v>
      </c>
      <c r="BU1089">
        <v>0</v>
      </c>
      <c r="BV1089" s="1">
        <v>3880.61</v>
      </c>
      <c r="BW1089" s="1">
        <v>3880.61</v>
      </c>
      <c r="BX1089">
        <v>0</v>
      </c>
      <c r="BY1089">
        <v>0</v>
      </c>
      <c r="BZ1089">
        <v>0</v>
      </c>
      <c r="CA1089">
        <v>0</v>
      </c>
      <c r="CB1089" s="1">
        <v>1816.19</v>
      </c>
      <c r="CC1089" t="s">
        <v>161</v>
      </c>
    </row>
    <row r="1090" spans="1:81" x14ac:dyDescent="0.25">
      <c r="A1090">
        <v>345</v>
      </c>
      <c r="B1090">
        <v>2</v>
      </c>
      <c r="C1090">
        <v>3113</v>
      </c>
      <c r="D1090" t="s">
        <v>6198</v>
      </c>
      <c r="E1090" t="s">
        <v>121</v>
      </c>
      <c r="F1090" t="s">
        <v>6199</v>
      </c>
      <c r="G1090" t="s">
        <v>6200</v>
      </c>
      <c r="H1090" t="s">
        <v>6201</v>
      </c>
      <c r="I1090" t="s">
        <v>6202</v>
      </c>
      <c r="J1090" t="s">
        <v>126</v>
      </c>
      <c r="K1090" t="s">
        <v>466</v>
      </c>
      <c r="L1090" t="s">
        <v>128</v>
      </c>
      <c r="M1090" t="s">
        <v>467</v>
      </c>
      <c r="N1090" t="s">
        <v>6203</v>
      </c>
      <c r="O1090" t="s">
        <v>167</v>
      </c>
      <c r="P1090">
        <v>0</v>
      </c>
      <c r="Q1090" t="s">
        <v>125</v>
      </c>
      <c r="R1090">
        <v>4</v>
      </c>
      <c r="S1090">
        <v>81</v>
      </c>
      <c r="T1090" t="s">
        <v>132</v>
      </c>
      <c r="U1090" t="s">
        <v>133</v>
      </c>
      <c r="V1090" s="1">
        <v>1800</v>
      </c>
      <c r="W1090">
        <v>0</v>
      </c>
      <c r="X1090" s="1">
        <v>1800</v>
      </c>
      <c r="Y1090">
        <v>7</v>
      </c>
      <c r="Z1090">
        <v>0</v>
      </c>
      <c r="AA1090">
        <v>0</v>
      </c>
      <c r="AB1090">
        <v>0</v>
      </c>
      <c r="AC1090">
        <v>0</v>
      </c>
      <c r="AD1090" t="s">
        <v>134</v>
      </c>
      <c r="AE1090" t="s">
        <v>134</v>
      </c>
      <c r="AF1090" s="2">
        <v>45698</v>
      </c>
      <c r="AG1090" s="2">
        <v>46020</v>
      </c>
      <c r="AH1090">
        <v>671.53</v>
      </c>
      <c r="AI1090" s="1">
        <v>1210.21</v>
      </c>
      <c r="AJ1090" s="1">
        <v>5372.31</v>
      </c>
      <c r="AK1090">
        <v>0</v>
      </c>
      <c r="AL1090">
        <v>0</v>
      </c>
      <c r="AM1090">
        <v>0</v>
      </c>
      <c r="AN1090" t="s">
        <v>135</v>
      </c>
      <c r="AO1090" t="s">
        <v>135</v>
      </c>
      <c r="AP1090" t="s">
        <v>136</v>
      </c>
      <c r="AQ1090" t="s">
        <v>137</v>
      </c>
      <c r="AR1090" t="s">
        <v>138</v>
      </c>
      <c r="AS1090" t="s">
        <v>139</v>
      </c>
      <c r="AT1090" t="s">
        <v>140</v>
      </c>
      <c r="AU1090">
        <v>105</v>
      </c>
      <c r="AV1090">
        <v>10</v>
      </c>
      <c r="AW1090">
        <v>1</v>
      </c>
      <c r="AX1090" s="2">
        <v>45813</v>
      </c>
      <c r="AY1090" t="s">
        <v>308</v>
      </c>
      <c r="AZ1090" s="2">
        <v>46023</v>
      </c>
      <c r="BA1090">
        <v>0</v>
      </c>
      <c r="BB1090">
        <v>0</v>
      </c>
      <c r="BC1090">
        <v>0</v>
      </c>
      <c r="BD1090">
        <v>700</v>
      </c>
      <c r="BE1090">
        <v>70</v>
      </c>
      <c r="BF1090">
        <v>9</v>
      </c>
      <c r="BG1090" s="2">
        <v>45809</v>
      </c>
      <c r="BH1090" t="s">
        <v>142</v>
      </c>
      <c r="BI1090" s="2">
        <v>46026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 s="1">
        <v>1880.62</v>
      </c>
      <c r="BQ1090" s="1">
        <v>1880.62</v>
      </c>
      <c r="BR1090">
        <v>0</v>
      </c>
      <c r="BS1090">
        <v>0</v>
      </c>
      <c r="BT1090">
        <v>0</v>
      </c>
      <c r="BU1090">
        <v>0</v>
      </c>
      <c r="BV1090" s="1">
        <v>2911.44</v>
      </c>
      <c r="BW1090" s="1">
        <v>2911.44</v>
      </c>
      <c r="BX1090">
        <v>0</v>
      </c>
      <c r="BY1090">
        <v>0</v>
      </c>
      <c r="BZ1090">
        <v>0</v>
      </c>
      <c r="CA1090">
        <v>0</v>
      </c>
      <c r="CB1090" s="1">
        <v>1281.42</v>
      </c>
      <c r="CC1090" t="s">
        <v>161</v>
      </c>
    </row>
    <row r="1091" spans="1:81" x14ac:dyDescent="0.25">
      <c r="A1091">
        <v>345</v>
      </c>
      <c r="B1091">
        <v>2</v>
      </c>
      <c r="C1091">
        <v>3115</v>
      </c>
      <c r="D1091" t="s">
        <v>6204</v>
      </c>
      <c r="E1091" t="s">
        <v>121</v>
      </c>
      <c r="F1091" t="s">
        <v>6205</v>
      </c>
      <c r="G1091" t="s">
        <v>6206</v>
      </c>
      <c r="H1091" t="s">
        <v>6207</v>
      </c>
      <c r="I1091" t="s">
        <v>6208</v>
      </c>
      <c r="J1091" t="s">
        <v>688</v>
      </c>
      <c r="K1091" t="s">
        <v>336</v>
      </c>
      <c r="L1091" t="s">
        <v>128</v>
      </c>
      <c r="M1091" t="s">
        <v>337</v>
      </c>
      <c r="N1091" t="s">
        <v>6209</v>
      </c>
      <c r="O1091" t="s">
        <v>195</v>
      </c>
      <c r="P1091">
        <v>0</v>
      </c>
      <c r="Q1091" t="s">
        <v>125</v>
      </c>
      <c r="R1091">
        <v>4</v>
      </c>
      <c r="S1091">
        <v>81</v>
      </c>
      <c r="T1091" t="s">
        <v>132</v>
      </c>
      <c r="U1091" t="s">
        <v>133</v>
      </c>
      <c r="V1091" s="1">
        <v>1000</v>
      </c>
      <c r="W1091">
        <v>0</v>
      </c>
      <c r="X1091" s="1">
        <v>1000</v>
      </c>
      <c r="Y1091">
        <v>7</v>
      </c>
      <c r="Z1091">
        <v>0</v>
      </c>
      <c r="AA1091">
        <v>0</v>
      </c>
      <c r="AB1091">
        <v>0</v>
      </c>
      <c r="AC1091">
        <v>0</v>
      </c>
      <c r="AD1091" t="s">
        <v>134</v>
      </c>
      <c r="AE1091" t="s">
        <v>134</v>
      </c>
      <c r="AF1091" s="2">
        <v>45698</v>
      </c>
      <c r="AG1091" s="2">
        <v>46011</v>
      </c>
      <c r="AH1091">
        <v>188.02</v>
      </c>
      <c r="AI1091">
        <v>357.11</v>
      </c>
      <c r="AJ1091" s="1">
        <v>1504.19</v>
      </c>
      <c r="AK1091">
        <v>0</v>
      </c>
      <c r="AL1091">
        <v>0</v>
      </c>
      <c r="AM1091">
        <v>0</v>
      </c>
      <c r="AN1091" t="s">
        <v>135</v>
      </c>
      <c r="AO1091" t="s">
        <v>135</v>
      </c>
      <c r="AP1091" t="s">
        <v>136</v>
      </c>
      <c r="AQ1091" t="s">
        <v>137</v>
      </c>
      <c r="AR1091" t="s">
        <v>138</v>
      </c>
      <c r="AS1091" t="s">
        <v>150</v>
      </c>
      <c r="AT1091" t="s">
        <v>140</v>
      </c>
      <c r="AU1091">
        <v>102</v>
      </c>
      <c r="AV1091">
        <v>10</v>
      </c>
      <c r="AW1091">
        <v>1</v>
      </c>
      <c r="AX1091" s="2">
        <v>45814</v>
      </c>
      <c r="AY1091" t="s">
        <v>151</v>
      </c>
      <c r="AZ1091" s="2">
        <v>46024</v>
      </c>
      <c r="BA1091">
        <v>0</v>
      </c>
      <c r="BB1091">
        <v>0</v>
      </c>
      <c r="BC1091">
        <v>0</v>
      </c>
      <c r="BD1091">
        <v>700</v>
      </c>
      <c r="BE1091">
        <v>70</v>
      </c>
      <c r="BF1091">
        <v>9</v>
      </c>
      <c r="BG1091" s="2">
        <v>45809</v>
      </c>
      <c r="BH1091" t="s">
        <v>142</v>
      </c>
      <c r="BI1091" s="2">
        <v>46026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696.87</v>
      </c>
      <c r="BQ1091">
        <v>696.87</v>
      </c>
      <c r="BR1091">
        <v>0</v>
      </c>
      <c r="BS1091">
        <v>0</v>
      </c>
      <c r="BT1091">
        <v>0</v>
      </c>
      <c r="BU1091">
        <v>0</v>
      </c>
      <c r="BV1091">
        <v>399.77</v>
      </c>
      <c r="BW1091">
        <v>399.77</v>
      </c>
      <c r="BX1091">
        <v>0</v>
      </c>
      <c r="BY1091">
        <v>0</v>
      </c>
      <c r="BZ1091">
        <v>0</v>
      </c>
      <c r="CA1091">
        <v>0</v>
      </c>
      <c r="CB1091">
        <v>507.94</v>
      </c>
      <c r="CC1091" t="s">
        <v>161</v>
      </c>
    </row>
    <row r="1092" spans="1:81" x14ac:dyDescent="0.25">
      <c r="A1092">
        <v>345</v>
      </c>
      <c r="B1092">
        <v>2</v>
      </c>
      <c r="C1092">
        <v>3116</v>
      </c>
      <c r="D1092" t="s">
        <v>6210</v>
      </c>
      <c r="E1092" t="s">
        <v>121</v>
      </c>
      <c r="F1092" t="s">
        <v>6211</v>
      </c>
      <c r="G1092" t="s">
        <v>6212</v>
      </c>
      <c r="H1092" t="s">
        <v>6213</v>
      </c>
      <c r="I1092" t="s">
        <v>6214</v>
      </c>
      <c r="J1092" t="s">
        <v>126</v>
      </c>
      <c r="K1092" t="s">
        <v>1853</v>
      </c>
      <c r="L1092" t="s">
        <v>128</v>
      </c>
      <c r="M1092" t="s">
        <v>1854</v>
      </c>
      <c r="N1092" t="s">
        <v>6215</v>
      </c>
      <c r="O1092" t="s">
        <v>159</v>
      </c>
      <c r="P1092">
        <v>0</v>
      </c>
      <c r="Q1092" t="s">
        <v>125</v>
      </c>
      <c r="R1092">
        <v>4</v>
      </c>
      <c r="S1092">
        <v>79</v>
      </c>
      <c r="T1092" t="s">
        <v>132</v>
      </c>
      <c r="U1092" t="s">
        <v>133</v>
      </c>
      <c r="V1092" s="1">
        <v>2300</v>
      </c>
      <c r="W1092">
        <v>0</v>
      </c>
      <c r="X1092" s="1">
        <v>2300</v>
      </c>
      <c r="Y1092">
        <v>7</v>
      </c>
      <c r="Z1092">
        <v>0</v>
      </c>
      <c r="AA1092">
        <v>0</v>
      </c>
      <c r="AB1092">
        <v>0</v>
      </c>
      <c r="AC1092">
        <v>0</v>
      </c>
      <c r="AD1092" t="s">
        <v>134</v>
      </c>
      <c r="AE1092" t="s">
        <v>134</v>
      </c>
      <c r="AF1092" s="2">
        <v>45698</v>
      </c>
      <c r="AG1092" s="2">
        <v>45994</v>
      </c>
      <c r="AH1092">
        <v>956.99</v>
      </c>
      <c r="AI1092" s="1">
        <v>1299.29</v>
      </c>
      <c r="AJ1092" s="1">
        <v>5741.99</v>
      </c>
      <c r="AK1092">
        <v>0</v>
      </c>
      <c r="AL1092">
        <v>785.5</v>
      </c>
      <c r="AM1092">
        <v>0</v>
      </c>
      <c r="AN1092" t="s">
        <v>135</v>
      </c>
      <c r="AO1092" t="s">
        <v>135</v>
      </c>
      <c r="AP1092" t="s">
        <v>136</v>
      </c>
      <c r="AQ1092" t="s">
        <v>137</v>
      </c>
      <c r="AR1092" t="s">
        <v>138</v>
      </c>
      <c r="AS1092" t="s">
        <v>150</v>
      </c>
      <c r="AT1092" t="s">
        <v>140</v>
      </c>
      <c r="AU1092">
        <v>103</v>
      </c>
      <c r="AV1092">
        <v>10</v>
      </c>
      <c r="AW1092">
        <v>1</v>
      </c>
      <c r="AX1092" s="2">
        <v>45972</v>
      </c>
      <c r="AY1092" t="s">
        <v>377</v>
      </c>
      <c r="AZ1092" s="2">
        <v>46028</v>
      </c>
      <c r="BA1092">
        <v>0</v>
      </c>
      <c r="BB1092">
        <v>0</v>
      </c>
      <c r="BC1092">
        <v>0</v>
      </c>
      <c r="BD1092">
        <v>700</v>
      </c>
      <c r="BE1092">
        <v>70</v>
      </c>
      <c r="BF1092">
        <v>9</v>
      </c>
      <c r="BG1092" s="2">
        <v>45809</v>
      </c>
      <c r="BH1092" t="s">
        <v>142</v>
      </c>
      <c r="BI1092" s="2">
        <v>46026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 s="1">
        <v>1980.5</v>
      </c>
      <c r="BQ1092" s="1">
        <v>1980.5</v>
      </c>
      <c r="BR1092">
        <v>0</v>
      </c>
      <c r="BS1092">
        <v>0</v>
      </c>
      <c r="BT1092">
        <v>0</v>
      </c>
      <c r="BU1092">
        <v>0</v>
      </c>
      <c r="BV1092" s="1">
        <v>1878.6</v>
      </c>
      <c r="BW1092" s="1">
        <v>1878.6</v>
      </c>
      <c r="BX1092">
        <v>0</v>
      </c>
      <c r="BY1092">
        <v>0</v>
      </c>
      <c r="BZ1092">
        <v>0</v>
      </c>
      <c r="CA1092">
        <v>0</v>
      </c>
      <c r="CB1092" s="1">
        <v>1739.86</v>
      </c>
      <c r="CC1092" t="s">
        <v>161</v>
      </c>
    </row>
    <row r="1093" spans="1:81" x14ac:dyDescent="0.25">
      <c r="A1093">
        <v>345</v>
      </c>
      <c r="B1093">
        <v>2</v>
      </c>
      <c r="C1093">
        <v>3117</v>
      </c>
      <c r="D1093" t="s">
        <v>6216</v>
      </c>
      <c r="E1093" t="s">
        <v>121</v>
      </c>
      <c r="F1093" t="s">
        <v>6217</v>
      </c>
      <c r="G1093" t="s">
        <v>6218</v>
      </c>
      <c r="H1093" t="s">
        <v>6219</v>
      </c>
      <c r="I1093" t="s">
        <v>6220</v>
      </c>
      <c r="J1093" t="s">
        <v>4569</v>
      </c>
      <c r="K1093" t="s">
        <v>473</v>
      </c>
      <c r="L1093" t="s">
        <v>128</v>
      </c>
      <c r="M1093" t="s">
        <v>474</v>
      </c>
      <c r="N1093" t="s">
        <v>6221</v>
      </c>
      <c r="O1093" t="s">
        <v>159</v>
      </c>
      <c r="P1093">
        <v>0</v>
      </c>
      <c r="Q1093" t="s">
        <v>125</v>
      </c>
      <c r="R1093">
        <v>4</v>
      </c>
      <c r="S1093">
        <v>80</v>
      </c>
      <c r="T1093" t="s">
        <v>132</v>
      </c>
      <c r="U1093" t="s">
        <v>133</v>
      </c>
      <c r="V1093" s="1">
        <v>3000</v>
      </c>
      <c r="W1093">
        <v>0</v>
      </c>
      <c r="X1093" s="1">
        <v>3000</v>
      </c>
      <c r="Y1093">
        <v>7</v>
      </c>
      <c r="Z1093">
        <v>0</v>
      </c>
      <c r="AA1093">
        <v>0</v>
      </c>
      <c r="AB1093">
        <v>0</v>
      </c>
      <c r="AC1093">
        <v>0</v>
      </c>
      <c r="AD1093" t="s">
        <v>134</v>
      </c>
      <c r="AE1093" t="s">
        <v>134</v>
      </c>
      <c r="AF1093" s="2">
        <v>45698</v>
      </c>
      <c r="AG1093" s="2">
        <v>45967</v>
      </c>
      <c r="AH1093" s="1">
        <v>1857.22</v>
      </c>
      <c r="AI1093" s="1">
        <v>4263.84</v>
      </c>
      <c r="AJ1093" s="1">
        <v>5571.67</v>
      </c>
      <c r="AK1093">
        <v>0</v>
      </c>
      <c r="AL1093">
        <v>0</v>
      </c>
      <c r="AM1093">
        <v>0</v>
      </c>
      <c r="AN1093" t="s">
        <v>135</v>
      </c>
      <c r="AO1093" t="s">
        <v>135</v>
      </c>
      <c r="AP1093" t="s">
        <v>136</v>
      </c>
      <c r="AQ1093" t="s">
        <v>137</v>
      </c>
      <c r="AR1093" t="s">
        <v>138</v>
      </c>
      <c r="AS1093" t="s">
        <v>150</v>
      </c>
      <c r="AT1093" t="s">
        <v>140</v>
      </c>
      <c r="AU1093">
        <v>103</v>
      </c>
      <c r="AV1093">
        <v>10</v>
      </c>
      <c r="AW1093">
        <v>1</v>
      </c>
      <c r="AX1093" s="2">
        <v>45903</v>
      </c>
      <c r="AY1093" t="s">
        <v>168</v>
      </c>
      <c r="AZ1093" s="2">
        <v>46022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 t="s">
        <v>135</v>
      </c>
      <c r="BH1093" t="s">
        <v>250</v>
      </c>
      <c r="BI1093" t="s">
        <v>135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 s="1">
        <v>4263.84</v>
      </c>
      <c r="BQ1093" s="1">
        <v>4263.84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 s="1">
        <v>2435.27</v>
      </c>
      <c r="CC1093" t="s">
        <v>161</v>
      </c>
    </row>
    <row r="1094" spans="1:81" x14ac:dyDescent="0.25">
      <c r="A1094">
        <v>345</v>
      </c>
      <c r="B1094">
        <v>2</v>
      </c>
      <c r="C1094">
        <v>3118</v>
      </c>
      <c r="D1094" t="s">
        <v>6222</v>
      </c>
      <c r="E1094" t="s">
        <v>121</v>
      </c>
      <c r="F1094" t="s">
        <v>6223</v>
      </c>
      <c r="G1094" t="s">
        <v>6224</v>
      </c>
      <c r="H1094" t="s">
        <v>6225</v>
      </c>
      <c r="I1094" t="s">
        <v>6226</v>
      </c>
      <c r="J1094" t="s">
        <v>126</v>
      </c>
      <c r="K1094" t="s">
        <v>1853</v>
      </c>
      <c r="L1094" t="s">
        <v>128</v>
      </c>
      <c r="M1094" t="s">
        <v>1854</v>
      </c>
      <c r="N1094" t="s">
        <v>6227</v>
      </c>
      <c r="O1094" t="s">
        <v>201</v>
      </c>
      <c r="P1094">
        <v>0</v>
      </c>
      <c r="Q1094" t="s">
        <v>125</v>
      </c>
      <c r="R1094">
        <v>3</v>
      </c>
      <c r="S1094">
        <v>86</v>
      </c>
      <c r="T1094" t="s">
        <v>132</v>
      </c>
      <c r="U1094" t="s">
        <v>133</v>
      </c>
      <c r="V1094" s="1">
        <v>2300</v>
      </c>
      <c r="W1094" s="1">
        <v>1901.66</v>
      </c>
      <c r="X1094">
        <v>398.34</v>
      </c>
      <c r="Y1094">
        <v>7</v>
      </c>
      <c r="Z1094">
        <v>0</v>
      </c>
      <c r="AA1094">
        <v>9</v>
      </c>
      <c r="AB1094">
        <v>0</v>
      </c>
      <c r="AC1094">
        <v>0</v>
      </c>
      <c r="AD1094" t="s">
        <v>134</v>
      </c>
      <c r="AE1094" t="s">
        <v>134</v>
      </c>
      <c r="AF1094" s="2">
        <v>45698</v>
      </c>
      <c r="AG1094" s="2">
        <v>46018</v>
      </c>
      <c r="AH1094" s="1">
        <v>1337.21</v>
      </c>
      <c r="AI1094" s="1">
        <v>2544.06</v>
      </c>
      <c r="AJ1094" s="1">
        <v>16046.59</v>
      </c>
      <c r="AK1094">
        <v>0</v>
      </c>
      <c r="AL1094" s="1">
        <v>1901.66</v>
      </c>
      <c r="AM1094">
        <v>96.78</v>
      </c>
      <c r="AN1094" t="s">
        <v>135</v>
      </c>
      <c r="AO1094" t="s">
        <v>135</v>
      </c>
      <c r="AP1094" t="s">
        <v>136</v>
      </c>
      <c r="AQ1094" t="s">
        <v>137</v>
      </c>
      <c r="AR1094" t="s">
        <v>138</v>
      </c>
      <c r="AS1094" t="s">
        <v>139</v>
      </c>
      <c r="AT1094" t="s">
        <v>140</v>
      </c>
      <c r="AU1094">
        <v>103</v>
      </c>
      <c r="AV1094">
        <v>10</v>
      </c>
      <c r="AW1094">
        <v>1</v>
      </c>
      <c r="AX1094" s="2">
        <v>45813</v>
      </c>
      <c r="AY1094" t="s">
        <v>308</v>
      </c>
      <c r="AZ1094" s="2">
        <v>46023</v>
      </c>
      <c r="BA1094">
        <v>0</v>
      </c>
      <c r="BB1094">
        <v>0</v>
      </c>
      <c r="BC1094">
        <v>0</v>
      </c>
      <c r="BD1094">
        <v>700</v>
      </c>
      <c r="BE1094">
        <v>70</v>
      </c>
      <c r="BF1094">
        <v>9</v>
      </c>
      <c r="BG1094" s="2">
        <v>45809</v>
      </c>
      <c r="BH1094" t="s">
        <v>142</v>
      </c>
      <c r="BI1094" s="2">
        <v>46026</v>
      </c>
      <c r="BJ1094">
        <v>0</v>
      </c>
      <c r="BK1094">
        <v>0</v>
      </c>
      <c r="BL1094">
        <v>0</v>
      </c>
      <c r="BM1094">
        <v>7.87</v>
      </c>
      <c r="BN1094">
        <v>6.24</v>
      </c>
      <c r="BO1094" s="1">
        <v>4000.4</v>
      </c>
      <c r="BP1094" s="1">
        <v>1047.4000000000001</v>
      </c>
      <c r="BQ1094" s="1">
        <v>5047.8</v>
      </c>
      <c r="BR1094" s="1">
        <v>1840.38</v>
      </c>
      <c r="BS1094">
        <v>7.91</v>
      </c>
      <c r="BT1094">
        <v>5.52</v>
      </c>
      <c r="BU1094" s="1">
        <v>4158.37</v>
      </c>
      <c r="BV1094" s="1">
        <v>1804.11</v>
      </c>
      <c r="BW1094" s="1">
        <v>5962.48</v>
      </c>
      <c r="BX1094" s="1">
        <v>1901.66</v>
      </c>
      <c r="BY1094">
        <v>45.73</v>
      </c>
      <c r="BZ1094">
        <v>0</v>
      </c>
      <c r="CA1094">
        <v>0</v>
      </c>
      <c r="CB1094" s="1">
        <v>4522.24</v>
      </c>
      <c r="CC1094" t="s">
        <v>161</v>
      </c>
    </row>
    <row r="1095" spans="1:81" x14ac:dyDescent="0.25">
      <c r="A1095">
        <v>345</v>
      </c>
      <c r="B1095">
        <v>2</v>
      </c>
      <c r="C1095">
        <v>3119</v>
      </c>
      <c r="D1095" t="s">
        <v>6228</v>
      </c>
      <c r="E1095" t="s">
        <v>121</v>
      </c>
      <c r="F1095" t="s">
        <v>6229</v>
      </c>
      <c r="G1095" t="s">
        <v>6230</v>
      </c>
      <c r="H1095" t="s">
        <v>6231</v>
      </c>
      <c r="I1095" t="s">
        <v>6232</v>
      </c>
      <c r="J1095" t="s">
        <v>4569</v>
      </c>
      <c r="K1095" t="s">
        <v>1853</v>
      </c>
      <c r="L1095" t="s">
        <v>128</v>
      </c>
      <c r="M1095" t="s">
        <v>1854</v>
      </c>
      <c r="N1095" t="s">
        <v>6233</v>
      </c>
      <c r="O1095" t="s">
        <v>159</v>
      </c>
      <c r="P1095">
        <v>0</v>
      </c>
      <c r="Q1095" t="s">
        <v>125</v>
      </c>
      <c r="R1095">
        <v>5</v>
      </c>
      <c r="S1095">
        <v>73</v>
      </c>
      <c r="T1095" t="s">
        <v>132</v>
      </c>
      <c r="U1095" t="s">
        <v>133</v>
      </c>
      <c r="V1095">
        <v>900</v>
      </c>
      <c r="W1095">
        <v>0</v>
      </c>
      <c r="X1095">
        <v>900</v>
      </c>
      <c r="Y1095">
        <v>0</v>
      </c>
      <c r="Z1095">
        <v>0</v>
      </c>
      <c r="AA1095">
        <v>0</v>
      </c>
      <c r="AB1095">
        <v>2</v>
      </c>
      <c r="AC1095">
        <v>7</v>
      </c>
      <c r="AD1095" t="s">
        <v>134</v>
      </c>
      <c r="AE1095" t="s">
        <v>134</v>
      </c>
      <c r="AF1095" s="2">
        <v>45698</v>
      </c>
      <c r="AG1095" s="2">
        <v>46010</v>
      </c>
      <c r="AH1095" s="1">
        <v>1339.3</v>
      </c>
      <c r="AI1095" s="1">
        <v>1828.89</v>
      </c>
      <c r="AJ1095" s="1">
        <v>6696.51</v>
      </c>
      <c r="AK1095">
        <v>0</v>
      </c>
      <c r="AL1095">
        <v>0</v>
      </c>
      <c r="AM1095">
        <v>0</v>
      </c>
      <c r="AN1095" t="s">
        <v>135</v>
      </c>
      <c r="AO1095" t="s">
        <v>135</v>
      </c>
      <c r="AP1095" t="s">
        <v>136</v>
      </c>
      <c r="AQ1095" t="s">
        <v>137</v>
      </c>
      <c r="AR1095" t="s">
        <v>138</v>
      </c>
      <c r="AS1095" t="s">
        <v>139</v>
      </c>
      <c r="AT1095" t="s">
        <v>140</v>
      </c>
      <c r="AU1095">
        <v>103</v>
      </c>
      <c r="AV1095">
        <v>10</v>
      </c>
      <c r="AW1095">
        <v>1</v>
      </c>
      <c r="AX1095" s="2">
        <v>45813</v>
      </c>
      <c r="AY1095" t="s">
        <v>308</v>
      </c>
      <c r="AZ1095" s="2">
        <v>46023</v>
      </c>
      <c r="BA1095">
        <v>0</v>
      </c>
      <c r="BB1095">
        <v>0</v>
      </c>
      <c r="BC1095">
        <v>0</v>
      </c>
      <c r="BD1095">
        <v>700</v>
      </c>
      <c r="BE1095">
        <v>70</v>
      </c>
      <c r="BF1095">
        <v>9</v>
      </c>
      <c r="BG1095" s="2">
        <v>45809</v>
      </c>
      <c r="BH1095" t="s">
        <v>142</v>
      </c>
      <c r="BI1095" s="2">
        <v>46026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 s="1">
        <v>3226.69</v>
      </c>
      <c r="BQ1095" s="1">
        <v>3226.69</v>
      </c>
      <c r="BR1095">
        <v>0</v>
      </c>
      <c r="BS1095">
        <v>0</v>
      </c>
      <c r="BT1095">
        <v>0</v>
      </c>
      <c r="BU1095">
        <v>0</v>
      </c>
      <c r="BV1095">
        <v>619.6</v>
      </c>
      <c r="BW1095">
        <v>619.6</v>
      </c>
      <c r="BX1095">
        <v>0</v>
      </c>
      <c r="BY1095">
        <v>0</v>
      </c>
      <c r="BZ1095">
        <v>0</v>
      </c>
      <c r="CA1095">
        <v>0</v>
      </c>
      <c r="CB1095" s="1">
        <v>2361.9299999999998</v>
      </c>
      <c r="CC1095" t="s">
        <v>161</v>
      </c>
    </row>
    <row r="1096" spans="1:81" x14ac:dyDescent="0.25">
      <c r="A1096">
        <v>345</v>
      </c>
      <c r="B1096">
        <v>2</v>
      </c>
      <c r="C1096">
        <v>3120</v>
      </c>
      <c r="D1096" t="s">
        <v>6234</v>
      </c>
      <c r="E1096" t="s">
        <v>5780</v>
      </c>
      <c r="F1096" t="s">
        <v>6235</v>
      </c>
      <c r="G1096" t="s">
        <v>6236</v>
      </c>
      <c r="H1096" t="s">
        <v>6237</v>
      </c>
      <c r="I1096" t="s">
        <v>125</v>
      </c>
      <c r="J1096" t="s">
        <v>126</v>
      </c>
      <c r="K1096" t="s">
        <v>336</v>
      </c>
      <c r="L1096" t="s">
        <v>128</v>
      </c>
      <c r="M1096" t="s">
        <v>337</v>
      </c>
      <c r="N1096" t="s">
        <v>6238</v>
      </c>
      <c r="O1096" t="s">
        <v>131</v>
      </c>
      <c r="P1096">
        <v>0</v>
      </c>
      <c r="Q1096" t="s">
        <v>125</v>
      </c>
      <c r="R1096">
        <v>4</v>
      </c>
      <c r="S1096">
        <v>79</v>
      </c>
      <c r="T1096" t="s">
        <v>132</v>
      </c>
      <c r="U1096" t="s">
        <v>133</v>
      </c>
      <c r="V1096" s="1">
        <v>1000</v>
      </c>
      <c r="W1096">
        <v>0</v>
      </c>
      <c r="X1096" s="1">
        <v>1000</v>
      </c>
      <c r="Y1096">
        <v>7</v>
      </c>
      <c r="Z1096">
        <v>0</v>
      </c>
      <c r="AA1096">
        <v>0</v>
      </c>
      <c r="AB1096">
        <v>0</v>
      </c>
      <c r="AC1096">
        <v>0</v>
      </c>
      <c r="AD1096" t="s">
        <v>134</v>
      </c>
      <c r="AE1096" t="s">
        <v>234</v>
      </c>
      <c r="AF1096" s="2">
        <v>45698</v>
      </c>
      <c r="AG1096" s="2">
        <v>46018</v>
      </c>
      <c r="AH1096">
        <v>316.70999999999998</v>
      </c>
      <c r="AI1096">
        <v>493.5</v>
      </c>
      <c r="AJ1096" s="1">
        <v>2533.69</v>
      </c>
      <c r="AK1096">
        <v>0</v>
      </c>
      <c r="AL1096">
        <v>0</v>
      </c>
      <c r="AM1096">
        <v>0</v>
      </c>
      <c r="AN1096" t="s">
        <v>135</v>
      </c>
      <c r="AO1096" t="s">
        <v>135</v>
      </c>
      <c r="AP1096" t="s">
        <v>136</v>
      </c>
      <c r="AQ1096" t="s">
        <v>137</v>
      </c>
      <c r="AR1096" t="s">
        <v>138</v>
      </c>
      <c r="AS1096" t="s">
        <v>150</v>
      </c>
      <c r="AT1096" t="s">
        <v>140</v>
      </c>
      <c r="AU1096">
        <v>101</v>
      </c>
      <c r="AV1096">
        <v>10</v>
      </c>
      <c r="AW1096">
        <v>1</v>
      </c>
      <c r="AX1096" s="2">
        <v>45876</v>
      </c>
      <c r="AY1096" t="s">
        <v>308</v>
      </c>
      <c r="AZ1096" s="2">
        <v>46023</v>
      </c>
      <c r="BA1096">
        <v>0</v>
      </c>
      <c r="BB1096">
        <v>0</v>
      </c>
      <c r="BC1096">
        <v>0</v>
      </c>
      <c r="BD1096">
        <v>700</v>
      </c>
      <c r="BE1096">
        <v>70</v>
      </c>
      <c r="BF1096">
        <v>9</v>
      </c>
      <c r="BG1096" s="2">
        <v>45809</v>
      </c>
      <c r="BH1096" t="s">
        <v>142</v>
      </c>
      <c r="BI1096" s="2">
        <v>46026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910.66</v>
      </c>
      <c r="BQ1096">
        <v>910.66</v>
      </c>
      <c r="BR1096">
        <v>0</v>
      </c>
      <c r="BS1096">
        <v>0</v>
      </c>
      <c r="BT1096">
        <v>0</v>
      </c>
      <c r="BU1096">
        <v>0</v>
      </c>
      <c r="BV1096">
        <v>838.61</v>
      </c>
      <c r="BW1096">
        <v>838.61</v>
      </c>
      <c r="BX1096">
        <v>0</v>
      </c>
      <c r="BY1096">
        <v>0</v>
      </c>
      <c r="BZ1096">
        <v>0</v>
      </c>
      <c r="CA1096">
        <v>0</v>
      </c>
      <c r="CB1096">
        <v>862.09</v>
      </c>
      <c r="CC1096" t="s">
        <v>143</v>
      </c>
    </row>
    <row r="1097" spans="1:81" x14ac:dyDescent="0.25">
      <c r="A1097">
        <v>345</v>
      </c>
      <c r="B1097">
        <v>2</v>
      </c>
      <c r="C1097">
        <v>3121</v>
      </c>
      <c r="D1097" t="s">
        <v>6239</v>
      </c>
      <c r="E1097" t="s">
        <v>121</v>
      </c>
      <c r="F1097" t="s">
        <v>6240</v>
      </c>
      <c r="G1097" t="s">
        <v>6241</v>
      </c>
      <c r="H1097" t="s">
        <v>6242</v>
      </c>
      <c r="I1097" t="s">
        <v>6243</v>
      </c>
      <c r="J1097" t="s">
        <v>4254</v>
      </c>
      <c r="K1097" t="s">
        <v>4248</v>
      </c>
      <c r="L1097" t="s">
        <v>128</v>
      </c>
      <c r="M1097" t="s">
        <v>5488</v>
      </c>
      <c r="N1097" t="s">
        <v>6244</v>
      </c>
      <c r="O1097" t="s">
        <v>201</v>
      </c>
      <c r="P1097">
        <v>0</v>
      </c>
      <c r="Q1097" t="s">
        <v>125</v>
      </c>
      <c r="R1097">
        <v>3</v>
      </c>
      <c r="S1097">
        <v>82</v>
      </c>
      <c r="T1097" t="s">
        <v>132</v>
      </c>
      <c r="U1097" t="s">
        <v>133</v>
      </c>
      <c r="V1097" s="1">
        <v>2000</v>
      </c>
      <c r="W1097">
        <v>0</v>
      </c>
      <c r="X1097" s="1">
        <v>2000</v>
      </c>
      <c r="Y1097">
        <v>7</v>
      </c>
      <c r="Z1097">
        <v>0</v>
      </c>
      <c r="AA1097">
        <v>0</v>
      </c>
      <c r="AB1097">
        <v>0</v>
      </c>
      <c r="AC1097">
        <v>0</v>
      </c>
      <c r="AD1097" t="s">
        <v>134</v>
      </c>
      <c r="AE1097" t="s">
        <v>134</v>
      </c>
      <c r="AF1097" s="2">
        <v>45699</v>
      </c>
      <c r="AG1097" s="2">
        <v>46017</v>
      </c>
      <c r="AH1097" s="1">
        <v>1541.58</v>
      </c>
      <c r="AI1097" s="1">
        <v>2251.9699999999998</v>
      </c>
      <c r="AJ1097" s="1">
        <v>7707.9</v>
      </c>
      <c r="AK1097">
        <v>0</v>
      </c>
      <c r="AL1097" s="1">
        <v>2251.9699999999998</v>
      </c>
      <c r="AM1097">
        <v>0</v>
      </c>
      <c r="AN1097" t="s">
        <v>135</v>
      </c>
      <c r="AO1097" t="s">
        <v>135</v>
      </c>
      <c r="AP1097" t="s">
        <v>136</v>
      </c>
      <c r="AQ1097" t="s">
        <v>137</v>
      </c>
      <c r="AR1097" t="s">
        <v>138</v>
      </c>
      <c r="AS1097" t="s">
        <v>150</v>
      </c>
      <c r="AT1097" t="s">
        <v>140</v>
      </c>
      <c r="AU1097">
        <v>104</v>
      </c>
      <c r="AV1097">
        <v>10</v>
      </c>
      <c r="AW1097">
        <v>1</v>
      </c>
      <c r="AX1097" s="2">
        <v>45699</v>
      </c>
      <c r="AY1097" t="s">
        <v>377</v>
      </c>
      <c r="AZ1097" s="2">
        <v>46028</v>
      </c>
      <c r="BA1097">
        <v>0</v>
      </c>
      <c r="BB1097">
        <v>0</v>
      </c>
      <c r="BC1097">
        <v>0</v>
      </c>
      <c r="BD1097">
        <v>700</v>
      </c>
      <c r="BE1097">
        <v>70</v>
      </c>
      <c r="BF1097">
        <v>9</v>
      </c>
      <c r="BG1097" s="2">
        <v>45809</v>
      </c>
      <c r="BH1097" t="s">
        <v>142</v>
      </c>
      <c r="BI1097" s="2">
        <v>46026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 s="1">
        <v>1140.55</v>
      </c>
      <c r="BQ1097" s="1">
        <v>1140.55</v>
      </c>
      <c r="BR1097">
        <v>0</v>
      </c>
      <c r="BS1097">
        <v>0</v>
      </c>
      <c r="BT1097">
        <v>0</v>
      </c>
      <c r="BU1097">
        <v>0</v>
      </c>
      <c r="BV1097" s="1">
        <v>5348.11</v>
      </c>
      <c r="BW1097" s="1">
        <v>5348.11</v>
      </c>
      <c r="BX1097">
        <v>0</v>
      </c>
      <c r="BY1097">
        <v>0</v>
      </c>
      <c r="BZ1097">
        <v>0</v>
      </c>
      <c r="CA1097">
        <v>0</v>
      </c>
      <c r="CB1097">
        <v>981.02</v>
      </c>
      <c r="CC1097" t="s">
        <v>161</v>
      </c>
    </row>
    <row r="1098" spans="1:81" x14ac:dyDescent="0.25">
      <c r="A1098">
        <v>345</v>
      </c>
      <c r="B1098">
        <v>2</v>
      </c>
      <c r="C1098">
        <v>3156</v>
      </c>
      <c r="D1098" t="s">
        <v>6245</v>
      </c>
      <c r="E1098" t="s">
        <v>5427</v>
      </c>
      <c r="F1098" t="s">
        <v>6246</v>
      </c>
      <c r="G1098" t="s">
        <v>6247</v>
      </c>
      <c r="H1098" t="s">
        <v>6248</v>
      </c>
      <c r="I1098" t="s">
        <v>6249</v>
      </c>
      <c r="J1098" t="s">
        <v>126</v>
      </c>
      <c r="K1098" t="s">
        <v>336</v>
      </c>
      <c r="L1098" t="s">
        <v>128</v>
      </c>
      <c r="M1098" t="s">
        <v>337</v>
      </c>
      <c r="N1098" t="s">
        <v>6250</v>
      </c>
      <c r="O1098" t="s">
        <v>167</v>
      </c>
      <c r="P1098">
        <v>0</v>
      </c>
      <c r="Q1098" t="s">
        <v>125</v>
      </c>
      <c r="R1098">
        <v>4</v>
      </c>
      <c r="S1098">
        <v>79</v>
      </c>
      <c r="T1098" t="s">
        <v>132</v>
      </c>
      <c r="U1098" t="s">
        <v>133</v>
      </c>
      <c r="V1098" s="1">
        <v>1000</v>
      </c>
      <c r="W1098">
        <v>986.76</v>
      </c>
      <c r="X1098">
        <v>13.24</v>
      </c>
      <c r="Y1098">
        <v>0</v>
      </c>
      <c r="Z1098">
        <v>0</v>
      </c>
      <c r="AA1098">
        <v>8</v>
      </c>
      <c r="AB1098">
        <v>0</v>
      </c>
      <c r="AC1098">
        <v>5</v>
      </c>
      <c r="AD1098" t="s">
        <v>134</v>
      </c>
      <c r="AE1098" t="s">
        <v>134</v>
      </c>
      <c r="AF1098" s="2">
        <v>45703</v>
      </c>
      <c r="AG1098" s="2">
        <v>46009</v>
      </c>
      <c r="AH1098" s="1">
        <v>2208.6799999999998</v>
      </c>
      <c r="AI1098" s="1">
        <v>2831.67</v>
      </c>
      <c r="AJ1098" s="1">
        <v>26504.16</v>
      </c>
      <c r="AK1098">
        <v>986.76</v>
      </c>
      <c r="AL1098">
        <v>0</v>
      </c>
      <c r="AM1098">
        <v>0</v>
      </c>
      <c r="AN1098" t="s">
        <v>135</v>
      </c>
      <c r="AO1098" t="s">
        <v>135</v>
      </c>
      <c r="AP1098" t="s">
        <v>136</v>
      </c>
      <c r="AQ1098" t="s">
        <v>137</v>
      </c>
      <c r="AR1098" t="s">
        <v>138</v>
      </c>
      <c r="AS1098" t="s">
        <v>139</v>
      </c>
      <c r="AT1098" t="s">
        <v>140</v>
      </c>
      <c r="AU1098">
        <v>101</v>
      </c>
      <c r="AV1098">
        <v>10</v>
      </c>
      <c r="AW1098">
        <v>1</v>
      </c>
      <c r="AX1098" s="2">
        <v>45812</v>
      </c>
      <c r="AY1098" t="s">
        <v>168</v>
      </c>
      <c r="AZ1098" s="2">
        <v>46022</v>
      </c>
      <c r="BA1098">
        <v>0</v>
      </c>
      <c r="BB1098">
        <v>0</v>
      </c>
      <c r="BC1098">
        <v>0</v>
      </c>
      <c r="BD1098">
        <v>700</v>
      </c>
      <c r="BE1098">
        <v>70</v>
      </c>
      <c r="BF1098">
        <v>9</v>
      </c>
      <c r="BG1098" s="2">
        <v>45809</v>
      </c>
      <c r="BH1098" t="s">
        <v>142</v>
      </c>
      <c r="BI1098" s="2">
        <v>46026</v>
      </c>
      <c r="BJ1098">
        <v>0</v>
      </c>
      <c r="BK1098">
        <v>0</v>
      </c>
      <c r="BL1098">
        <v>0</v>
      </c>
      <c r="BM1098">
        <v>7</v>
      </c>
      <c r="BN1098">
        <v>2.92</v>
      </c>
      <c r="BO1098" s="1">
        <v>2922.75</v>
      </c>
      <c r="BP1098" s="1">
        <v>4075.71</v>
      </c>
      <c r="BQ1098" s="1">
        <v>6998.46</v>
      </c>
      <c r="BR1098">
        <v>0</v>
      </c>
      <c r="BS1098">
        <v>7.34</v>
      </c>
      <c r="BT1098">
        <v>2.82</v>
      </c>
      <c r="BU1098" s="1">
        <v>2920.99</v>
      </c>
      <c r="BV1098" s="1">
        <v>4669.47</v>
      </c>
      <c r="BW1098" s="1">
        <v>7590.46</v>
      </c>
      <c r="BX1098">
        <v>0</v>
      </c>
      <c r="BY1098">
        <v>0</v>
      </c>
      <c r="BZ1098">
        <v>0</v>
      </c>
      <c r="CA1098">
        <v>0</v>
      </c>
      <c r="CB1098" s="1">
        <v>8866.7000000000007</v>
      </c>
      <c r="CC1098" t="s">
        <v>161</v>
      </c>
    </row>
    <row r="1099" spans="1:81" x14ac:dyDescent="0.25">
      <c r="A1099">
        <v>345</v>
      </c>
      <c r="B1099">
        <v>2</v>
      </c>
      <c r="C1099">
        <v>3157</v>
      </c>
      <c r="D1099" t="s">
        <v>6251</v>
      </c>
      <c r="E1099" t="s">
        <v>121</v>
      </c>
      <c r="F1099" t="s">
        <v>6252</v>
      </c>
      <c r="G1099" t="s">
        <v>6253</v>
      </c>
      <c r="H1099" t="s">
        <v>594</v>
      </c>
      <c r="I1099" t="s">
        <v>6254</v>
      </c>
      <c r="J1099" t="s">
        <v>565</v>
      </c>
      <c r="K1099" t="s">
        <v>336</v>
      </c>
      <c r="L1099" t="s">
        <v>128</v>
      </c>
      <c r="M1099" t="s">
        <v>337</v>
      </c>
      <c r="N1099" t="s">
        <v>6255</v>
      </c>
      <c r="O1099" t="s">
        <v>149</v>
      </c>
      <c r="P1099">
        <v>0</v>
      </c>
      <c r="Q1099" t="s">
        <v>125</v>
      </c>
      <c r="R1099">
        <v>3</v>
      </c>
      <c r="S1099">
        <v>87</v>
      </c>
      <c r="T1099" t="s">
        <v>132</v>
      </c>
      <c r="U1099" t="s">
        <v>133</v>
      </c>
      <c r="V1099" s="1">
        <v>10500</v>
      </c>
      <c r="W1099">
        <v>0</v>
      </c>
      <c r="X1099" s="1">
        <v>10500</v>
      </c>
      <c r="Y1099">
        <v>7</v>
      </c>
      <c r="Z1099">
        <v>0</v>
      </c>
      <c r="AA1099">
        <v>0</v>
      </c>
      <c r="AB1099">
        <v>0</v>
      </c>
      <c r="AC1099">
        <v>0</v>
      </c>
      <c r="AD1099" t="s">
        <v>134</v>
      </c>
      <c r="AE1099" t="s">
        <v>134</v>
      </c>
      <c r="AF1099" s="2">
        <v>45705</v>
      </c>
      <c r="AG1099" s="2">
        <v>46014</v>
      </c>
      <c r="AH1099" s="1">
        <v>7807.28</v>
      </c>
      <c r="AI1099" s="1">
        <v>20830.88</v>
      </c>
      <c r="AJ1099" s="1">
        <v>78072.88</v>
      </c>
      <c r="AK1099">
        <v>0</v>
      </c>
      <c r="AL1099">
        <v>0</v>
      </c>
      <c r="AM1099">
        <v>0</v>
      </c>
      <c r="AN1099" t="s">
        <v>135</v>
      </c>
      <c r="AO1099" t="s">
        <v>135</v>
      </c>
      <c r="AP1099" t="s">
        <v>136</v>
      </c>
      <c r="AQ1099" t="s">
        <v>137</v>
      </c>
      <c r="AR1099" t="s">
        <v>138</v>
      </c>
      <c r="AS1099" t="s">
        <v>139</v>
      </c>
      <c r="AT1099" t="s">
        <v>140</v>
      </c>
      <c r="AU1099">
        <v>501</v>
      </c>
      <c r="AV1099">
        <v>10</v>
      </c>
      <c r="AW1099">
        <v>1</v>
      </c>
      <c r="AX1099" s="2">
        <v>45859</v>
      </c>
      <c r="AY1099" t="s">
        <v>141</v>
      </c>
      <c r="AZ1099" s="2">
        <v>46027</v>
      </c>
      <c r="BA1099">
        <v>0</v>
      </c>
      <c r="BB1099">
        <v>0</v>
      </c>
      <c r="BC1099">
        <v>0</v>
      </c>
      <c r="BD1099">
        <v>700</v>
      </c>
      <c r="BE1099">
        <v>70</v>
      </c>
      <c r="BF1099">
        <v>9</v>
      </c>
      <c r="BG1099" s="2">
        <v>45809</v>
      </c>
      <c r="BH1099" t="s">
        <v>142</v>
      </c>
      <c r="BI1099" s="2">
        <v>46026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 s="1">
        <v>11759.31</v>
      </c>
      <c r="BQ1099" s="1">
        <v>11759.31</v>
      </c>
      <c r="BR1099">
        <v>0</v>
      </c>
      <c r="BS1099">
        <v>0</v>
      </c>
      <c r="BT1099">
        <v>0</v>
      </c>
      <c r="BU1099">
        <v>0</v>
      </c>
      <c r="BV1099" s="1">
        <v>41405.03</v>
      </c>
      <c r="BW1099" s="1">
        <v>41405.03</v>
      </c>
      <c r="BX1099">
        <v>0</v>
      </c>
      <c r="BY1099">
        <v>0</v>
      </c>
      <c r="BZ1099">
        <v>0</v>
      </c>
      <c r="CA1099">
        <v>0</v>
      </c>
      <c r="CB1099" s="1">
        <v>17486.46</v>
      </c>
      <c r="CC1099" t="s">
        <v>161</v>
      </c>
    </row>
    <row r="1100" spans="1:81" x14ac:dyDescent="0.25">
      <c r="A1100">
        <v>345</v>
      </c>
      <c r="B1100">
        <v>2</v>
      </c>
      <c r="C1100">
        <v>3158</v>
      </c>
      <c r="D1100" t="s">
        <v>6256</v>
      </c>
      <c r="E1100" t="s">
        <v>121</v>
      </c>
      <c r="F1100" t="s">
        <v>6257</v>
      </c>
      <c r="G1100" t="s">
        <v>6258</v>
      </c>
      <c r="H1100" t="s">
        <v>6259</v>
      </c>
      <c r="I1100" t="s">
        <v>6260</v>
      </c>
      <c r="J1100" t="s">
        <v>781</v>
      </c>
      <c r="K1100" t="s">
        <v>336</v>
      </c>
      <c r="L1100" t="s">
        <v>128</v>
      </c>
      <c r="M1100" t="s">
        <v>467</v>
      </c>
      <c r="N1100" t="s">
        <v>6261</v>
      </c>
      <c r="O1100" t="s">
        <v>201</v>
      </c>
      <c r="P1100">
        <v>0</v>
      </c>
      <c r="Q1100" t="s">
        <v>125</v>
      </c>
      <c r="R1100">
        <v>3</v>
      </c>
      <c r="S1100">
        <v>86</v>
      </c>
      <c r="T1100" t="s">
        <v>132</v>
      </c>
      <c r="U1100" t="s">
        <v>133</v>
      </c>
      <c r="V1100" s="1">
        <v>2300</v>
      </c>
      <c r="W1100">
        <v>0</v>
      </c>
      <c r="X1100" s="1">
        <v>2300</v>
      </c>
      <c r="Y1100">
        <v>7</v>
      </c>
      <c r="Z1100">
        <v>0</v>
      </c>
      <c r="AA1100">
        <v>0</v>
      </c>
      <c r="AB1100">
        <v>0</v>
      </c>
      <c r="AC1100">
        <v>0</v>
      </c>
      <c r="AD1100" t="s">
        <v>134</v>
      </c>
      <c r="AE1100" t="s">
        <v>134</v>
      </c>
      <c r="AF1100" s="2">
        <v>45705</v>
      </c>
      <c r="AG1100" s="2">
        <v>46008</v>
      </c>
      <c r="AH1100">
        <v>663.45</v>
      </c>
      <c r="AI1100" s="1">
        <v>2193.6</v>
      </c>
      <c r="AJ1100" s="1">
        <v>3980.74</v>
      </c>
      <c r="AK1100">
        <v>0</v>
      </c>
      <c r="AL1100">
        <v>0</v>
      </c>
      <c r="AM1100">
        <v>0</v>
      </c>
      <c r="AN1100" t="s">
        <v>135</v>
      </c>
      <c r="AO1100" t="s">
        <v>135</v>
      </c>
      <c r="AP1100" t="s">
        <v>136</v>
      </c>
      <c r="AQ1100" t="s">
        <v>137</v>
      </c>
      <c r="AR1100" t="s">
        <v>138</v>
      </c>
      <c r="AS1100" t="s">
        <v>139</v>
      </c>
      <c r="AT1100" t="s">
        <v>140</v>
      </c>
      <c r="AU1100">
        <v>103</v>
      </c>
      <c r="AV1100">
        <v>10</v>
      </c>
      <c r="AW1100">
        <v>1</v>
      </c>
      <c r="AX1100" s="2">
        <v>45839</v>
      </c>
      <c r="AY1100" t="s">
        <v>377</v>
      </c>
      <c r="AZ1100" s="2">
        <v>46028</v>
      </c>
      <c r="BA1100">
        <v>0</v>
      </c>
      <c r="BB1100">
        <v>0</v>
      </c>
      <c r="BC1100">
        <v>0</v>
      </c>
      <c r="BD1100">
        <v>700</v>
      </c>
      <c r="BE1100">
        <v>70</v>
      </c>
      <c r="BF1100">
        <v>9</v>
      </c>
      <c r="BG1100" s="2">
        <v>45809</v>
      </c>
      <c r="BH1100" t="s">
        <v>142</v>
      </c>
      <c r="BI1100" s="2">
        <v>46026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 s="1">
        <v>2434.9499999999998</v>
      </c>
      <c r="BQ1100" s="1">
        <v>2434.9499999999998</v>
      </c>
      <c r="BR1100">
        <v>0</v>
      </c>
      <c r="BS1100">
        <v>0</v>
      </c>
      <c r="BT1100">
        <v>0</v>
      </c>
      <c r="BU1100">
        <v>0</v>
      </c>
      <c r="BV1100">
        <v>504.6</v>
      </c>
      <c r="BW1100">
        <v>504.6</v>
      </c>
      <c r="BX1100">
        <v>0</v>
      </c>
      <c r="BY1100">
        <v>0</v>
      </c>
      <c r="BZ1100">
        <v>0</v>
      </c>
      <c r="CA1100">
        <v>0</v>
      </c>
      <c r="CB1100" s="1">
        <v>2580.61</v>
      </c>
      <c r="CC1100" t="s">
        <v>161</v>
      </c>
    </row>
    <row r="1101" spans="1:81" x14ac:dyDescent="0.25">
      <c r="A1101">
        <v>345</v>
      </c>
      <c r="B1101">
        <v>2</v>
      </c>
      <c r="C1101">
        <v>3159</v>
      </c>
      <c r="D1101" t="s">
        <v>6262</v>
      </c>
      <c r="E1101" t="s">
        <v>121</v>
      </c>
      <c r="F1101" t="s">
        <v>6263</v>
      </c>
      <c r="G1101" t="s">
        <v>6264</v>
      </c>
      <c r="H1101" t="s">
        <v>6265</v>
      </c>
      <c r="I1101" t="s">
        <v>6266</v>
      </c>
      <c r="J1101" t="s">
        <v>3074</v>
      </c>
      <c r="K1101" t="s">
        <v>1853</v>
      </c>
      <c r="L1101" t="s">
        <v>128</v>
      </c>
      <c r="M1101" t="s">
        <v>1854</v>
      </c>
      <c r="N1101" t="s">
        <v>6267</v>
      </c>
      <c r="O1101" t="s">
        <v>296</v>
      </c>
      <c r="P1101">
        <v>0</v>
      </c>
      <c r="Q1101" t="s">
        <v>125</v>
      </c>
      <c r="R1101">
        <v>5</v>
      </c>
      <c r="S1101">
        <v>60</v>
      </c>
      <c r="T1101" t="s">
        <v>132</v>
      </c>
      <c r="U1101" t="s">
        <v>133</v>
      </c>
      <c r="V1101">
        <v>174</v>
      </c>
      <c r="W1101">
        <v>0</v>
      </c>
      <c r="X1101">
        <v>174</v>
      </c>
      <c r="Y1101">
        <v>0</v>
      </c>
      <c r="Z1101">
        <v>0</v>
      </c>
      <c r="AA1101">
        <v>5</v>
      </c>
      <c r="AB1101">
        <v>3</v>
      </c>
      <c r="AC1101">
        <v>33</v>
      </c>
      <c r="AD1101" t="s">
        <v>134</v>
      </c>
      <c r="AE1101" t="s">
        <v>134</v>
      </c>
      <c r="AF1101" s="2">
        <v>45705</v>
      </c>
      <c r="AG1101" s="2">
        <v>46017</v>
      </c>
      <c r="AH1101" s="1">
        <v>1942.75</v>
      </c>
      <c r="AI1101" s="1">
        <v>1942.75</v>
      </c>
      <c r="AJ1101" s="1">
        <v>1942.75</v>
      </c>
      <c r="AK1101">
        <v>0</v>
      </c>
      <c r="AL1101">
        <v>0</v>
      </c>
      <c r="AM1101">
        <v>0</v>
      </c>
      <c r="AN1101" t="s">
        <v>135</v>
      </c>
      <c r="AO1101" t="s">
        <v>135</v>
      </c>
      <c r="AP1101" t="s">
        <v>136</v>
      </c>
      <c r="AQ1101" t="s">
        <v>137</v>
      </c>
      <c r="AR1101" t="s">
        <v>138</v>
      </c>
      <c r="AS1101" t="s">
        <v>150</v>
      </c>
      <c r="AT1101" t="s">
        <v>140</v>
      </c>
      <c r="AU1101">
        <v>106</v>
      </c>
      <c r="AV1101">
        <v>10</v>
      </c>
      <c r="AW1101">
        <v>1</v>
      </c>
      <c r="AX1101" s="2">
        <v>45854</v>
      </c>
      <c r="AY1101" t="s">
        <v>168</v>
      </c>
      <c r="AZ1101" s="2">
        <v>46022</v>
      </c>
      <c r="BA1101">
        <v>0</v>
      </c>
      <c r="BB1101">
        <v>0</v>
      </c>
      <c r="BC1101">
        <v>0</v>
      </c>
      <c r="BD1101">
        <v>700</v>
      </c>
      <c r="BE1101">
        <v>70</v>
      </c>
      <c r="BF1101">
        <v>9</v>
      </c>
      <c r="BG1101" s="2">
        <v>45809</v>
      </c>
      <c r="BH1101" t="s">
        <v>142</v>
      </c>
      <c r="BI1101" s="2">
        <v>46026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s="1">
        <v>1942.75</v>
      </c>
      <c r="BW1101" s="1">
        <v>1942.75</v>
      </c>
      <c r="BX1101">
        <v>0</v>
      </c>
      <c r="BY1101">
        <v>0</v>
      </c>
      <c r="BZ1101">
        <v>0</v>
      </c>
      <c r="CA1101">
        <v>0</v>
      </c>
      <c r="CB1101">
        <v>58.02</v>
      </c>
      <c r="CC1101" t="s">
        <v>161</v>
      </c>
    </row>
    <row r="1102" spans="1:81" x14ac:dyDescent="0.25">
      <c r="A1102">
        <v>345</v>
      </c>
      <c r="B1102">
        <v>2</v>
      </c>
      <c r="C1102">
        <v>3161</v>
      </c>
      <c r="D1102" t="s">
        <v>6268</v>
      </c>
      <c r="E1102" t="s">
        <v>121</v>
      </c>
      <c r="F1102" t="s">
        <v>6269</v>
      </c>
      <c r="G1102" t="s">
        <v>6270</v>
      </c>
      <c r="H1102" t="s">
        <v>6271</v>
      </c>
      <c r="I1102" t="s">
        <v>6272</v>
      </c>
      <c r="J1102" t="s">
        <v>499</v>
      </c>
      <c r="K1102" t="s">
        <v>336</v>
      </c>
      <c r="L1102" t="s">
        <v>128</v>
      </c>
      <c r="M1102" t="s">
        <v>337</v>
      </c>
      <c r="N1102" t="s">
        <v>6273</v>
      </c>
      <c r="O1102" t="s">
        <v>201</v>
      </c>
      <c r="P1102">
        <v>0</v>
      </c>
      <c r="Q1102" t="s">
        <v>125</v>
      </c>
      <c r="R1102">
        <v>3</v>
      </c>
      <c r="S1102">
        <v>82</v>
      </c>
      <c r="T1102" t="s">
        <v>132</v>
      </c>
      <c r="U1102" t="s">
        <v>133</v>
      </c>
      <c r="V1102" s="1">
        <v>1000</v>
      </c>
      <c r="W1102">
        <v>0</v>
      </c>
      <c r="X1102" s="1">
        <v>1000</v>
      </c>
      <c r="Y1102">
        <v>7</v>
      </c>
      <c r="Z1102">
        <v>0</v>
      </c>
      <c r="AA1102">
        <v>7</v>
      </c>
      <c r="AB1102">
        <v>0</v>
      </c>
      <c r="AC1102">
        <v>12</v>
      </c>
      <c r="AD1102" t="s">
        <v>134</v>
      </c>
      <c r="AE1102" t="s">
        <v>134</v>
      </c>
      <c r="AF1102" s="2">
        <v>45705</v>
      </c>
      <c r="AG1102" s="2">
        <v>46013</v>
      </c>
      <c r="AH1102">
        <v>539.38</v>
      </c>
      <c r="AI1102">
        <v>707.45</v>
      </c>
      <c r="AJ1102" s="1">
        <v>6472.62</v>
      </c>
      <c r="AK1102">
        <v>0</v>
      </c>
      <c r="AL1102">
        <v>0</v>
      </c>
      <c r="AM1102">
        <v>0</v>
      </c>
      <c r="AN1102" t="s">
        <v>135</v>
      </c>
      <c r="AO1102" t="s">
        <v>135</v>
      </c>
      <c r="AP1102" t="s">
        <v>136</v>
      </c>
      <c r="AQ1102" t="s">
        <v>137</v>
      </c>
      <c r="AR1102" t="s">
        <v>138</v>
      </c>
      <c r="AS1102" t="s">
        <v>139</v>
      </c>
      <c r="AT1102" t="s">
        <v>140</v>
      </c>
      <c r="AU1102">
        <v>101</v>
      </c>
      <c r="AV1102">
        <v>10</v>
      </c>
      <c r="AW1102">
        <v>1</v>
      </c>
      <c r="AX1102" s="2">
        <v>45815</v>
      </c>
      <c r="AY1102" t="s">
        <v>160</v>
      </c>
      <c r="AZ1102" s="2">
        <v>46025</v>
      </c>
      <c r="BA1102">
        <v>0</v>
      </c>
      <c r="BB1102">
        <v>0</v>
      </c>
      <c r="BC1102">
        <v>0</v>
      </c>
      <c r="BD1102">
        <v>700</v>
      </c>
      <c r="BE1102">
        <v>70</v>
      </c>
      <c r="BF1102">
        <v>9</v>
      </c>
      <c r="BG1102" s="2">
        <v>45809</v>
      </c>
      <c r="BH1102" t="s">
        <v>142</v>
      </c>
      <c r="BI1102" s="2">
        <v>46026</v>
      </c>
      <c r="BJ1102">
        <v>0</v>
      </c>
      <c r="BK1102">
        <v>0</v>
      </c>
      <c r="BL1102">
        <v>0</v>
      </c>
      <c r="BM1102">
        <v>3.51</v>
      </c>
      <c r="BN1102">
        <v>3.51</v>
      </c>
      <c r="BO1102" s="1">
        <v>1801.54</v>
      </c>
      <c r="BP1102">
        <v>0</v>
      </c>
      <c r="BQ1102" s="1">
        <v>1801.54</v>
      </c>
      <c r="BR1102">
        <v>0</v>
      </c>
      <c r="BS1102">
        <v>3.21</v>
      </c>
      <c r="BT1102">
        <v>3.21</v>
      </c>
      <c r="BU1102" s="1">
        <v>2372.64</v>
      </c>
      <c r="BV1102">
        <v>0</v>
      </c>
      <c r="BW1102" s="1">
        <v>2372.64</v>
      </c>
      <c r="BX1102">
        <v>0</v>
      </c>
      <c r="BY1102">
        <v>0</v>
      </c>
      <c r="BZ1102">
        <v>0</v>
      </c>
      <c r="CA1102">
        <v>0</v>
      </c>
      <c r="CB1102" s="1">
        <v>2348.9499999999998</v>
      </c>
      <c r="CC1102" t="s">
        <v>161</v>
      </c>
    </row>
    <row r="1103" spans="1:81" x14ac:dyDescent="0.25">
      <c r="A1103">
        <v>345</v>
      </c>
      <c r="B1103">
        <v>2</v>
      </c>
      <c r="C1103">
        <v>3162</v>
      </c>
      <c r="D1103" t="s">
        <v>6274</v>
      </c>
      <c r="E1103" t="s">
        <v>121</v>
      </c>
      <c r="F1103" t="s">
        <v>6275</v>
      </c>
      <c r="G1103" t="s">
        <v>6276</v>
      </c>
      <c r="H1103" t="s">
        <v>6277</v>
      </c>
      <c r="I1103" t="s">
        <v>6278</v>
      </c>
      <c r="J1103" t="s">
        <v>3891</v>
      </c>
      <c r="K1103" t="s">
        <v>466</v>
      </c>
      <c r="L1103" t="s">
        <v>128</v>
      </c>
      <c r="M1103" t="s">
        <v>467</v>
      </c>
      <c r="N1103" t="s">
        <v>6279</v>
      </c>
      <c r="O1103" t="s">
        <v>159</v>
      </c>
      <c r="P1103">
        <v>0</v>
      </c>
      <c r="Q1103" t="s">
        <v>125</v>
      </c>
      <c r="R1103">
        <v>4</v>
      </c>
      <c r="S1103">
        <v>81</v>
      </c>
      <c r="T1103" t="s">
        <v>132</v>
      </c>
      <c r="U1103" t="s">
        <v>133</v>
      </c>
      <c r="V1103" s="1">
        <v>1000</v>
      </c>
      <c r="W1103">
        <v>0</v>
      </c>
      <c r="X1103" s="1">
        <v>1000</v>
      </c>
      <c r="Y1103">
        <v>7</v>
      </c>
      <c r="Z1103">
        <v>0</v>
      </c>
      <c r="AA1103">
        <v>0</v>
      </c>
      <c r="AB1103">
        <v>0</v>
      </c>
      <c r="AC1103">
        <v>0</v>
      </c>
      <c r="AD1103" t="s">
        <v>134</v>
      </c>
      <c r="AE1103" t="s">
        <v>134</v>
      </c>
      <c r="AF1103" s="2">
        <v>45705</v>
      </c>
      <c r="AG1103" s="2">
        <v>45981</v>
      </c>
      <c r="AH1103">
        <v>40.299999999999997</v>
      </c>
      <c r="AI1103">
        <v>63.25</v>
      </c>
      <c r="AJ1103">
        <v>161.21</v>
      </c>
      <c r="AK1103">
        <v>0</v>
      </c>
      <c r="AL1103">
        <v>0</v>
      </c>
      <c r="AM1103">
        <v>0</v>
      </c>
      <c r="AN1103" t="s">
        <v>135</v>
      </c>
      <c r="AO1103" t="s">
        <v>135</v>
      </c>
      <c r="AP1103" t="s">
        <v>136</v>
      </c>
      <c r="AQ1103" t="s">
        <v>137</v>
      </c>
      <c r="AR1103" t="s">
        <v>138</v>
      </c>
      <c r="AS1103" t="s">
        <v>150</v>
      </c>
      <c r="AT1103" t="s">
        <v>140</v>
      </c>
      <c r="AU1103">
        <v>100</v>
      </c>
      <c r="AV1103">
        <v>10</v>
      </c>
      <c r="AW1103">
        <v>1</v>
      </c>
      <c r="AX1103" s="2">
        <v>45812</v>
      </c>
      <c r="AY1103" t="s">
        <v>168</v>
      </c>
      <c r="AZ1103" s="2">
        <v>46022</v>
      </c>
      <c r="BA1103">
        <v>0</v>
      </c>
      <c r="BB1103">
        <v>0</v>
      </c>
      <c r="BC1103">
        <v>0</v>
      </c>
      <c r="BD1103">
        <v>700</v>
      </c>
      <c r="BE1103">
        <v>70</v>
      </c>
      <c r="BF1103">
        <v>9</v>
      </c>
      <c r="BG1103" s="2">
        <v>45809</v>
      </c>
      <c r="BH1103" t="s">
        <v>142</v>
      </c>
      <c r="BI1103" s="2">
        <v>46026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40.659999999999997</v>
      </c>
      <c r="BQ1103">
        <v>40.659999999999997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91.93</v>
      </c>
      <c r="CC1103" t="s">
        <v>161</v>
      </c>
    </row>
    <row r="1104" spans="1:81" x14ac:dyDescent="0.25">
      <c r="A1104">
        <v>345</v>
      </c>
      <c r="B1104">
        <v>2</v>
      </c>
      <c r="C1104">
        <v>3163</v>
      </c>
      <c r="D1104" t="s">
        <v>6280</v>
      </c>
      <c r="E1104" t="s">
        <v>121</v>
      </c>
      <c r="F1104" t="s">
        <v>6281</v>
      </c>
      <c r="G1104" t="s">
        <v>6282</v>
      </c>
      <c r="H1104" t="s">
        <v>6283</v>
      </c>
      <c r="I1104" t="s">
        <v>6284</v>
      </c>
      <c r="J1104" t="s">
        <v>6285</v>
      </c>
      <c r="K1104" t="s">
        <v>1853</v>
      </c>
      <c r="L1104" t="s">
        <v>128</v>
      </c>
      <c r="M1104" t="s">
        <v>1854</v>
      </c>
      <c r="N1104" t="s">
        <v>6286</v>
      </c>
      <c r="O1104" t="s">
        <v>159</v>
      </c>
      <c r="P1104">
        <v>0</v>
      </c>
      <c r="Q1104" t="s">
        <v>125</v>
      </c>
      <c r="R1104">
        <v>5</v>
      </c>
      <c r="S1104">
        <v>65</v>
      </c>
      <c r="T1104" t="s">
        <v>132</v>
      </c>
      <c r="U1104" t="s">
        <v>133</v>
      </c>
      <c r="V1104" s="1">
        <v>1000</v>
      </c>
      <c r="W1104">
        <v>0</v>
      </c>
      <c r="X1104" s="1">
        <v>1000</v>
      </c>
      <c r="Y1104">
        <v>7</v>
      </c>
      <c r="Z1104">
        <v>0</v>
      </c>
      <c r="AA1104">
        <v>5</v>
      </c>
      <c r="AB1104">
        <v>0</v>
      </c>
      <c r="AC1104">
        <v>36</v>
      </c>
      <c r="AD1104" t="s">
        <v>134</v>
      </c>
      <c r="AE1104" t="s">
        <v>134</v>
      </c>
      <c r="AF1104" s="2">
        <v>45705</v>
      </c>
      <c r="AG1104" s="2">
        <v>45961</v>
      </c>
      <c r="AH1104">
        <v>769.57</v>
      </c>
      <c r="AI1104" s="1">
        <v>1755.7</v>
      </c>
      <c r="AJ1104" s="1">
        <v>2308.71</v>
      </c>
      <c r="AK1104">
        <v>0</v>
      </c>
      <c r="AL1104">
        <v>0</v>
      </c>
      <c r="AM1104">
        <v>0</v>
      </c>
      <c r="AN1104" t="s">
        <v>135</v>
      </c>
      <c r="AO1104" t="s">
        <v>135</v>
      </c>
      <c r="AP1104" t="s">
        <v>136</v>
      </c>
      <c r="AQ1104" t="s">
        <v>137</v>
      </c>
      <c r="AR1104" t="s">
        <v>138</v>
      </c>
      <c r="AS1104" t="s">
        <v>139</v>
      </c>
      <c r="AT1104" t="s">
        <v>140</v>
      </c>
      <c r="AU1104">
        <v>500</v>
      </c>
      <c r="AV1104">
        <v>10</v>
      </c>
      <c r="AW1104">
        <v>1</v>
      </c>
      <c r="AX1104" s="2">
        <v>45813</v>
      </c>
      <c r="AY1104" t="s">
        <v>308</v>
      </c>
      <c r="AZ1104" s="2">
        <v>46023</v>
      </c>
      <c r="BA1104">
        <v>0</v>
      </c>
      <c r="BB1104">
        <v>0</v>
      </c>
      <c r="BC1104">
        <v>0</v>
      </c>
      <c r="BD1104">
        <v>700</v>
      </c>
      <c r="BE1104">
        <v>70</v>
      </c>
      <c r="BF1104">
        <v>9</v>
      </c>
      <c r="BG1104" s="2">
        <v>45809</v>
      </c>
      <c r="BH1104" t="s">
        <v>142</v>
      </c>
      <c r="BI1104" s="2">
        <v>46026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959.36</v>
      </c>
      <c r="CC1104" t="s">
        <v>161</v>
      </c>
    </row>
    <row r="1105" spans="1:81" x14ac:dyDescent="0.25">
      <c r="A1105">
        <v>345</v>
      </c>
      <c r="B1105">
        <v>2</v>
      </c>
      <c r="C1105">
        <v>3164</v>
      </c>
      <c r="D1105" t="s">
        <v>6287</v>
      </c>
      <c r="E1105" t="s">
        <v>121</v>
      </c>
      <c r="F1105" t="s">
        <v>6288</v>
      </c>
      <c r="G1105" t="s">
        <v>6289</v>
      </c>
      <c r="H1105" t="s">
        <v>6290</v>
      </c>
      <c r="I1105" t="s">
        <v>6291</v>
      </c>
      <c r="J1105" t="s">
        <v>126</v>
      </c>
      <c r="K1105" t="s">
        <v>1853</v>
      </c>
      <c r="L1105" t="s">
        <v>128</v>
      </c>
      <c r="M1105" t="s">
        <v>1854</v>
      </c>
      <c r="N1105" t="s">
        <v>6292</v>
      </c>
      <c r="O1105" t="s">
        <v>159</v>
      </c>
      <c r="P1105">
        <v>0</v>
      </c>
      <c r="Q1105" t="s">
        <v>125</v>
      </c>
      <c r="R1105">
        <v>5</v>
      </c>
      <c r="S1105">
        <v>58</v>
      </c>
      <c r="T1105" t="s">
        <v>132</v>
      </c>
      <c r="U1105" t="s">
        <v>133</v>
      </c>
      <c r="V1105" s="1">
        <v>1000</v>
      </c>
      <c r="W1105">
        <v>934.38</v>
      </c>
      <c r="X1105">
        <v>65.62</v>
      </c>
      <c r="Y1105">
        <v>0</v>
      </c>
      <c r="Z1105">
        <v>0</v>
      </c>
      <c r="AA1105">
        <v>9</v>
      </c>
      <c r="AB1105">
        <v>3</v>
      </c>
      <c r="AC1105">
        <v>53</v>
      </c>
      <c r="AD1105" t="s">
        <v>134</v>
      </c>
      <c r="AE1105" t="s">
        <v>134</v>
      </c>
      <c r="AF1105" s="2">
        <v>45705</v>
      </c>
      <c r="AG1105" s="2">
        <v>46011</v>
      </c>
      <c r="AH1105">
        <v>948.19</v>
      </c>
      <c r="AI1105" s="1">
        <v>1327.9</v>
      </c>
      <c r="AJ1105" s="1">
        <v>4740.9799999999996</v>
      </c>
      <c r="AK1105">
        <v>934.38</v>
      </c>
      <c r="AL1105">
        <v>0</v>
      </c>
      <c r="AM1105">
        <v>0</v>
      </c>
      <c r="AN1105" t="s">
        <v>135</v>
      </c>
      <c r="AO1105" t="s">
        <v>135</v>
      </c>
      <c r="AP1105" t="s">
        <v>136</v>
      </c>
      <c r="AQ1105" t="s">
        <v>137</v>
      </c>
      <c r="AR1105" t="s">
        <v>138</v>
      </c>
      <c r="AS1105" t="s">
        <v>150</v>
      </c>
      <c r="AT1105" t="s">
        <v>140</v>
      </c>
      <c r="AU1105">
        <v>500</v>
      </c>
      <c r="AV1105">
        <v>10</v>
      </c>
      <c r="AW1105">
        <v>1</v>
      </c>
      <c r="AX1105" s="2">
        <v>45863</v>
      </c>
      <c r="AY1105" t="s">
        <v>151</v>
      </c>
      <c r="AZ1105" s="2">
        <v>46024</v>
      </c>
      <c r="BA1105">
        <v>0</v>
      </c>
      <c r="BB1105">
        <v>0</v>
      </c>
      <c r="BC1105">
        <v>0</v>
      </c>
      <c r="BD1105">
        <v>700</v>
      </c>
      <c r="BE1105">
        <v>70</v>
      </c>
      <c r="BF1105">
        <v>9</v>
      </c>
      <c r="BG1105" s="2">
        <v>45809</v>
      </c>
      <c r="BH1105" t="s">
        <v>142</v>
      </c>
      <c r="BI1105" s="2">
        <v>46026</v>
      </c>
      <c r="BJ1105">
        <v>0</v>
      </c>
      <c r="BK1105">
        <v>0</v>
      </c>
      <c r="BL1105">
        <v>0</v>
      </c>
      <c r="BM1105">
        <v>5</v>
      </c>
      <c r="BN1105">
        <v>3.28</v>
      </c>
      <c r="BO1105">
        <v>871.08</v>
      </c>
      <c r="BP1105">
        <v>456.82</v>
      </c>
      <c r="BQ1105" s="1">
        <v>1327.9</v>
      </c>
      <c r="BR1105">
        <v>0</v>
      </c>
      <c r="BS1105">
        <v>9</v>
      </c>
      <c r="BT1105">
        <v>9</v>
      </c>
      <c r="BU1105" s="1">
        <v>1810.33</v>
      </c>
      <c r="BV1105">
        <v>0</v>
      </c>
      <c r="BW1105" s="1">
        <v>1810.33</v>
      </c>
      <c r="BX1105">
        <v>0</v>
      </c>
      <c r="BY1105">
        <v>0</v>
      </c>
      <c r="BZ1105">
        <v>0</v>
      </c>
      <c r="CA1105">
        <v>0</v>
      </c>
      <c r="CB1105" s="1">
        <v>1714.71</v>
      </c>
      <c r="CC1105" t="s">
        <v>161</v>
      </c>
    </row>
    <row r="1106" spans="1:81" x14ac:dyDescent="0.25">
      <c r="A1106">
        <v>345</v>
      </c>
      <c r="B1106">
        <v>2</v>
      </c>
      <c r="C1106">
        <v>3165</v>
      </c>
      <c r="D1106" t="s">
        <v>6293</v>
      </c>
      <c r="E1106" t="s">
        <v>121</v>
      </c>
      <c r="F1106" t="s">
        <v>6294</v>
      </c>
      <c r="G1106" t="s">
        <v>6295</v>
      </c>
      <c r="H1106" t="s">
        <v>6296</v>
      </c>
      <c r="I1106" t="s">
        <v>6297</v>
      </c>
      <c r="J1106" t="s">
        <v>126</v>
      </c>
      <c r="K1106" t="s">
        <v>1853</v>
      </c>
      <c r="L1106" t="s">
        <v>128</v>
      </c>
      <c r="M1106" t="s">
        <v>1854</v>
      </c>
      <c r="N1106" t="s">
        <v>6298</v>
      </c>
      <c r="O1106" t="s">
        <v>195</v>
      </c>
      <c r="P1106">
        <v>0</v>
      </c>
      <c r="Q1106" t="s">
        <v>125</v>
      </c>
      <c r="R1106">
        <v>4</v>
      </c>
      <c r="S1106">
        <v>79</v>
      </c>
      <c r="T1106" t="s">
        <v>132</v>
      </c>
      <c r="U1106" t="s">
        <v>133</v>
      </c>
      <c r="V1106" s="1">
        <v>1000</v>
      </c>
      <c r="W1106">
        <v>0</v>
      </c>
      <c r="X1106" s="1">
        <v>1000</v>
      </c>
      <c r="Y1106">
        <v>7</v>
      </c>
      <c r="Z1106">
        <v>0</v>
      </c>
      <c r="AA1106">
        <v>9</v>
      </c>
      <c r="AB1106">
        <v>1</v>
      </c>
      <c r="AC1106">
        <v>12</v>
      </c>
      <c r="AD1106" t="s">
        <v>134</v>
      </c>
      <c r="AE1106" t="s">
        <v>134</v>
      </c>
      <c r="AF1106" s="2">
        <v>45705</v>
      </c>
      <c r="AG1106" s="2">
        <v>46020</v>
      </c>
      <c r="AH1106">
        <v>317.66000000000003</v>
      </c>
      <c r="AI1106">
        <v>656.59</v>
      </c>
      <c r="AJ1106" s="1">
        <v>2223.6799999999998</v>
      </c>
      <c r="AK1106">
        <v>0</v>
      </c>
      <c r="AL1106">
        <v>0</v>
      </c>
      <c r="AM1106">
        <v>0</v>
      </c>
      <c r="AN1106" t="s">
        <v>135</v>
      </c>
      <c r="AO1106" t="s">
        <v>135</v>
      </c>
      <c r="AP1106" t="s">
        <v>136</v>
      </c>
      <c r="AQ1106" t="s">
        <v>137</v>
      </c>
      <c r="AR1106" t="s">
        <v>138</v>
      </c>
      <c r="AS1106" t="s">
        <v>139</v>
      </c>
      <c r="AT1106" t="s">
        <v>140</v>
      </c>
      <c r="AU1106">
        <v>500</v>
      </c>
      <c r="AV1106">
        <v>10</v>
      </c>
      <c r="AW1106">
        <v>1</v>
      </c>
      <c r="AX1106" s="2">
        <v>45863</v>
      </c>
      <c r="AY1106" t="s">
        <v>151</v>
      </c>
      <c r="AZ1106" s="2">
        <v>46024</v>
      </c>
      <c r="BA1106">
        <v>0</v>
      </c>
      <c r="BB1106">
        <v>0</v>
      </c>
      <c r="BC1106">
        <v>0</v>
      </c>
      <c r="BD1106">
        <v>700</v>
      </c>
      <c r="BE1106">
        <v>70</v>
      </c>
      <c r="BF1106">
        <v>9</v>
      </c>
      <c r="BG1106" s="2">
        <v>45809</v>
      </c>
      <c r="BH1106" t="s">
        <v>142</v>
      </c>
      <c r="BI1106" s="2">
        <v>46026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703.69</v>
      </c>
      <c r="BQ1106">
        <v>703.69</v>
      </c>
      <c r="BR1106">
        <v>0</v>
      </c>
      <c r="BS1106">
        <v>9</v>
      </c>
      <c r="BT1106">
        <v>6.47</v>
      </c>
      <c r="BU1106">
        <v>656.59</v>
      </c>
      <c r="BV1106">
        <v>257</v>
      </c>
      <c r="BW1106">
        <v>913.59</v>
      </c>
      <c r="BX1106">
        <v>0</v>
      </c>
      <c r="BY1106">
        <v>0</v>
      </c>
      <c r="BZ1106">
        <v>0</v>
      </c>
      <c r="CA1106">
        <v>0</v>
      </c>
      <c r="CB1106">
        <v>596.32000000000005</v>
      </c>
      <c r="CC1106" t="s">
        <v>161</v>
      </c>
    </row>
    <row r="1107" spans="1:81" x14ac:dyDescent="0.25">
      <c r="A1107">
        <v>345</v>
      </c>
      <c r="B1107">
        <v>2</v>
      </c>
      <c r="C1107">
        <v>3168</v>
      </c>
      <c r="D1107" t="s">
        <v>6299</v>
      </c>
      <c r="E1107" t="s">
        <v>121</v>
      </c>
      <c r="F1107" t="s">
        <v>6300</v>
      </c>
      <c r="G1107" t="s">
        <v>6301</v>
      </c>
      <c r="H1107" t="s">
        <v>6302</v>
      </c>
      <c r="I1107" t="s">
        <v>6303</v>
      </c>
      <c r="J1107" t="s">
        <v>6304</v>
      </c>
      <c r="K1107" t="s">
        <v>1853</v>
      </c>
      <c r="L1107" t="s">
        <v>128</v>
      </c>
      <c r="M1107" t="s">
        <v>5077</v>
      </c>
      <c r="N1107" t="s">
        <v>6305</v>
      </c>
      <c r="O1107" t="s">
        <v>201</v>
      </c>
      <c r="P1107">
        <v>0</v>
      </c>
      <c r="Q1107" t="s">
        <v>125</v>
      </c>
      <c r="R1107">
        <v>3</v>
      </c>
      <c r="S1107">
        <v>85</v>
      </c>
      <c r="T1107" t="s">
        <v>132</v>
      </c>
      <c r="U1107" t="s">
        <v>133</v>
      </c>
      <c r="V1107" s="1">
        <v>3100</v>
      </c>
      <c r="W1107">
        <v>0</v>
      </c>
      <c r="X1107" s="1">
        <v>3100</v>
      </c>
      <c r="Y1107">
        <v>7</v>
      </c>
      <c r="Z1107">
        <v>0</v>
      </c>
      <c r="AA1107">
        <v>0</v>
      </c>
      <c r="AB1107">
        <v>0</v>
      </c>
      <c r="AC1107">
        <v>0</v>
      </c>
      <c r="AD1107" t="s">
        <v>134</v>
      </c>
      <c r="AE1107" t="s">
        <v>134</v>
      </c>
      <c r="AF1107" s="2">
        <v>45705</v>
      </c>
      <c r="AG1107" s="2">
        <v>46007</v>
      </c>
      <c r="AH1107" s="1">
        <v>1127.51</v>
      </c>
      <c r="AI1107" s="1">
        <v>1512.92</v>
      </c>
      <c r="AJ1107" s="1">
        <v>2255.02</v>
      </c>
      <c r="AK1107">
        <v>0</v>
      </c>
      <c r="AL1107">
        <v>0</v>
      </c>
      <c r="AM1107">
        <v>0</v>
      </c>
      <c r="AN1107" t="s">
        <v>135</v>
      </c>
      <c r="AO1107" t="s">
        <v>135</v>
      </c>
      <c r="AP1107" t="s">
        <v>136</v>
      </c>
      <c r="AQ1107" t="s">
        <v>137</v>
      </c>
      <c r="AR1107" t="s">
        <v>138</v>
      </c>
      <c r="AS1107" t="s">
        <v>139</v>
      </c>
      <c r="AT1107" t="s">
        <v>140</v>
      </c>
      <c r="AU1107">
        <v>103</v>
      </c>
      <c r="AV1107">
        <v>10</v>
      </c>
      <c r="AW1107">
        <v>1</v>
      </c>
      <c r="AX1107" s="2">
        <v>45754</v>
      </c>
      <c r="AY1107" t="s">
        <v>141</v>
      </c>
      <c r="AZ1107" s="2">
        <v>46027</v>
      </c>
      <c r="BA1107">
        <v>0</v>
      </c>
      <c r="BB1107">
        <v>0</v>
      </c>
      <c r="BC1107">
        <v>0</v>
      </c>
      <c r="BD1107">
        <v>700</v>
      </c>
      <c r="BE1107">
        <v>70</v>
      </c>
      <c r="BF1107">
        <v>9</v>
      </c>
      <c r="BG1107" s="2">
        <v>45809</v>
      </c>
      <c r="BH1107" t="s">
        <v>142</v>
      </c>
      <c r="BI1107" s="2">
        <v>46026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742.1</v>
      </c>
      <c r="BW1107">
        <v>742.1</v>
      </c>
      <c r="BX1107">
        <v>0</v>
      </c>
      <c r="BY1107">
        <v>0</v>
      </c>
      <c r="BZ1107">
        <v>0</v>
      </c>
      <c r="CA1107">
        <v>0</v>
      </c>
      <c r="CB1107" s="1">
        <v>1026.28</v>
      </c>
      <c r="CC1107" t="s">
        <v>161</v>
      </c>
    </row>
    <row r="1108" spans="1:81" x14ac:dyDescent="0.25">
      <c r="A1108">
        <v>345</v>
      </c>
      <c r="B1108">
        <v>2</v>
      </c>
      <c r="C1108">
        <v>3170</v>
      </c>
      <c r="D1108" t="s">
        <v>6306</v>
      </c>
      <c r="E1108" t="s">
        <v>121</v>
      </c>
      <c r="F1108" t="s">
        <v>6307</v>
      </c>
      <c r="G1108" t="s">
        <v>6308</v>
      </c>
      <c r="H1108" t="s">
        <v>6309</v>
      </c>
      <c r="I1108" t="s">
        <v>6310</v>
      </c>
      <c r="J1108" t="s">
        <v>1263</v>
      </c>
      <c r="K1108" t="s">
        <v>466</v>
      </c>
      <c r="L1108" t="s">
        <v>128</v>
      </c>
      <c r="M1108" t="s">
        <v>467</v>
      </c>
      <c r="N1108" t="s">
        <v>6311</v>
      </c>
      <c r="O1108" t="s">
        <v>3115</v>
      </c>
      <c r="P1108">
        <v>0</v>
      </c>
      <c r="Q1108" t="s">
        <v>125</v>
      </c>
      <c r="R1108">
        <v>3</v>
      </c>
      <c r="S1108">
        <v>82</v>
      </c>
      <c r="T1108" t="s">
        <v>132</v>
      </c>
      <c r="U1108" t="s">
        <v>133</v>
      </c>
      <c r="V1108" s="1">
        <v>2400</v>
      </c>
      <c r="W1108">
        <v>0</v>
      </c>
      <c r="X1108" s="1">
        <v>2400</v>
      </c>
      <c r="Y1108">
        <v>7</v>
      </c>
      <c r="Z1108">
        <v>0</v>
      </c>
      <c r="AA1108">
        <v>5</v>
      </c>
      <c r="AB1108">
        <v>0</v>
      </c>
      <c r="AC1108">
        <v>15</v>
      </c>
      <c r="AD1108" t="s">
        <v>134</v>
      </c>
      <c r="AE1108" t="s">
        <v>134</v>
      </c>
      <c r="AF1108" s="2">
        <v>45705</v>
      </c>
      <c r="AG1108" s="2">
        <v>46015</v>
      </c>
      <c r="AH1108">
        <v>965.26</v>
      </c>
      <c r="AI1108" s="1">
        <v>2979.68</v>
      </c>
      <c r="AJ1108" s="1">
        <v>11583.22</v>
      </c>
      <c r="AK1108">
        <v>0</v>
      </c>
      <c r="AL1108" s="1">
        <v>2979.68</v>
      </c>
      <c r="AM1108">
        <v>0</v>
      </c>
      <c r="AN1108" t="s">
        <v>135</v>
      </c>
      <c r="AO1108" t="s">
        <v>135</v>
      </c>
      <c r="AP1108" t="s">
        <v>136</v>
      </c>
      <c r="AQ1108" t="s">
        <v>137</v>
      </c>
      <c r="AR1108" t="s">
        <v>138</v>
      </c>
      <c r="AS1108" t="s">
        <v>150</v>
      </c>
      <c r="AT1108" t="s">
        <v>140</v>
      </c>
      <c r="AU1108">
        <v>500</v>
      </c>
      <c r="AV1108">
        <v>10</v>
      </c>
      <c r="AW1108">
        <v>1</v>
      </c>
      <c r="AX1108" s="2">
        <v>45832</v>
      </c>
      <c r="AY1108" t="s">
        <v>377</v>
      </c>
      <c r="AZ1108" s="2">
        <v>46028</v>
      </c>
      <c r="BA1108">
        <v>0</v>
      </c>
      <c r="BB1108">
        <v>0</v>
      </c>
      <c r="BC1108">
        <v>0</v>
      </c>
      <c r="BD1108">
        <v>700</v>
      </c>
      <c r="BE1108">
        <v>70</v>
      </c>
      <c r="BF1108">
        <v>9</v>
      </c>
      <c r="BG1108" s="2">
        <v>45809</v>
      </c>
      <c r="BH1108" t="s">
        <v>142</v>
      </c>
      <c r="BI1108" s="2">
        <v>46026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 s="1">
        <v>3550.33</v>
      </c>
      <c r="BP1108">
        <v>0</v>
      </c>
      <c r="BQ1108" s="1">
        <v>3550.33</v>
      </c>
      <c r="BR1108">
        <v>0</v>
      </c>
      <c r="BS1108">
        <v>2.5</v>
      </c>
      <c r="BT1108">
        <v>1.1499999999999999</v>
      </c>
      <c r="BU1108" s="1">
        <v>2549.0300000000002</v>
      </c>
      <c r="BV1108" s="1">
        <v>2979.68</v>
      </c>
      <c r="BW1108" s="1">
        <v>5528.71</v>
      </c>
      <c r="BX1108">
        <v>0</v>
      </c>
      <c r="BY1108">
        <v>0</v>
      </c>
      <c r="BZ1108">
        <v>0</v>
      </c>
      <c r="CA1108">
        <v>0</v>
      </c>
      <c r="CB1108" s="1">
        <v>2556.1999999999998</v>
      </c>
      <c r="CC1108" t="s">
        <v>161</v>
      </c>
    </row>
    <row r="1109" spans="1:81" x14ac:dyDescent="0.25">
      <c r="A1109">
        <v>345</v>
      </c>
      <c r="B1109">
        <v>2</v>
      </c>
      <c r="C1109">
        <v>3172</v>
      </c>
      <c r="D1109" t="s">
        <v>6312</v>
      </c>
      <c r="E1109" t="s">
        <v>121</v>
      </c>
      <c r="F1109" t="s">
        <v>6313</v>
      </c>
      <c r="G1109" t="s">
        <v>3866</v>
      </c>
      <c r="H1109" t="s">
        <v>6314</v>
      </c>
      <c r="I1109" t="s">
        <v>6315</v>
      </c>
      <c r="J1109" t="s">
        <v>6285</v>
      </c>
      <c r="K1109" t="s">
        <v>1853</v>
      </c>
      <c r="L1109" t="s">
        <v>128</v>
      </c>
      <c r="M1109" t="s">
        <v>1854</v>
      </c>
      <c r="N1109" t="s">
        <v>5863</v>
      </c>
      <c r="O1109" t="s">
        <v>159</v>
      </c>
      <c r="P1109">
        <v>0</v>
      </c>
      <c r="Q1109" t="s">
        <v>125</v>
      </c>
      <c r="R1109">
        <v>5</v>
      </c>
      <c r="S1109">
        <v>59</v>
      </c>
      <c r="T1109" t="s">
        <v>132</v>
      </c>
      <c r="U1109" t="s">
        <v>133</v>
      </c>
      <c r="V1109">
        <v>387</v>
      </c>
      <c r="W1109">
        <v>0</v>
      </c>
      <c r="X1109">
        <v>387</v>
      </c>
      <c r="Y1109">
        <v>0</v>
      </c>
      <c r="Z1109">
        <v>0</v>
      </c>
      <c r="AA1109">
        <v>5</v>
      </c>
      <c r="AB1109">
        <v>10</v>
      </c>
      <c r="AC1109">
        <v>80</v>
      </c>
      <c r="AD1109" t="s">
        <v>134</v>
      </c>
      <c r="AE1109" t="s">
        <v>134</v>
      </c>
      <c r="AF1109" s="2">
        <v>45705</v>
      </c>
      <c r="AG1109" s="2">
        <v>45968</v>
      </c>
      <c r="AH1109">
        <v>421.98</v>
      </c>
      <c r="AI1109">
        <v>476.53</v>
      </c>
      <c r="AJ1109">
        <v>843.97</v>
      </c>
      <c r="AK1109">
        <v>0</v>
      </c>
      <c r="AL1109">
        <v>0</v>
      </c>
      <c r="AM1109">
        <v>0</v>
      </c>
      <c r="AN1109" t="s">
        <v>135</v>
      </c>
      <c r="AO1109" t="s">
        <v>135</v>
      </c>
      <c r="AP1109" t="s">
        <v>136</v>
      </c>
      <c r="AQ1109" t="s">
        <v>137</v>
      </c>
      <c r="AR1109" t="s">
        <v>138</v>
      </c>
      <c r="AS1109" t="s">
        <v>150</v>
      </c>
      <c r="AT1109" t="s">
        <v>140</v>
      </c>
      <c r="AU1109">
        <v>103</v>
      </c>
      <c r="AV1109">
        <v>10</v>
      </c>
      <c r="AW1109">
        <v>1</v>
      </c>
      <c r="AX1109" s="2">
        <v>45820</v>
      </c>
      <c r="AY1109" t="s">
        <v>308</v>
      </c>
      <c r="AZ1109" s="2">
        <v>46023</v>
      </c>
      <c r="BA1109">
        <v>0</v>
      </c>
      <c r="BB1109">
        <v>0</v>
      </c>
      <c r="BC1109">
        <v>0</v>
      </c>
      <c r="BD1109">
        <v>700</v>
      </c>
      <c r="BE1109">
        <v>70</v>
      </c>
      <c r="BF1109">
        <v>9</v>
      </c>
      <c r="BG1109" s="2">
        <v>45809</v>
      </c>
      <c r="BH1109" t="s">
        <v>142</v>
      </c>
      <c r="BI1109" s="2">
        <v>46026</v>
      </c>
      <c r="BJ1109">
        <v>0</v>
      </c>
      <c r="BK1109">
        <v>0</v>
      </c>
      <c r="BL1109">
        <v>0</v>
      </c>
      <c r="BM1109">
        <v>5</v>
      </c>
      <c r="BN1109">
        <v>5</v>
      </c>
      <c r="BO1109">
        <v>367.44</v>
      </c>
      <c r="BP1109">
        <v>0</v>
      </c>
      <c r="BQ1109">
        <v>367.44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430.7</v>
      </c>
      <c r="CC1109" t="s">
        <v>161</v>
      </c>
    </row>
    <row r="1110" spans="1:81" x14ac:dyDescent="0.25">
      <c r="A1110">
        <v>345</v>
      </c>
      <c r="B1110">
        <v>2</v>
      </c>
      <c r="C1110">
        <v>3175</v>
      </c>
      <c r="D1110" t="s">
        <v>6316</v>
      </c>
      <c r="E1110" t="s">
        <v>121</v>
      </c>
      <c r="F1110" t="s">
        <v>6317</v>
      </c>
      <c r="G1110" t="s">
        <v>6318</v>
      </c>
      <c r="H1110" t="s">
        <v>6319</v>
      </c>
      <c r="I1110" t="s">
        <v>6320</v>
      </c>
      <c r="J1110" t="s">
        <v>1009</v>
      </c>
      <c r="K1110" t="s">
        <v>336</v>
      </c>
      <c r="L1110" t="s">
        <v>128</v>
      </c>
      <c r="M1110" t="s">
        <v>337</v>
      </c>
      <c r="N1110" t="s">
        <v>6321</v>
      </c>
      <c r="O1110" t="s">
        <v>159</v>
      </c>
      <c r="P1110">
        <v>0</v>
      </c>
      <c r="Q1110" t="s">
        <v>125</v>
      </c>
      <c r="R1110">
        <v>5</v>
      </c>
      <c r="S1110">
        <v>73</v>
      </c>
      <c r="T1110" t="s">
        <v>132</v>
      </c>
      <c r="U1110" t="s">
        <v>133</v>
      </c>
      <c r="V1110" s="1">
        <v>1000</v>
      </c>
      <c r="W1110">
        <v>690.05</v>
      </c>
      <c r="X1110">
        <v>309.95</v>
      </c>
      <c r="Y1110">
        <v>0</v>
      </c>
      <c r="Z1110">
        <v>0</v>
      </c>
      <c r="AA1110">
        <v>9</v>
      </c>
      <c r="AB1110">
        <v>2</v>
      </c>
      <c r="AC1110">
        <v>54</v>
      </c>
      <c r="AD1110" t="s">
        <v>134</v>
      </c>
      <c r="AE1110" t="s">
        <v>134</v>
      </c>
      <c r="AF1110" s="2">
        <v>45706</v>
      </c>
      <c r="AG1110" s="2">
        <v>46018</v>
      </c>
      <c r="AH1110">
        <v>300.69</v>
      </c>
      <c r="AI1110">
        <v>562.54</v>
      </c>
      <c r="AJ1110" s="1">
        <v>2706.23</v>
      </c>
      <c r="AK1110">
        <v>334.14</v>
      </c>
      <c r="AL1110">
        <v>355.91</v>
      </c>
      <c r="AM1110">
        <v>0</v>
      </c>
      <c r="AN1110" t="s">
        <v>135</v>
      </c>
      <c r="AO1110" t="s">
        <v>135</v>
      </c>
      <c r="AP1110" t="s">
        <v>136</v>
      </c>
      <c r="AQ1110" t="s">
        <v>137</v>
      </c>
      <c r="AR1110" t="s">
        <v>138</v>
      </c>
      <c r="AS1110" t="s">
        <v>139</v>
      </c>
      <c r="AT1110" t="s">
        <v>140</v>
      </c>
      <c r="AU1110">
        <v>101</v>
      </c>
      <c r="AV1110">
        <v>10</v>
      </c>
      <c r="AW1110">
        <v>1</v>
      </c>
      <c r="AX1110" s="2">
        <v>45812</v>
      </c>
      <c r="AY1110" t="s">
        <v>168</v>
      </c>
      <c r="AZ1110" s="2">
        <v>46022</v>
      </c>
      <c r="BA1110">
        <v>0</v>
      </c>
      <c r="BB1110">
        <v>0</v>
      </c>
      <c r="BC1110">
        <v>0</v>
      </c>
      <c r="BD1110">
        <v>700</v>
      </c>
      <c r="BE1110">
        <v>70</v>
      </c>
      <c r="BF1110">
        <v>9</v>
      </c>
      <c r="BG1110" s="2">
        <v>45809</v>
      </c>
      <c r="BH1110" t="s">
        <v>142</v>
      </c>
      <c r="BI1110" s="2">
        <v>46026</v>
      </c>
      <c r="BJ1110">
        <v>0</v>
      </c>
      <c r="BK1110">
        <v>0</v>
      </c>
      <c r="BL1110">
        <v>0</v>
      </c>
      <c r="BM1110">
        <v>6.8</v>
      </c>
      <c r="BN1110">
        <v>6.8</v>
      </c>
      <c r="BO1110">
        <v>967.35</v>
      </c>
      <c r="BP1110">
        <v>0</v>
      </c>
      <c r="BQ1110">
        <v>967.35</v>
      </c>
      <c r="BR1110">
        <v>0</v>
      </c>
      <c r="BS1110">
        <v>7.94</v>
      </c>
      <c r="BT1110">
        <v>7.94</v>
      </c>
      <c r="BU1110" s="1">
        <v>1114.9100000000001</v>
      </c>
      <c r="BV1110">
        <v>0</v>
      </c>
      <c r="BW1110" s="1">
        <v>1114.9100000000001</v>
      </c>
      <c r="BX1110">
        <v>355.91</v>
      </c>
      <c r="BY1110">
        <v>31.92</v>
      </c>
      <c r="BZ1110">
        <v>0</v>
      </c>
      <c r="CA1110">
        <v>0</v>
      </c>
      <c r="CB1110">
        <v>639.46</v>
      </c>
      <c r="CC1110" t="s">
        <v>161</v>
      </c>
    </row>
    <row r="1111" spans="1:81" x14ac:dyDescent="0.25">
      <c r="A1111">
        <v>345</v>
      </c>
      <c r="B1111">
        <v>2</v>
      </c>
      <c r="C1111">
        <v>3180</v>
      </c>
      <c r="D1111" t="s">
        <v>6322</v>
      </c>
      <c r="E1111" t="s">
        <v>121</v>
      </c>
      <c r="F1111" t="s">
        <v>6323</v>
      </c>
      <c r="G1111" t="s">
        <v>6324</v>
      </c>
      <c r="H1111" t="s">
        <v>6325</v>
      </c>
      <c r="I1111" t="s">
        <v>6326</v>
      </c>
      <c r="J1111" t="s">
        <v>3074</v>
      </c>
      <c r="K1111" t="s">
        <v>1853</v>
      </c>
      <c r="L1111" t="s">
        <v>128</v>
      </c>
      <c r="M1111" t="s">
        <v>1854</v>
      </c>
      <c r="N1111" t="s">
        <v>6327</v>
      </c>
      <c r="O1111" t="s">
        <v>159</v>
      </c>
      <c r="P1111">
        <v>0</v>
      </c>
      <c r="Q1111" t="s">
        <v>125</v>
      </c>
      <c r="R1111">
        <v>5</v>
      </c>
      <c r="S1111">
        <v>72</v>
      </c>
      <c r="T1111" t="s">
        <v>132</v>
      </c>
      <c r="U1111" t="s">
        <v>133</v>
      </c>
      <c r="V1111" s="1">
        <v>1000</v>
      </c>
      <c r="W1111">
        <v>0</v>
      </c>
      <c r="X1111" s="1">
        <v>1000</v>
      </c>
      <c r="Y1111">
        <v>7</v>
      </c>
      <c r="Z1111">
        <v>0</v>
      </c>
      <c r="AA1111">
        <v>5</v>
      </c>
      <c r="AB1111">
        <v>2</v>
      </c>
      <c r="AC1111">
        <v>25</v>
      </c>
      <c r="AD1111" t="s">
        <v>134</v>
      </c>
      <c r="AE1111" t="s">
        <v>134</v>
      </c>
      <c r="AF1111" s="2">
        <v>45712</v>
      </c>
      <c r="AG1111" s="2">
        <v>45959</v>
      </c>
      <c r="AH1111">
        <v>210.03</v>
      </c>
      <c r="AI1111">
        <v>210.03</v>
      </c>
      <c r="AJ1111">
        <v>210.03</v>
      </c>
      <c r="AK1111">
        <v>0</v>
      </c>
      <c r="AL1111">
        <v>0</v>
      </c>
      <c r="AM1111">
        <v>0</v>
      </c>
      <c r="AN1111" t="s">
        <v>135</v>
      </c>
      <c r="AO1111" t="s">
        <v>135</v>
      </c>
      <c r="AP1111" t="s">
        <v>136</v>
      </c>
      <c r="AQ1111" t="s">
        <v>137</v>
      </c>
      <c r="AR1111" t="s">
        <v>138</v>
      </c>
      <c r="AS1111" t="s">
        <v>150</v>
      </c>
      <c r="AT1111" t="s">
        <v>140</v>
      </c>
      <c r="AU1111">
        <v>103</v>
      </c>
      <c r="AV1111">
        <v>10</v>
      </c>
      <c r="AW1111">
        <v>1</v>
      </c>
      <c r="AX1111" s="2">
        <v>45867</v>
      </c>
      <c r="AY1111" t="s">
        <v>377</v>
      </c>
      <c r="AZ1111" s="2">
        <v>46028</v>
      </c>
      <c r="BA1111">
        <v>0</v>
      </c>
      <c r="BB1111">
        <v>0</v>
      </c>
      <c r="BC1111">
        <v>0</v>
      </c>
      <c r="BD1111">
        <v>700</v>
      </c>
      <c r="BE1111">
        <v>70</v>
      </c>
      <c r="BF1111">
        <v>9</v>
      </c>
      <c r="BG1111" s="2">
        <v>45809</v>
      </c>
      <c r="BH1111" t="s">
        <v>142</v>
      </c>
      <c r="BI1111" s="2">
        <v>46026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255.17</v>
      </c>
      <c r="CC1111" t="s">
        <v>161</v>
      </c>
    </row>
    <row r="1112" spans="1:81" x14ac:dyDescent="0.25">
      <c r="A1112">
        <v>345</v>
      </c>
      <c r="B1112">
        <v>2</v>
      </c>
      <c r="C1112">
        <v>3182</v>
      </c>
      <c r="D1112" t="s">
        <v>6328</v>
      </c>
      <c r="E1112" t="s">
        <v>121</v>
      </c>
      <c r="F1112" t="s">
        <v>6329</v>
      </c>
      <c r="G1112" t="s">
        <v>6330</v>
      </c>
      <c r="H1112" t="s">
        <v>6331</v>
      </c>
      <c r="I1112" t="s">
        <v>6332</v>
      </c>
      <c r="J1112" t="s">
        <v>781</v>
      </c>
      <c r="K1112" t="s">
        <v>466</v>
      </c>
      <c r="L1112" t="s">
        <v>128</v>
      </c>
      <c r="M1112" t="s">
        <v>467</v>
      </c>
      <c r="N1112" t="s">
        <v>6333</v>
      </c>
      <c r="O1112" t="s">
        <v>201</v>
      </c>
      <c r="P1112">
        <v>0</v>
      </c>
      <c r="Q1112" t="s">
        <v>125</v>
      </c>
      <c r="R1112">
        <v>4</v>
      </c>
      <c r="S1112">
        <v>80</v>
      </c>
      <c r="T1112" t="s">
        <v>132</v>
      </c>
      <c r="U1112" t="s">
        <v>133</v>
      </c>
      <c r="V1112" s="1">
        <v>1000</v>
      </c>
      <c r="W1112">
        <v>0</v>
      </c>
      <c r="X1112" s="1">
        <v>1000</v>
      </c>
      <c r="Y1112">
        <v>7</v>
      </c>
      <c r="Z1112">
        <v>0</v>
      </c>
      <c r="AA1112">
        <v>9</v>
      </c>
      <c r="AB1112">
        <v>0</v>
      </c>
      <c r="AC1112">
        <v>12</v>
      </c>
      <c r="AD1112" t="s">
        <v>134</v>
      </c>
      <c r="AE1112" t="s">
        <v>134</v>
      </c>
      <c r="AF1112" s="2">
        <v>45712</v>
      </c>
      <c r="AG1112" s="2">
        <v>46008</v>
      </c>
      <c r="AH1112">
        <v>460.05</v>
      </c>
      <c r="AI1112">
        <v>528.51</v>
      </c>
      <c r="AJ1112" s="1">
        <v>5520.66</v>
      </c>
      <c r="AK1112">
        <v>0</v>
      </c>
      <c r="AL1112">
        <v>0</v>
      </c>
      <c r="AM1112">
        <v>0</v>
      </c>
      <c r="AN1112" t="s">
        <v>135</v>
      </c>
      <c r="AO1112" t="s">
        <v>135</v>
      </c>
      <c r="AP1112" t="s">
        <v>136</v>
      </c>
      <c r="AQ1112" t="s">
        <v>137</v>
      </c>
      <c r="AR1112" t="s">
        <v>138</v>
      </c>
      <c r="AS1112" t="s">
        <v>150</v>
      </c>
      <c r="AT1112" t="s">
        <v>140</v>
      </c>
      <c r="AU1112">
        <v>103</v>
      </c>
      <c r="AV1112">
        <v>10</v>
      </c>
      <c r="AW1112">
        <v>1</v>
      </c>
      <c r="AX1112" s="2">
        <v>45839</v>
      </c>
      <c r="AY1112" t="s">
        <v>377</v>
      </c>
      <c r="AZ1112" s="2">
        <v>46028</v>
      </c>
      <c r="BA1112">
        <v>0</v>
      </c>
      <c r="BB1112">
        <v>0</v>
      </c>
      <c r="BC1112">
        <v>0</v>
      </c>
      <c r="BD1112">
        <v>700</v>
      </c>
      <c r="BE1112">
        <v>70</v>
      </c>
      <c r="BF1112">
        <v>9</v>
      </c>
      <c r="BG1112" s="2">
        <v>45809</v>
      </c>
      <c r="BH1112" t="s">
        <v>142</v>
      </c>
      <c r="BI1112" s="2">
        <v>46026</v>
      </c>
      <c r="BJ1112">
        <v>0</v>
      </c>
      <c r="BK1112">
        <v>0</v>
      </c>
      <c r="BL1112">
        <v>0</v>
      </c>
      <c r="BM1112">
        <v>7.53</v>
      </c>
      <c r="BN1112">
        <v>7.53</v>
      </c>
      <c r="BO1112" s="1">
        <v>1897.37</v>
      </c>
      <c r="BP1112">
        <v>0</v>
      </c>
      <c r="BQ1112" s="1">
        <v>1897.37</v>
      </c>
      <c r="BR1112">
        <v>928.92</v>
      </c>
      <c r="BS1112">
        <v>7</v>
      </c>
      <c r="BT1112">
        <v>7</v>
      </c>
      <c r="BU1112" s="1">
        <v>1348.73</v>
      </c>
      <c r="BV1112">
        <v>0</v>
      </c>
      <c r="BW1112" s="1">
        <v>1348.73</v>
      </c>
      <c r="BX1112">
        <v>0</v>
      </c>
      <c r="BY1112">
        <v>0</v>
      </c>
      <c r="BZ1112">
        <v>0</v>
      </c>
      <c r="CA1112">
        <v>0</v>
      </c>
      <c r="CB1112" s="1">
        <v>1879.74</v>
      </c>
      <c r="CC1112" t="s">
        <v>161</v>
      </c>
    </row>
    <row r="1113" spans="1:81" x14ac:dyDescent="0.25">
      <c r="A1113">
        <v>345</v>
      </c>
      <c r="B1113">
        <v>2</v>
      </c>
      <c r="C1113">
        <v>3183</v>
      </c>
      <c r="D1113" t="s">
        <v>6334</v>
      </c>
      <c r="E1113" t="s">
        <v>121</v>
      </c>
      <c r="F1113" t="s">
        <v>6335</v>
      </c>
      <c r="G1113" t="s">
        <v>6336</v>
      </c>
      <c r="H1113" t="s">
        <v>6337</v>
      </c>
      <c r="I1113" t="s">
        <v>6338</v>
      </c>
      <c r="J1113" t="s">
        <v>4569</v>
      </c>
      <c r="K1113" t="s">
        <v>1853</v>
      </c>
      <c r="L1113" t="s">
        <v>128</v>
      </c>
      <c r="M1113" t="s">
        <v>1854</v>
      </c>
      <c r="N1113" t="s">
        <v>6339</v>
      </c>
      <c r="O1113" t="s">
        <v>149</v>
      </c>
      <c r="P1113">
        <v>0</v>
      </c>
      <c r="Q1113" t="s">
        <v>125</v>
      </c>
      <c r="R1113">
        <v>3</v>
      </c>
      <c r="S1113">
        <v>88</v>
      </c>
      <c r="T1113" t="s">
        <v>132</v>
      </c>
      <c r="U1113" t="s">
        <v>133</v>
      </c>
      <c r="V1113" s="1">
        <v>3200</v>
      </c>
      <c r="W1113" s="1">
        <v>1500.02</v>
      </c>
      <c r="X1113" s="1">
        <v>1699.98</v>
      </c>
      <c r="Y1113">
        <v>7</v>
      </c>
      <c r="Z1113">
        <v>0</v>
      </c>
      <c r="AA1113">
        <v>9</v>
      </c>
      <c r="AB1113">
        <v>0</v>
      </c>
      <c r="AC1113">
        <v>0</v>
      </c>
      <c r="AD1113" t="s">
        <v>134</v>
      </c>
      <c r="AE1113" t="s">
        <v>134</v>
      </c>
      <c r="AF1113" s="2">
        <v>45712</v>
      </c>
      <c r="AG1113" s="2">
        <v>46018</v>
      </c>
      <c r="AH1113" s="1">
        <v>1427.08</v>
      </c>
      <c r="AI1113" s="1">
        <v>1946.09</v>
      </c>
      <c r="AJ1113" s="1">
        <v>18552.150000000001</v>
      </c>
      <c r="AK1113">
        <v>0</v>
      </c>
      <c r="AL1113" s="1">
        <v>1500.02</v>
      </c>
      <c r="AM1113">
        <v>106.56</v>
      </c>
      <c r="AN1113" t="s">
        <v>135</v>
      </c>
      <c r="AO1113" t="s">
        <v>135</v>
      </c>
      <c r="AP1113" t="s">
        <v>136</v>
      </c>
      <c r="AQ1113" t="s">
        <v>137</v>
      </c>
      <c r="AR1113" t="s">
        <v>138</v>
      </c>
      <c r="AS1113" t="s">
        <v>139</v>
      </c>
      <c r="AT1113" t="s">
        <v>140</v>
      </c>
      <c r="AU1113">
        <v>103</v>
      </c>
      <c r="AV1113">
        <v>10</v>
      </c>
      <c r="AW1113">
        <v>1</v>
      </c>
      <c r="AX1113" s="2">
        <v>45819</v>
      </c>
      <c r="AY1113" t="s">
        <v>168</v>
      </c>
      <c r="AZ1113" s="2">
        <v>46022</v>
      </c>
      <c r="BA1113">
        <v>0</v>
      </c>
      <c r="BB1113">
        <v>0</v>
      </c>
      <c r="BC1113">
        <v>0</v>
      </c>
      <c r="BD1113">
        <v>700</v>
      </c>
      <c r="BE1113">
        <v>70</v>
      </c>
      <c r="BF1113">
        <v>9</v>
      </c>
      <c r="BG1113" s="2">
        <v>45809</v>
      </c>
      <c r="BH1113" t="s">
        <v>142</v>
      </c>
      <c r="BI1113" s="2">
        <v>46026</v>
      </c>
      <c r="BJ1113">
        <v>0</v>
      </c>
      <c r="BK1113">
        <v>0</v>
      </c>
      <c r="BL1113">
        <v>0</v>
      </c>
      <c r="BM1113">
        <v>7</v>
      </c>
      <c r="BN1113">
        <v>6.62</v>
      </c>
      <c r="BO1113" s="1">
        <v>5693.71</v>
      </c>
      <c r="BP1113">
        <v>324.3</v>
      </c>
      <c r="BQ1113" s="1">
        <v>6018.01</v>
      </c>
      <c r="BR1113" s="1">
        <v>1598.49</v>
      </c>
      <c r="BS1113">
        <v>7.62</v>
      </c>
      <c r="BT1113">
        <v>7.62</v>
      </c>
      <c r="BU1113" s="1">
        <v>4873.7</v>
      </c>
      <c r="BV1113">
        <v>0</v>
      </c>
      <c r="BW1113" s="1">
        <v>4873.7</v>
      </c>
      <c r="BX1113" s="1">
        <v>1500.02</v>
      </c>
      <c r="BY1113">
        <v>30.78</v>
      </c>
      <c r="BZ1113">
        <v>0</v>
      </c>
      <c r="CA1113">
        <v>0</v>
      </c>
      <c r="CB1113" s="1">
        <v>6903.64</v>
      </c>
      <c r="CC1113" t="s">
        <v>161</v>
      </c>
    </row>
    <row r="1114" spans="1:81" x14ac:dyDescent="0.25">
      <c r="A1114">
        <v>345</v>
      </c>
      <c r="B1114">
        <v>2</v>
      </c>
      <c r="C1114">
        <v>3184</v>
      </c>
      <c r="D1114" t="s">
        <v>6340</v>
      </c>
      <c r="E1114" t="s">
        <v>121</v>
      </c>
      <c r="F1114" t="s">
        <v>6341</v>
      </c>
      <c r="G1114" t="s">
        <v>6342</v>
      </c>
      <c r="H1114" t="s">
        <v>6343</v>
      </c>
      <c r="I1114" t="s">
        <v>6344</v>
      </c>
      <c r="J1114" t="s">
        <v>4569</v>
      </c>
      <c r="K1114" t="s">
        <v>473</v>
      </c>
      <c r="L1114" t="s">
        <v>128</v>
      </c>
      <c r="M1114" t="s">
        <v>474</v>
      </c>
      <c r="N1114" t="s">
        <v>6345</v>
      </c>
      <c r="O1114" t="s">
        <v>131</v>
      </c>
      <c r="P1114">
        <v>0</v>
      </c>
      <c r="Q1114" t="s">
        <v>125</v>
      </c>
      <c r="R1114">
        <v>3</v>
      </c>
      <c r="S1114">
        <v>86</v>
      </c>
      <c r="T1114" t="s">
        <v>132</v>
      </c>
      <c r="U1114" t="s">
        <v>133</v>
      </c>
      <c r="V1114" s="1">
        <v>1300</v>
      </c>
      <c r="W1114">
        <v>0</v>
      </c>
      <c r="X1114" s="1">
        <v>1300</v>
      </c>
      <c r="Y1114">
        <v>7</v>
      </c>
      <c r="Z1114">
        <v>0</v>
      </c>
      <c r="AA1114">
        <v>0</v>
      </c>
      <c r="AB1114">
        <v>0</v>
      </c>
      <c r="AC1114">
        <v>0</v>
      </c>
      <c r="AD1114" t="s">
        <v>134</v>
      </c>
      <c r="AE1114" t="s">
        <v>134</v>
      </c>
      <c r="AF1114" s="2">
        <v>45712</v>
      </c>
      <c r="AG1114" s="2">
        <v>46018</v>
      </c>
      <c r="AH1114">
        <v>658.1</v>
      </c>
      <c r="AI1114" s="1">
        <v>1116.06</v>
      </c>
      <c r="AJ1114" s="1">
        <v>7239.19</v>
      </c>
      <c r="AK1114">
        <v>0</v>
      </c>
      <c r="AL1114">
        <v>0</v>
      </c>
      <c r="AM1114">
        <v>0</v>
      </c>
      <c r="AN1114" t="s">
        <v>135</v>
      </c>
      <c r="AO1114" t="s">
        <v>135</v>
      </c>
      <c r="AP1114" t="s">
        <v>136</v>
      </c>
      <c r="AQ1114" t="s">
        <v>137</v>
      </c>
      <c r="AR1114" t="s">
        <v>138</v>
      </c>
      <c r="AS1114" t="s">
        <v>139</v>
      </c>
      <c r="AT1114" t="s">
        <v>140</v>
      </c>
      <c r="AU1114">
        <v>105</v>
      </c>
      <c r="AV1114">
        <v>10</v>
      </c>
      <c r="AW1114">
        <v>1</v>
      </c>
      <c r="AX1114" s="2">
        <v>45826</v>
      </c>
      <c r="AY1114" t="s">
        <v>168</v>
      </c>
      <c r="AZ1114" s="2">
        <v>46022</v>
      </c>
      <c r="BA1114">
        <v>0</v>
      </c>
      <c r="BB1114">
        <v>0</v>
      </c>
      <c r="BC1114">
        <v>0</v>
      </c>
      <c r="BD1114">
        <v>700</v>
      </c>
      <c r="BE1114">
        <v>70</v>
      </c>
      <c r="BF1114">
        <v>9</v>
      </c>
      <c r="BG1114" s="2">
        <v>45809</v>
      </c>
      <c r="BH1114" t="s">
        <v>142</v>
      </c>
      <c r="BI1114" s="2">
        <v>46026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 s="1">
        <v>2875.14</v>
      </c>
      <c r="BQ1114" s="1">
        <v>2875.14</v>
      </c>
      <c r="BR1114">
        <v>0</v>
      </c>
      <c r="BS1114">
        <v>0</v>
      </c>
      <c r="BT1114">
        <v>0</v>
      </c>
      <c r="BU1114">
        <v>0</v>
      </c>
      <c r="BV1114" s="1">
        <v>2220.3200000000002</v>
      </c>
      <c r="BW1114" s="1">
        <v>2220.3200000000002</v>
      </c>
      <c r="BX1114">
        <v>0</v>
      </c>
      <c r="BY1114">
        <v>0</v>
      </c>
      <c r="BZ1114">
        <v>0</v>
      </c>
      <c r="CA1114">
        <v>0</v>
      </c>
      <c r="CB1114" s="1">
        <v>2290.37</v>
      </c>
      <c r="CC1114" t="s">
        <v>161</v>
      </c>
    </row>
    <row r="1115" spans="1:81" x14ac:dyDescent="0.25">
      <c r="A1115">
        <v>345</v>
      </c>
      <c r="B1115">
        <v>2</v>
      </c>
      <c r="C1115">
        <v>3185</v>
      </c>
      <c r="D1115" t="s">
        <v>6346</v>
      </c>
      <c r="E1115" t="s">
        <v>121</v>
      </c>
      <c r="F1115" t="s">
        <v>6347</v>
      </c>
      <c r="G1115" t="s">
        <v>6348</v>
      </c>
      <c r="H1115" t="s">
        <v>6349</v>
      </c>
      <c r="I1115" t="s">
        <v>6350</v>
      </c>
      <c r="J1115" t="s">
        <v>4569</v>
      </c>
      <c r="K1115" t="s">
        <v>1853</v>
      </c>
      <c r="L1115" t="s">
        <v>128</v>
      </c>
      <c r="M1115" t="s">
        <v>1854</v>
      </c>
      <c r="N1115" t="s">
        <v>6227</v>
      </c>
      <c r="O1115" t="s">
        <v>1146</v>
      </c>
      <c r="P1115">
        <v>0</v>
      </c>
      <c r="Q1115" t="s">
        <v>125</v>
      </c>
      <c r="R1115">
        <v>3</v>
      </c>
      <c r="S1115">
        <v>82</v>
      </c>
      <c r="T1115" t="s">
        <v>132</v>
      </c>
      <c r="U1115" t="s">
        <v>133</v>
      </c>
      <c r="V1115" s="1">
        <v>2000</v>
      </c>
      <c r="W1115" s="1">
        <v>1995.47</v>
      </c>
      <c r="X1115">
        <v>4.53</v>
      </c>
      <c r="Y1115">
        <v>7</v>
      </c>
      <c r="Z1115">
        <v>0</v>
      </c>
      <c r="AA1115">
        <v>7</v>
      </c>
      <c r="AB1115">
        <v>0</v>
      </c>
      <c r="AC1115">
        <v>0</v>
      </c>
      <c r="AD1115" t="s">
        <v>134</v>
      </c>
      <c r="AE1115" t="s">
        <v>134</v>
      </c>
      <c r="AF1115" s="2">
        <v>45712</v>
      </c>
      <c r="AG1115" s="2">
        <v>46021</v>
      </c>
      <c r="AH1115" s="1">
        <v>1342.63</v>
      </c>
      <c r="AI1115" s="1">
        <v>2550.4699999999998</v>
      </c>
      <c r="AJ1115" s="1">
        <v>13426.39</v>
      </c>
      <c r="AK1115" s="1">
        <v>1995.47</v>
      </c>
      <c r="AL1115">
        <v>0</v>
      </c>
      <c r="AM1115">
        <v>0</v>
      </c>
      <c r="AN1115" t="s">
        <v>135</v>
      </c>
      <c r="AO1115" t="s">
        <v>135</v>
      </c>
      <c r="AP1115" t="s">
        <v>136</v>
      </c>
      <c r="AQ1115" t="s">
        <v>137</v>
      </c>
      <c r="AR1115" t="s">
        <v>138</v>
      </c>
      <c r="AS1115" t="s">
        <v>139</v>
      </c>
      <c r="AT1115" t="s">
        <v>140</v>
      </c>
      <c r="AU1115">
        <v>103</v>
      </c>
      <c r="AV1115">
        <v>10</v>
      </c>
      <c r="AW1115">
        <v>1</v>
      </c>
      <c r="AX1115" s="2">
        <v>45810</v>
      </c>
      <c r="AY1115" t="s">
        <v>141</v>
      </c>
      <c r="AZ1115" s="2">
        <v>46027</v>
      </c>
      <c r="BA1115">
        <v>0</v>
      </c>
      <c r="BB1115">
        <v>0</v>
      </c>
      <c r="BC1115">
        <v>0</v>
      </c>
      <c r="BD1115">
        <v>700</v>
      </c>
      <c r="BE1115">
        <v>70</v>
      </c>
      <c r="BF1115">
        <v>9</v>
      </c>
      <c r="BG1115" s="2">
        <v>45809</v>
      </c>
      <c r="BH1115" t="s">
        <v>142</v>
      </c>
      <c r="BI1115" s="2">
        <v>46026</v>
      </c>
      <c r="BJ1115">
        <v>0</v>
      </c>
      <c r="BK1115">
        <v>0</v>
      </c>
      <c r="BL1115">
        <v>0</v>
      </c>
      <c r="BM1115">
        <v>6.6</v>
      </c>
      <c r="BN1115">
        <v>3.38</v>
      </c>
      <c r="BO1115" s="1">
        <v>1541.58</v>
      </c>
      <c r="BP1115" s="1">
        <v>1470.98</v>
      </c>
      <c r="BQ1115" s="1">
        <v>3012.56</v>
      </c>
      <c r="BR1115">
        <v>0</v>
      </c>
      <c r="BS1115">
        <v>7</v>
      </c>
      <c r="BT1115">
        <v>4.0999999999999996</v>
      </c>
      <c r="BU1115" s="1">
        <v>3976.67</v>
      </c>
      <c r="BV1115" s="1">
        <v>2812.89</v>
      </c>
      <c r="BW1115" s="1">
        <v>6789.56</v>
      </c>
      <c r="BX1115">
        <v>0</v>
      </c>
      <c r="BY1115">
        <v>0</v>
      </c>
      <c r="BZ1115">
        <v>0</v>
      </c>
      <c r="CA1115">
        <v>0</v>
      </c>
      <c r="CB1115" s="1">
        <v>3259.08</v>
      </c>
      <c r="CC1115" t="s">
        <v>161</v>
      </c>
    </row>
    <row r="1116" spans="1:81" x14ac:dyDescent="0.25">
      <c r="A1116">
        <v>345</v>
      </c>
      <c r="B1116">
        <v>2</v>
      </c>
      <c r="C1116">
        <v>3186</v>
      </c>
      <c r="D1116" t="s">
        <v>6351</v>
      </c>
      <c r="E1116" t="s">
        <v>121</v>
      </c>
      <c r="F1116" t="s">
        <v>6352</v>
      </c>
      <c r="G1116" t="s">
        <v>6353</v>
      </c>
      <c r="H1116" t="s">
        <v>6354</v>
      </c>
      <c r="I1116" t="s">
        <v>6355</v>
      </c>
      <c r="J1116" t="s">
        <v>1852</v>
      </c>
      <c r="K1116" t="s">
        <v>336</v>
      </c>
      <c r="L1116" t="s">
        <v>128</v>
      </c>
      <c r="M1116" t="s">
        <v>337</v>
      </c>
      <c r="N1116" t="s">
        <v>6356</v>
      </c>
      <c r="O1116" t="s">
        <v>159</v>
      </c>
      <c r="P1116">
        <v>0</v>
      </c>
      <c r="Q1116" t="s">
        <v>125</v>
      </c>
      <c r="R1116">
        <v>4</v>
      </c>
      <c r="S1116">
        <v>77</v>
      </c>
      <c r="T1116" t="s">
        <v>132</v>
      </c>
      <c r="U1116" t="s">
        <v>133</v>
      </c>
      <c r="V1116" s="1">
        <v>1000</v>
      </c>
      <c r="W1116">
        <v>0</v>
      </c>
      <c r="X1116" s="1">
        <v>1000</v>
      </c>
      <c r="Y1116">
        <v>7</v>
      </c>
      <c r="Z1116">
        <v>0</v>
      </c>
      <c r="AA1116">
        <v>7</v>
      </c>
      <c r="AB1116">
        <v>0</v>
      </c>
      <c r="AC1116">
        <v>14</v>
      </c>
      <c r="AD1116" t="s">
        <v>134</v>
      </c>
      <c r="AE1116" t="s">
        <v>134</v>
      </c>
      <c r="AF1116" s="2">
        <v>45712</v>
      </c>
      <c r="AG1116" s="2">
        <v>46001</v>
      </c>
      <c r="AH1116">
        <v>989.76</v>
      </c>
      <c r="AI1116" s="1">
        <v>1240.45</v>
      </c>
      <c r="AJ1116" s="1">
        <v>2969.3</v>
      </c>
      <c r="AK1116">
        <v>0</v>
      </c>
      <c r="AL1116">
        <v>0</v>
      </c>
      <c r="AM1116">
        <v>0</v>
      </c>
      <c r="AN1116" t="s">
        <v>135</v>
      </c>
      <c r="AO1116" t="s">
        <v>135</v>
      </c>
      <c r="AP1116" t="s">
        <v>136</v>
      </c>
      <c r="AQ1116" t="s">
        <v>137</v>
      </c>
      <c r="AR1116" t="s">
        <v>138</v>
      </c>
      <c r="AS1116" t="s">
        <v>139</v>
      </c>
      <c r="AT1116" t="s">
        <v>140</v>
      </c>
      <c r="AU1116">
        <v>100</v>
      </c>
      <c r="AV1116">
        <v>10</v>
      </c>
      <c r="AW1116">
        <v>1</v>
      </c>
      <c r="AX1116" s="2">
        <v>45839</v>
      </c>
      <c r="AY1116" t="s">
        <v>377</v>
      </c>
      <c r="AZ1116" s="2">
        <v>46028</v>
      </c>
      <c r="BA1116">
        <v>0</v>
      </c>
      <c r="BB1116">
        <v>0</v>
      </c>
      <c r="BC1116">
        <v>0</v>
      </c>
      <c r="BD1116">
        <v>700</v>
      </c>
      <c r="BE1116">
        <v>70</v>
      </c>
      <c r="BF1116">
        <v>9</v>
      </c>
      <c r="BG1116" s="2">
        <v>45809</v>
      </c>
      <c r="BH1116" t="s">
        <v>142</v>
      </c>
      <c r="BI1116" s="2">
        <v>46026</v>
      </c>
      <c r="BJ1116">
        <v>0</v>
      </c>
      <c r="BK1116">
        <v>0</v>
      </c>
      <c r="BL1116">
        <v>0</v>
      </c>
      <c r="BM1116">
        <v>7</v>
      </c>
      <c r="BN1116">
        <v>7</v>
      </c>
      <c r="BO1116">
        <v>874.52</v>
      </c>
      <c r="BP1116">
        <v>0</v>
      </c>
      <c r="BQ1116">
        <v>874.52</v>
      </c>
      <c r="BR1116">
        <v>0</v>
      </c>
      <c r="BS1116">
        <v>7</v>
      </c>
      <c r="BT1116">
        <v>5.56</v>
      </c>
      <c r="BU1116">
        <v>984.67</v>
      </c>
      <c r="BV1116">
        <v>255.78</v>
      </c>
      <c r="BW1116" s="1">
        <v>1240.45</v>
      </c>
      <c r="BX1116">
        <v>0</v>
      </c>
      <c r="BY1116">
        <v>0</v>
      </c>
      <c r="BZ1116">
        <v>0</v>
      </c>
      <c r="CA1116">
        <v>0</v>
      </c>
      <c r="CB1116">
        <v>576.28</v>
      </c>
      <c r="CC1116" t="s">
        <v>161</v>
      </c>
    </row>
    <row r="1117" spans="1:81" x14ac:dyDescent="0.25">
      <c r="A1117">
        <v>345</v>
      </c>
      <c r="B1117">
        <v>2</v>
      </c>
      <c r="C1117">
        <v>3189</v>
      </c>
      <c r="D1117" t="s">
        <v>6357</v>
      </c>
      <c r="E1117" t="s">
        <v>121</v>
      </c>
      <c r="F1117" t="s">
        <v>6358</v>
      </c>
      <c r="G1117" t="s">
        <v>6359</v>
      </c>
      <c r="H1117" t="s">
        <v>6360</v>
      </c>
      <c r="I1117" t="s">
        <v>6361</v>
      </c>
      <c r="J1117" t="s">
        <v>1263</v>
      </c>
      <c r="K1117" t="s">
        <v>466</v>
      </c>
      <c r="L1117" t="s">
        <v>128</v>
      </c>
      <c r="M1117" t="s">
        <v>467</v>
      </c>
      <c r="N1117" t="s">
        <v>6362</v>
      </c>
      <c r="O1117" t="s">
        <v>201</v>
      </c>
      <c r="P1117">
        <v>0</v>
      </c>
      <c r="Q1117" t="s">
        <v>125</v>
      </c>
      <c r="R1117">
        <v>5</v>
      </c>
      <c r="S1117">
        <v>65</v>
      </c>
      <c r="T1117" t="s">
        <v>132</v>
      </c>
      <c r="U1117" t="s">
        <v>133</v>
      </c>
      <c r="V1117">
        <v>350</v>
      </c>
      <c r="W1117">
        <v>0</v>
      </c>
      <c r="X1117">
        <v>350</v>
      </c>
      <c r="Y1117">
        <v>0</v>
      </c>
      <c r="Z1117">
        <v>0</v>
      </c>
      <c r="AA1117">
        <v>9</v>
      </c>
      <c r="AB1117">
        <v>13</v>
      </c>
      <c r="AC1117">
        <v>67</v>
      </c>
      <c r="AD1117" t="s">
        <v>134</v>
      </c>
      <c r="AE1117" t="s">
        <v>134</v>
      </c>
      <c r="AF1117" s="2">
        <v>45712</v>
      </c>
      <c r="AG1117" s="2">
        <v>45962</v>
      </c>
      <c r="AH1117">
        <v>388.95</v>
      </c>
      <c r="AI1117">
        <v>388.95</v>
      </c>
      <c r="AJ1117">
        <v>388.95</v>
      </c>
      <c r="AK1117">
        <v>0</v>
      </c>
      <c r="AL1117">
        <v>0</v>
      </c>
      <c r="AM1117">
        <v>0</v>
      </c>
      <c r="AN1117" t="s">
        <v>135</v>
      </c>
      <c r="AO1117" t="s">
        <v>135</v>
      </c>
      <c r="AP1117" t="s">
        <v>136</v>
      </c>
      <c r="AQ1117" t="s">
        <v>137</v>
      </c>
      <c r="AR1117" t="s">
        <v>138</v>
      </c>
      <c r="AS1117" t="s">
        <v>150</v>
      </c>
      <c r="AT1117" t="s">
        <v>140</v>
      </c>
      <c r="AU1117">
        <v>106</v>
      </c>
      <c r="AV1117">
        <v>10</v>
      </c>
      <c r="AW1117">
        <v>1</v>
      </c>
      <c r="AX1117" s="2">
        <v>45716</v>
      </c>
      <c r="AY1117" t="s">
        <v>151</v>
      </c>
      <c r="AZ1117" s="2">
        <v>46024</v>
      </c>
      <c r="BA1117">
        <v>0</v>
      </c>
      <c r="BB1117">
        <v>0</v>
      </c>
      <c r="BC1117">
        <v>0</v>
      </c>
      <c r="BD1117">
        <v>700</v>
      </c>
      <c r="BE1117">
        <v>70</v>
      </c>
      <c r="BF1117">
        <v>9</v>
      </c>
      <c r="BG1117" s="2">
        <v>45809</v>
      </c>
      <c r="BH1117" t="s">
        <v>142</v>
      </c>
      <c r="BI1117" s="2">
        <v>46026</v>
      </c>
      <c r="BJ1117">
        <v>0</v>
      </c>
      <c r="BK1117">
        <v>0</v>
      </c>
      <c r="BL1117">
        <v>0</v>
      </c>
      <c r="BM1117">
        <v>9</v>
      </c>
      <c r="BN1117">
        <v>9</v>
      </c>
      <c r="BO1117">
        <v>388.95</v>
      </c>
      <c r="BP1117">
        <v>0</v>
      </c>
      <c r="BQ1117">
        <v>388.95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129.65</v>
      </c>
      <c r="CC1117" t="s">
        <v>161</v>
      </c>
    </row>
    <row r="1118" spans="1:81" x14ac:dyDescent="0.25">
      <c r="A1118">
        <v>345</v>
      </c>
      <c r="B1118">
        <v>2</v>
      </c>
      <c r="C1118">
        <v>3190</v>
      </c>
      <c r="D1118" t="s">
        <v>6363</v>
      </c>
      <c r="E1118" t="s">
        <v>5427</v>
      </c>
      <c r="F1118" t="s">
        <v>6364</v>
      </c>
      <c r="G1118" t="s">
        <v>6365</v>
      </c>
      <c r="H1118" t="s">
        <v>6366</v>
      </c>
      <c r="I1118" t="s">
        <v>6367</v>
      </c>
      <c r="J1118" t="s">
        <v>126</v>
      </c>
      <c r="K1118" t="s">
        <v>4248</v>
      </c>
      <c r="L1118" t="s">
        <v>128</v>
      </c>
      <c r="M1118" t="s">
        <v>1325</v>
      </c>
      <c r="N1118" t="s">
        <v>6368</v>
      </c>
      <c r="O1118" t="s">
        <v>167</v>
      </c>
      <c r="P1118">
        <v>0</v>
      </c>
      <c r="Q1118" t="s">
        <v>125</v>
      </c>
      <c r="R1118">
        <v>3</v>
      </c>
      <c r="S1118">
        <v>84</v>
      </c>
      <c r="T1118" t="s">
        <v>132</v>
      </c>
      <c r="U1118" t="s">
        <v>133</v>
      </c>
      <c r="V1118" s="1">
        <v>1000</v>
      </c>
      <c r="W1118">
        <v>0</v>
      </c>
      <c r="X1118" s="1">
        <v>1000</v>
      </c>
      <c r="Y1118">
        <v>7</v>
      </c>
      <c r="Z1118">
        <v>0</v>
      </c>
      <c r="AA1118">
        <v>5</v>
      </c>
      <c r="AB1118">
        <v>0</v>
      </c>
      <c r="AC1118">
        <v>0</v>
      </c>
      <c r="AD1118" t="s">
        <v>134</v>
      </c>
      <c r="AE1118" t="s">
        <v>134</v>
      </c>
      <c r="AF1118" s="2">
        <v>45712</v>
      </c>
      <c r="AG1118" s="2">
        <v>45938</v>
      </c>
      <c r="AH1118">
        <v>171.03</v>
      </c>
      <c r="AI1118">
        <v>227.63</v>
      </c>
      <c r="AJ1118">
        <v>342.07</v>
      </c>
      <c r="AK1118">
        <v>0</v>
      </c>
      <c r="AL1118">
        <v>0</v>
      </c>
      <c r="AM1118">
        <v>0</v>
      </c>
      <c r="AN1118" t="s">
        <v>135</v>
      </c>
      <c r="AO1118" t="s">
        <v>135</v>
      </c>
      <c r="AP1118" t="s">
        <v>136</v>
      </c>
      <c r="AQ1118" t="s">
        <v>137</v>
      </c>
      <c r="AR1118" t="s">
        <v>138</v>
      </c>
      <c r="AS1118" t="s">
        <v>139</v>
      </c>
      <c r="AT1118" t="s">
        <v>140</v>
      </c>
      <c r="AU1118">
        <v>104</v>
      </c>
      <c r="AV1118">
        <v>10</v>
      </c>
      <c r="AW1118">
        <v>1</v>
      </c>
      <c r="AX1118" s="2">
        <v>45811</v>
      </c>
      <c r="AY1118" t="s">
        <v>377</v>
      </c>
      <c r="AZ1118" s="2">
        <v>46028</v>
      </c>
      <c r="BA1118">
        <v>0</v>
      </c>
      <c r="BB1118">
        <v>0</v>
      </c>
      <c r="BC1118">
        <v>0</v>
      </c>
      <c r="BD1118">
        <v>700</v>
      </c>
      <c r="BE1118">
        <v>70</v>
      </c>
      <c r="BF1118">
        <v>9</v>
      </c>
      <c r="BG1118" s="2">
        <v>45809</v>
      </c>
      <c r="BH1118" t="s">
        <v>142</v>
      </c>
      <c r="BI1118" s="2">
        <v>46026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141.61000000000001</v>
      </c>
      <c r="CC1118" t="s">
        <v>161</v>
      </c>
    </row>
    <row r="1119" spans="1:81" x14ac:dyDescent="0.25">
      <c r="A1119">
        <v>345</v>
      </c>
      <c r="B1119">
        <v>2</v>
      </c>
      <c r="C1119">
        <v>3193</v>
      </c>
      <c r="D1119" t="s">
        <v>6369</v>
      </c>
      <c r="E1119" t="s">
        <v>121</v>
      </c>
      <c r="F1119" t="s">
        <v>6370</v>
      </c>
      <c r="G1119" t="s">
        <v>6371</v>
      </c>
      <c r="H1119" t="s">
        <v>6337</v>
      </c>
      <c r="I1119" t="s">
        <v>6372</v>
      </c>
      <c r="J1119" t="s">
        <v>4569</v>
      </c>
      <c r="K1119" t="s">
        <v>1853</v>
      </c>
      <c r="L1119" t="s">
        <v>128</v>
      </c>
      <c r="M1119" t="s">
        <v>1854</v>
      </c>
      <c r="N1119" t="s">
        <v>6373</v>
      </c>
      <c r="O1119" t="s">
        <v>159</v>
      </c>
      <c r="P1119">
        <v>0</v>
      </c>
      <c r="Q1119" t="s">
        <v>125</v>
      </c>
      <c r="R1119">
        <v>5</v>
      </c>
      <c r="S1119">
        <v>74</v>
      </c>
      <c r="T1119" t="s">
        <v>132</v>
      </c>
      <c r="U1119" t="s">
        <v>133</v>
      </c>
      <c r="V1119" s="1">
        <v>1000</v>
      </c>
      <c r="W1119">
        <v>0</v>
      </c>
      <c r="X1119" s="1">
        <v>1000</v>
      </c>
      <c r="Y1119">
        <v>7</v>
      </c>
      <c r="Z1119">
        <v>0</v>
      </c>
      <c r="AA1119">
        <v>9</v>
      </c>
      <c r="AB1119">
        <v>1</v>
      </c>
      <c r="AC1119">
        <v>13</v>
      </c>
      <c r="AD1119" t="s">
        <v>134</v>
      </c>
      <c r="AE1119" t="s">
        <v>134</v>
      </c>
      <c r="AF1119" s="2">
        <v>45714</v>
      </c>
      <c r="AG1119" s="2">
        <v>46010</v>
      </c>
      <c r="AH1119">
        <v>245.18</v>
      </c>
      <c r="AI1119">
        <v>299.62</v>
      </c>
      <c r="AJ1119" s="1">
        <v>1716.28</v>
      </c>
      <c r="AK1119">
        <v>0</v>
      </c>
      <c r="AL1119">
        <v>0</v>
      </c>
      <c r="AM1119">
        <v>0</v>
      </c>
      <c r="AN1119" t="s">
        <v>135</v>
      </c>
      <c r="AO1119" t="s">
        <v>135</v>
      </c>
      <c r="AP1119" t="s">
        <v>136</v>
      </c>
      <c r="AQ1119" t="s">
        <v>137</v>
      </c>
      <c r="AR1119" t="s">
        <v>138</v>
      </c>
      <c r="AS1119" t="s">
        <v>139</v>
      </c>
      <c r="AT1119" t="s">
        <v>140</v>
      </c>
      <c r="AU1119">
        <v>500</v>
      </c>
      <c r="AV1119">
        <v>10</v>
      </c>
      <c r="AW1119">
        <v>1</v>
      </c>
      <c r="AX1119" s="2">
        <v>45862</v>
      </c>
      <c r="AY1119" t="s">
        <v>308</v>
      </c>
      <c r="AZ1119" s="2">
        <v>46023</v>
      </c>
      <c r="BA1119">
        <v>0</v>
      </c>
      <c r="BB1119">
        <v>0</v>
      </c>
      <c r="BC1119">
        <v>0</v>
      </c>
      <c r="BD1119">
        <v>700</v>
      </c>
      <c r="BE1119">
        <v>70</v>
      </c>
      <c r="BF1119">
        <v>9</v>
      </c>
      <c r="BG1119" s="2">
        <v>45809</v>
      </c>
      <c r="BH1119" t="s">
        <v>142</v>
      </c>
      <c r="BI1119" s="2">
        <v>46026</v>
      </c>
      <c r="BJ1119">
        <v>0</v>
      </c>
      <c r="BK1119">
        <v>0</v>
      </c>
      <c r="BL1119">
        <v>0</v>
      </c>
      <c r="BM1119">
        <v>9</v>
      </c>
      <c r="BN1119">
        <v>9</v>
      </c>
      <c r="BO1119">
        <v>283.19</v>
      </c>
      <c r="BP1119">
        <v>0</v>
      </c>
      <c r="BQ1119">
        <v>283.19</v>
      </c>
      <c r="BR1119">
        <v>0</v>
      </c>
      <c r="BS1119">
        <v>7</v>
      </c>
      <c r="BT1119">
        <v>7</v>
      </c>
      <c r="BU1119">
        <v>645.38</v>
      </c>
      <c r="BV1119">
        <v>0</v>
      </c>
      <c r="BW1119">
        <v>645.38</v>
      </c>
      <c r="BX1119">
        <v>0</v>
      </c>
      <c r="BY1119">
        <v>0</v>
      </c>
      <c r="BZ1119">
        <v>0</v>
      </c>
      <c r="CA1119">
        <v>0</v>
      </c>
      <c r="CB1119">
        <v>423.95</v>
      </c>
      <c r="CC1119" t="s">
        <v>161</v>
      </c>
    </row>
    <row r="1120" spans="1:81" x14ac:dyDescent="0.25">
      <c r="A1120">
        <v>345</v>
      </c>
      <c r="B1120">
        <v>2</v>
      </c>
      <c r="C1120">
        <v>3194</v>
      </c>
      <c r="D1120" t="s">
        <v>6374</v>
      </c>
      <c r="E1120" t="s">
        <v>121</v>
      </c>
      <c r="F1120" t="s">
        <v>6375</v>
      </c>
      <c r="G1120" t="s">
        <v>6376</v>
      </c>
      <c r="H1120" t="s">
        <v>3700</v>
      </c>
      <c r="I1120" t="s">
        <v>6377</v>
      </c>
      <c r="J1120" t="s">
        <v>3074</v>
      </c>
      <c r="K1120" t="s">
        <v>1853</v>
      </c>
      <c r="L1120" t="s">
        <v>128</v>
      </c>
      <c r="M1120" t="s">
        <v>1854</v>
      </c>
      <c r="N1120" t="s">
        <v>6378</v>
      </c>
      <c r="O1120" t="s">
        <v>201</v>
      </c>
      <c r="P1120">
        <v>0</v>
      </c>
      <c r="Q1120" t="s">
        <v>125</v>
      </c>
      <c r="R1120">
        <v>3</v>
      </c>
      <c r="S1120">
        <v>83</v>
      </c>
      <c r="T1120" t="s">
        <v>132</v>
      </c>
      <c r="U1120" t="s">
        <v>133</v>
      </c>
      <c r="V1120" s="1">
        <v>1100</v>
      </c>
      <c r="W1120">
        <v>662.45</v>
      </c>
      <c r="X1120">
        <v>437.55</v>
      </c>
      <c r="Y1120">
        <v>7</v>
      </c>
      <c r="Z1120">
        <v>0</v>
      </c>
      <c r="AA1120">
        <v>7</v>
      </c>
      <c r="AB1120">
        <v>0</v>
      </c>
      <c r="AC1120">
        <v>4</v>
      </c>
      <c r="AD1120" t="s">
        <v>134</v>
      </c>
      <c r="AE1120" t="s">
        <v>134</v>
      </c>
      <c r="AF1120" s="2">
        <v>45714</v>
      </c>
      <c r="AG1120" s="2">
        <v>46017</v>
      </c>
      <c r="AH1120">
        <v>615.19000000000005</v>
      </c>
      <c r="AI1120" s="1">
        <v>1086.8800000000001</v>
      </c>
      <c r="AJ1120" s="1">
        <v>7997.55</v>
      </c>
      <c r="AK1120">
        <v>0</v>
      </c>
      <c r="AL1120">
        <v>662.45</v>
      </c>
      <c r="AM1120">
        <v>97.9</v>
      </c>
      <c r="AN1120" t="s">
        <v>135</v>
      </c>
      <c r="AO1120" t="s">
        <v>135</v>
      </c>
      <c r="AP1120" t="s">
        <v>136</v>
      </c>
      <c r="AQ1120" t="s">
        <v>137</v>
      </c>
      <c r="AR1120" t="s">
        <v>138</v>
      </c>
      <c r="AS1120" t="s">
        <v>150</v>
      </c>
      <c r="AT1120" t="s">
        <v>140</v>
      </c>
      <c r="AU1120">
        <v>106</v>
      </c>
      <c r="AV1120">
        <v>10</v>
      </c>
      <c r="AW1120">
        <v>1</v>
      </c>
      <c r="AX1120" s="2">
        <v>45839</v>
      </c>
      <c r="AY1120" t="s">
        <v>377</v>
      </c>
      <c r="AZ1120" s="2">
        <v>46028</v>
      </c>
      <c r="BA1120">
        <v>0</v>
      </c>
      <c r="BB1120">
        <v>0</v>
      </c>
      <c r="BC1120">
        <v>0</v>
      </c>
      <c r="BD1120">
        <v>700</v>
      </c>
      <c r="BE1120">
        <v>70</v>
      </c>
      <c r="BF1120">
        <v>9</v>
      </c>
      <c r="BG1120" s="2">
        <v>45809</v>
      </c>
      <c r="BH1120" t="s">
        <v>142</v>
      </c>
      <c r="BI1120" s="2">
        <v>46026</v>
      </c>
      <c r="BJ1120">
        <v>0</v>
      </c>
      <c r="BK1120">
        <v>0</v>
      </c>
      <c r="BL1120">
        <v>0</v>
      </c>
      <c r="BM1120">
        <v>7</v>
      </c>
      <c r="BN1120">
        <v>4.97</v>
      </c>
      <c r="BO1120" s="1">
        <v>1735.43</v>
      </c>
      <c r="BP1120">
        <v>709.1</v>
      </c>
      <c r="BQ1120" s="1">
        <v>2444.5300000000002</v>
      </c>
      <c r="BR1120">
        <v>648.54999999999995</v>
      </c>
      <c r="BS1120">
        <v>7</v>
      </c>
      <c r="BT1120">
        <v>5.0599999999999996</v>
      </c>
      <c r="BU1120" s="1">
        <v>2169.1999999999998</v>
      </c>
      <c r="BV1120">
        <v>831.81</v>
      </c>
      <c r="BW1120" s="1">
        <v>3001.01</v>
      </c>
      <c r="BX1120">
        <v>0</v>
      </c>
      <c r="BY1120">
        <v>0</v>
      </c>
      <c r="BZ1120">
        <v>0</v>
      </c>
      <c r="CA1120">
        <v>0</v>
      </c>
      <c r="CB1120" s="1">
        <v>2159.9899999999998</v>
      </c>
      <c r="CC1120" t="s">
        <v>161</v>
      </c>
    </row>
    <row r="1121" spans="1:81" x14ac:dyDescent="0.25">
      <c r="A1121">
        <v>345</v>
      </c>
      <c r="B1121">
        <v>2</v>
      </c>
      <c r="C1121">
        <v>3195</v>
      </c>
      <c r="D1121" t="s">
        <v>6379</v>
      </c>
      <c r="E1121" t="s">
        <v>121</v>
      </c>
      <c r="F1121" t="s">
        <v>6380</v>
      </c>
      <c r="G1121" t="s">
        <v>6381</v>
      </c>
      <c r="H1121" t="s">
        <v>6382</v>
      </c>
      <c r="I1121" t="s">
        <v>6383</v>
      </c>
      <c r="J1121" t="s">
        <v>1263</v>
      </c>
      <c r="K1121" t="s">
        <v>466</v>
      </c>
      <c r="L1121" t="s">
        <v>128</v>
      </c>
      <c r="M1121" t="s">
        <v>467</v>
      </c>
      <c r="N1121" t="s">
        <v>6384</v>
      </c>
      <c r="O1121" t="s">
        <v>149</v>
      </c>
      <c r="P1121">
        <v>0</v>
      </c>
      <c r="Q1121" t="s">
        <v>125</v>
      </c>
      <c r="R1121">
        <v>4</v>
      </c>
      <c r="S1121">
        <v>77</v>
      </c>
      <c r="T1121" t="s">
        <v>132</v>
      </c>
      <c r="U1121" t="s">
        <v>133</v>
      </c>
      <c r="V1121" s="1">
        <v>1981</v>
      </c>
      <c r="W1121">
        <v>0</v>
      </c>
      <c r="X1121" s="1">
        <v>1981</v>
      </c>
      <c r="Y1121">
        <v>0</v>
      </c>
      <c r="Z1121">
        <v>0</v>
      </c>
      <c r="AA1121">
        <v>7</v>
      </c>
      <c r="AB1121">
        <v>4</v>
      </c>
      <c r="AC1121">
        <v>40</v>
      </c>
      <c r="AD1121" t="s">
        <v>134</v>
      </c>
      <c r="AE1121" t="s">
        <v>134</v>
      </c>
      <c r="AF1121" s="2">
        <v>45714</v>
      </c>
      <c r="AG1121" s="2">
        <v>45975</v>
      </c>
      <c r="AH1121" s="1">
        <v>1405.24</v>
      </c>
      <c r="AI1121" s="1">
        <v>1405.24</v>
      </c>
      <c r="AJ1121" s="1">
        <v>1405.24</v>
      </c>
      <c r="AK1121">
        <v>0</v>
      </c>
      <c r="AL1121">
        <v>0</v>
      </c>
      <c r="AM1121">
        <v>0</v>
      </c>
      <c r="AN1121" t="s">
        <v>135</v>
      </c>
      <c r="AO1121" t="s">
        <v>135</v>
      </c>
      <c r="AP1121" t="s">
        <v>136</v>
      </c>
      <c r="AQ1121" t="s">
        <v>137</v>
      </c>
      <c r="AR1121" t="s">
        <v>138</v>
      </c>
      <c r="AS1121" t="s">
        <v>150</v>
      </c>
      <c r="AT1121" t="s">
        <v>140</v>
      </c>
      <c r="AU1121">
        <v>106</v>
      </c>
      <c r="AV1121">
        <v>10</v>
      </c>
      <c r="AW1121">
        <v>1</v>
      </c>
      <c r="AX1121" s="2">
        <v>45715</v>
      </c>
      <c r="AY1121" t="s">
        <v>308</v>
      </c>
      <c r="AZ1121" s="2">
        <v>46023</v>
      </c>
      <c r="BA1121">
        <v>0</v>
      </c>
      <c r="BB1121">
        <v>0</v>
      </c>
      <c r="BC1121">
        <v>0</v>
      </c>
      <c r="BD1121">
        <v>700</v>
      </c>
      <c r="BE1121">
        <v>70</v>
      </c>
      <c r="BF1121">
        <v>9</v>
      </c>
      <c r="BG1121" s="2">
        <v>45809</v>
      </c>
      <c r="BH1121" t="s">
        <v>142</v>
      </c>
      <c r="BI1121" s="2">
        <v>46026</v>
      </c>
      <c r="BJ1121">
        <v>0</v>
      </c>
      <c r="BK1121">
        <v>0</v>
      </c>
      <c r="BL1121">
        <v>0</v>
      </c>
      <c r="BM1121">
        <v>7</v>
      </c>
      <c r="BN1121">
        <v>4.88</v>
      </c>
      <c r="BO1121">
        <v>978.94</v>
      </c>
      <c r="BP1121">
        <v>426.3</v>
      </c>
      <c r="BQ1121" s="1">
        <v>1405.24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 s="1">
        <v>1320.8</v>
      </c>
      <c r="CC1121" t="s">
        <v>161</v>
      </c>
    </row>
    <row r="1122" spans="1:81" x14ac:dyDescent="0.25">
      <c r="A1122">
        <v>345</v>
      </c>
      <c r="B1122">
        <v>2</v>
      </c>
      <c r="C1122">
        <v>3196</v>
      </c>
      <c r="D1122" t="s">
        <v>6385</v>
      </c>
      <c r="E1122" t="s">
        <v>121</v>
      </c>
      <c r="F1122" t="s">
        <v>6386</v>
      </c>
      <c r="G1122" t="s">
        <v>6387</v>
      </c>
      <c r="H1122" t="s">
        <v>6388</v>
      </c>
      <c r="I1122" t="s">
        <v>6389</v>
      </c>
      <c r="J1122" t="s">
        <v>3080</v>
      </c>
      <c r="K1122" t="s">
        <v>336</v>
      </c>
      <c r="L1122" t="s">
        <v>128</v>
      </c>
      <c r="M1122" t="s">
        <v>337</v>
      </c>
      <c r="N1122" t="s">
        <v>6390</v>
      </c>
      <c r="O1122" t="s">
        <v>159</v>
      </c>
      <c r="P1122">
        <v>0</v>
      </c>
      <c r="Q1122" t="s">
        <v>125</v>
      </c>
      <c r="R1122">
        <v>5</v>
      </c>
      <c r="S1122">
        <v>70</v>
      </c>
      <c r="T1122" t="s">
        <v>132</v>
      </c>
      <c r="U1122" t="s">
        <v>133</v>
      </c>
      <c r="V1122" s="1">
        <v>1000</v>
      </c>
      <c r="W1122">
        <v>0</v>
      </c>
      <c r="X1122" s="1">
        <v>1000</v>
      </c>
      <c r="Y1122">
        <v>7</v>
      </c>
      <c r="Z1122">
        <v>0</v>
      </c>
      <c r="AA1122">
        <v>7</v>
      </c>
      <c r="AB1122">
        <v>1</v>
      </c>
      <c r="AC1122">
        <v>37</v>
      </c>
      <c r="AD1122" t="s">
        <v>134</v>
      </c>
      <c r="AE1122" t="s">
        <v>134</v>
      </c>
      <c r="AF1122" s="2">
        <v>45714</v>
      </c>
      <c r="AG1122" s="2">
        <v>46020</v>
      </c>
      <c r="AH1122">
        <v>839.46</v>
      </c>
      <c r="AI1122" s="1">
        <v>1237.42</v>
      </c>
      <c r="AJ1122" s="1">
        <v>6715.7</v>
      </c>
      <c r="AK1122">
        <v>0</v>
      </c>
      <c r="AL1122">
        <v>0</v>
      </c>
      <c r="AM1122">
        <v>0</v>
      </c>
      <c r="AN1122" t="s">
        <v>135</v>
      </c>
      <c r="AO1122" t="s">
        <v>135</v>
      </c>
      <c r="AP1122" t="s">
        <v>136</v>
      </c>
      <c r="AQ1122" t="s">
        <v>137</v>
      </c>
      <c r="AR1122" t="s">
        <v>138</v>
      </c>
      <c r="AS1122" t="s">
        <v>150</v>
      </c>
      <c r="AT1122" t="s">
        <v>140</v>
      </c>
      <c r="AU1122">
        <v>500</v>
      </c>
      <c r="AV1122">
        <v>10</v>
      </c>
      <c r="AW1122">
        <v>1</v>
      </c>
      <c r="AX1122" s="2">
        <v>45843</v>
      </c>
      <c r="AY1122" t="s">
        <v>160</v>
      </c>
      <c r="AZ1122" s="2">
        <v>46025</v>
      </c>
      <c r="BA1122">
        <v>0</v>
      </c>
      <c r="BB1122">
        <v>0</v>
      </c>
      <c r="BC1122">
        <v>0</v>
      </c>
      <c r="BD1122">
        <v>700</v>
      </c>
      <c r="BE1122">
        <v>70</v>
      </c>
      <c r="BF1122">
        <v>9</v>
      </c>
      <c r="BG1122" s="2">
        <v>45809</v>
      </c>
      <c r="BH1122" t="s">
        <v>142</v>
      </c>
      <c r="BI1122" s="2">
        <v>46026</v>
      </c>
      <c r="BJ1122">
        <v>0</v>
      </c>
      <c r="BK1122">
        <v>0</v>
      </c>
      <c r="BL1122">
        <v>0</v>
      </c>
      <c r="BM1122">
        <v>7</v>
      </c>
      <c r="BN1122">
        <v>7</v>
      </c>
      <c r="BO1122">
        <v>809.92</v>
      </c>
      <c r="BP1122">
        <v>0</v>
      </c>
      <c r="BQ1122">
        <v>809.92</v>
      </c>
      <c r="BR1122">
        <v>0</v>
      </c>
      <c r="BS1122">
        <v>7</v>
      </c>
      <c r="BT1122">
        <v>4.13</v>
      </c>
      <c r="BU1122" s="1">
        <v>1960.15</v>
      </c>
      <c r="BV1122" s="1">
        <v>1359.19</v>
      </c>
      <c r="BW1122" s="1">
        <v>3319.34</v>
      </c>
      <c r="BX1122">
        <v>0</v>
      </c>
      <c r="BY1122">
        <v>0</v>
      </c>
      <c r="BZ1122">
        <v>0</v>
      </c>
      <c r="CA1122">
        <v>0</v>
      </c>
      <c r="CB1122" s="1">
        <v>1673.79</v>
      </c>
      <c r="CC1122" t="s">
        <v>161</v>
      </c>
    </row>
    <row r="1123" spans="1:81" x14ac:dyDescent="0.25">
      <c r="A1123">
        <v>345</v>
      </c>
      <c r="B1123">
        <v>2</v>
      </c>
      <c r="C1123">
        <v>3197</v>
      </c>
      <c r="D1123" t="s">
        <v>6391</v>
      </c>
      <c r="E1123" t="s">
        <v>121</v>
      </c>
      <c r="F1123" t="s">
        <v>6392</v>
      </c>
      <c r="G1123" t="s">
        <v>6392</v>
      </c>
      <c r="H1123" t="s">
        <v>6393</v>
      </c>
      <c r="I1123" t="s">
        <v>6394</v>
      </c>
      <c r="J1123" t="s">
        <v>3080</v>
      </c>
      <c r="K1123" t="s">
        <v>336</v>
      </c>
      <c r="L1123" t="s">
        <v>128</v>
      </c>
      <c r="M1123" t="s">
        <v>6395</v>
      </c>
      <c r="N1123" t="s">
        <v>6396</v>
      </c>
      <c r="O1123" t="s">
        <v>159</v>
      </c>
      <c r="P1123">
        <v>0</v>
      </c>
      <c r="Q1123" t="s">
        <v>125</v>
      </c>
      <c r="R1123">
        <v>4</v>
      </c>
      <c r="S1123">
        <v>81</v>
      </c>
      <c r="T1123" t="s">
        <v>132</v>
      </c>
      <c r="U1123" t="s">
        <v>133</v>
      </c>
      <c r="V1123" s="1">
        <v>4700</v>
      </c>
      <c r="W1123" s="1">
        <v>3203.11</v>
      </c>
      <c r="X1123" s="1">
        <v>1496.89</v>
      </c>
      <c r="Y1123">
        <v>7</v>
      </c>
      <c r="Z1123">
        <v>0</v>
      </c>
      <c r="AA1123">
        <v>9</v>
      </c>
      <c r="AB1123">
        <v>0</v>
      </c>
      <c r="AC1123">
        <v>0</v>
      </c>
      <c r="AD1123" t="s">
        <v>134</v>
      </c>
      <c r="AE1123" t="s">
        <v>134</v>
      </c>
      <c r="AF1123" s="2">
        <v>45714</v>
      </c>
      <c r="AG1123" s="2">
        <v>46020</v>
      </c>
      <c r="AH1123" s="1">
        <v>2173.5</v>
      </c>
      <c r="AI1123" s="1">
        <v>3719.29</v>
      </c>
      <c r="AJ1123" s="1">
        <v>19561.5</v>
      </c>
      <c r="AK1123">
        <v>0</v>
      </c>
      <c r="AL1123" s="1">
        <v>3203.11</v>
      </c>
      <c r="AM1123">
        <v>108.77</v>
      </c>
      <c r="AN1123" t="s">
        <v>135</v>
      </c>
      <c r="AO1123" t="s">
        <v>135</v>
      </c>
      <c r="AP1123" t="s">
        <v>136</v>
      </c>
      <c r="AQ1123" t="s">
        <v>137</v>
      </c>
      <c r="AR1123" t="s">
        <v>138</v>
      </c>
      <c r="AS1123" t="s">
        <v>150</v>
      </c>
      <c r="AT1123" t="s">
        <v>140</v>
      </c>
      <c r="AU1123">
        <v>500</v>
      </c>
      <c r="AV1123">
        <v>10</v>
      </c>
      <c r="AW1123">
        <v>1</v>
      </c>
      <c r="AX1123" s="2">
        <v>45856</v>
      </c>
      <c r="AY1123" t="s">
        <v>151</v>
      </c>
      <c r="AZ1123" s="2">
        <v>46024</v>
      </c>
      <c r="BA1123">
        <v>0</v>
      </c>
      <c r="BB1123">
        <v>0</v>
      </c>
      <c r="BC1123">
        <v>0</v>
      </c>
      <c r="BD1123">
        <v>700</v>
      </c>
      <c r="BE1123">
        <v>70</v>
      </c>
      <c r="BF1123">
        <v>9</v>
      </c>
      <c r="BG1123" s="2">
        <v>45809</v>
      </c>
      <c r="BH1123" t="s">
        <v>142</v>
      </c>
      <c r="BI1123" s="2">
        <v>46026</v>
      </c>
      <c r="BJ1123">
        <v>0</v>
      </c>
      <c r="BK1123">
        <v>0</v>
      </c>
      <c r="BL1123">
        <v>0</v>
      </c>
      <c r="BM1123">
        <v>8.86</v>
      </c>
      <c r="BN1123">
        <v>8.86</v>
      </c>
      <c r="BO1123" s="1">
        <v>7203.16</v>
      </c>
      <c r="BP1123">
        <v>0</v>
      </c>
      <c r="BQ1123" s="1">
        <v>7203.16</v>
      </c>
      <c r="BR1123" s="1">
        <v>3483.87</v>
      </c>
      <c r="BS1123">
        <v>9</v>
      </c>
      <c r="BT1123">
        <v>9</v>
      </c>
      <c r="BU1123" s="1">
        <v>7703.03</v>
      </c>
      <c r="BV1123">
        <v>0</v>
      </c>
      <c r="BW1123" s="1">
        <v>7703.03</v>
      </c>
      <c r="BX1123" s="1">
        <v>3203.11</v>
      </c>
      <c r="BY1123">
        <v>41.58</v>
      </c>
      <c r="BZ1123">
        <v>0</v>
      </c>
      <c r="CA1123">
        <v>0</v>
      </c>
      <c r="CB1123" s="1">
        <v>6908.03</v>
      </c>
      <c r="CC1123" t="s">
        <v>161</v>
      </c>
    </row>
    <row r="1124" spans="1:81" x14ac:dyDescent="0.25">
      <c r="A1124">
        <v>345</v>
      </c>
      <c r="B1124">
        <v>2</v>
      </c>
      <c r="C1124">
        <v>3201</v>
      </c>
      <c r="D1124" t="s">
        <v>6397</v>
      </c>
      <c r="E1124" t="s">
        <v>121</v>
      </c>
      <c r="F1124" t="s">
        <v>6398</v>
      </c>
      <c r="G1124" t="s">
        <v>6399</v>
      </c>
      <c r="H1124" t="s">
        <v>6400</v>
      </c>
      <c r="I1124" t="s">
        <v>6401</v>
      </c>
      <c r="J1124" t="s">
        <v>1021</v>
      </c>
      <c r="K1124" t="s">
        <v>473</v>
      </c>
      <c r="L1124" t="s">
        <v>128</v>
      </c>
      <c r="M1124" t="s">
        <v>5488</v>
      </c>
      <c r="N1124" t="s">
        <v>6402</v>
      </c>
      <c r="O1124" t="s">
        <v>167</v>
      </c>
      <c r="P1124">
        <v>0</v>
      </c>
      <c r="Q1124" t="s">
        <v>125</v>
      </c>
      <c r="R1124">
        <v>4</v>
      </c>
      <c r="S1124">
        <v>77</v>
      </c>
      <c r="T1124" t="s">
        <v>132</v>
      </c>
      <c r="U1124" t="s">
        <v>133</v>
      </c>
      <c r="V1124" s="1">
        <v>1000</v>
      </c>
      <c r="W1124">
        <v>0</v>
      </c>
      <c r="X1124" s="1">
        <v>1000</v>
      </c>
      <c r="Y1124">
        <v>7</v>
      </c>
      <c r="Z1124">
        <v>0</v>
      </c>
      <c r="AA1124">
        <v>6</v>
      </c>
      <c r="AB1124">
        <v>0</v>
      </c>
      <c r="AC1124">
        <v>8</v>
      </c>
      <c r="AD1124" t="s">
        <v>134</v>
      </c>
      <c r="AE1124" t="s">
        <v>134</v>
      </c>
      <c r="AF1124" s="2">
        <v>45715</v>
      </c>
      <c r="AG1124" s="2">
        <v>45951</v>
      </c>
      <c r="AH1124">
        <v>245.25</v>
      </c>
      <c r="AI1124">
        <v>327.01</v>
      </c>
      <c r="AJ1124">
        <v>490.51</v>
      </c>
      <c r="AK1124">
        <v>0</v>
      </c>
      <c r="AL1124">
        <v>0</v>
      </c>
      <c r="AM1124">
        <v>0</v>
      </c>
      <c r="AN1124" t="s">
        <v>135</v>
      </c>
      <c r="AO1124" t="s">
        <v>135</v>
      </c>
      <c r="AP1124" t="s">
        <v>136</v>
      </c>
      <c r="AQ1124" t="s">
        <v>137</v>
      </c>
      <c r="AR1124" t="s">
        <v>138</v>
      </c>
      <c r="AS1124" t="s">
        <v>139</v>
      </c>
      <c r="AT1124" t="s">
        <v>140</v>
      </c>
      <c r="AU1124">
        <v>105</v>
      </c>
      <c r="AV1124">
        <v>10</v>
      </c>
      <c r="AW1124">
        <v>1</v>
      </c>
      <c r="AX1124" s="2">
        <v>45810</v>
      </c>
      <c r="AY1124" t="s">
        <v>141</v>
      </c>
      <c r="AZ1124" s="2">
        <v>46027</v>
      </c>
      <c r="BA1124">
        <v>0</v>
      </c>
      <c r="BB1124">
        <v>0</v>
      </c>
      <c r="BC1124">
        <v>0</v>
      </c>
      <c r="BD1124">
        <v>700</v>
      </c>
      <c r="BE1124">
        <v>70</v>
      </c>
      <c r="BF1124">
        <v>9</v>
      </c>
      <c r="BG1124" s="2">
        <v>45809</v>
      </c>
      <c r="BH1124" t="s">
        <v>142</v>
      </c>
      <c r="BI1124" s="2">
        <v>46026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702.97</v>
      </c>
      <c r="CC1124" t="s">
        <v>161</v>
      </c>
    </row>
    <row r="1125" spans="1:81" x14ac:dyDescent="0.25">
      <c r="A1125">
        <v>345</v>
      </c>
      <c r="B1125">
        <v>2</v>
      </c>
      <c r="C1125">
        <v>3202</v>
      </c>
      <c r="D1125" t="s">
        <v>6403</v>
      </c>
      <c r="E1125" t="s">
        <v>5427</v>
      </c>
      <c r="F1125" t="s">
        <v>6404</v>
      </c>
      <c r="G1125" t="s">
        <v>6405</v>
      </c>
      <c r="H1125" t="s">
        <v>6406</v>
      </c>
      <c r="I1125" t="s">
        <v>125</v>
      </c>
      <c r="J1125" t="s">
        <v>1263</v>
      </c>
      <c r="K1125" t="s">
        <v>466</v>
      </c>
      <c r="L1125" t="s">
        <v>128</v>
      </c>
      <c r="M1125" t="s">
        <v>467</v>
      </c>
      <c r="N1125" t="s">
        <v>6407</v>
      </c>
      <c r="O1125" t="s">
        <v>131</v>
      </c>
      <c r="P1125">
        <v>0</v>
      </c>
      <c r="Q1125" t="s">
        <v>125</v>
      </c>
      <c r="R1125">
        <v>3</v>
      </c>
      <c r="S1125">
        <v>88</v>
      </c>
      <c r="T1125" t="s">
        <v>132</v>
      </c>
      <c r="U1125" t="s">
        <v>133</v>
      </c>
      <c r="V1125" s="1">
        <v>1100</v>
      </c>
      <c r="W1125">
        <v>0</v>
      </c>
      <c r="X1125" s="1">
        <v>1100</v>
      </c>
      <c r="Y1125">
        <v>7</v>
      </c>
      <c r="Z1125">
        <v>0</v>
      </c>
      <c r="AA1125">
        <v>0</v>
      </c>
      <c r="AB1125">
        <v>0</v>
      </c>
      <c r="AC1125">
        <v>0</v>
      </c>
      <c r="AD1125" t="s">
        <v>134</v>
      </c>
      <c r="AE1125" t="s">
        <v>134</v>
      </c>
      <c r="AF1125" s="2">
        <v>45716</v>
      </c>
      <c r="AG1125" s="2">
        <v>46018</v>
      </c>
      <c r="AH1125">
        <v>547.03</v>
      </c>
      <c r="AI1125">
        <v>920.89</v>
      </c>
      <c r="AJ1125" s="1">
        <v>4376.26</v>
      </c>
      <c r="AK1125">
        <v>0</v>
      </c>
      <c r="AL1125">
        <v>0</v>
      </c>
      <c r="AM1125">
        <v>0</v>
      </c>
      <c r="AN1125" t="s">
        <v>135</v>
      </c>
      <c r="AO1125" t="s">
        <v>135</v>
      </c>
      <c r="AP1125" t="s">
        <v>136</v>
      </c>
      <c r="AQ1125" t="s">
        <v>137</v>
      </c>
      <c r="AR1125" t="s">
        <v>138</v>
      </c>
      <c r="AS1125" t="s">
        <v>139</v>
      </c>
      <c r="AT1125" t="s">
        <v>140</v>
      </c>
      <c r="AU1125">
        <v>106</v>
      </c>
      <c r="AV1125">
        <v>10</v>
      </c>
      <c r="AW1125">
        <v>1</v>
      </c>
      <c r="AX1125" s="2">
        <v>45814</v>
      </c>
      <c r="AY1125" t="s">
        <v>151</v>
      </c>
      <c r="AZ1125" s="2">
        <v>46024</v>
      </c>
      <c r="BA1125">
        <v>0</v>
      </c>
      <c r="BB1125">
        <v>0</v>
      </c>
      <c r="BC1125">
        <v>0</v>
      </c>
      <c r="BD1125">
        <v>700</v>
      </c>
      <c r="BE1125">
        <v>70</v>
      </c>
      <c r="BF1125">
        <v>9</v>
      </c>
      <c r="BG1125" s="2">
        <v>45809</v>
      </c>
      <c r="BH1125" t="s">
        <v>142</v>
      </c>
      <c r="BI1125" s="2">
        <v>46026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 s="1">
        <v>2230.52</v>
      </c>
      <c r="BQ1125" s="1">
        <v>2230.52</v>
      </c>
      <c r="BR1125">
        <v>0</v>
      </c>
      <c r="BS1125">
        <v>0</v>
      </c>
      <c r="BT1125">
        <v>0</v>
      </c>
      <c r="BU1125">
        <v>0</v>
      </c>
      <c r="BV1125" s="1">
        <v>1184.74</v>
      </c>
      <c r="BW1125" s="1">
        <v>1184.74</v>
      </c>
      <c r="BX1125">
        <v>0</v>
      </c>
      <c r="BY1125">
        <v>0</v>
      </c>
      <c r="BZ1125">
        <v>0</v>
      </c>
      <c r="CA1125">
        <v>0</v>
      </c>
      <c r="CB1125" s="1">
        <v>1781.99</v>
      </c>
      <c r="CC1125" t="s">
        <v>143</v>
      </c>
    </row>
    <row r="1126" spans="1:81" x14ac:dyDescent="0.25">
      <c r="A1126">
        <v>345</v>
      </c>
      <c r="B1126">
        <v>2</v>
      </c>
      <c r="C1126">
        <v>3203</v>
      </c>
      <c r="D1126" t="s">
        <v>6408</v>
      </c>
      <c r="E1126" t="s">
        <v>121</v>
      </c>
      <c r="F1126" t="s">
        <v>341</v>
      </c>
      <c r="G1126" t="s">
        <v>6409</v>
      </c>
      <c r="H1126" t="s">
        <v>6410</v>
      </c>
      <c r="I1126" t="s">
        <v>6411</v>
      </c>
      <c r="J1126" t="s">
        <v>4569</v>
      </c>
      <c r="K1126" t="s">
        <v>473</v>
      </c>
      <c r="L1126" t="s">
        <v>128</v>
      </c>
      <c r="M1126" t="s">
        <v>474</v>
      </c>
      <c r="N1126" t="s">
        <v>6412</v>
      </c>
      <c r="O1126" t="s">
        <v>201</v>
      </c>
      <c r="P1126">
        <v>0</v>
      </c>
      <c r="Q1126" t="s">
        <v>125</v>
      </c>
      <c r="R1126">
        <v>3</v>
      </c>
      <c r="S1126">
        <v>84</v>
      </c>
      <c r="T1126" t="s">
        <v>132</v>
      </c>
      <c r="U1126" t="s">
        <v>133</v>
      </c>
      <c r="V1126" s="1">
        <v>1000</v>
      </c>
      <c r="W1126">
        <v>0</v>
      </c>
      <c r="X1126" s="1">
        <v>1000</v>
      </c>
      <c r="Y1126">
        <v>7</v>
      </c>
      <c r="Z1126">
        <v>0</v>
      </c>
      <c r="AA1126">
        <v>0</v>
      </c>
      <c r="AB1126">
        <v>0</v>
      </c>
      <c r="AC1126">
        <v>0</v>
      </c>
      <c r="AD1126" t="s">
        <v>134</v>
      </c>
      <c r="AE1126" t="s">
        <v>134</v>
      </c>
      <c r="AF1126" s="2">
        <v>45717</v>
      </c>
      <c r="AG1126" s="2">
        <v>46010</v>
      </c>
      <c r="AH1126">
        <v>291.7</v>
      </c>
      <c r="AI1126">
        <v>405.39</v>
      </c>
      <c r="AJ1126" s="1">
        <v>1750.22</v>
      </c>
      <c r="AK1126">
        <v>0</v>
      </c>
      <c r="AL1126">
        <v>0</v>
      </c>
      <c r="AM1126">
        <v>0</v>
      </c>
      <c r="AN1126" t="s">
        <v>135</v>
      </c>
      <c r="AO1126" t="s">
        <v>135</v>
      </c>
      <c r="AP1126" t="s">
        <v>136</v>
      </c>
      <c r="AQ1126" t="s">
        <v>137</v>
      </c>
      <c r="AR1126" t="s">
        <v>138</v>
      </c>
      <c r="AS1126" t="s">
        <v>139</v>
      </c>
      <c r="AT1126" t="s">
        <v>140</v>
      </c>
      <c r="AU1126">
        <v>105</v>
      </c>
      <c r="AV1126">
        <v>10</v>
      </c>
      <c r="AW1126">
        <v>1</v>
      </c>
      <c r="AX1126" s="2">
        <v>45721</v>
      </c>
      <c r="AY1126" t="s">
        <v>168</v>
      </c>
      <c r="AZ1126" s="2">
        <v>46022</v>
      </c>
      <c r="BA1126">
        <v>0</v>
      </c>
      <c r="BB1126">
        <v>0</v>
      </c>
      <c r="BC1126">
        <v>0</v>
      </c>
      <c r="BD1126">
        <v>700</v>
      </c>
      <c r="BE1126">
        <v>70</v>
      </c>
      <c r="BF1126">
        <v>9</v>
      </c>
      <c r="BG1126" s="2">
        <v>45809</v>
      </c>
      <c r="BH1126" t="s">
        <v>142</v>
      </c>
      <c r="BI1126" s="2">
        <v>46026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 s="1">
        <v>1022.39</v>
      </c>
      <c r="BQ1126" s="1">
        <v>1022.39</v>
      </c>
      <c r="BR1126">
        <v>0</v>
      </c>
      <c r="BS1126">
        <v>0</v>
      </c>
      <c r="BT1126">
        <v>0</v>
      </c>
      <c r="BU1126">
        <v>0</v>
      </c>
      <c r="BV1126">
        <v>727.83</v>
      </c>
      <c r="BW1126">
        <v>727.83</v>
      </c>
      <c r="BX1126">
        <v>0</v>
      </c>
      <c r="BY1126">
        <v>0</v>
      </c>
      <c r="BZ1126">
        <v>0</v>
      </c>
      <c r="CA1126">
        <v>0</v>
      </c>
      <c r="CB1126">
        <v>436.04</v>
      </c>
      <c r="CC1126" t="s">
        <v>161</v>
      </c>
    </row>
    <row r="1127" spans="1:81" x14ac:dyDescent="0.25">
      <c r="A1127">
        <v>345</v>
      </c>
      <c r="B1127">
        <v>2</v>
      </c>
      <c r="C1127">
        <v>3205</v>
      </c>
      <c r="D1127" t="s">
        <v>6413</v>
      </c>
      <c r="E1127" t="s">
        <v>5427</v>
      </c>
      <c r="F1127" t="s">
        <v>6414</v>
      </c>
      <c r="G1127" t="s">
        <v>6415</v>
      </c>
      <c r="H1127" t="s">
        <v>6416</v>
      </c>
      <c r="I1127" t="s">
        <v>125</v>
      </c>
      <c r="J1127" t="s">
        <v>126</v>
      </c>
      <c r="K1127" t="s">
        <v>466</v>
      </c>
      <c r="L1127" t="s">
        <v>128</v>
      </c>
      <c r="M1127" t="s">
        <v>467</v>
      </c>
      <c r="N1127" t="s">
        <v>5784</v>
      </c>
      <c r="O1127" t="s">
        <v>149</v>
      </c>
      <c r="P1127">
        <v>0</v>
      </c>
      <c r="Q1127" t="s">
        <v>125</v>
      </c>
      <c r="R1127">
        <v>4</v>
      </c>
      <c r="S1127">
        <v>77</v>
      </c>
      <c r="T1127" t="s">
        <v>132</v>
      </c>
      <c r="U1127" t="s">
        <v>133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5</v>
      </c>
      <c r="AB1127">
        <v>10</v>
      </c>
      <c r="AC1127">
        <v>4</v>
      </c>
      <c r="AD1127" t="s">
        <v>134</v>
      </c>
      <c r="AE1127" t="s">
        <v>134</v>
      </c>
      <c r="AF1127" s="2">
        <v>45717</v>
      </c>
      <c r="AG1127" s="2">
        <v>46008</v>
      </c>
      <c r="AH1127">
        <v>367.52</v>
      </c>
      <c r="AI1127" s="1">
        <v>1268.57</v>
      </c>
      <c r="AJ1127" s="1">
        <v>3675.2</v>
      </c>
      <c r="AK1127">
        <v>0</v>
      </c>
      <c r="AL1127">
        <v>0</v>
      </c>
      <c r="AM1127">
        <v>0</v>
      </c>
      <c r="AN1127" t="s">
        <v>135</v>
      </c>
      <c r="AO1127" t="s">
        <v>135</v>
      </c>
      <c r="AP1127" t="s">
        <v>136</v>
      </c>
      <c r="AQ1127" t="s">
        <v>137</v>
      </c>
      <c r="AR1127" t="s">
        <v>138</v>
      </c>
      <c r="AS1127" t="s">
        <v>139</v>
      </c>
      <c r="AT1127" t="s">
        <v>140</v>
      </c>
      <c r="AU1127">
        <v>105</v>
      </c>
      <c r="AV1127">
        <v>10</v>
      </c>
      <c r="AW1127">
        <v>1</v>
      </c>
      <c r="AX1127" s="2">
        <v>45972</v>
      </c>
      <c r="AY1127" t="s">
        <v>377</v>
      </c>
      <c r="AZ1127" s="2">
        <v>46028</v>
      </c>
      <c r="BA1127">
        <v>0</v>
      </c>
      <c r="BB1127">
        <v>0</v>
      </c>
      <c r="BC1127">
        <v>0</v>
      </c>
      <c r="BD1127">
        <v>700</v>
      </c>
      <c r="BE1127">
        <v>70</v>
      </c>
      <c r="BF1127">
        <v>9</v>
      </c>
      <c r="BG1127" s="2">
        <v>45809</v>
      </c>
      <c r="BH1127" t="s">
        <v>142</v>
      </c>
      <c r="BI1127" s="2">
        <v>46026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185.14</v>
      </c>
      <c r="BQ1127">
        <v>185.14</v>
      </c>
      <c r="BR1127">
        <v>0</v>
      </c>
      <c r="BS1127">
        <v>0</v>
      </c>
      <c r="BT1127">
        <v>0</v>
      </c>
      <c r="BU1127">
        <v>0</v>
      </c>
      <c r="BV1127" s="1">
        <v>2567.4499999999998</v>
      </c>
      <c r="BW1127" s="1">
        <v>2567.4499999999998</v>
      </c>
      <c r="BX1127">
        <v>0</v>
      </c>
      <c r="BY1127">
        <v>0</v>
      </c>
      <c r="BZ1127">
        <v>0</v>
      </c>
      <c r="CA1127">
        <v>0</v>
      </c>
      <c r="CB1127">
        <v>369.25</v>
      </c>
      <c r="CC1127" t="s">
        <v>152</v>
      </c>
    </row>
    <row r="1128" spans="1:81" x14ac:dyDescent="0.25">
      <c r="A1128">
        <v>345</v>
      </c>
      <c r="B1128">
        <v>2</v>
      </c>
      <c r="C1128">
        <v>3214</v>
      </c>
      <c r="D1128" t="s">
        <v>6417</v>
      </c>
      <c r="E1128" t="s">
        <v>121</v>
      </c>
      <c r="F1128" t="s">
        <v>6418</v>
      </c>
      <c r="G1128" t="s">
        <v>6419</v>
      </c>
      <c r="H1128" t="s">
        <v>6420</v>
      </c>
      <c r="I1128" t="s">
        <v>125</v>
      </c>
      <c r="J1128" t="s">
        <v>4569</v>
      </c>
      <c r="K1128" t="s">
        <v>466</v>
      </c>
      <c r="L1128" t="s">
        <v>128</v>
      </c>
      <c r="M1128" t="s">
        <v>467</v>
      </c>
      <c r="N1128" t="s">
        <v>6421</v>
      </c>
      <c r="O1128" t="s">
        <v>201</v>
      </c>
      <c r="P1128">
        <v>0</v>
      </c>
      <c r="Q1128" t="s">
        <v>125</v>
      </c>
      <c r="R1128">
        <v>3</v>
      </c>
      <c r="S1128">
        <v>82</v>
      </c>
      <c r="T1128" t="s">
        <v>132</v>
      </c>
      <c r="U1128" t="s">
        <v>133</v>
      </c>
      <c r="V1128" s="1">
        <v>1000</v>
      </c>
      <c r="W1128">
        <v>0</v>
      </c>
      <c r="X1128" s="1">
        <v>1000</v>
      </c>
      <c r="Y1128">
        <v>5</v>
      </c>
      <c r="Z1128">
        <v>0</v>
      </c>
      <c r="AA1128">
        <v>0</v>
      </c>
      <c r="AB1128">
        <v>0</v>
      </c>
      <c r="AC1128">
        <v>0</v>
      </c>
      <c r="AD1128" t="s">
        <v>134</v>
      </c>
      <c r="AE1128" t="s">
        <v>234</v>
      </c>
      <c r="AF1128" s="2">
        <v>45719</v>
      </c>
      <c r="AG1128" s="2">
        <v>46017</v>
      </c>
      <c r="AH1128">
        <v>292.77999999999997</v>
      </c>
      <c r="AI1128">
        <v>378.59</v>
      </c>
      <c r="AJ1128">
        <v>585.57000000000005</v>
      </c>
      <c r="AK1128">
        <v>0</v>
      </c>
      <c r="AL1128">
        <v>0</v>
      </c>
      <c r="AM1128">
        <v>0</v>
      </c>
      <c r="AN1128" t="s">
        <v>135</v>
      </c>
      <c r="AO1128" t="s">
        <v>135</v>
      </c>
      <c r="AP1128" t="s">
        <v>136</v>
      </c>
      <c r="AQ1128" t="s">
        <v>137</v>
      </c>
      <c r="AR1128" t="s">
        <v>138</v>
      </c>
      <c r="AS1128" t="s">
        <v>150</v>
      </c>
      <c r="AT1128" t="s">
        <v>140</v>
      </c>
      <c r="AU1128">
        <v>103</v>
      </c>
      <c r="AV1128">
        <v>10</v>
      </c>
      <c r="AW1128">
        <v>1</v>
      </c>
      <c r="AX1128" s="2">
        <v>46000</v>
      </c>
      <c r="AY1128" t="s">
        <v>377</v>
      </c>
      <c r="AZ1128" s="2">
        <v>46028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 t="s">
        <v>135</v>
      </c>
      <c r="BH1128" t="s">
        <v>250</v>
      </c>
      <c r="BI1128" t="s">
        <v>135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585.57000000000005</v>
      </c>
      <c r="BW1128">
        <v>585.57000000000005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 t="s">
        <v>339</v>
      </c>
    </row>
    <row r="1129" spans="1:81" x14ac:dyDescent="0.25">
      <c r="A1129">
        <v>345</v>
      </c>
      <c r="B1129">
        <v>2</v>
      </c>
      <c r="C1129">
        <v>3237</v>
      </c>
      <c r="D1129" t="s">
        <v>6422</v>
      </c>
      <c r="E1129" t="s">
        <v>121</v>
      </c>
      <c r="F1129" t="s">
        <v>6423</v>
      </c>
      <c r="G1129" t="s">
        <v>6424</v>
      </c>
      <c r="H1129" t="s">
        <v>6425</v>
      </c>
      <c r="I1129" t="s">
        <v>125</v>
      </c>
      <c r="J1129" t="s">
        <v>825</v>
      </c>
      <c r="K1129" t="s">
        <v>336</v>
      </c>
      <c r="L1129" t="s">
        <v>128</v>
      </c>
      <c r="M1129" t="s">
        <v>337</v>
      </c>
      <c r="N1129" t="s">
        <v>6426</v>
      </c>
      <c r="O1129" t="s">
        <v>201</v>
      </c>
      <c r="P1129">
        <v>0</v>
      </c>
      <c r="Q1129" t="s">
        <v>125</v>
      </c>
      <c r="R1129">
        <v>4</v>
      </c>
      <c r="S1129">
        <v>76</v>
      </c>
      <c r="T1129" t="s">
        <v>132</v>
      </c>
      <c r="U1129" t="s">
        <v>133</v>
      </c>
      <c r="V1129" s="1">
        <v>1000</v>
      </c>
      <c r="W1129">
        <v>0</v>
      </c>
      <c r="X1129" s="1">
        <v>1000</v>
      </c>
      <c r="Y1129">
        <v>7</v>
      </c>
      <c r="Z1129">
        <v>0</v>
      </c>
      <c r="AA1129">
        <v>0</v>
      </c>
      <c r="AB1129">
        <v>0</v>
      </c>
      <c r="AC1129">
        <v>0</v>
      </c>
      <c r="AD1129" t="s">
        <v>134</v>
      </c>
      <c r="AE1129" t="s">
        <v>234</v>
      </c>
      <c r="AF1129" s="2">
        <v>45719</v>
      </c>
      <c r="AG1129" s="2">
        <v>46021</v>
      </c>
      <c r="AH1129">
        <v>286.48</v>
      </c>
      <c r="AI1129">
        <v>402.55</v>
      </c>
      <c r="AJ1129" s="1">
        <v>1432.44</v>
      </c>
      <c r="AK1129">
        <v>0</v>
      </c>
      <c r="AL1129">
        <v>0</v>
      </c>
      <c r="AM1129">
        <v>0</v>
      </c>
      <c r="AN1129" t="s">
        <v>135</v>
      </c>
      <c r="AO1129" t="s">
        <v>135</v>
      </c>
      <c r="AP1129" t="s">
        <v>136</v>
      </c>
      <c r="AQ1129" t="s">
        <v>137</v>
      </c>
      <c r="AR1129" t="s">
        <v>138</v>
      </c>
      <c r="AS1129" t="s">
        <v>150</v>
      </c>
      <c r="AT1129" t="s">
        <v>140</v>
      </c>
      <c r="AU1129">
        <v>101</v>
      </c>
      <c r="AV1129">
        <v>10</v>
      </c>
      <c r="AW1129">
        <v>1</v>
      </c>
      <c r="AX1129" s="2">
        <v>45922</v>
      </c>
      <c r="AY1129" t="s">
        <v>141</v>
      </c>
      <c r="AZ1129" s="2">
        <v>46027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 t="s">
        <v>135</v>
      </c>
      <c r="BH1129" t="s">
        <v>250</v>
      </c>
      <c r="BI1129" t="s">
        <v>135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681.58</v>
      </c>
      <c r="BQ1129">
        <v>681.58</v>
      </c>
      <c r="BR1129">
        <v>0</v>
      </c>
      <c r="BS1129">
        <v>0</v>
      </c>
      <c r="BT1129">
        <v>0</v>
      </c>
      <c r="BU1129">
        <v>0</v>
      </c>
      <c r="BV1129">
        <v>549.86</v>
      </c>
      <c r="BW1129">
        <v>549.86</v>
      </c>
      <c r="BX1129">
        <v>0</v>
      </c>
      <c r="BY1129">
        <v>0</v>
      </c>
      <c r="BZ1129">
        <v>0</v>
      </c>
      <c r="CA1129">
        <v>0</v>
      </c>
      <c r="CB1129">
        <v>294.19</v>
      </c>
      <c r="CC1129" t="s">
        <v>339</v>
      </c>
    </row>
    <row r="1130" spans="1:81" x14ac:dyDescent="0.25">
      <c r="A1130">
        <v>345</v>
      </c>
      <c r="B1130">
        <v>2</v>
      </c>
      <c r="C1130">
        <v>3269</v>
      </c>
      <c r="D1130" t="s">
        <v>6427</v>
      </c>
      <c r="E1130" t="s">
        <v>5427</v>
      </c>
      <c r="F1130" t="s">
        <v>6428</v>
      </c>
      <c r="G1130" t="s">
        <v>6429</v>
      </c>
      <c r="H1130" t="s">
        <v>6430</v>
      </c>
      <c r="I1130" t="s">
        <v>3838</v>
      </c>
      <c r="J1130" t="s">
        <v>565</v>
      </c>
      <c r="K1130" t="s">
        <v>336</v>
      </c>
      <c r="L1130" t="s">
        <v>128</v>
      </c>
      <c r="M1130" t="s">
        <v>337</v>
      </c>
      <c r="N1130" t="s">
        <v>6431</v>
      </c>
      <c r="O1130" t="s">
        <v>149</v>
      </c>
      <c r="P1130">
        <v>0</v>
      </c>
      <c r="Q1130" t="s">
        <v>125</v>
      </c>
      <c r="R1130">
        <v>3</v>
      </c>
      <c r="S1130">
        <v>89</v>
      </c>
      <c r="T1130" t="s">
        <v>132</v>
      </c>
      <c r="U1130" t="s">
        <v>133</v>
      </c>
      <c r="V1130" s="1">
        <v>2300</v>
      </c>
      <c r="W1130" s="1">
        <v>1496.92</v>
      </c>
      <c r="X1130">
        <v>803.08</v>
      </c>
      <c r="Y1130">
        <v>7</v>
      </c>
      <c r="Z1130">
        <v>0</v>
      </c>
      <c r="AA1130">
        <v>7</v>
      </c>
      <c r="AB1130">
        <v>0</v>
      </c>
      <c r="AC1130">
        <v>3</v>
      </c>
      <c r="AD1130" t="s">
        <v>134</v>
      </c>
      <c r="AE1130" t="s">
        <v>134</v>
      </c>
      <c r="AF1130" s="2">
        <v>45719</v>
      </c>
      <c r="AG1130" s="2">
        <v>46007</v>
      </c>
      <c r="AH1130" s="1">
        <v>1294.74</v>
      </c>
      <c r="AI1130" s="1">
        <v>2467.14</v>
      </c>
      <c r="AJ1130" s="1">
        <v>14242.16</v>
      </c>
      <c r="AK1130">
        <v>0</v>
      </c>
      <c r="AL1130" s="1">
        <v>1496.92</v>
      </c>
      <c r="AM1130">
        <v>0</v>
      </c>
      <c r="AN1130" t="s">
        <v>135</v>
      </c>
      <c r="AO1130" t="s">
        <v>135</v>
      </c>
      <c r="AP1130" t="s">
        <v>136</v>
      </c>
      <c r="AQ1130" t="s">
        <v>137</v>
      </c>
      <c r="AR1130" t="s">
        <v>138</v>
      </c>
      <c r="AS1130" t="s">
        <v>139</v>
      </c>
      <c r="AT1130" t="s">
        <v>140</v>
      </c>
      <c r="AU1130">
        <v>104</v>
      </c>
      <c r="AV1130">
        <v>10</v>
      </c>
      <c r="AW1130">
        <v>1</v>
      </c>
      <c r="AX1130" s="2">
        <v>45950</v>
      </c>
      <c r="AY1130" t="s">
        <v>141</v>
      </c>
      <c r="AZ1130" s="2">
        <v>46027</v>
      </c>
      <c r="BA1130">
        <v>0</v>
      </c>
      <c r="BB1130">
        <v>0</v>
      </c>
      <c r="BC1130">
        <v>0</v>
      </c>
      <c r="BD1130">
        <v>700</v>
      </c>
      <c r="BE1130">
        <v>70</v>
      </c>
      <c r="BF1130">
        <v>9</v>
      </c>
      <c r="BG1130" s="2">
        <v>45809</v>
      </c>
      <c r="BH1130" t="s">
        <v>142</v>
      </c>
      <c r="BI1130" s="2">
        <v>46026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 s="1">
        <v>5874.52</v>
      </c>
      <c r="BQ1130" s="1">
        <v>5874.52</v>
      </c>
      <c r="BR1130">
        <v>0</v>
      </c>
      <c r="BS1130">
        <v>7</v>
      </c>
      <c r="BT1130">
        <v>5.32</v>
      </c>
      <c r="BU1130" s="1">
        <v>2914.64</v>
      </c>
      <c r="BV1130">
        <v>923.97</v>
      </c>
      <c r="BW1130" s="1">
        <v>3838.61</v>
      </c>
      <c r="BX1130" s="1">
        <v>1496.92</v>
      </c>
      <c r="BY1130">
        <v>51.36</v>
      </c>
      <c r="BZ1130">
        <v>0</v>
      </c>
      <c r="CA1130">
        <v>0</v>
      </c>
      <c r="CB1130" s="1">
        <v>4081.15</v>
      </c>
      <c r="CC1130" t="s">
        <v>152</v>
      </c>
    </row>
    <row r="1131" spans="1:81" x14ac:dyDescent="0.25">
      <c r="A1131">
        <v>345</v>
      </c>
      <c r="B1131">
        <v>2</v>
      </c>
      <c r="C1131">
        <v>3270</v>
      </c>
      <c r="D1131" t="s">
        <v>6432</v>
      </c>
      <c r="E1131" t="s">
        <v>121</v>
      </c>
      <c r="F1131" t="s">
        <v>6433</v>
      </c>
      <c r="G1131" t="s">
        <v>6434</v>
      </c>
      <c r="H1131" t="s">
        <v>6435</v>
      </c>
      <c r="I1131" t="s">
        <v>6436</v>
      </c>
      <c r="J1131" t="s">
        <v>606</v>
      </c>
      <c r="K1131" t="s">
        <v>336</v>
      </c>
      <c r="L1131" t="s">
        <v>128</v>
      </c>
      <c r="M1131" t="s">
        <v>337</v>
      </c>
      <c r="N1131" t="s">
        <v>6437</v>
      </c>
      <c r="O1131" t="s">
        <v>167</v>
      </c>
      <c r="P1131">
        <v>0</v>
      </c>
      <c r="Q1131" t="s">
        <v>125</v>
      </c>
      <c r="R1131">
        <v>3</v>
      </c>
      <c r="S1131">
        <v>82</v>
      </c>
      <c r="T1131" t="s">
        <v>132</v>
      </c>
      <c r="U1131" t="s">
        <v>133</v>
      </c>
      <c r="V1131" s="1">
        <v>1500</v>
      </c>
      <c r="W1131">
        <v>0</v>
      </c>
      <c r="X1131" s="1">
        <v>1500</v>
      </c>
      <c r="Y1131">
        <v>7</v>
      </c>
      <c r="Z1131">
        <v>0</v>
      </c>
      <c r="AA1131">
        <v>7</v>
      </c>
      <c r="AB1131">
        <v>0</v>
      </c>
      <c r="AC1131">
        <v>0</v>
      </c>
      <c r="AD1131" t="s">
        <v>134</v>
      </c>
      <c r="AE1131" t="s">
        <v>134</v>
      </c>
      <c r="AF1131" s="2">
        <v>45722</v>
      </c>
      <c r="AG1131" s="2">
        <v>46015</v>
      </c>
      <c r="AH1131">
        <v>947.12</v>
      </c>
      <c r="AI1131" s="1">
        <v>1433.3</v>
      </c>
      <c r="AJ1131" s="1">
        <v>11365.44</v>
      </c>
      <c r="AK1131">
        <v>0</v>
      </c>
      <c r="AL1131">
        <v>0</v>
      </c>
      <c r="AM1131">
        <v>0</v>
      </c>
      <c r="AN1131" t="s">
        <v>135</v>
      </c>
      <c r="AO1131" t="s">
        <v>135</v>
      </c>
      <c r="AP1131" t="s">
        <v>136</v>
      </c>
      <c r="AQ1131" t="s">
        <v>137</v>
      </c>
      <c r="AR1131" t="s">
        <v>138</v>
      </c>
      <c r="AS1131" t="s">
        <v>139</v>
      </c>
      <c r="AT1131" t="s">
        <v>140</v>
      </c>
      <c r="AU1131">
        <v>101</v>
      </c>
      <c r="AV1131">
        <v>10</v>
      </c>
      <c r="AW1131">
        <v>1</v>
      </c>
      <c r="AX1131" s="2">
        <v>45811</v>
      </c>
      <c r="AY1131" t="s">
        <v>377</v>
      </c>
      <c r="AZ1131" s="2">
        <v>46028</v>
      </c>
      <c r="BA1131">
        <v>0</v>
      </c>
      <c r="BB1131">
        <v>0</v>
      </c>
      <c r="BC1131">
        <v>0</v>
      </c>
      <c r="BD1131">
        <v>700</v>
      </c>
      <c r="BE1131">
        <v>70</v>
      </c>
      <c r="BF1131">
        <v>9</v>
      </c>
      <c r="BG1131" s="2">
        <v>45809</v>
      </c>
      <c r="BH1131" t="s">
        <v>142</v>
      </c>
      <c r="BI1131" s="2">
        <v>46026</v>
      </c>
      <c r="BJ1131">
        <v>0</v>
      </c>
      <c r="BK1131">
        <v>0</v>
      </c>
      <c r="BL1131">
        <v>0</v>
      </c>
      <c r="BM1131">
        <v>7</v>
      </c>
      <c r="BN1131">
        <v>6.23</v>
      </c>
      <c r="BO1131" s="1">
        <v>2551.9</v>
      </c>
      <c r="BP1131">
        <v>316.08</v>
      </c>
      <c r="BQ1131" s="1">
        <v>2867.98</v>
      </c>
      <c r="BR1131">
        <v>809.37</v>
      </c>
      <c r="BS1131">
        <v>7</v>
      </c>
      <c r="BT1131">
        <v>7</v>
      </c>
      <c r="BU1131" s="1">
        <v>5360.16</v>
      </c>
      <c r="BV1131">
        <v>0</v>
      </c>
      <c r="BW1131" s="1">
        <v>5360.16</v>
      </c>
      <c r="BX1131">
        <v>0</v>
      </c>
      <c r="BY1131">
        <v>0</v>
      </c>
      <c r="BZ1131">
        <v>0</v>
      </c>
      <c r="CA1131">
        <v>0</v>
      </c>
      <c r="CB1131" s="1">
        <v>2833.38</v>
      </c>
      <c r="CC1131" t="s">
        <v>161</v>
      </c>
    </row>
    <row r="1132" spans="1:81" x14ac:dyDescent="0.25">
      <c r="A1132">
        <v>345</v>
      </c>
      <c r="B1132">
        <v>2</v>
      </c>
      <c r="C1132">
        <v>3271</v>
      </c>
      <c r="D1132" t="s">
        <v>6438</v>
      </c>
      <c r="E1132" t="s">
        <v>121</v>
      </c>
      <c r="F1132" t="s">
        <v>6439</v>
      </c>
      <c r="G1132" t="s">
        <v>6440</v>
      </c>
      <c r="H1132" t="s">
        <v>6441</v>
      </c>
      <c r="I1132" t="s">
        <v>6442</v>
      </c>
      <c r="J1132" t="s">
        <v>126</v>
      </c>
      <c r="K1132" t="s">
        <v>473</v>
      </c>
      <c r="L1132" t="s">
        <v>128</v>
      </c>
      <c r="M1132" t="s">
        <v>474</v>
      </c>
      <c r="N1132" t="s">
        <v>6443</v>
      </c>
      <c r="O1132" t="s">
        <v>149</v>
      </c>
      <c r="P1132">
        <v>0</v>
      </c>
      <c r="Q1132" t="s">
        <v>125</v>
      </c>
      <c r="R1132">
        <v>3</v>
      </c>
      <c r="S1132">
        <v>87</v>
      </c>
      <c r="T1132" t="s">
        <v>132</v>
      </c>
      <c r="U1132" t="s">
        <v>133</v>
      </c>
      <c r="V1132" s="1">
        <v>5700</v>
      </c>
      <c r="W1132">
        <v>0</v>
      </c>
      <c r="X1132" s="1">
        <v>5700</v>
      </c>
      <c r="Y1132">
        <v>7</v>
      </c>
      <c r="Z1132">
        <v>0</v>
      </c>
      <c r="AA1132">
        <v>0</v>
      </c>
      <c r="AB1132">
        <v>0</v>
      </c>
      <c r="AC1132">
        <v>0</v>
      </c>
      <c r="AD1132" t="s">
        <v>134</v>
      </c>
      <c r="AE1132" t="s">
        <v>134</v>
      </c>
      <c r="AF1132" s="2">
        <v>45722</v>
      </c>
      <c r="AG1132" s="2">
        <v>46018</v>
      </c>
      <c r="AH1132" s="1">
        <v>2506.1999999999998</v>
      </c>
      <c r="AI1132" s="1">
        <v>4346.37</v>
      </c>
      <c r="AJ1132" s="1">
        <v>30074.48</v>
      </c>
      <c r="AK1132">
        <v>0</v>
      </c>
      <c r="AL1132">
        <v>0</v>
      </c>
      <c r="AM1132">
        <v>0</v>
      </c>
      <c r="AN1132" t="s">
        <v>135</v>
      </c>
      <c r="AO1132" t="s">
        <v>135</v>
      </c>
      <c r="AP1132" t="s">
        <v>136</v>
      </c>
      <c r="AQ1132" t="s">
        <v>137</v>
      </c>
      <c r="AR1132" t="s">
        <v>138</v>
      </c>
      <c r="AS1132" t="s">
        <v>139</v>
      </c>
      <c r="AT1132" t="s">
        <v>140</v>
      </c>
      <c r="AU1132">
        <v>105</v>
      </c>
      <c r="AV1132">
        <v>10</v>
      </c>
      <c r="AW1132">
        <v>1</v>
      </c>
      <c r="AX1132" s="2">
        <v>45812</v>
      </c>
      <c r="AY1132" t="s">
        <v>168</v>
      </c>
      <c r="AZ1132" s="2">
        <v>46022</v>
      </c>
      <c r="BA1132">
        <v>0</v>
      </c>
      <c r="BB1132">
        <v>0</v>
      </c>
      <c r="BC1132">
        <v>0</v>
      </c>
      <c r="BD1132">
        <v>700</v>
      </c>
      <c r="BE1132">
        <v>70</v>
      </c>
      <c r="BF1132">
        <v>9</v>
      </c>
      <c r="BG1132" s="2">
        <v>45809</v>
      </c>
      <c r="BH1132" t="s">
        <v>142</v>
      </c>
      <c r="BI1132" s="2">
        <v>46026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 s="1">
        <v>6987.41</v>
      </c>
      <c r="BQ1132" s="1">
        <v>6987.41</v>
      </c>
      <c r="BR1132">
        <v>0</v>
      </c>
      <c r="BS1132">
        <v>0</v>
      </c>
      <c r="BT1132">
        <v>0</v>
      </c>
      <c r="BU1132">
        <v>0</v>
      </c>
      <c r="BV1132" s="1">
        <v>11784.98</v>
      </c>
      <c r="BW1132" s="1">
        <v>11784.98</v>
      </c>
      <c r="BX1132">
        <v>0</v>
      </c>
      <c r="BY1132">
        <v>0</v>
      </c>
      <c r="BZ1132">
        <v>0</v>
      </c>
      <c r="CA1132">
        <v>0</v>
      </c>
      <c r="CB1132" s="1">
        <v>11202.69</v>
      </c>
      <c r="CC1132" t="s">
        <v>161</v>
      </c>
    </row>
    <row r="1133" spans="1:81" x14ac:dyDescent="0.25">
      <c r="A1133">
        <v>345</v>
      </c>
      <c r="B1133">
        <v>2</v>
      </c>
      <c r="C1133">
        <v>3272</v>
      </c>
      <c r="D1133" t="s">
        <v>6444</v>
      </c>
      <c r="E1133" t="s">
        <v>121</v>
      </c>
      <c r="F1133" t="s">
        <v>6445</v>
      </c>
      <c r="G1133" t="s">
        <v>6446</v>
      </c>
      <c r="H1133" t="s">
        <v>6447</v>
      </c>
      <c r="I1133" t="s">
        <v>6448</v>
      </c>
      <c r="J1133" t="s">
        <v>126</v>
      </c>
      <c r="K1133" t="s">
        <v>1853</v>
      </c>
      <c r="L1133" t="s">
        <v>128</v>
      </c>
      <c r="M1133" t="s">
        <v>1854</v>
      </c>
      <c r="N1133" t="s">
        <v>6449</v>
      </c>
      <c r="O1133" t="s">
        <v>201</v>
      </c>
      <c r="P1133">
        <v>0</v>
      </c>
      <c r="Q1133" t="s">
        <v>125</v>
      </c>
      <c r="R1133">
        <v>5</v>
      </c>
      <c r="S1133">
        <v>64</v>
      </c>
      <c r="T1133" t="s">
        <v>132</v>
      </c>
      <c r="U1133" t="s">
        <v>133</v>
      </c>
      <c r="V1133">
        <v>293</v>
      </c>
      <c r="W1133">
        <v>0</v>
      </c>
      <c r="X1133">
        <v>293</v>
      </c>
      <c r="Y1133">
        <v>0</v>
      </c>
      <c r="Z1133">
        <v>0</v>
      </c>
      <c r="AA1133">
        <v>5</v>
      </c>
      <c r="AB1133">
        <v>4</v>
      </c>
      <c r="AC1133">
        <v>25</v>
      </c>
      <c r="AD1133" t="s">
        <v>134</v>
      </c>
      <c r="AE1133" t="s">
        <v>134</v>
      </c>
      <c r="AF1133" s="2">
        <v>45722</v>
      </c>
      <c r="AG1133" s="2">
        <v>45996</v>
      </c>
      <c r="AH1133">
        <v>364.4</v>
      </c>
      <c r="AI1133">
        <v>482.8</v>
      </c>
      <c r="AJ1133" s="1">
        <v>1822.01</v>
      </c>
      <c r="AK1133">
        <v>0</v>
      </c>
      <c r="AL1133">
        <v>0</v>
      </c>
      <c r="AM1133">
        <v>0</v>
      </c>
      <c r="AN1133" t="s">
        <v>135</v>
      </c>
      <c r="AO1133" t="s">
        <v>135</v>
      </c>
      <c r="AP1133" t="s">
        <v>136</v>
      </c>
      <c r="AQ1133" t="s">
        <v>137</v>
      </c>
      <c r="AR1133" t="s">
        <v>138</v>
      </c>
      <c r="AS1133" t="s">
        <v>139</v>
      </c>
      <c r="AT1133" t="s">
        <v>140</v>
      </c>
      <c r="AU1133">
        <v>500</v>
      </c>
      <c r="AV1133">
        <v>10</v>
      </c>
      <c r="AW1133">
        <v>1</v>
      </c>
      <c r="AX1133" s="2">
        <v>45813</v>
      </c>
      <c r="AY1133" t="s">
        <v>308</v>
      </c>
      <c r="AZ1133" s="2">
        <v>46023</v>
      </c>
      <c r="BA1133">
        <v>0</v>
      </c>
      <c r="BB1133">
        <v>0</v>
      </c>
      <c r="BC1133">
        <v>0</v>
      </c>
      <c r="BD1133">
        <v>700</v>
      </c>
      <c r="BE1133">
        <v>70</v>
      </c>
      <c r="BF1133">
        <v>9</v>
      </c>
      <c r="BG1133" s="2">
        <v>45809</v>
      </c>
      <c r="BH1133" t="s">
        <v>142</v>
      </c>
      <c r="BI1133" s="2">
        <v>46026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655.33000000000004</v>
      </c>
      <c r="BQ1133">
        <v>655.33000000000004</v>
      </c>
      <c r="BR1133">
        <v>0</v>
      </c>
      <c r="BS1133">
        <v>0</v>
      </c>
      <c r="BT1133">
        <v>0</v>
      </c>
      <c r="BU1133">
        <v>0</v>
      </c>
      <c r="BV1133">
        <v>475.69</v>
      </c>
      <c r="BW1133">
        <v>475.69</v>
      </c>
      <c r="BX1133">
        <v>0</v>
      </c>
      <c r="BY1133">
        <v>0</v>
      </c>
      <c r="BZ1133">
        <v>0</v>
      </c>
      <c r="CA1133">
        <v>0</v>
      </c>
      <c r="CB1133">
        <v>652.51</v>
      </c>
      <c r="CC1133" t="s">
        <v>161</v>
      </c>
    </row>
    <row r="1134" spans="1:81" x14ac:dyDescent="0.25">
      <c r="A1134">
        <v>345</v>
      </c>
      <c r="B1134">
        <v>2</v>
      </c>
      <c r="C1134">
        <v>3273</v>
      </c>
      <c r="D1134" t="s">
        <v>6450</v>
      </c>
      <c r="E1134" t="s">
        <v>121</v>
      </c>
      <c r="F1134" t="s">
        <v>6451</v>
      </c>
      <c r="G1134" t="s">
        <v>6452</v>
      </c>
      <c r="H1134" t="s">
        <v>6453</v>
      </c>
      <c r="I1134" t="s">
        <v>4543</v>
      </c>
      <c r="J1134" t="s">
        <v>126</v>
      </c>
      <c r="K1134" t="s">
        <v>466</v>
      </c>
      <c r="L1134" t="s">
        <v>128</v>
      </c>
      <c r="M1134" t="s">
        <v>467</v>
      </c>
      <c r="N1134" t="s">
        <v>6454</v>
      </c>
      <c r="O1134" t="s">
        <v>159</v>
      </c>
      <c r="P1134">
        <v>0</v>
      </c>
      <c r="Q1134" t="s">
        <v>125</v>
      </c>
      <c r="R1134">
        <v>3</v>
      </c>
      <c r="S1134">
        <v>82</v>
      </c>
      <c r="T1134" t="s">
        <v>132</v>
      </c>
      <c r="U1134" t="s">
        <v>133</v>
      </c>
      <c r="V1134" s="1">
        <v>1000</v>
      </c>
      <c r="W1134">
        <v>0</v>
      </c>
      <c r="X1134" s="1">
        <v>1000</v>
      </c>
      <c r="Y1134">
        <v>7</v>
      </c>
      <c r="Z1134">
        <v>0</v>
      </c>
      <c r="AA1134">
        <v>9</v>
      </c>
      <c r="AB1134">
        <v>0</v>
      </c>
      <c r="AC1134">
        <v>0</v>
      </c>
      <c r="AD1134" t="s">
        <v>134</v>
      </c>
      <c r="AE1134" t="s">
        <v>134</v>
      </c>
      <c r="AF1134" s="2">
        <v>45722</v>
      </c>
      <c r="AG1134" s="2">
        <v>46011</v>
      </c>
      <c r="AH1134">
        <v>268.70999999999998</v>
      </c>
      <c r="AI1134">
        <v>347.31</v>
      </c>
      <c r="AJ1134" s="1">
        <v>2418.4699999999998</v>
      </c>
      <c r="AK1134">
        <v>0</v>
      </c>
      <c r="AL1134">
        <v>0</v>
      </c>
      <c r="AM1134">
        <v>0</v>
      </c>
      <c r="AN1134" t="s">
        <v>135</v>
      </c>
      <c r="AO1134" t="s">
        <v>135</v>
      </c>
      <c r="AP1134" t="s">
        <v>136</v>
      </c>
      <c r="AQ1134" t="s">
        <v>137</v>
      </c>
      <c r="AR1134" t="s">
        <v>138</v>
      </c>
      <c r="AS1134" t="s">
        <v>139</v>
      </c>
      <c r="AT1134" t="s">
        <v>140</v>
      </c>
      <c r="AU1134">
        <v>105</v>
      </c>
      <c r="AV1134">
        <v>10</v>
      </c>
      <c r="AW1134">
        <v>1</v>
      </c>
      <c r="AX1134" s="2">
        <v>45883</v>
      </c>
      <c r="AY1134" t="s">
        <v>308</v>
      </c>
      <c r="AZ1134" s="2">
        <v>46023</v>
      </c>
      <c r="BA1134">
        <v>0</v>
      </c>
      <c r="BB1134">
        <v>0</v>
      </c>
      <c r="BC1134">
        <v>0</v>
      </c>
      <c r="BD1134">
        <v>700</v>
      </c>
      <c r="BE1134">
        <v>70</v>
      </c>
      <c r="BF1134">
        <v>9</v>
      </c>
      <c r="BG1134" s="2">
        <v>45809</v>
      </c>
      <c r="BH1134" t="s">
        <v>142</v>
      </c>
      <c r="BI1134" s="2">
        <v>46026</v>
      </c>
      <c r="BJ1134">
        <v>0</v>
      </c>
      <c r="BK1134">
        <v>0</v>
      </c>
      <c r="BL1134">
        <v>0</v>
      </c>
      <c r="BM1134">
        <v>6.33</v>
      </c>
      <c r="BN1134">
        <v>6.33</v>
      </c>
      <c r="BO1134">
        <v>906.81</v>
      </c>
      <c r="BP1134">
        <v>0</v>
      </c>
      <c r="BQ1134">
        <v>906.81</v>
      </c>
      <c r="BR1134">
        <v>0</v>
      </c>
      <c r="BS1134">
        <v>7.66</v>
      </c>
      <c r="BT1134">
        <v>7.66</v>
      </c>
      <c r="BU1134">
        <v>676.76</v>
      </c>
      <c r="BV1134">
        <v>0</v>
      </c>
      <c r="BW1134">
        <v>676.76</v>
      </c>
      <c r="BX1134">
        <v>0</v>
      </c>
      <c r="BY1134">
        <v>0</v>
      </c>
      <c r="BZ1134">
        <v>0</v>
      </c>
      <c r="CA1134">
        <v>0</v>
      </c>
      <c r="CB1134">
        <v>746.94</v>
      </c>
      <c r="CC1134" t="s">
        <v>161</v>
      </c>
    </row>
    <row r="1135" spans="1:81" x14ac:dyDescent="0.25">
      <c r="A1135">
        <v>345</v>
      </c>
      <c r="B1135">
        <v>2</v>
      </c>
      <c r="C1135">
        <v>3276</v>
      </c>
      <c r="D1135" t="s">
        <v>6455</v>
      </c>
      <c r="E1135" t="s">
        <v>121</v>
      </c>
      <c r="F1135" t="s">
        <v>6456</v>
      </c>
      <c r="G1135" t="s">
        <v>6457</v>
      </c>
      <c r="H1135" t="s">
        <v>6458</v>
      </c>
      <c r="I1135" t="s">
        <v>6459</v>
      </c>
      <c r="J1135" t="s">
        <v>992</v>
      </c>
      <c r="K1135" t="s">
        <v>466</v>
      </c>
      <c r="L1135" t="s">
        <v>128</v>
      </c>
      <c r="M1135" t="s">
        <v>467</v>
      </c>
      <c r="N1135" t="s">
        <v>6460</v>
      </c>
      <c r="O1135" t="s">
        <v>195</v>
      </c>
      <c r="P1135">
        <v>0</v>
      </c>
      <c r="Q1135" t="s">
        <v>125</v>
      </c>
      <c r="R1135">
        <v>4</v>
      </c>
      <c r="S1135">
        <v>79</v>
      </c>
      <c r="T1135" t="s">
        <v>132</v>
      </c>
      <c r="U1135" t="s">
        <v>133</v>
      </c>
      <c r="V1135" s="1">
        <v>1000</v>
      </c>
      <c r="W1135">
        <v>0</v>
      </c>
      <c r="X1135" s="1">
        <v>1000</v>
      </c>
      <c r="Y1135">
        <v>7</v>
      </c>
      <c r="Z1135">
        <v>0</v>
      </c>
      <c r="AA1135">
        <v>7</v>
      </c>
      <c r="AB1135">
        <v>0</v>
      </c>
      <c r="AC1135">
        <v>0</v>
      </c>
      <c r="AD1135" t="s">
        <v>134</v>
      </c>
      <c r="AE1135" t="s">
        <v>134</v>
      </c>
      <c r="AF1135" s="2">
        <v>45724</v>
      </c>
      <c r="AG1135" s="2">
        <v>46010</v>
      </c>
      <c r="AH1135">
        <v>247.51</v>
      </c>
      <c r="AI1135">
        <v>345.07</v>
      </c>
      <c r="AJ1135" s="1">
        <v>1732.62</v>
      </c>
      <c r="AK1135">
        <v>0</v>
      </c>
      <c r="AL1135">
        <v>0</v>
      </c>
      <c r="AM1135">
        <v>0</v>
      </c>
      <c r="AN1135" t="s">
        <v>135</v>
      </c>
      <c r="AO1135" t="s">
        <v>135</v>
      </c>
      <c r="AP1135" t="s">
        <v>136</v>
      </c>
      <c r="AQ1135" t="s">
        <v>137</v>
      </c>
      <c r="AR1135" t="s">
        <v>138</v>
      </c>
      <c r="AS1135" t="s">
        <v>139</v>
      </c>
      <c r="AT1135" t="s">
        <v>140</v>
      </c>
      <c r="AU1135">
        <v>100</v>
      </c>
      <c r="AV1135">
        <v>10</v>
      </c>
      <c r="AW1135">
        <v>1</v>
      </c>
      <c r="AX1135" s="2">
        <v>45848</v>
      </c>
      <c r="AY1135" t="s">
        <v>308</v>
      </c>
      <c r="AZ1135" s="2">
        <v>46023</v>
      </c>
      <c r="BA1135">
        <v>0</v>
      </c>
      <c r="BB1135">
        <v>0</v>
      </c>
      <c r="BC1135">
        <v>0</v>
      </c>
      <c r="BD1135">
        <v>700</v>
      </c>
      <c r="BE1135">
        <v>70</v>
      </c>
      <c r="BF1135">
        <v>9</v>
      </c>
      <c r="BG1135" s="2">
        <v>45809</v>
      </c>
      <c r="BH1135" t="s">
        <v>142</v>
      </c>
      <c r="BI1135" s="2">
        <v>46026</v>
      </c>
      <c r="BJ1135">
        <v>0</v>
      </c>
      <c r="BK1135">
        <v>0</v>
      </c>
      <c r="BL1135">
        <v>0</v>
      </c>
      <c r="BM1135">
        <v>7</v>
      </c>
      <c r="BN1135">
        <v>4.4400000000000004</v>
      </c>
      <c r="BO1135">
        <v>283.51</v>
      </c>
      <c r="BP1135">
        <v>163.89</v>
      </c>
      <c r="BQ1135">
        <v>447.4</v>
      </c>
      <c r="BR1135">
        <v>0</v>
      </c>
      <c r="BS1135">
        <v>0</v>
      </c>
      <c r="BT1135">
        <v>0</v>
      </c>
      <c r="BU1135">
        <v>0</v>
      </c>
      <c r="BV1135">
        <v>538.99</v>
      </c>
      <c r="BW1135">
        <v>538.99</v>
      </c>
      <c r="BX1135">
        <v>0</v>
      </c>
      <c r="BY1135">
        <v>0</v>
      </c>
      <c r="BZ1135">
        <v>0</v>
      </c>
      <c r="CA1135">
        <v>0</v>
      </c>
      <c r="CB1135">
        <v>584.49</v>
      </c>
      <c r="CC1135" t="s">
        <v>161</v>
      </c>
    </row>
    <row r="1136" spans="1:81" x14ac:dyDescent="0.25">
      <c r="A1136">
        <v>345</v>
      </c>
      <c r="B1136">
        <v>2</v>
      </c>
      <c r="C1136">
        <v>3277</v>
      </c>
      <c r="D1136" t="s">
        <v>6461</v>
      </c>
      <c r="E1136" t="s">
        <v>121</v>
      </c>
      <c r="F1136" t="s">
        <v>6462</v>
      </c>
      <c r="G1136" t="s">
        <v>6463</v>
      </c>
      <c r="H1136" t="s">
        <v>6464</v>
      </c>
      <c r="I1136" t="s">
        <v>6465</v>
      </c>
      <c r="J1136" t="s">
        <v>126</v>
      </c>
      <c r="K1136" t="s">
        <v>1853</v>
      </c>
      <c r="L1136" t="s">
        <v>128</v>
      </c>
      <c r="M1136" t="s">
        <v>1854</v>
      </c>
      <c r="N1136" t="s">
        <v>6466</v>
      </c>
      <c r="O1136" t="s">
        <v>149</v>
      </c>
      <c r="P1136">
        <v>0</v>
      </c>
      <c r="Q1136" t="s">
        <v>125</v>
      </c>
      <c r="R1136">
        <v>4</v>
      </c>
      <c r="S1136">
        <v>76</v>
      </c>
      <c r="T1136" t="s">
        <v>132</v>
      </c>
      <c r="U1136" t="s">
        <v>133</v>
      </c>
      <c r="V1136" s="1">
        <v>1000</v>
      </c>
      <c r="W1136">
        <v>547.20000000000005</v>
      </c>
      <c r="X1136">
        <v>452.8</v>
      </c>
      <c r="Y1136">
        <v>0</v>
      </c>
      <c r="Z1136">
        <v>0</v>
      </c>
      <c r="AA1136">
        <v>7</v>
      </c>
      <c r="AB1136">
        <v>2</v>
      </c>
      <c r="AC1136">
        <v>70</v>
      </c>
      <c r="AD1136" t="s">
        <v>134</v>
      </c>
      <c r="AE1136" t="s">
        <v>134</v>
      </c>
      <c r="AF1136" s="2">
        <v>45724</v>
      </c>
      <c r="AG1136" s="2">
        <v>46013</v>
      </c>
      <c r="AH1136">
        <v>502.98</v>
      </c>
      <c r="AI1136">
        <v>831.56</v>
      </c>
      <c r="AJ1136" s="1">
        <v>2011.92</v>
      </c>
      <c r="AK1136">
        <v>547.20000000000005</v>
      </c>
      <c r="AL1136">
        <v>0</v>
      </c>
      <c r="AM1136">
        <v>0</v>
      </c>
      <c r="AN1136" t="s">
        <v>135</v>
      </c>
      <c r="AO1136" t="s">
        <v>135</v>
      </c>
      <c r="AP1136" t="s">
        <v>136</v>
      </c>
      <c r="AQ1136" t="s">
        <v>137</v>
      </c>
      <c r="AR1136" t="s">
        <v>138</v>
      </c>
      <c r="AS1136" t="s">
        <v>139</v>
      </c>
      <c r="AT1136" t="s">
        <v>140</v>
      </c>
      <c r="AU1136">
        <v>103</v>
      </c>
      <c r="AV1136">
        <v>10</v>
      </c>
      <c r="AW1136">
        <v>1</v>
      </c>
      <c r="AX1136" s="2">
        <v>45815</v>
      </c>
      <c r="AY1136" t="s">
        <v>160</v>
      </c>
      <c r="AZ1136" s="2">
        <v>46025</v>
      </c>
      <c r="BA1136">
        <v>0</v>
      </c>
      <c r="BB1136">
        <v>0</v>
      </c>
      <c r="BC1136">
        <v>0</v>
      </c>
      <c r="BD1136">
        <v>700</v>
      </c>
      <c r="BE1136">
        <v>70</v>
      </c>
      <c r="BF1136">
        <v>9</v>
      </c>
      <c r="BG1136" s="2">
        <v>45809</v>
      </c>
      <c r="BH1136" t="s">
        <v>142</v>
      </c>
      <c r="BI1136" s="2">
        <v>46026</v>
      </c>
      <c r="BJ1136">
        <v>0</v>
      </c>
      <c r="BK1136">
        <v>0</v>
      </c>
      <c r="BL1136">
        <v>0</v>
      </c>
      <c r="BM1136">
        <v>7</v>
      </c>
      <c r="BN1136">
        <v>7</v>
      </c>
      <c r="BO1136">
        <v>308.02999999999997</v>
      </c>
      <c r="BP1136">
        <v>0</v>
      </c>
      <c r="BQ1136">
        <v>308.02999999999997</v>
      </c>
      <c r="BR1136">
        <v>0</v>
      </c>
      <c r="BS1136">
        <v>7</v>
      </c>
      <c r="BT1136">
        <v>7</v>
      </c>
      <c r="BU1136" s="1">
        <v>1378.76</v>
      </c>
      <c r="BV1136">
        <v>0</v>
      </c>
      <c r="BW1136" s="1">
        <v>1378.76</v>
      </c>
      <c r="BX1136">
        <v>0</v>
      </c>
      <c r="BY1136">
        <v>0</v>
      </c>
      <c r="BZ1136">
        <v>0</v>
      </c>
      <c r="CA1136">
        <v>0</v>
      </c>
      <c r="CB1136">
        <v>535.04</v>
      </c>
      <c r="CC1136" t="s">
        <v>161</v>
      </c>
    </row>
    <row r="1137" spans="1:81" x14ac:dyDescent="0.25">
      <c r="A1137">
        <v>345</v>
      </c>
      <c r="B1137">
        <v>2</v>
      </c>
      <c r="C1137">
        <v>3282</v>
      </c>
      <c r="D1137" t="s">
        <v>6467</v>
      </c>
      <c r="E1137" t="s">
        <v>121</v>
      </c>
      <c r="F1137" t="s">
        <v>6468</v>
      </c>
      <c r="G1137" t="s">
        <v>6469</v>
      </c>
      <c r="H1137" t="s">
        <v>6470</v>
      </c>
      <c r="I1137" t="s">
        <v>6471</v>
      </c>
      <c r="J1137" t="s">
        <v>1762</v>
      </c>
      <c r="K1137" t="s">
        <v>466</v>
      </c>
      <c r="L1137" t="s">
        <v>128</v>
      </c>
      <c r="M1137" t="s">
        <v>467</v>
      </c>
      <c r="N1137" t="s">
        <v>6472</v>
      </c>
      <c r="O1137" t="s">
        <v>131</v>
      </c>
      <c r="P1137">
        <v>0</v>
      </c>
      <c r="Q1137" t="s">
        <v>125</v>
      </c>
      <c r="R1137">
        <v>3</v>
      </c>
      <c r="S1137">
        <v>86</v>
      </c>
      <c r="T1137" t="s">
        <v>132</v>
      </c>
      <c r="U1137" t="s">
        <v>133</v>
      </c>
      <c r="V1137" s="1">
        <v>1000</v>
      </c>
      <c r="W1137">
        <v>0</v>
      </c>
      <c r="X1137" s="1">
        <v>1000</v>
      </c>
      <c r="Y1137">
        <v>7</v>
      </c>
      <c r="Z1137">
        <v>0</v>
      </c>
      <c r="AA1137">
        <v>0</v>
      </c>
      <c r="AB1137">
        <v>0</v>
      </c>
      <c r="AC1137">
        <v>0</v>
      </c>
      <c r="AD1137" t="s">
        <v>134</v>
      </c>
      <c r="AE1137" t="s">
        <v>134</v>
      </c>
      <c r="AF1137" s="2">
        <v>45726</v>
      </c>
      <c r="AG1137" s="2">
        <v>46014</v>
      </c>
      <c r="AH1137">
        <v>422.72</v>
      </c>
      <c r="AI1137">
        <v>878.01</v>
      </c>
      <c r="AJ1137" s="1">
        <v>3804.49</v>
      </c>
      <c r="AK1137">
        <v>0</v>
      </c>
      <c r="AL1137">
        <v>0</v>
      </c>
      <c r="AM1137">
        <v>0</v>
      </c>
      <c r="AN1137" t="s">
        <v>135</v>
      </c>
      <c r="AO1137" t="s">
        <v>135</v>
      </c>
      <c r="AP1137" t="s">
        <v>136</v>
      </c>
      <c r="AQ1137" t="s">
        <v>137</v>
      </c>
      <c r="AR1137" t="s">
        <v>138</v>
      </c>
      <c r="AS1137" t="s">
        <v>139</v>
      </c>
      <c r="AT1137" t="s">
        <v>140</v>
      </c>
      <c r="AU1137">
        <v>105</v>
      </c>
      <c r="AV1137">
        <v>10</v>
      </c>
      <c r="AW1137">
        <v>1</v>
      </c>
      <c r="AX1137" s="2">
        <v>45831</v>
      </c>
      <c r="AY1137" t="s">
        <v>141</v>
      </c>
      <c r="AZ1137" s="2">
        <v>46027</v>
      </c>
      <c r="BA1137">
        <v>0</v>
      </c>
      <c r="BB1137">
        <v>0</v>
      </c>
      <c r="BC1137">
        <v>0</v>
      </c>
      <c r="BD1137">
        <v>700</v>
      </c>
      <c r="BE1137">
        <v>70</v>
      </c>
      <c r="BF1137">
        <v>9</v>
      </c>
      <c r="BG1137" s="2">
        <v>45809</v>
      </c>
      <c r="BH1137" t="s">
        <v>142</v>
      </c>
      <c r="BI1137" s="2">
        <v>46026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804.21</v>
      </c>
      <c r="BQ1137">
        <v>804.21</v>
      </c>
      <c r="BR1137">
        <v>0</v>
      </c>
      <c r="BS1137">
        <v>0</v>
      </c>
      <c r="BT1137">
        <v>0</v>
      </c>
      <c r="BU1137">
        <v>0</v>
      </c>
      <c r="BV1137" s="1">
        <v>1773.14</v>
      </c>
      <c r="BW1137" s="1">
        <v>1773.14</v>
      </c>
      <c r="BX1137">
        <v>0</v>
      </c>
      <c r="BY1137">
        <v>0</v>
      </c>
      <c r="BZ1137">
        <v>0</v>
      </c>
      <c r="CA1137">
        <v>0</v>
      </c>
      <c r="CB1137" s="1">
        <v>1070.28</v>
      </c>
      <c r="CC1137" t="s">
        <v>161</v>
      </c>
    </row>
    <row r="1138" spans="1:81" x14ac:dyDescent="0.25">
      <c r="A1138">
        <v>345</v>
      </c>
      <c r="B1138">
        <v>2</v>
      </c>
      <c r="C1138">
        <v>3283</v>
      </c>
      <c r="D1138" t="s">
        <v>6473</v>
      </c>
      <c r="E1138" t="s">
        <v>121</v>
      </c>
      <c r="F1138" t="s">
        <v>6474</v>
      </c>
      <c r="G1138" t="s">
        <v>6475</v>
      </c>
      <c r="H1138" t="s">
        <v>6476</v>
      </c>
      <c r="I1138" t="s">
        <v>6477</v>
      </c>
      <c r="J1138" t="s">
        <v>630</v>
      </c>
      <c r="K1138" t="s">
        <v>336</v>
      </c>
      <c r="L1138" t="s">
        <v>128</v>
      </c>
      <c r="M1138" t="s">
        <v>337</v>
      </c>
      <c r="N1138" t="s">
        <v>6478</v>
      </c>
      <c r="O1138" t="s">
        <v>201</v>
      </c>
      <c r="P1138">
        <v>0</v>
      </c>
      <c r="Q1138" t="s">
        <v>125</v>
      </c>
      <c r="R1138">
        <v>4</v>
      </c>
      <c r="S1138">
        <v>81</v>
      </c>
      <c r="T1138" t="s">
        <v>132</v>
      </c>
      <c r="U1138" t="s">
        <v>133</v>
      </c>
      <c r="V1138" s="1">
        <v>1000</v>
      </c>
      <c r="W1138">
        <v>0</v>
      </c>
      <c r="X1138" s="1">
        <v>1000</v>
      </c>
      <c r="Y1138">
        <v>7</v>
      </c>
      <c r="Z1138">
        <v>0</v>
      </c>
      <c r="AA1138">
        <v>7</v>
      </c>
      <c r="AB1138">
        <v>0</v>
      </c>
      <c r="AC1138">
        <v>6</v>
      </c>
      <c r="AD1138" t="s">
        <v>134</v>
      </c>
      <c r="AE1138" t="s">
        <v>134</v>
      </c>
      <c r="AF1138" s="2">
        <v>45726</v>
      </c>
      <c r="AG1138" s="2">
        <v>46007</v>
      </c>
      <c r="AH1138">
        <v>912.74</v>
      </c>
      <c r="AI1138" s="1">
        <v>2408.38</v>
      </c>
      <c r="AJ1138" s="1">
        <v>7301.93</v>
      </c>
      <c r="AK1138">
        <v>0</v>
      </c>
      <c r="AL1138" s="1">
        <v>1207.3599999999999</v>
      </c>
      <c r="AM1138">
        <v>0</v>
      </c>
      <c r="AN1138" t="s">
        <v>135</v>
      </c>
      <c r="AO1138" t="s">
        <v>135</v>
      </c>
      <c r="AP1138" t="s">
        <v>136</v>
      </c>
      <c r="AQ1138" t="s">
        <v>137</v>
      </c>
      <c r="AR1138" t="s">
        <v>138</v>
      </c>
      <c r="AS1138" t="s">
        <v>139</v>
      </c>
      <c r="AT1138" t="s">
        <v>140</v>
      </c>
      <c r="AU1138">
        <v>104</v>
      </c>
      <c r="AV1138">
        <v>10</v>
      </c>
      <c r="AW1138">
        <v>1</v>
      </c>
      <c r="AX1138" s="2">
        <v>45726</v>
      </c>
      <c r="AY1138" t="s">
        <v>141</v>
      </c>
      <c r="AZ1138" s="2">
        <v>46027</v>
      </c>
      <c r="BA1138">
        <v>0</v>
      </c>
      <c r="BB1138">
        <v>0</v>
      </c>
      <c r="BC1138">
        <v>0</v>
      </c>
      <c r="BD1138">
        <v>700</v>
      </c>
      <c r="BE1138">
        <v>70</v>
      </c>
      <c r="BF1138">
        <v>9</v>
      </c>
      <c r="BG1138" s="2">
        <v>45809</v>
      </c>
      <c r="BH1138" t="s">
        <v>142</v>
      </c>
      <c r="BI1138" s="2">
        <v>46026</v>
      </c>
      <c r="BJ1138">
        <v>0</v>
      </c>
      <c r="BK1138">
        <v>0</v>
      </c>
      <c r="BL1138">
        <v>0</v>
      </c>
      <c r="BM1138">
        <v>7</v>
      </c>
      <c r="BN1138">
        <v>2.09</v>
      </c>
      <c r="BO1138" s="1">
        <v>1050.6300000000001</v>
      </c>
      <c r="BP1138" s="1">
        <v>2476.0300000000002</v>
      </c>
      <c r="BQ1138" s="1">
        <v>3526.66</v>
      </c>
      <c r="BR1138">
        <v>0</v>
      </c>
      <c r="BS1138">
        <v>7</v>
      </c>
      <c r="BT1138">
        <v>2.37</v>
      </c>
      <c r="BU1138" s="1">
        <v>1091.17</v>
      </c>
      <c r="BV1138" s="1">
        <v>2134.36</v>
      </c>
      <c r="BW1138" s="1">
        <v>3225.53</v>
      </c>
      <c r="BX1138">
        <v>0</v>
      </c>
      <c r="BY1138">
        <v>0</v>
      </c>
      <c r="BZ1138">
        <v>0</v>
      </c>
      <c r="CA1138">
        <v>0</v>
      </c>
      <c r="CB1138" s="1">
        <v>2501.8000000000002</v>
      </c>
      <c r="CC1138" t="s">
        <v>161</v>
      </c>
    </row>
    <row r="1139" spans="1:81" x14ac:dyDescent="0.25">
      <c r="A1139">
        <v>345</v>
      </c>
      <c r="B1139">
        <v>2</v>
      </c>
      <c r="C1139">
        <v>3285</v>
      </c>
      <c r="D1139" t="s">
        <v>6479</v>
      </c>
      <c r="E1139" t="s">
        <v>121</v>
      </c>
      <c r="F1139" t="s">
        <v>6480</v>
      </c>
      <c r="G1139" t="s">
        <v>6481</v>
      </c>
      <c r="H1139" t="s">
        <v>6482</v>
      </c>
      <c r="I1139" t="s">
        <v>6483</v>
      </c>
      <c r="J1139" t="s">
        <v>4247</v>
      </c>
      <c r="K1139" t="s">
        <v>4248</v>
      </c>
      <c r="L1139" t="s">
        <v>128</v>
      </c>
      <c r="M1139" t="s">
        <v>1325</v>
      </c>
      <c r="N1139" t="s">
        <v>6484</v>
      </c>
      <c r="O1139" t="s">
        <v>131</v>
      </c>
      <c r="P1139">
        <v>0</v>
      </c>
      <c r="Q1139" t="s">
        <v>125</v>
      </c>
      <c r="R1139">
        <v>3</v>
      </c>
      <c r="S1139">
        <v>87</v>
      </c>
      <c r="T1139" t="s">
        <v>132</v>
      </c>
      <c r="U1139" t="s">
        <v>133</v>
      </c>
      <c r="V1139" s="1">
        <v>3900</v>
      </c>
      <c r="W1139">
        <v>0</v>
      </c>
      <c r="X1139" s="1">
        <v>3900</v>
      </c>
      <c r="Y1139">
        <v>7</v>
      </c>
      <c r="Z1139">
        <v>0</v>
      </c>
      <c r="AA1139">
        <v>0</v>
      </c>
      <c r="AB1139">
        <v>0</v>
      </c>
      <c r="AC1139">
        <v>0</v>
      </c>
      <c r="AD1139" t="s">
        <v>134</v>
      </c>
      <c r="AE1139" t="s">
        <v>134</v>
      </c>
      <c r="AF1139" s="2">
        <v>45726</v>
      </c>
      <c r="AG1139" s="2">
        <v>46018</v>
      </c>
      <c r="AH1139" s="1">
        <v>2145.48</v>
      </c>
      <c r="AI1139" s="1">
        <v>4690.3999999999996</v>
      </c>
      <c r="AJ1139" s="1">
        <v>23600.32</v>
      </c>
      <c r="AK1139">
        <v>0</v>
      </c>
      <c r="AL1139">
        <v>0</v>
      </c>
      <c r="AM1139">
        <v>0</v>
      </c>
      <c r="AN1139" t="s">
        <v>135</v>
      </c>
      <c r="AO1139" t="s">
        <v>135</v>
      </c>
      <c r="AP1139" t="s">
        <v>136</v>
      </c>
      <c r="AQ1139" t="s">
        <v>137</v>
      </c>
      <c r="AR1139" t="s">
        <v>138</v>
      </c>
      <c r="AS1139" t="s">
        <v>139</v>
      </c>
      <c r="AT1139" t="s">
        <v>140</v>
      </c>
      <c r="AU1139">
        <v>104</v>
      </c>
      <c r="AV1139">
        <v>10</v>
      </c>
      <c r="AW1139">
        <v>1</v>
      </c>
      <c r="AX1139" s="2">
        <v>45813</v>
      </c>
      <c r="AY1139" t="s">
        <v>308</v>
      </c>
      <c r="AZ1139" s="2">
        <v>46023</v>
      </c>
      <c r="BA1139">
        <v>0</v>
      </c>
      <c r="BB1139">
        <v>0</v>
      </c>
      <c r="BC1139">
        <v>0</v>
      </c>
      <c r="BD1139">
        <v>700</v>
      </c>
      <c r="BE1139">
        <v>70</v>
      </c>
      <c r="BF1139">
        <v>9</v>
      </c>
      <c r="BG1139" s="2">
        <v>45809</v>
      </c>
      <c r="BH1139" t="s">
        <v>142</v>
      </c>
      <c r="BI1139" s="2">
        <v>46026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 s="1">
        <v>7327.3</v>
      </c>
      <c r="BQ1139" s="1">
        <v>7327.3</v>
      </c>
      <c r="BR1139">
        <v>0</v>
      </c>
      <c r="BS1139">
        <v>0</v>
      </c>
      <c r="BT1139">
        <v>0</v>
      </c>
      <c r="BU1139">
        <v>0</v>
      </c>
      <c r="BV1139" s="1">
        <v>10321.84</v>
      </c>
      <c r="BW1139" s="1">
        <v>10321.84</v>
      </c>
      <c r="BX1139">
        <v>0</v>
      </c>
      <c r="BY1139">
        <v>0</v>
      </c>
      <c r="BZ1139">
        <v>0</v>
      </c>
      <c r="CA1139">
        <v>0</v>
      </c>
      <c r="CB1139" s="1">
        <v>6465.87</v>
      </c>
      <c r="CC1139" t="s">
        <v>161</v>
      </c>
    </row>
    <row r="1140" spans="1:81" x14ac:dyDescent="0.25">
      <c r="A1140">
        <v>345</v>
      </c>
      <c r="B1140">
        <v>2</v>
      </c>
      <c r="C1140">
        <v>3287</v>
      </c>
      <c r="D1140" t="s">
        <v>6485</v>
      </c>
      <c r="E1140" t="s">
        <v>121</v>
      </c>
      <c r="F1140" t="s">
        <v>6486</v>
      </c>
      <c r="G1140" t="s">
        <v>6486</v>
      </c>
      <c r="H1140" t="s">
        <v>6487</v>
      </c>
      <c r="I1140" t="s">
        <v>6488</v>
      </c>
      <c r="J1140" t="s">
        <v>126</v>
      </c>
      <c r="K1140" t="s">
        <v>336</v>
      </c>
      <c r="L1140" t="s">
        <v>128</v>
      </c>
      <c r="M1140" t="s">
        <v>337</v>
      </c>
      <c r="N1140" t="s">
        <v>6489</v>
      </c>
      <c r="O1140" t="s">
        <v>195</v>
      </c>
      <c r="P1140">
        <v>0</v>
      </c>
      <c r="Q1140" t="s">
        <v>125</v>
      </c>
      <c r="R1140">
        <v>4</v>
      </c>
      <c r="S1140">
        <v>75</v>
      </c>
      <c r="T1140" t="s">
        <v>132</v>
      </c>
      <c r="U1140" t="s">
        <v>133</v>
      </c>
      <c r="V1140" s="1">
        <v>1800</v>
      </c>
      <c r="W1140">
        <v>0</v>
      </c>
      <c r="X1140" s="1">
        <v>1800</v>
      </c>
      <c r="Y1140">
        <v>7</v>
      </c>
      <c r="Z1140">
        <v>0</v>
      </c>
      <c r="AA1140">
        <v>7</v>
      </c>
      <c r="AB1140">
        <v>0</v>
      </c>
      <c r="AC1140">
        <v>0</v>
      </c>
      <c r="AD1140" t="s">
        <v>134</v>
      </c>
      <c r="AE1140" t="s">
        <v>134</v>
      </c>
      <c r="AF1140" s="2">
        <v>45727</v>
      </c>
      <c r="AG1140" s="2">
        <v>46003</v>
      </c>
      <c r="AH1140">
        <v>692.28</v>
      </c>
      <c r="AI1140" s="1">
        <v>1154.5899999999999</v>
      </c>
      <c r="AJ1140" s="1">
        <v>4845.97</v>
      </c>
      <c r="AK1140">
        <v>0</v>
      </c>
      <c r="AL1140">
        <v>0</v>
      </c>
      <c r="AM1140">
        <v>0</v>
      </c>
      <c r="AN1140" t="s">
        <v>135</v>
      </c>
      <c r="AO1140" t="s">
        <v>135</v>
      </c>
      <c r="AP1140" t="s">
        <v>136</v>
      </c>
      <c r="AQ1140" t="s">
        <v>137</v>
      </c>
      <c r="AR1140" t="s">
        <v>138</v>
      </c>
      <c r="AS1140" t="s">
        <v>150</v>
      </c>
      <c r="AT1140" t="s">
        <v>140</v>
      </c>
      <c r="AU1140">
        <v>101</v>
      </c>
      <c r="AV1140">
        <v>10</v>
      </c>
      <c r="AW1140">
        <v>1</v>
      </c>
      <c r="AX1140" s="2">
        <v>45813</v>
      </c>
      <c r="AY1140" t="s">
        <v>308</v>
      </c>
      <c r="AZ1140" s="2">
        <v>46023</v>
      </c>
      <c r="BA1140">
        <v>0</v>
      </c>
      <c r="BB1140">
        <v>0</v>
      </c>
      <c r="BC1140">
        <v>0</v>
      </c>
      <c r="BD1140">
        <v>700</v>
      </c>
      <c r="BE1140">
        <v>70</v>
      </c>
      <c r="BF1140">
        <v>9</v>
      </c>
      <c r="BG1140" s="2">
        <v>45809</v>
      </c>
      <c r="BH1140" t="s">
        <v>142</v>
      </c>
      <c r="BI1140" s="2">
        <v>46026</v>
      </c>
      <c r="BJ1140">
        <v>0</v>
      </c>
      <c r="BK1140">
        <v>0</v>
      </c>
      <c r="BL1140">
        <v>0</v>
      </c>
      <c r="BM1140">
        <v>6.21</v>
      </c>
      <c r="BN1140">
        <v>4.3099999999999996</v>
      </c>
      <c r="BO1140" s="1">
        <v>1813.95</v>
      </c>
      <c r="BP1140">
        <v>800.39</v>
      </c>
      <c r="BQ1140" s="1">
        <v>2614.34</v>
      </c>
      <c r="BR1140">
        <v>659.36</v>
      </c>
      <c r="BS1140">
        <v>7</v>
      </c>
      <c r="BT1140">
        <v>5.84</v>
      </c>
      <c r="BU1140">
        <v>786</v>
      </c>
      <c r="BV1140">
        <v>156.74</v>
      </c>
      <c r="BW1140">
        <v>942.74</v>
      </c>
      <c r="BX1140">
        <v>0</v>
      </c>
      <c r="BY1140">
        <v>0</v>
      </c>
      <c r="BZ1140">
        <v>0</v>
      </c>
      <c r="CA1140">
        <v>0</v>
      </c>
      <c r="CB1140" s="1">
        <v>1951.48</v>
      </c>
      <c r="CC1140" t="s">
        <v>161</v>
      </c>
    </row>
    <row r="1141" spans="1:81" x14ac:dyDescent="0.25">
      <c r="A1141">
        <v>345</v>
      </c>
      <c r="B1141">
        <v>2</v>
      </c>
      <c r="C1141">
        <v>3288</v>
      </c>
      <c r="D1141" t="s">
        <v>6490</v>
      </c>
      <c r="E1141" t="s">
        <v>121</v>
      </c>
      <c r="F1141" t="s">
        <v>6491</v>
      </c>
      <c r="G1141" t="s">
        <v>6492</v>
      </c>
      <c r="H1141" t="s">
        <v>6493</v>
      </c>
      <c r="I1141" t="s">
        <v>6494</v>
      </c>
      <c r="J1141" t="s">
        <v>364</v>
      </c>
      <c r="K1141" t="s">
        <v>127</v>
      </c>
      <c r="L1141" t="s">
        <v>128</v>
      </c>
      <c r="M1141" t="s">
        <v>129</v>
      </c>
      <c r="N1141" t="s">
        <v>6495</v>
      </c>
      <c r="O1141" t="s">
        <v>201</v>
      </c>
      <c r="P1141">
        <v>0</v>
      </c>
      <c r="Q1141" t="s">
        <v>125</v>
      </c>
      <c r="R1141">
        <v>3</v>
      </c>
      <c r="S1141">
        <v>86</v>
      </c>
      <c r="T1141" t="s">
        <v>132</v>
      </c>
      <c r="U1141" t="s">
        <v>133</v>
      </c>
      <c r="V1141" s="1">
        <v>1000</v>
      </c>
      <c r="W1141">
        <v>0</v>
      </c>
      <c r="X1141" s="1">
        <v>1000</v>
      </c>
      <c r="Y1141">
        <v>7</v>
      </c>
      <c r="Z1141">
        <v>0</v>
      </c>
      <c r="AA1141">
        <v>0</v>
      </c>
      <c r="AB1141">
        <v>0</v>
      </c>
      <c r="AC1141">
        <v>0</v>
      </c>
      <c r="AD1141" t="s">
        <v>134</v>
      </c>
      <c r="AE1141" t="s">
        <v>134</v>
      </c>
      <c r="AF1141" s="2">
        <v>45727</v>
      </c>
      <c r="AG1141" s="2">
        <v>46018</v>
      </c>
      <c r="AH1141">
        <v>374.11</v>
      </c>
      <c r="AI1141">
        <v>607.75</v>
      </c>
      <c r="AJ1141" s="1">
        <v>4863.46</v>
      </c>
      <c r="AK1141">
        <v>0</v>
      </c>
      <c r="AL1141">
        <v>0</v>
      </c>
      <c r="AM1141">
        <v>0</v>
      </c>
      <c r="AN1141" t="s">
        <v>135</v>
      </c>
      <c r="AO1141" t="s">
        <v>135</v>
      </c>
      <c r="AP1141" t="s">
        <v>136</v>
      </c>
      <c r="AQ1141" t="s">
        <v>137</v>
      </c>
      <c r="AR1141" t="s">
        <v>138</v>
      </c>
      <c r="AS1141" t="s">
        <v>139</v>
      </c>
      <c r="AT1141" t="s">
        <v>140</v>
      </c>
      <c r="AU1141">
        <v>102</v>
      </c>
      <c r="AV1141">
        <v>10</v>
      </c>
      <c r="AW1141">
        <v>1</v>
      </c>
      <c r="AX1141" s="2">
        <v>45848</v>
      </c>
      <c r="AY1141" t="s">
        <v>308</v>
      </c>
      <c r="AZ1141" s="2">
        <v>46023</v>
      </c>
      <c r="BA1141">
        <v>0</v>
      </c>
      <c r="BB1141">
        <v>0</v>
      </c>
      <c r="BC1141">
        <v>0</v>
      </c>
      <c r="BD1141">
        <v>700</v>
      </c>
      <c r="BE1141">
        <v>70</v>
      </c>
      <c r="BF1141">
        <v>9</v>
      </c>
      <c r="BG1141" s="2">
        <v>45809</v>
      </c>
      <c r="BH1141" t="s">
        <v>142</v>
      </c>
      <c r="BI1141" s="2">
        <v>46026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 s="1">
        <v>1566.58</v>
      </c>
      <c r="BQ1141" s="1">
        <v>1566.58</v>
      </c>
      <c r="BR1141">
        <v>0</v>
      </c>
      <c r="BS1141">
        <v>0</v>
      </c>
      <c r="BT1141">
        <v>0</v>
      </c>
      <c r="BU1141">
        <v>0</v>
      </c>
      <c r="BV1141" s="1">
        <v>1924.25</v>
      </c>
      <c r="BW1141" s="1">
        <v>1924.25</v>
      </c>
      <c r="BX1141">
        <v>0</v>
      </c>
      <c r="BY1141">
        <v>0</v>
      </c>
      <c r="BZ1141">
        <v>0</v>
      </c>
      <c r="CA1141">
        <v>0</v>
      </c>
      <c r="CB1141" s="1">
        <v>1310.1500000000001</v>
      </c>
      <c r="CC1141" t="s">
        <v>161</v>
      </c>
    </row>
    <row r="1142" spans="1:81" x14ac:dyDescent="0.25">
      <c r="A1142">
        <v>345</v>
      </c>
      <c r="B1142">
        <v>2</v>
      </c>
      <c r="C1142">
        <v>3289</v>
      </c>
      <c r="D1142" t="s">
        <v>6496</v>
      </c>
      <c r="E1142" t="s">
        <v>121</v>
      </c>
      <c r="F1142" t="s">
        <v>6497</v>
      </c>
      <c r="G1142" t="s">
        <v>6498</v>
      </c>
      <c r="H1142" t="s">
        <v>6499</v>
      </c>
      <c r="I1142" t="s">
        <v>6500</v>
      </c>
      <c r="J1142" t="s">
        <v>126</v>
      </c>
      <c r="K1142" t="s">
        <v>1853</v>
      </c>
      <c r="L1142" t="s">
        <v>128</v>
      </c>
      <c r="M1142" t="s">
        <v>1854</v>
      </c>
      <c r="N1142" t="s">
        <v>6501</v>
      </c>
      <c r="O1142" t="s">
        <v>201</v>
      </c>
      <c r="P1142">
        <v>0</v>
      </c>
      <c r="Q1142" t="s">
        <v>125</v>
      </c>
      <c r="R1142">
        <v>3</v>
      </c>
      <c r="S1142">
        <v>83</v>
      </c>
      <c r="T1142" t="s">
        <v>132</v>
      </c>
      <c r="U1142" t="s">
        <v>133</v>
      </c>
      <c r="V1142" s="1">
        <v>1700</v>
      </c>
      <c r="W1142">
        <v>0</v>
      </c>
      <c r="X1142" s="1">
        <v>1700</v>
      </c>
      <c r="Y1142">
        <v>7</v>
      </c>
      <c r="Z1142">
        <v>0</v>
      </c>
      <c r="AA1142">
        <v>0</v>
      </c>
      <c r="AB1142">
        <v>0</v>
      </c>
      <c r="AC1142">
        <v>0</v>
      </c>
      <c r="AD1142" t="s">
        <v>134</v>
      </c>
      <c r="AE1142" t="s">
        <v>134</v>
      </c>
      <c r="AF1142" s="2">
        <v>45727</v>
      </c>
      <c r="AG1142" s="2">
        <v>46020</v>
      </c>
      <c r="AH1142">
        <v>744.32</v>
      </c>
      <c r="AI1142" s="1">
        <v>1343.49</v>
      </c>
      <c r="AJ1142" s="1">
        <v>6698.95</v>
      </c>
      <c r="AK1142">
        <v>0</v>
      </c>
      <c r="AL1142">
        <v>0</v>
      </c>
      <c r="AM1142">
        <v>0</v>
      </c>
      <c r="AN1142" t="s">
        <v>135</v>
      </c>
      <c r="AO1142" t="s">
        <v>135</v>
      </c>
      <c r="AP1142" t="s">
        <v>136</v>
      </c>
      <c r="AQ1142" t="s">
        <v>137</v>
      </c>
      <c r="AR1142" t="s">
        <v>138</v>
      </c>
      <c r="AS1142" t="s">
        <v>150</v>
      </c>
      <c r="AT1142" t="s">
        <v>140</v>
      </c>
      <c r="AU1142">
        <v>103</v>
      </c>
      <c r="AV1142">
        <v>10</v>
      </c>
      <c r="AW1142">
        <v>1</v>
      </c>
      <c r="AX1142" s="2">
        <v>45814</v>
      </c>
      <c r="AY1142" t="s">
        <v>151</v>
      </c>
      <c r="AZ1142" s="2">
        <v>46024</v>
      </c>
      <c r="BA1142">
        <v>0</v>
      </c>
      <c r="BB1142">
        <v>0</v>
      </c>
      <c r="BC1142">
        <v>0</v>
      </c>
      <c r="BD1142">
        <v>700</v>
      </c>
      <c r="BE1142">
        <v>70</v>
      </c>
      <c r="BF1142">
        <v>9</v>
      </c>
      <c r="BG1142" s="2">
        <v>45809</v>
      </c>
      <c r="BH1142" t="s">
        <v>142</v>
      </c>
      <c r="BI1142" s="2">
        <v>46026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 s="1">
        <v>1676.99</v>
      </c>
      <c r="BQ1142" s="1">
        <v>1676.99</v>
      </c>
      <c r="BR1142">
        <v>0</v>
      </c>
      <c r="BS1142">
        <v>0</v>
      </c>
      <c r="BT1142">
        <v>0</v>
      </c>
      <c r="BU1142">
        <v>0</v>
      </c>
      <c r="BV1142" s="1">
        <v>3256.58</v>
      </c>
      <c r="BW1142" s="1">
        <v>3256.58</v>
      </c>
      <c r="BX1142">
        <v>0</v>
      </c>
      <c r="BY1142">
        <v>0</v>
      </c>
      <c r="BZ1142">
        <v>0</v>
      </c>
      <c r="CA1142">
        <v>0</v>
      </c>
      <c r="CB1142" s="1">
        <v>1934.89</v>
      </c>
      <c r="CC1142" t="s">
        <v>339</v>
      </c>
    </row>
    <row r="1143" spans="1:81" x14ac:dyDescent="0.25">
      <c r="A1143">
        <v>345</v>
      </c>
      <c r="B1143">
        <v>2</v>
      </c>
      <c r="C1143">
        <v>3291</v>
      </c>
      <c r="D1143" t="s">
        <v>6502</v>
      </c>
      <c r="E1143" t="s">
        <v>121</v>
      </c>
      <c r="F1143" t="s">
        <v>6503</v>
      </c>
      <c r="G1143" t="s">
        <v>6504</v>
      </c>
      <c r="H1143" t="s">
        <v>6505</v>
      </c>
      <c r="I1143" t="s">
        <v>6506</v>
      </c>
      <c r="J1143" t="s">
        <v>126</v>
      </c>
      <c r="K1143" t="s">
        <v>466</v>
      </c>
      <c r="L1143" t="s">
        <v>128</v>
      </c>
      <c r="M1143" t="s">
        <v>467</v>
      </c>
      <c r="N1143" t="s">
        <v>6507</v>
      </c>
      <c r="O1143" t="s">
        <v>195</v>
      </c>
      <c r="P1143">
        <v>0</v>
      </c>
      <c r="Q1143" t="s">
        <v>125</v>
      </c>
      <c r="R1143">
        <v>3</v>
      </c>
      <c r="S1143">
        <v>82</v>
      </c>
      <c r="T1143" t="s">
        <v>132</v>
      </c>
      <c r="U1143" t="s">
        <v>133</v>
      </c>
      <c r="V1143" s="1">
        <v>1000</v>
      </c>
      <c r="W1143">
        <v>0</v>
      </c>
      <c r="X1143" s="1">
        <v>1000</v>
      </c>
      <c r="Y1143">
        <v>7</v>
      </c>
      <c r="Z1143">
        <v>0</v>
      </c>
      <c r="AA1143">
        <v>0</v>
      </c>
      <c r="AB1143">
        <v>0</v>
      </c>
      <c r="AC1143">
        <v>0</v>
      </c>
      <c r="AD1143" t="s">
        <v>134</v>
      </c>
      <c r="AE1143" t="s">
        <v>134</v>
      </c>
      <c r="AF1143" s="2">
        <v>45728</v>
      </c>
      <c r="AG1143" s="2">
        <v>46011</v>
      </c>
      <c r="AH1143">
        <v>425.84</v>
      </c>
      <c r="AI1143">
        <v>576.04</v>
      </c>
      <c r="AJ1143" s="1">
        <v>1703.37</v>
      </c>
      <c r="AK1143">
        <v>0</v>
      </c>
      <c r="AL1143">
        <v>0</v>
      </c>
      <c r="AM1143">
        <v>0</v>
      </c>
      <c r="AN1143" t="s">
        <v>135</v>
      </c>
      <c r="AO1143" t="s">
        <v>135</v>
      </c>
      <c r="AP1143" t="s">
        <v>136</v>
      </c>
      <c r="AQ1143" t="s">
        <v>137</v>
      </c>
      <c r="AR1143" t="s">
        <v>138</v>
      </c>
      <c r="AS1143" t="s">
        <v>139</v>
      </c>
      <c r="AT1143" t="s">
        <v>140</v>
      </c>
      <c r="AU1143">
        <v>105</v>
      </c>
      <c r="AV1143">
        <v>10</v>
      </c>
      <c r="AW1143">
        <v>1</v>
      </c>
      <c r="AX1143" s="2">
        <v>45813</v>
      </c>
      <c r="AY1143" t="s">
        <v>308</v>
      </c>
      <c r="AZ1143" s="2">
        <v>46023</v>
      </c>
      <c r="BA1143">
        <v>0</v>
      </c>
      <c r="BB1143">
        <v>0</v>
      </c>
      <c r="BC1143">
        <v>0</v>
      </c>
      <c r="BD1143">
        <v>700</v>
      </c>
      <c r="BE1143">
        <v>70</v>
      </c>
      <c r="BF1143">
        <v>9</v>
      </c>
      <c r="BG1143" s="2">
        <v>45809</v>
      </c>
      <c r="BH1143" t="s">
        <v>142</v>
      </c>
      <c r="BI1143" s="2">
        <v>46026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832.16</v>
      </c>
      <c r="BQ1143">
        <v>832.16</v>
      </c>
      <c r="BR1143">
        <v>0</v>
      </c>
      <c r="BS1143">
        <v>0</v>
      </c>
      <c r="BT1143">
        <v>0</v>
      </c>
      <c r="BU1143">
        <v>0</v>
      </c>
      <c r="BV1143">
        <v>295.17</v>
      </c>
      <c r="BW1143">
        <v>295.17</v>
      </c>
      <c r="BX1143">
        <v>0</v>
      </c>
      <c r="BY1143">
        <v>0</v>
      </c>
      <c r="BZ1143">
        <v>0</v>
      </c>
      <c r="CA1143">
        <v>0</v>
      </c>
      <c r="CB1143">
        <v>532.34</v>
      </c>
      <c r="CC1143" t="s">
        <v>161</v>
      </c>
    </row>
    <row r="1144" spans="1:81" x14ac:dyDescent="0.25">
      <c r="A1144">
        <v>345</v>
      </c>
      <c r="B1144">
        <v>2</v>
      </c>
      <c r="C1144">
        <v>3293</v>
      </c>
      <c r="D1144" t="s">
        <v>6508</v>
      </c>
      <c r="E1144" t="s">
        <v>121</v>
      </c>
      <c r="F1144" t="s">
        <v>6509</v>
      </c>
      <c r="G1144" t="s">
        <v>6510</v>
      </c>
      <c r="H1144" t="s">
        <v>6511</v>
      </c>
      <c r="I1144" t="s">
        <v>6512</v>
      </c>
      <c r="J1144" t="s">
        <v>126</v>
      </c>
      <c r="K1144" t="s">
        <v>1853</v>
      </c>
      <c r="L1144" t="s">
        <v>128</v>
      </c>
      <c r="M1144" t="s">
        <v>1854</v>
      </c>
      <c r="N1144" t="s">
        <v>6513</v>
      </c>
      <c r="O1144" t="s">
        <v>159</v>
      </c>
      <c r="P1144">
        <v>0</v>
      </c>
      <c r="Q1144" t="s">
        <v>125</v>
      </c>
      <c r="R1144">
        <v>4</v>
      </c>
      <c r="S1144">
        <v>80</v>
      </c>
      <c r="T1144" t="s">
        <v>132</v>
      </c>
      <c r="U1144" t="s">
        <v>133</v>
      </c>
      <c r="V1144" s="1">
        <v>2000</v>
      </c>
      <c r="W1144">
        <v>0</v>
      </c>
      <c r="X1144" s="1">
        <v>2000</v>
      </c>
      <c r="Y1144">
        <v>7</v>
      </c>
      <c r="Z1144">
        <v>0</v>
      </c>
      <c r="AA1144">
        <v>6</v>
      </c>
      <c r="AB1144">
        <v>0</v>
      </c>
      <c r="AC1144">
        <v>4</v>
      </c>
      <c r="AD1144" t="s">
        <v>134</v>
      </c>
      <c r="AE1144" t="s">
        <v>134</v>
      </c>
      <c r="AF1144" s="2">
        <v>45728</v>
      </c>
      <c r="AG1144" s="2">
        <v>46021</v>
      </c>
      <c r="AH1144" s="1">
        <v>1086.1600000000001</v>
      </c>
      <c r="AI1144" s="1">
        <v>1830.31</v>
      </c>
      <c r="AJ1144" s="1">
        <v>10861.67</v>
      </c>
      <c r="AK1144">
        <v>0</v>
      </c>
      <c r="AL1144">
        <v>0</v>
      </c>
      <c r="AM1144">
        <v>0</v>
      </c>
      <c r="AN1144" t="s">
        <v>135</v>
      </c>
      <c r="AO1144" t="s">
        <v>135</v>
      </c>
      <c r="AP1144" t="s">
        <v>136</v>
      </c>
      <c r="AQ1144" t="s">
        <v>137</v>
      </c>
      <c r="AR1144" t="s">
        <v>138</v>
      </c>
      <c r="AS1144" t="s">
        <v>150</v>
      </c>
      <c r="AT1144" t="s">
        <v>140</v>
      </c>
      <c r="AU1144">
        <v>103</v>
      </c>
      <c r="AV1144">
        <v>10</v>
      </c>
      <c r="AW1144">
        <v>1</v>
      </c>
      <c r="AX1144" s="2">
        <v>45978</v>
      </c>
      <c r="AY1144" t="s">
        <v>141</v>
      </c>
      <c r="AZ1144" s="2">
        <v>46027</v>
      </c>
      <c r="BA1144">
        <v>0</v>
      </c>
      <c r="BB1144">
        <v>0</v>
      </c>
      <c r="BC1144">
        <v>0</v>
      </c>
      <c r="BD1144">
        <v>700</v>
      </c>
      <c r="BE1144">
        <v>70</v>
      </c>
      <c r="BF1144">
        <v>9</v>
      </c>
      <c r="BG1144" s="2">
        <v>45809</v>
      </c>
      <c r="BH1144" t="s">
        <v>142</v>
      </c>
      <c r="BI1144" s="2">
        <v>46026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 s="1">
        <v>2842.45</v>
      </c>
      <c r="BQ1144" s="1">
        <v>2842.45</v>
      </c>
      <c r="BR1144">
        <v>0</v>
      </c>
      <c r="BS1144">
        <v>6</v>
      </c>
      <c r="BT1144">
        <v>2.08</v>
      </c>
      <c r="BU1144" s="1">
        <v>1830.31</v>
      </c>
      <c r="BV1144" s="1">
        <v>3446.96</v>
      </c>
      <c r="BW1144" s="1">
        <v>5277.27</v>
      </c>
      <c r="BX1144">
        <v>0</v>
      </c>
      <c r="BY1144">
        <v>0</v>
      </c>
      <c r="BZ1144">
        <v>0</v>
      </c>
      <c r="CA1144">
        <v>0</v>
      </c>
      <c r="CB1144" s="1">
        <v>3187.7</v>
      </c>
      <c r="CC1144" t="s">
        <v>161</v>
      </c>
    </row>
    <row r="1145" spans="1:81" x14ac:dyDescent="0.25">
      <c r="A1145">
        <v>345</v>
      </c>
      <c r="B1145">
        <v>2</v>
      </c>
      <c r="C1145">
        <v>3294</v>
      </c>
      <c r="D1145" t="s">
        <v>6514</v>
      </c>
      <c r="E1145" t="s">
        <v>121</v>
      </c>
      <c r="F1145" t="s">
        <v>6515</v>
      </c>
      <c r="G1145" t="s">
        <v>6516</v>
      </c>
      <c r="H1145" t="s">
        <v>6517</v>
      </c>
      <c r="I1145" t="s">
        <v>6518</v>
      </c>
      <c r="J1145" t="s">
        <v>1465</v>
      </c>
      <c r="K1145" t="s">
        <v>466</v>
      </c>
      <c r="L1145" t="s">
        <v>128</v>
      </c>
      <c r="M1145" t="s">
        <v>467</v>
      </c>
      <c r="N1145" t="s">
        <v>6519</v>
      </c>
      <c r="O1145" t="s">
        <v>195</v>
      </c>
      <c r="P1145">
        <v>0</v>
      </c>
      <c r="Q1145" t="s">
        <v>125</v>
      </c>
      <c r="R1145">
        <v>3</v>
      </c>
      <c r="S1145">
        <v>85</v>
      </c>
      <c r="T1145" t="s">
        <v>132</v>
      </c>
      <c r="U1145" t="s">
        <v>133</v>
      </c>
      <c r="V1145" s="1">
        <v>1000</v>
      </c>
      <c r="W1145">
        <v>0</v>
      </c>
      <c r="X1145" s="1">
        <v>1000</v>
      </c>
      <c r="Y1145">
        <v>7</v>
      </c>
      <c r="Z1145">
        <v>0</v>
      </c>
      <c r="AA1145">
        <v>0</v>
      </c>
      <c r="AB1145">
        <v>0</v>
      </c>
      <c r="AC1145">
        <v>0</v>
      </c>
      <c r="AD1145" t="s">
        <v>134</v>
      </c>
      <c r="AE1145" t="s">
        <v>134</v>
      </c>
      <c r="AF1145" s="2">
        <v>45728</v>
      </c>
      <c r="AG1145" s="2">
        <v>46009</v>
      </c>
      <c r="AH1145">
        <v>19.850000000000001</v>
      </c>
      <c r="AI1145">
        <v>35.94</v>
      </c>
      <c r="AJ1145">
        <v>119.13</v>
      </c>
      <c r="AK1145">
        <v>0</v>
      </c>
      <c r="AL1145">
        <v>0</v>
      </c>
      <c r="AM1145">
        <v>0</v>
      </c>
      <c r="AN1145" t="s">
        <v>135</v>
      </c>
      <c r="AO1145" t="s">
        <v>135</v>
      </c>
      <c r="AP1145" t="s">
        <v>136</v>
      </c>
      <c r="AQ1145" t="s">
        <v>137</v>
      </c>
      <c r="AR1145" t="s">
        <v>138</v>
      </c>
      <c r="AS1145" t="s">
        <v>139</v>
      </c>
      <c r="AT1145" t="s">
        <v>140</v>
      </c>
      <c r="AU1145">
        <v>100</v>
      </c>
      <c r="AV1145">
        <v>10</v>
      </c>
      <c r="AW1145">
        <v>1</v>
      </c>
      <c r="AX1145" s="2">
        <v>45812</v>
      </c>
      <c r="AY1145" t="s">
        <v>168</v>
      </c>
      <c r="AZ1145" s="2">
        <v>46022</v>
      </c>
      <c r="BA1145">
        <v>0</v>
      </c>
      <c r="BB1145">
        <v>0</v>
      </c>
      <c r="BC1145">
        <v>0</v>
      </c>
      <c r="BD1145">
        <v>700</v>
      </c>
      <c r="BE1145">
        <v>70</v>
      </c>
      <c r="BF1145">
        <v>9</v>
      </c>
      <c r="BG1145" s="2">
        <v>45809</v>
      </c>
      <c r="BH1145" t="s">
        <v>142</v>
      </c>
      <c r="BI1145" s="2">
        <v>46026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61.78</v>
      </c>
      <c r="BQ1145">
        <v>61.78</v>
      </c>
      <c r="BR1145">
        <v>0</v>
      </c>
      <c r="BS1145">
        <v>0</v>
      </c>
      <c r="BT1145">
        <v>0</v>
      </c>
      <c r="BU1145">
        <v>0</v>
      </c>
      <c r="BV1145">
        <v>8.26</v>
      </c>
      <c r="BW1145">
        <v>8.26</v>
      </c>
      <c r="BX1145">
        <v>0</v>
      </c>
      <c r="BY1145">
        <v>0</v>
      </c>
      <c r="BZ1145">
        <v>0</v>
      </c>
      <c r="CA1145">
        <v>0</v>
      </c>
      <c r="CB1145">
        <v>44.53</v>
      </c>
      <c r="CC1145" t="s">
        <v>161</v>
      </c>
    </row>
    <row r="1146" spans="1:81" x14ac:dyDescent="0.25">
      <c r="A1146">
        <v>345</v>
      </c>
      <c r="B1146">
        <v>2</v>
      </c>
      <c r="C1146">
        <v>3295</v>
      </c>
      <c r="D1146" t="s">
        <v>6520</v>
      </c>
      <c r="E1146" t="s">
        <v>121</v>
      </c>
      <c r="F1146" t="s">
        <v>6521</v>
      </c>
      <c r="G1146" t="s">
        <v>6522</v>
      </c>
      <c r="H1146" t="s">
        <v>6523</v>
      </c>
      <c r="I1146" t="s">
        <v>6518</v>
      </c>
      <c r="J1146" t="s">
        <v>1465</v>
      </c>
      <c r="K1146" t="s">
        <v>466</v>
      </c>
      <c r="L1146" t="s">
        <v>128</v>
      </c>
      <c r="M1146" t="s">
        <v>467</v>
      </c>
      <c r="N1146" t="s">
        <v>6524</v>
      </c>
      <c r="O1146" t="s">
        <v>201</v>
      </c>
      <c r="P1146">
        <v>0</v>
      </c>
      <c r="Q1146" t="s">
        <v>125</v>
      </c>
      <c r="R1146">
        <v>3</v>
      </c>
      <c r="S1146">
        <v>86</v>
      </c>
      <c r="T1146" t="s">
        <v>132</v>
      </c>
      <c r="U1146" t="s">
        <v>133</v>
      </c>
      <c r="V1146" s="1">
        <v>1000</v>
      </c>
      <c r="W1146">
        <v>0</v>
      </c>
      <c r="X1146" s="1">
        <v>1000</v>
      </c>
      <c r="Y1146">
        <v>7</v>
      </c>
      <c r="Z1146">
        <v>0</v>
      </c>
      <c r="AA1146">
        <v>0</v>
      </c>
      <c r="AB1146">
        <v>0</v>
      </c>
      <c r="AC1146">
        <v>0</v>
      </c>
      <c r="AD1146" t="s">
        <v>134</v>
      </c>
      <c r="AE1146" t="s">
        <v>134</v>
      </c>
      <c r="AF1146" s="2">
        <v>45728</v>
      </c>
      <c r="AG1146" s="2">
        <v>46009</v>
      </c>
      <c r="AH1146">
        <v>53.87</v>
      </c>
      <c r="AI1146">
        <v>133.86000000000001</v>
      </c>
      <c r="AJ1146">
        <v>215.48</v>
      </c>
      <c r="AK1146">
        <v>0</v>
      </c>
      <c r="AL1146">
        <v>0</v>
      </c>
      <c r="AM1146">
        <v>0</v>
      </c>
      <c r="AN1146" t="s">
        <v>135</v>
      </c>
      <c r="AO1146" t="s">
        <v>135</v>
      </c>
      <c r="AP1146" t="s">
        <v>136</v>
      </c>
      <c r="AQ1146" t="s">
        <v>137</v>
      </c>
      <c r="AR1146" t="s">
        <v>138</v>
      </c>
      <c r="AS1146" t="s">
        <v>139</v>
      </c>
      <c r="AT1146" t="s">
        <v>140</v>
      </c>
      <c r="AU1146">
        <v>100</v>
      </c>
      <c r="AV1146">
        <v>10</v>
      </c>
      <c r="AW1146">
        <v>1</v>
      </c>
      <c r="AX1146" s="2">
        <v>45812</v>
      </c>
      <c r="AY1146" t="s">
        <v>168</v>
      </c>
      <c r="AZ1146" s="2">
        <v>46022</v>
      </c>
      <c r="BA1146">
        <v>0</v>
      </c>
      <c r="BB1146">
        <v>0</v>
      </c>
      <c r="BC1146">
        <v>0</v>
      </c>
      <c r="BD1146">
        <v>700</v>
      </c>
      <c r="BE1146">
        <v>70</v>
      </c>
      <c r="BF1146">
        <v>9</v>
      </c>
      <c r="BG1146" s="2">
        <v>45809</v>
      </c>
      <c r="BH1146" t="s">
        <v>142</v>
      </c>
      <c r="BI1146" s="2">
        <v>46026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43.28</v>
      </c>
      <c r="BQ1146">
        <v>43.28</v>
      </c>
      <c r="BR1146">
        <v>0</v>
      </c>
      <c r="BS1146">
        <v>0</v>
      </c>
      <c r="BT1146">
        <v>0</v>
      </c>
      <c r="BU1146">
        <v>0</v>
      </c>
      <c r="BV1146">
        <v>133.86000000000001</v>
      </c>
      <c r="BW1146">
        <v>133.86000000000001</v>
      </c>
      <c r="BX1146">
        <v>0</v>
      </c>
      <c r="BY1146">
        <v>0</v>
      </c>
      <c r="BZ1146">
        <v>0</v>
      </c>
      <c r="CA1146">
        <v>0</v>
      </c>
      <c r="CB1146">
        <v>33.65</v>
      </c>
      <c r="CC1146" t="s">
        <v>161</v>
      </c>
    </row>
    <row r="1147" spans="1:81" x14ac:dyDescent="0.25">
      <c r="A1147">
        <v>345</v>
      </c>
      <c r="B1147">
        <v>2</v>
      </c>
      <c r="C1147">
        <v>3296</v>
      </c>
      <c r="D1147" t="s">
        <v>6525</v>
      </c>
      <c r="E1147" t="s">
        <v>121</v>
      </c>
      <c r="F1147" t="s">
        <v>6526</v>
      </c>
      <c r="G1147" t="s">
        <v>6527</v>
      </c>
      <c r="H1147" t="s">
        <v>6528</v>
      </c>
      <c r="I1147" t="s">
        <v>6529</v>
      </c>
      <c r="J1147" t="s">
        <v>831</v>
      </c>
      <c r="K1147" t="s">
        <v>336</v>
      </c>
      <c r="L1147" t="s">
        <v>128</v>
      </c>
      <c r="M1147" t="s">
        <v>337</v>
      </c>
      <c r="N1147" t="s">
        <v>6530</v>
      </c>
      <c r="O1147" t="s">
        <v>201</v>
      </c>
      <c r="P1147">
        <v>0</v>
      </c>
      <c r="Q1147" t="s">
        <v>125</v>
      </c>
      <c r="R1147">
        <v>3</v>
      </c>
      <c r="S1147">
        <v>85</v>
      </c>
      <c r="T1147" t="s">
        <v>132</v>
      </c>
      <c r="U1147" t="s">
        <v>133</v>
      </c>
      <c r="V1147" s="1">
        <v>1400</v>
      </c>
      <c r="W1147">
        <v>745.64</v>
      </c>
      <c r="X1147">
        <v>654.36</v>
      </c>
      <c r="Y1147">
        <v>7</v>
      </c>
      <c r="Z1147">
        <v>0</v>
      </c>
      <c r="AA1147">
        <v>7</v>
      </c>
      <c r="AB1147">
        <v>0</v>
      </c>
      <c r="AC1147">
        <v>0</v>
      </c>
      <c r="AD1147" t="s">
        <v>134</v>
      </c>
      <c r="AE1147" t="s">
        <v>134</v>
      </c>
      <c r="AF1147" s="2">
        <v>45728</v>
      </c>
      <c r="AG1147" s="2">
        <v>46014</v>
      </c>
      <c r="AH1147">
        <v>862.12</v>
      </c>
      <c r="AI1147" s="1">
        <v>2275.65</v>
      </c>
      <c r="AJ1147" s="1">
        <v>7759.13</v>
      </c>
      <c r="AK1147">
        <v>0</v>
      </c>
      <c r="AL1147">
        <v>745.64</v>
      </c>
      <c r="AM1147">
        <v>0</v>
      </c>
      <c r="AN1147" t="s">
        <v>135</v>
      </c>
      <c r="AO1147" t="s">
        <v>135</v>
      </c>
      <c r="AP1147" t="s">
        <v>136</v>
      </c>
      <c r="AQ1147" t="s">
        <v>137</v>
      </c>
      <c r="AR1147" t="s">
        <v>138</v>
      </c>
      <c r="AS1147" t="s">
        <v>139</v>
      </c>
      <c r="AT1147" t="s">
        <v>140</v>
      </c>
      <c r="AU1147">
        <v>104</v>
      </c>
      <c r="AV1147">
        <v>10</v>
      </c>
      <c r="AW1147">
        <v>1</v>
      </c>
      <c r="AX1147" s="2">
        <v>45733</v>
      </c>
      <c r="AY1147" t="s">
        <v>141</v>
      </c>
      <c r="AZ1147" s="2">
        <v>46027</v>
      </c>
      <c r="BA1147">
        <v>0</v>
      </c>
      <c r="BB1147">
        <v>0</v>
      </c>
      <c r="BC1147">
        <v>0</v>
      </c>
      <c r="BD1147">
        <v>700</v>
      </c>
      <c r="BE1147">
        <v>70</v>
      </c>
      <c r="BF1147">
        <v>9</v>
      </c>
      <c r="BG1147" s="2">
        <v>45809</v>
      </c>
      <c r="BH1147" t="s">
        <v>142</v>
      </c>
      <c r="BI1147" s="2">
        <v>46026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 s="1">
        <v>3110.61</v>
      </c>
      <c r="BQ1147" s="1">
        <v>3110.61</v>
      </c>
      <c r="BR1147">
        <v>0</v>
      </c>
      <c r="BS1147">
        <v>6.46</v>
      </c>
      <c r="BT1147">
        <v>5.56</v>
      </c>
      <c r="BU1147" s="1">
        <v>2762.61</v>
      </c>
      <c r="BV1147">
        <v>449.5</v>
      </c>
      <c r="BW1147" s="1">
        <v>3212.11</v>
      </c>
      <c r="BX1147">
        <v>745.64</v>
      </c>
      <c r="BY1147">
        <v>26.99</v>
      </c>
      <c r="BZ1147">
        <v>0</v>
      </c>
      <c r="CA1147">
        <v>0</v>
      </c>
      <c r="CB1147" s="1">
        <v>2327.0100000000002</v>
      </c>
      <c r="CC1147" t="s">
        <v>161</v>
      </c>
    </row>
    <row r="1148" spans="1:81" x14ac:dyDescent="0.25">
      <c r="A1148">
        <v>345</v>
      </c>
      <c r="B1148">
        <v>2</v>
      </c>
      <c r="C1148">
        <v>3298</v>
      </c>
      <c r="D1148" t="s">
        <v>6531</v>
      </c>
      <c r="E1148" t="s">
        <v>121</v>
      </c>
      <c r="F1148" t="s">
        <v>6532</v>
      </c>
      <c r="G1148" t="s">
        <v>6533</v>
      </c>
      <c r="H1148" t="s">
        <v>6534</v>
      </c>
      <c r="I1148" t="s">
        <v>6535</v>
      </c>
      <c r="J1148" t="s">
        <v>126</v>
      </c>
      <c r="K1148" t="s">
        <v>336</v>
      </c>
      <c r="L1148" t="s">
        <v>128</v>
      </c>
      <c r="M1148" t="s">
        <v>337</v>
      </c>
      <c r="N1148" t="s">
        <v>6536</v>
      </c>
      <c r="O1148" t="s">
        <v>5977</v>
      </c>
      <c r="P1148">
        <v>0</v>
      </c>
      <c r="Q1148" t="s">
        <v>125</v>
      </c>
      <c r="R1148">
        <v>3</v>
      </c>
      <c r="S1148">
        <v>85</v>
      </c>
      <c r="T1148" t="s">
        <v>132</v>
      </c>
      <c r="U1148" t="s">
        <v>133</v>
      </c>
      <c r="V1148" s="1">
        <v>1000</v>
      </c>
      <c r="W1148">
        <v>0</v>
      </c>
      <c r="X1148" s="1">
        <v>1000</v>
      </c>
      <c r="Y1148">
        <v>7</v>
      </c>
      <c r="Z1148">
        <v>0</v>
      </c>
      <c r="AA1148">
        <v>3</v>
      </c>
      <c r="AB1148">
        <v>0</v>
      </c>
      <c r="AC1148">
        <v>0</v>
      </c>
      <c r="AD1148" t="s">
        <v>134</v>
      </c>
      <c r="AE1148" t="s">
        <v>134</v>
      </c>
      <c r="AF1148" s="2">
        <v>45729</v>
      </c>
      <c r="AG1148" s="2">
        <v>46010</v>
      </c>
      <c r="AH1148">
        <v>284.89</v>
      </c>
      <c r="AI1148">
        <v>335.27</v>
      </c>
      <c r="AJ1148" s="1">
        <v>1709.34</v>
      </c>
      <c r="AK1148">
        <v>0</v>
      </c>
      <c r="AL1148">
        <v>0</v>
      </c>
      <c r="AM1148">
        <v>0</v>
      </c>
      <c r="AN1148" t="s">
        <v>135</v>
      </c>
      <c r="AO1148" t="s">
        <v>135</v>
      </c>
      <c r="AP1148" t="s">
        <v>136</v>
      </c>
      <c r="AQ1148" t="s">
        <v>137</v>
      </c>
      <c r="AR1148" t="s">
        <v>138</v>
      </c>
      <c r="AS1148" t="s">
        <v>139</v>
      </c>
      <c r="AT1148" t="s">
        <v>140</v>
      </c>
      <c r="AU1148">
        <v>101</v>
      </c>
      <c r="AV1148">
        <v>10</v>
      </c>
      <c r="AW1148">
        <v>1</v>
      </c>
      <c r="AX1148" s="2">
        <v>45813</v>
      </c>
      <c r="AY1148" t="s">
        <v>308</v>
      </c>
      <c r="AZ1148" s="2">
        <v>46023</v>
      </c>
      <c r="BA1148">
        <v>0</v>
      </c>
      <c r="BB1148">
        <v>0</v>
      </c>
      <c r="BC1148">
        <v>0</v>
      </c>
      <c r="BD1148">
        <v>700</v>
      </c>
      <c r="BE1148">
        <v>70</v>
      </c>
      <c r="BF1148">
        <v>9</v>
      </c>
      <c r="BG1148" s="2">
        <v>45809</v>
      </c>
      <c r="BH1148" t="s">
        <v>142</v>
      </c>
      <c r="BI1148" s="2">
        <v>46026</v>
      </c>
      <c r="BJ1148">
        <v>0</v>
      </c>
      <c r="BK1148">
        <v>0</v>
      </c>
      <c r="BL1148">
        <v>0</v>
      </c>
      <c r="BM1148">
        <v>3</v>
      </c>
      <c r="BN1148">
        <v>3</v>
      </c>
      <c r="BO1148">
        <v>601.33000000000004</v>
      </c>
      <c r="BP1148">
        <v>0</v>
      </c>
      <c r="BQ1148">
        <v>601.33000000000004</v>
      </c>
      <c r="BR1148">
        <v>335.27</v>
      </c>
      <c r="BS1148">
        <v>3</v>
      </c>
      <c r="BT1148">
        <v>3</v>
      </c>
      <c r="BU1148">
        <v>627.41999999999996</v>
      </c>
      <c r="BV1148">
        <v>0</v>
      </c>
      <c r="BW1148">
        <v>627.41999999999996</v>
      </c>
      <c r="BX1148">
        <v>0</v>
      </c>
      <c r="BY1148">
        <v>0</v>
      </c>
      <c r="BZ1148">
        <v>0</v>
      </c>
      <c r="CA1148">
        <v>0</v>
      </c>
      <c r="CB1148">
        <v>596.28</v>
      </c>
      <c r="CC1148" t="s">
        <v>161</v>
      </c>
    </row>
    <row r="1149" spans="1:81" x14ac:dyDescent="0.25">
      <c r="A1149">
        <v>345</v>
      </c>
      <c r="B1149">
        <v>2</v>
      </c>
      <c r="C1149">
        <v>3299</v>
      </c>
      <c r="D1149" t="s">
        <v>6537</v>
      </c>
      <c r="E1149" t="s">
        <v>121</v>
      </c>
      <c r="F1149" t="s">
        <v>6538</v>
      </c>
      <c r="G1149" t="s">
        <v>6539</v>
      </c>
      <c r="H1149" t="s">
        <v>6540</v>
      </c>
      <c r="I1149" t="s">
        <v>6541</v>
      </c>
      <c r="J1149" t="s">
        <v>126</v>
      </c>
      <c r="K1149" t="s">
        <v>1853</v>
      </c>
      <c r="L1149" t="s">
        <v>128</v>
      </c>
      <c r="M1149" t="s">
        <v>1854</v>
      </c>
      <c r="N1149" t="s">
        <v>6542</v>
      </c>
      <c r="O1149" t="s">
        <v>167</v>
      </c>
      <c r="P1149">
        <v>0</v>
      </c>
      <c r="Q1149" t="s">
        <v>125</v>
      </c>
      <c r="R1149">
        <v>4</v>
      </c>
      <c r="S1149">
        <v>77</v>
      </c>
      <c r="T1149" t="s">
        <v>132</v>
      </c>
      <c r="U1149" t="s">
        <v>133</v>
      </c>
      <c r="V1149" s="1">
        <v>1000</v>
      </c>
      <c r="W1149">
        <v>455.77</v>
      </c>
      <c r="X1149">
        <v>544.23</v>
      </c>
      <c r="Y1149">
        <v>7</v>
      </c>
      <c r="Z1149">
        <v>0</v>
      </c>
      <c r="AA1149">
        <v>9</v>
      </c>
      <c r="AB1149">
        <v>0</v>
      </c>
      <c r="AC1149">
        <v>11</v>
      </c>
      <c r="AD1149" t="s">
        <v>134</v>
      </c>
      <c r="AE1149" t="s">
        <v>134</v>
      </c>
      <c r="AF1149" s="2">
        <v>45729</v>
      </c>
      <c r="AG1149" s="2">
        <v>46018</v>
      </c>
      <c r="AH1149">
        <v>458.26</v>
      </c>
      <c r="AI1149">
        <v>704.54</v>
      </c>
      <c r="AJ1149" s="1">
        <v>2291.3000000000002</v>
      </c>
      <c r="AK1149">
        <v>0</v>
      </c>
      <c r="AL1149">
        <v>455.77</v>
      </c>
      <c r="AM1149">
        <v>0</v>
      </c>
      <c r="AN1149" t="s">
        <v>135</v>
      </c>
      <c r="AO1149" t="s">
        <v>135</v>
      </c>
      <c r="AP1149" t="s">
        <v>136</v>
      </c>
      <c r="AQ1149" t="s">
        <v>137</v>
      </c>
      <c r="AR1149" t="s">
        <v>138</v>
      </c>
      <c r="AS1149" t="s">
        <v>139</v>
      </c>
      <c r="AT1149" t="s">
        <v>140</v>
      </c>
      <c r="AU1149">
        <v>103</v>
      </c>
      <c r="AV1149">
        <v>10</v>
      </c>
      <c r="AW1149">
        <v>1</v>
      </c>
      <c r="AX1149" s="2">
        <v>45840</v>
      </c>
      <c r="AY1149" t="s">
        <v>168</v>
      </c>
      <c r="AZ1149" s="2">
        <v>46022</v>
      </c>
      <c r="BA1149">
        <v>0</v>
      </c>
      <c r="BB1149">
        <v>0</v>
      </c>
      <c r="BC1149">
        <v>0</v>
      </c>
      <c r="BD1149">
        <v>700</v>
      </c>
      <c r="BE1149">
        <v>70</v>
      </c>
      <c r="BF1149">
        <v>9</v>
      </c>
      <c r="BG1149" s="2">
        <v>45809</v>
      </c>
      <c r="BH1149" t="s">
        <v>142</v>
      </c>
      <c r="BI1149" s="2">
        <v>46026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8.0299999999999994</v>
      </c>
      <c r="BT1149">
        <v>8.0299999999999994</v>
      </c>
      <c r="BU1149" s="1">
        <v>1366.61</v>
      </c>
      <c r="BV1149">
        <v>0</v>
      </c>
      <c r="BW1149" s="1">
        <v>1366.61</v>
      </c>
      <c r="BX1149">
        <v>455.77</v>
      </c>
      <c r="BY1149">
        <v>33.35</v>
      </c>
      <c r="BZ1149">
        <v>0</v>
      </c>
      <c r="CA1149">
        <v>0</v>
      </c>
      <c r="CB1149">
        <v>490.49</v>
      </c>
      <c r="CC1149" t="s">
        <v>161</v>
      </c>
    </row>
    <row r="1150" spans="1:81" x14ac:dyDescent="0.25">
      <c r="A1150">
        <v>345</v>
      </c>
      <c r="B1150">
        <v>2</v>
      </c>
      <c r="C1150">
        <v>3300</v>
      </c>
      <c r="D1150" t="s">
        <v>6543</v>
      </c>
      <c r="E1150" t="s">
        <v>121</v>
      </c>
      <c r="F1150" t="s">
        <v>6544</v>
      </c>
      <c r="G1150" t="s">
        <v>6545</v>
      </c>
      <c r="H1150" t="s">
        <v>6546</v>
      </c>
      <c r="I1150" t="s">
        <v>6547</v>
      </c>
      <c r="J1150" t="s">
        <v>4308</v>
      </c>
      <c r="K1150" t="s">
        <v>4248</v>
      </c>
      <c r="L1150" t="s">
        <v>128</v>
      </c>
      <c r="M1150" t="s">
        <v>1325</v>
      </c>
      <c r="N1150" t="s">
        <v>6548</v>
      </c>
      <c r="O1150" t="s">
        <v>1146</v>
      </c>
      <c r="P1150">
        <v>0</v>
      </c>
      <c r="Q1150" t="s">
        <v>125</v>
      </c>
      <c r="R1150">
        <v>5</v>
      </c>
      <c r="S1150">
        <v>60</v>
      </c>
      <c r="T1150" t="s">
        <v>132</v>
      </c>
      <c r="U1150" t="s">
        <v>133</v>
      </c>
      <c r="V1150" s="1">
        <v>1000</v>
      </c>
      <c r="W1150">
        <v>0</v>
      </c>
      <c r="X1150" s="1">
        <v>1000</v>
      </c>
      <c r="Y1150">
        <v>7</v>
      </c>
      <c r="Z1150">
        <v>0</v>
      </c>
      <c r="AA1150">
        <v>7</v>
      </c>
      <c r="AB1150">
        <v>4</v>
      </c>
      <c r="AC1150">
        <v>79</v>
      </c>
      <c r="AD1150" t="s">
        <v>134</v>
      </c>
      <c r="AE1150" t="s">
        <v>134</v>
      </c>
      <c r="AF1150" s="2">
        <v>45729</v>
      </c>
      <c r="AG1150" s="2">
        <v>46010</v>
      </c>
      <c r="AH1150">
        <v>377.71</v>
      </c>
      <c r="AI1150">
        <v>481.38</v>
      </c>
      <c r="AJ1150" s="1">
        <v>2644.01</v>
      </c>
      <c r="AK1150">
        <v>0</v>
      </c>
      <c r="AL1150">
        <v>0</v>
      </c>
      <c r="AM1150">
        <v>0</v>
      </c>
      <c r="AN1150" t="s">
        <v>135</v>
      </c>
      <c r="AO1150" t="s">
        <v>135</v>
      </c>
      <c r="AP1150" t="s">
        <v>136</v>
      </c>
      <c r="AQ1150" t="s">
        <v>137</v>
      </c>
      <c r="AR1150" t="s">
        <v>138</v>
      </c>
      <c r="AS1150" t="s">
        <v>139</v>
      </c>
      <c r="AT1150" t="s">
        <v>140</v>
      </c>
      <c r="AU1150">
        <v>104</v>
      </c>
      <c r="AV1150">
        <v>10</v>
      </c>
      <c r="AW1150">
        <v>1</v>
      </c>
      <c r="AX1150" s="2">
        <v>45861</v>
      </c>
      <c r="AY1150" t="s">
        <v>168</v>
      </c>
      <c r="AZ1150" s="2">
        <v>46022</v>
      </c>
      <c r="BA1150">
        <v>0</v>
      </c>
      <c r="BB1150">
        <v>0</v>
      </c>
      <c r="BC1150">
        <v>0</v>
      </c>
      <c r="BD1150">
        <v>700</v>
      </c>
      <c r="BE1150">
        <v>70</v>
      </c>
      <c r="BF1150">
        <v>9</v>
      </c>
      <c r="BG1150" s="2">
        <v>45809</v>
      </c>
      <c r="BH1150" t="s">
        <v>142</v>
      </c>
      <c r="BI1150" s="2">
        <v>46026</v>
      </c>
      <c r="BJ1150">
        <v>0</v>
      </c>
      <c r="BK1150">
        <v>0</v>
      </c>
      <c r="BL1150">
        <v>0</v>
      </c>
      <c r="BM1150">
        <v>7</v>
      </c>
      <c r="BN1150">
        <v>6.69</v>
      </c>
      <c r="BO1150">
        <v>981.68</v>
      </c>
      <c r="BP1150">
        <v>46.08</v>
      </c>
      <c r="BQ1150" s="1">
        <v>1027.76</v>
      </c>
      <c r="BR1150">
        <v>0</v>
      </c>
      <c r="BS1150">
        <v>7</v>
      </c>
      <c r="BT1150">
        <v>7</v>
      </c>
      <c r="BU1150" s="1">
        <v>1303.95</v>
      </c>
      <c r="BV1150">
        <v>0</v>
      </c>
      <c r="BW1150" s="1">
        <v>1303.95</v>
      </c>
      <c r="BX1150">
        <v>0</v>
      </c>
      <c r="BY1150">
        <v>0</v>
      </c>
      <c r="BZ1150">
        <v>0</v>
      </c>
      <c r="CA1150">
        <v>0</v>
      </c>
      <c r="CB1150">
        <v>714.8</v>
      </c>
      <c r="CC1150" t="s">
        <v>3116</v>
      </c>
    </row>
    <row r="1151" spans="1:81" x14ac:dyDescent="0.25">
      <c r="A1151">
        <v>345</v>
      </c>
      <c r="B1151">
        <v>2</v>
      </c>
      <c r="C1151">
        <v>3301</v>
      </c>
      <c r="D1151" t="s">
        <v>6549</v>
      </c>
      <c r="E1151" t="s">
        <v>121</v>
      </c>
      <c r="F1151" t="s">
        <v>6550</v>
      </c>
      <c r="G1151" t="s">
        <v>6551</v>
      </c>
      <c r="H1151" t="s">
        <v>6552</v>
      </c>
      <c r="I1151" t="s">
        <v>6553</v>
      </c>
      <c r="J1151" t="s">
        <v>4569</v>
      </c>
      <c r="K1151" t="s">
        <v>466</v>
      </c>
      <c r="L1151" t="s">
        <v>128</v>
      </c>
      <c r="M1151" t="s">
        <v>467</v>
      </c>
      <c r="N1151" t="s">
        <v>6327</v>
      </c>
      <c r="O1151" t="s">
        <v>167</v>
      </c>
      <c r="P1151">
        <v>0</v>
      </c>
      <c r="Q1151" t="s">
        <v>125</v>
      </c>
      <c r="R1151">
        <v>4</v>
      </c>
      <c r="S1151">
        <v>81</v>
      </c>
      <c r="T1151" t="s">
        <v>132</v>
      </c>
      <c r="U1151" t="s">
        <v>133</v>
      </c>
      <c r="V1151" s="1">
        <v>1800</v>
      </c>
      <c r="W1151">
        <v>0</v>
      </c>
      <c r="X1151" s="1">
        <v>1800</v>
      </c>
      <c r="Y1151">
        <v>7</v>
      </c>
      <c r="Z1151">
        <v>0</v>
      </c>
      <c r="AA1151">
        <v>7</v>
      </c>
      <c r="AB1151">
        <v>0</v>
      </c>
      <c r="AC1151">
        <v>0</v>
      </c>
      <c r="AD1151" t="s">
        <v>134</v>
      </c>
      <c r="AE1151" t="s">
        <v>134</v>
      </c>
      <c r="AF1151" s="2">
        <v>45729</v>
      </c>
      <c r="AG1151" s="2">
        <v>45943</v>
      </c>
      <c r="AH1151">
        <v>259.89</v>
      </c>
      <c r="AI1151">
        <v>269.39999999999998</v>
      </c>
      <c r="AJ1151">
        <v>519.78</v>
      </c>
      <c r="AK1151">
        <v>0</v>
      </c>
      <c r="AL1151">
        <v>0</v>
      </c>
      <c r="AM1151">
        <v>0</v>
      </c>
      <c r="AN1151" t="s">
        <v>135</v>
      </c>
      <c r="AO1151" t="s">
        <v>135</v>
      </c>
      <c r="AP1151" t="s">
        <v>136</v>
      </c>
      <c r="AQ1151" t="s">
        <v>137</v>
      </c>
      <c r="AR1151" t="s">
        <v>138</v>
      </c>
      <c r="AS1151" t="s">
        <v>139</v>
      </c>
      <c r="AT1151" t="s">
        <v>140</v>
      </c>
      <c r="AU1151">
        <v>500</v>
      </c>
      <c r="AV1151">
        <v>10</v>
      </c>
      <c r="AW1151">
        <v>1</v>
      </c>
      <c r="AX1151" s="2">
        <v>45843</v>
      </c>
      <c r="AY1151" t="s">
        <v>160</v>
      </c>
      <c r="AZ1151" s="2">
        <v>46025</v>
      </c>
      <c r="BA1151">
        <v>0</v>
      </c>
      <c r="BB1151">
        <v>0</v>
      </c>
      <c r="BC1151">
        <v>0</v>
      </c>
      <c r="BD1151">
        <v>700</v>
      </c>
      <c r="BE1151">
        <v>70</v>
      </c>
      <c r="BF1151">
        <v>9</v>
      </c>
      <c r="BG1151" s="2">
        <v>45809</v>
      </c>
      <c r="BH1151" t="s">
        <v>142</v>
      </c>
      <c r="BI1151" s="2">
        <v>46026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 s="1">
        <v>1045.21</v>
      </c>
      <c r="CC1151" t="s">
        <v>161</v>
      </c>
    </row>
    <row r="1152" spans="1:81" x14ac:dyDescent="0.25">
      <c r="A1152">
        <v>345</v>
      </c>
      <c r="B1152">
        <v>2</v>
      </c>
      <c r="C1152">
        <v>3302</v>
      </c>
      <c r="D1152" t="s">
        <v>6554</v>
      </c>
      <c r="E1152" t="s">
        <v>121</v>
      </c>
      <c r="F1152" t="s">
        <v>6555</v>
      </c>
      <c r="G1152" t="s">
        <v>6556</v>
      </c>
      <c r="H1152" t="s">
        <v>6557</v>
      </c>
      <c r="I1152" t="s">
        <v>6558</v>
      </c>
      <c r="J1152" t="s">
        <v>126</v>
      </c>
      <c r="K1152" t="s">
        <v>1853</v>
      </c>
      <c r="L1152" t="s">
        <v>128</v>
      </c>
      <c r="M1152" t="s">
        <v>1854</v>
      </c>
      <c r="N1152" t="s">
        <v>6559</v>
      </c>
      <c r="O1152" t="s">
        <v>167</v>
      </c>
      <c r="P1152">
        <v>0</v>
      </c>
      <c r="Q1152" t="s">
        <v>125</v>
      </c>
      <c r="R1152">
        <v>4</v>
      </c>
      <c r="S1152">
        <v>75</v>
      </c>
      <c r="T1152" t="s">
        <v>132</v>
      </c>
      <c r="U1152" t="s">
        <v>133</v>
      </c>
      <c r="V1152" s="1">
        <v>1023</v>
      </c>
      <c r="W1152">
        <v>534.71</v>
      </c>
      <c r="X1152">
        <v>488.29</v>
      </c>
      <c r="Y1152">
        <v>7</v>
      </c>
      <c r="Z1152">
        <v>0</v>
      </c>
      <c r="AA1152">
        <v>9</v>
      </c>
      <c r="AB1152">
        <v>1</v>
      </c>
      <c r="AC1152">
        <v>14</v>
      </c>
      <c r="AD1152" t="s">
        <v>134</v>
      </c>
      <c r="AE1152" t="s">
        <v>134</v>
      </c>
      <c r="AF1152" s="2">
        <v>45729</v>
      </c>
      <c r="AG1152" s="2">
        <v>46018</v>
      </c>
      <c r="AH1152">
        <v>498.51</v>
      </c>
      <c r="AI1152">
        <v>534.71</v>
      </c>
      <c r="AJ1152" s="1">
        <v>1495.53</v>
      </c>
      <c r="AK1152">
        <v>0</v>
      </c>
      <c r="AL1152">
        <v>534.71</v>
      </c>
      <c r="AM1152">
        <v>0</v>
      </c>
      <c r="AN1152" t="s">
        <v>135</v>
      </c>
      <c r="AO1152" t="s">
        <v>135</v>
      </c>
      <c r="AP1152" t="s">
        <v>136</v>
      </c>
      <c r="AQ1152" t="s">
        <v>137</v>
      </c>
      <c r="AR1152" t="s">
        <v>138</v>
      </c>
      <c r="AS1152" t="s">
        <v>150</v>
      </c>
      <c r="AT1152" t="s">
        <v>140</v>
      </c>
      <c r="AU1152">
        <v>103</v>
      </c>
      <c r="AV1152">
        <v>10</v>
      </c>
      <c r="AW1152">
        <v>1</v>
      </c>
      <c r="AX1152" s="2">
        <v>45813</v>
      </c>
      <c r="AY1152" t="s">
        <v>308</v>
      </c>
      <c r="AZ1152" s="2">
        <v>46023</v>
      </c>
      <c r="BA1152">
        <v>0</v>
      </c>
      <c r="BB1152">
        <v>0</v>
      </c>
      <c r="BC1152">
        <v>0</v>
      </c>
      <c r="BD1152">
        <v>700</v>
      </c>
      <c r="BE1152">
        <v>70</v>
      </c>
      <c r="BF1152">
        <v>9</v>
      </c>
      <c r="BG1152" s="2">
        <v>45809</v>
      </c>
      <c r="BH1152" t="s">
        <v>142</v>
      </c>
      <c r="BI1152" s="2">
        <v>46026</v>
      </c>
      <c r="BJ1152">
        <v>0</v>
      </c>
      <c r="BK1152">
        <v>0</v>
      </c>
      <c r="BL1152">
        <v>0</v>
      </c>
      <c r="BM1152">
        <v>9</v>
      </c>
      <c r="BN1152">
        <v>9</v>
      </c>
      <c r="BO1152">
        <v>453.47</v>
      </c>
      <c r="BP1152">
        <v>0</v>
      </c>
      <c r="BQ1152">
        <v>453.47</v>
      </c>
      <c r="BR1152">
        <v>0</v>
      </c>
      <c r="BS1152">
        <v>6</v>
      </c>
      <c r="BT1152">
        <v>6</v>
      </c>
      <c r="BU1152">
        <v>534.71</v>
      </c>
      <c r="BV1152">
        <v>0</v>
      </c>
      <c r="BW1152">
        <v>534.71</v>
      </c>
      <c r="BX1152">
        <v>534.71</v>
      </c>
      <c r="BY1152">
        <v>100</v>
      </c>
      <c r="BZ1152">
        <v>0</v>
      </c>
      <c r="CA1152">
        <v>0</v>
      </c>
      <c r="CB1152">
        <v>568.79</v>
      </c>
      <c r="CC1152" t="s">
        <v>161</v>
      </c>
    </row>
    <row r="1153" spans="1:81" x14ac:dyDescent="0.25">
      <c r="A1153">
        <v>345</v>
      </c>
      <c r="B1153">
        <v>2</v>
      </c>
      <c r="C1153">
        <v>3303</v>
      </c>
      <c r="D1153" t="s">
        <v>6560</v>
      </c>
      <c r="E1153" t="s">
        <v>121</v>
      </c>
      <c r="F1153" t="s">
        <v>6561</v>
      </c>
      <c r="G1153" t="s">
        <v>6562</v>
      </c>
      <c r="H1153" t="s">
        <v>6563</v>
      </c>
      <c r="I1153" t="s">
        <v>6564</v>
      </c>
      <c r="J1153" t="s">
        <v>126</v>
      </c>
      <c r="K1153" t="s">
        <v>336</v>
      </c>
      <c r="L1153" t="s">
        <v>128</v>
      </c>
      <c r="M1153" t="s">
        <v>337</v>
      </c>
      <c r="N1153" t="s">
        <v>6565</v>
      </c>
      <c r="O1153" t="s">
        <v>3115</v>
      </c>
      <c r="P1153">
        <v>0</v>
      </c>
      <c r="Q1153" t="s">
        <v>125</v>
      </c>
      <c r="R1153">
        <v>4</v>
      </c>
      <c r="S1153">
        <v>81</v>
      </c>
      <c r="T1153" t="s">
        <v>132</v>
      </c>
      <c r="U1153" t="s">
        <v>133</v>
      </c>
      <c r="V1153" s="1">
        <v>3000</v>
      </c>
      <c r="W1153">
        <v>0</v>
      </c>
      <c r="X1153" s="1">
        <v>3000</v>
      </c>
      <c r="Y1153">
        <v>7</v>
      </c>
      <c r="Z1153">
        <v>0</v>
      </c>
      <c r="AA1153">
        <v>7</v>
      </c>
      <c r="AB1153">
        <v>0</v>
      </c>
      <c r="AC1153">
        <v>0</v>
      </c>
      <c r="AD1153" t="s">
        <v>134</v>
      </c>
      <c r="AE1153" t="s">
        <v>134</v>
      </c>
      <c r="AF1153" s="2">
        <v>45729</v>
      </c>
      <c r="AG1153" s="2">
        <v>46008</v>
      </c>
      <c r="AH1153">
        <v>667.02</v>
      </c>
      <c r="AI1153" s="1">
        <v>1050.01</v>
      </c>
      <c r="AJ1153" s="1">
        <v>3335.11</v>
      </c>
      <c r="AK1153">
        <v>0</v>
      </c>
      <c r="AL1153">
        <v>0</v>
      </c>
      <c r="AM1153">
        <v>0</v>
      </c>
      <c r="AN1153" t="s">
        <v>135</v>
      </c>
      <c r="AO1153" t="s">
        <v>135</v>
      </c>
      <c r="AP1153" t="s">
        <v>136</v>
      </c>
      <c r="AQ1153" t="s">
        <v>137</v>
      </c>
      <c r="AR1153" t="s">
        <v>138</v>
      </c>
      <c r="AS1153" t="s">
        <v>150</v>
      </c>
      <c r="AT1153" t="s">
        <v>140</v>
      </c>
      <c r="AU1153">
        <v>501</v>
      </c>
      <c r="AV1153">
        <v>10</v>
      </c>
      <c r="AW1153">
        <v>1</v>
      </c>
      <c r="AX1153" s="2">
        <v>45930</v>
      </c>
      <c r="AY1153" t="s">
        <v>377</v>
      </c>
      <c r="AZ1153" s="2">
        <v>46028</v>
      </c>
      <c r="BA1153">
        <v>0</v>
      </c>
      <c r="BB1153">
        <v>0</v>
      </c>
      <c r="BC1153">
        <v>0</v>
      </c>
      <c r="BD1153">
        <v>999</v>
      </c>
      <c r="BE1153">
        <v>99</v>
      </c>
      <c r="BF1153">
        <v>9</v>
      </c>
      <c r="BG1153" t="s">
        <v>135</v>
      </c>
      <c r="BH1153" t="s">
        <v>250</v>
      </c>
      <c r="BI1153" t="s">
        <v>135</v>
      </c>
      <c r="BJ1153">
        <v>0</v>
      </c>
      <c r="BK1153">
        <v>0</v>
      </c>
      <c r="BL1153">
        <v>0</v>
      </c>
      <c r="BM1153">
        <v>7</v>
      </c>
      <c r="BN1153">
        <v>7</v>
      </c>
      <c r="BO1153" s="1">
        <v>1050.01</v>
      </c>
      <c r="BP1153">
        <v>0</v>
      </c>
      <c r="BQ1153" s="1">
        <v>1050.01</v>
      </c>
      <c r="BR1153">
        <v>0</v>
      </c>
      <c r="BS1153">
        <v>7</v>
      </c>
      <c r="BT1153">
        <v>7</v>
      </c>
      <c r="BU1153" s="1">
        <v>1050.01</v>
      </c>
      <c r="BV1153">
        <v>0</v>
      </c>
      <c r="BW1153" s="1">
        <v>1050.01</v>
      </c>
      <c r="BX1153">
        <v>0</v>
      </c>
      <c r="BY1153">
        <v>0</v>
      </c>
      <c r="BZ1153">
        <v>0</v>
      </c>
      <c r="CA1153">
        <v>0</v>
      </c>
      <c r="CB1153">
        <v>761.7</v>
      </c>
      <c r="CC1153" t="s">
        <v>152</v>
      </c>
    </row>
    <row r="1154" spans="1:81" x14ac:dyDescent="0.25">
      <c r="A1154">
        <v>345</v>
      </c>
      <c r="B1154">
        <v>2</v>
      </c>
      <c r="C1154">
        <v>3304</v>
      </c>
      <c r="D1154" t="s">
        <v>6566</v>
      </c>
      <c r="E1154" t="s">
        <v>121</v>
      </c>
      <c r="F1154" t="s">
        <v>6567</v>
      </c>
      <c r="G1154" t="s">
        <v>6568</v>
      </c>
      <c r="H1154" t="s">
        <v>3310</v>
      </c>
      <c r="I1154" t="s">
        <v>6569</v>
      </c>
      <c r="J1154" t="s">
        <v>3311</v>
      </c>
      <c r="K1154" t="s">
        <v>466</v>
      </c>
      <c r="L1154" t="s">
        <v>128</v>
      </c>
      <c r="M1154" t="s">
        <v>3926</v>
      </c>
      <c r="N1154" t="s">
        <v>6570</v>
      </c>
      <c r="O1154" t="s">
        <v>201</v>
      </c>
      <c r="P1154">
        <v>0</v>
      </c>
      <c r="Q1154" t="s">
        <v>125</v>
      </c>
      <c r="R1154">
        <v>3</v>
      </c>
      <c r="S1154">
        <v>86</v>
      </c>
      <c r="T1154" t="s">
        <v>132</v>
      </c>
      <c r="U1154" t="s">
        <v>133</v>
      </c>
      <c r="V1154" s="1">
        <v>1000</v>
      </c>
      <c r="W1154">
        <v>0</v>
      </c>
      <c r="X1154" s="1">
        <v>1000</v>
      </c>
      <c r="Y1154">
        <v>7</v>
      </c>
      <c r="Z1154">
        <v>0</v>
      </c>
      <c r="AA1154">
        <v>0</v>
      </c>
      <c r="AB1154">
        <v>0</v>
      </c>
      <c r="AC1154">
        <v>0</v>
      </c>
      <c r="AD1154" t="s">
        <v>134</v>
      </c>
      <c r="AE1154" t="s">
        <v>134</v>
      </c>
      <c r="AF1154" s="2">
        <v>45730</v>
      </c>
      <c r="AG1154" s="2">
        <v>45974</v>
      </c>
      <c r="AH1154">
        <v>76.11</v>
      </c>
      <c r="AI1154">
        <v>80.64</v>
      </c>
      <c r="AJ1154">
        <v>152.22</v>
      </c>
      <c r="AK1154">
        <v>0</v>
      </c>
      <c r="AL1154">
        <v>0</v>
      </c>
      <c r="AM1154">
        <v>0</v>
      </c>
      <c r="AN1154" t="s">
        <v>135</v>
      </c>
      <c r="AO1154" t="s">
        <v>135</v>
      </c>
      <c r="AP1154" t="s">
        <v>136</v>
      </c>
      <c r="AQ1154" t="s">
        <v>137</v>
      </c>
      <c r="AR1154" t="s">
        <v>138</v>
      </c>
      <c r="AS1154" t="s">
        <v>139</v>
      </c>
      <c r="AT1154" t="s">
        <v>140</v>
      </c>
      <c r="AU1154">
        <v>100</v>
      </c>
      <c r="AV1154">
        <v>10</v>
      </c>
      <c r="AW1154">
        <v>1</v>
      </c>
      <c r="AX1154" s="2">
        <v>45812</v>
      </c>
      <c r="AY1154" t="s">
        <v>168</v>
      </c>
      <c r="AZ1154" s="2">
        <v>46022</v>
      </c>
      <c r="BA1154">
        <v>0</v>
      </c>
      <c r="BB1154">
        <v>0</v>
      </c>
      <c r="BC1154">
        <v>0</v>
      </c>
      <c r="BD1154">
        <v>700</v>
      </c>
      <c r="BE1154">
        <v>70</v>
      </c>
      <c r="BF1154">
        <v>9</v>
      </c>
      <c r="BG1154" s="2">
        <v>45809</v>
      </c>
      <c r="BH1154" t="s">
        <v>142</v>
      </c>
      <c r="BI1154" s="2">
        <v>46026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80.64</v>
      </c>
      <c r="BQ1154">
        <v>80.64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100.25</v>
      </c>
      <c r="CC1154" t="s">
        <v>161</v>
      </c>
    </row>
    <row r="1155" spans="1:81" x14ac:dyDescent="0.25">
      <c r="A1155">
        <v>345</v>
      </c>
      <c r="B1155">
        <v>2</v>
      </c>
      <c r="C1155">
        <v>3305</v>
      </c>
      <c r="D1155" t="s">
        <v>6571</v>
      </c>
      <c r="E1155" t="s">
        <v>121</v>
      </c>
      <c r="F1155" t="s">
        <v>6572</v>
      </c>
      <c r="G1155" t="s">
        <v>6573</v>
      </c>
      <c r="H1155" t="s">
        <v>6574</v>
      </c>
      <c r="I1155" t="s">
        <v>6575</v>
      </c>
      <c r="J1155" t="s">
        <v>1217</v>
      </c>
      <c r="K1155" t="s">
        <v>4248</v>
      </c>
      <c r="L1155" t="s">
        <v>128</v>
      </c>
      <c r="M1155" t="s">
        <v>1325</v>
      </c>
      <c r="N1155" t="s">
        <v>6576</v>
      </c>
      <c r="O1155" t="s">
        <v>201</v>
      </c>
      <c r="P1155">
        <v>0</v>
      </c>
      <c r="Q1155" t="s">
        <v>125</v>
      </c>
      <c r="R1155">
        <v>5</v>
      </c>
      <c r="S1155">
        <v>69</v>
      </c>
      <c r="T1155" t="s">
        <v>132</v>
      </c>
      <c r="U1155" t="s">
        <v>133</v>
      </c>
      <c r="V1155" s="1">
        <v>1000</v>
      </c>
      <c r="W1155">
        <v>0</v>
      </c>
      <c r="X1155" s="1">
        <v>1000</v>
      </c>
      <c r="Y1155">
        <v>7</v>
      </c>
      <c r="Z1155">
        <v>0</v>
      </c>
      <c r="AA1155">
        <v>9</v>
      </c>
      <c r="AB1155">
        <v>4</v>
      </c>
      <c r="AC1155">
        <v>50</v>
      </c>
      <c r="AD1155" t="s">
        <v>134</v>
      </c>
      <c r="AE1155" t="s">
        <v>134</v>
      </c>
      <c r="AF1155" s="2">
        <v>45730</v>
      </c>
      <c r="AG1155" s="2">
        <v>46008</v>
      </c>
      <c r="AH1155">
        <v>196.17</v>
      </c>
      <c r="AI1155">
        <v>276.04000000000002</v>
      </c>
      <c r="AJ1155">
        <v>588.52</v>
      </c>
      <c r="AK1155">
        <v>0</v>
      </c>
      <c r="AL1155">
        <v>0</v>
      </c>
      <c r="AM1155">
        <v>0</v>
      </c>
      <c r="AN1155" t="s">
        <v>135</v>
      </c>
      <c r="AO1155" t="s">
        <v>135</v>
      </c>
      <c r="AP1155" t="s">
        <v>136</v>
      </c>
      <c r="AQ1155" t="s">
        <v>137</v>
      </c>
      <c r="AR1155" t="s">
        <v>138</v>
      </c>
      <c r="AS1155" t="s">
        <v>139</v>
      </c>
      <c r="AT1155" t="s">
        <v>140</v>
      </c>
      <c r="AU1155">
        <v>104</v>
      </c>
      <c r="AV1155">
        <v>10</v>
      </c>
      <c r="AW1155">
        <v>1</v>
      </c>
      <c r="AX1155" s="2">
        <v>45972</v>
      </c>
      <c r="AY1155" t="s">
        <v>377</v>
      </c>
      <c r="AZ1155" s="2">
        <v>46028</v>
      </c>
      <c r="BA1155">
        <v>0</v>
      </c>
      <c r="BB1155">
        <v>0</v>
      </c>
      <c r="BC1155">
        <v>0</v>
      </c>
      <c r="BD1155">
        <v>700</v>
      </c>
      <c r="BE1155">
        <v>70</v>
      </c>
      <c r="BF1155">
        <v>9</v>
      </c>
      <c r="BG1155" s="2">
        <v>45809</v>
      </c>
      <c r="BH1155" t="s">
        <v>142</v>
      </c>
      <c r="BI1155" s="2">
        <v>46026</v>
      </c>
      <c r="BJ1155">
        <v>0</v>
      </c>
      <c r="BK1155">
        <v>0</v>
      </c>
      <c r="BL1155">
        <v>0</v>
      </c>
      <c r="BM1155">
        <v>9</v>
      </c>
      <c r="BN1155">
        <v>9</v>
      </c>
      <c r="BO1155">
        <v>135.13</v>
      </c>
      <c r="BP1155">
        <v>0</v>
      </c>
      <c r="BQ1155">
        <v>135.13</v>
      </c>
      <c r="BR1155">
        <v>0</v>
      </c>
      <c r="BS1155">
        <v>7</v>
      </c>
      <c r="BT1155">
        <v>7</v>
      </c>
      <c r="BU1155">
        <v>276.04000000000002</v>
      </c>
      <c r="BV1155">
        <v>0</v>
      </c>
      <c r="BW1155">
        <v>276.04000000000002</v>
      </c>
      <c r="BX1155">
        <v>0</v>
      </c>
      <c r="BY1155">
        <v>0</v>
      </c>
      <c r="BZ1155">
        <v>0</v>
      </c>
      <c r="CA1155">
        <v>0</v>
      </c>
      <c r="CB1155">
        <v>160.11000000000001</v>
      </c>
      <c r="CC1155" t="s">
        <v>161</v>
      </c>
    </row>
    <row r="1156" spans="1:81" x14ac:dyDescent="0.25">
      <c r="A1156">
        <v>345</v>
      </c>
      <c r="B1156">
        <v>2</v>
      </c>
      <c r="C1156">
        <v>3306</v>
      </c>
      <c r="D1156" t="s">
        <v>6577</v>
      </c>
      <c r="E1156" t="s">
        <v>121</v>
      </c>
      <c r="F1156" t="s">
        <v>6578</v>
      </c>
      <c r="G1156" t="s">
        <v>6579</v>
      </c>
      <c r="H1156" t="s">
        <v>6580</v>
      </c>
      <c r="I1156" t="s">
        <v>6581</v>
      </c>
      <c r="J1156" t="s">
        <v>4569</v>
      </c>
      <c r="K1156" t="s">
        <v>336</v>
      </c>
      <c r="L1156" t="s">
        <v>128</v>
      </c>
      <c r="M1156" t="s">
        <v>337</v>
      </c>
      <c r="N1156" t="s">
        <v>6582</v>
      </c>
      <c r="O1156" t="s">
        <v>167</v>
      </c>
      <c r="P1156">
        <v>0</v>
      </c>
      <c r="Q1156" t="s">
        <v>125</v>
      </c>
      <c r="R1156">
        <v>4</v>
      </c>
      <c r="S1156">
        <v>81</v>
      </c>
      <c r="T1156" t="s">
        <v>132</v>
      </c>
      <c r="U1156" t="s">
        <v>133</v>
      </c>
      <c r="V1156" s="1">
        <v>1000</v>
      </c>
      <c r="W1156">
        <v>0</v>
      </c>
      <c r="X1156" s="1">
        <v>1000</v>
      </c>
      <c r="Y1156">
        <v>7</v>
      </c>
      <c r="Z1156">
        <v>0</v>
      </c>
      <c r="AA1156">
        <v>0</v>
      </c>
      <c r="AB1156">
        <v>0</v>
      </c>
      <c r="AC1156">
        <v>0</v>
      </c>
      <c r="AD1156" t="s">
        <v>134</v>
      </c>
      <c r="AE1156" t="s">
        <v>134</v>
      </c>
      <c r="AF1156" s="2">
        <v>45730</v>
      </c>
      <c r="AG1156" s="2">
        <v>46004</v>
      </c>
      <c r="AH1156">
        <v>283.11</v>
      </c>
      <c r="AI1156">
        <v>362.77</v>
      </c>
      <c r="AJ1156" s="1">
        <v>1132.47</v>
      </c>
      <c r="AK1156">
        <v>0</v>
      </c>
      <c r="AL1156">
        <v>0</v>
      </c>
      <c r="AM1156">
        <v>0</v>
      </c>
      <c r="AN1156" t="s">
        <v>135</v>
      </c>
      <c r="AO1156" t="s">
        <v>135</v>
      </c>
      <c r="AP1156" t="s">
        <v>136</v>
      </c>
      <c r="AQ1156" t="s">
        <v>137</v>
      </c>
      <c r="AR1156" t="s">
        <v>138</v>
      </c>
      <c r="AS1156" t="s">
        <v>139</v>
      </c>
      <c r="AT1156" t="s">
        <v>140</v>
      </c>
      <c r="AU1156">
        <v>101</v>
      </c>
      <c r="AV1156">
        <v>10</v>
      </c>
      <c r="AW1156">
        <v>1</v>
      </c>
      <c r="AX1156" s="2">
        <v>45730</v>
      </c>
      <c r="AY1156" t="s">
        <v>151</v>
      </c>
      <c r="AZ1156" s="2">
        <v>46024</v>
      </c>
      <c r="BA1156">
        <v>0</v>
      </c>
      <c r="BB1156">
        <v>0</v>
      </c>
      <c r="BC1156">
        <v>0</v>
      </c>
      <c r="BD1156">
        <v>700</v>
      </c>
      <c r="BE1156">
        <v>70</v>
      </c>
      <c r="BF1156">
        <v>9</v>
      </c>
      <c r="BG1156" s="2">
        <v>45809</v>
      </c>
      <c r="BH1156" t="s">
        <v>142</v>
      </c>
      <c r="BI1156" s="2">
        <v>46026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470.11</v>
      </c>
      <c r="BQ1156">
        <v>470.11</v>
      </c>
      <c r="BR1156">
        <v>0</v>
      </c>
      <c r="BS1156">
        <v>0</v>
      </c>
      <c r="BT1156">
        <v>0</v>
      </c>
      <c r="BU1156">
        <v>0</v>
      </c>
      <c r="BV1156">
        <v>362.77</v>
      </c>
      <c r="BW1156">
        <v>362.77</v>
      </c>
      <c r="BX1156">
        <v>0</v>
      </c>
      <c r="BY1156">
        <v>0</v>
      </c>
      <c r="BZ1156">
        <v>0</v>
      </c>
      <c r="CA1156">
        <v>0</v>
      </c>
      <c r="CB1156">
        <v>299.17</v>
      </c>
      <c r="CC1156" t="s">
        <v>161</v>
      </c>
    </row>
    <row r="1157" spans="1:81" x14ac:dyDescent="0.25">
      <c r="A1157">
        <v>345</v>
      </c>
      <c r="B1157">
        <v>2</v>
      </c>
      <c r="C1157">
        <v>3307</v>
      </c>
      <c r="D1157" t="s">
        <v>6583</v>
      </c>
      <c r="E1157" t="s">
        <v>121</v>
      </c>
      <c r="F1157" t="s">
        <v>6584</v>
      </c>
      <c r="G1157" t="s">
        <v>6585</v>
      </c>
      <c r="H1157" t="s">
        <v>6586</v>
      </c>
      <c r="I1157" t="s">
        <v>6587</v>
      </c>
      <c r="J1157" t="s">
        <v>565</v>
      </c>
      <c r="K1157" t="s">
        <v>336</v>
      </c>
      <c r="L1157" t="s">
        <v>128</v>
      </c>
      <c r="M1157" t="s">
        <v>337</v>
      </c>
      <c r="N1157" t="s">
        <v>6588</v>
      </c>
      <c r="O1157" t="s">
        <v>159</v>
      </c>
      <c r="P1157">
        <v>0</v>
      </c>
      <c r="Q1157" t="s">
        <v>125</v>
      </c>
      <c r="R1157">
        <v>3</v>
      </c>
      <c r="S1157">
        <v>82</v>
      </c>
      <c r="T1157" t="s">
        <v>132</v>
      </c>
      <c r="U1157" t="s">
        <v>133</v>
      </c>
      <c r="V1157" s="1">
        <v>1000</v>
      </c>
      <c r="W1157">
        <v>0</v>
      </c>
      <c r="X1157" s="1">
        <v>1000</v>
      </c>
      <c r="Y1157">
        <v>7</v>
      </c>
      <c r="Z1157">
        <v>0</v>
      </c>
      <c r="AA1157">
        <v>7</v>
      </c>
      <c r="AB1157">
        <v>0</v>
      </c>
      <c r="AC1157">
        <v>0</v>
      </c>
      <c r="AD1157" t="s">
        <v>134</v>
      </c>
      <c r="AE1157" t="s">
        <v>134</v>
      </c>
      <c r="AF1157" s="2">
        <v>45733</v>
      </c>
      <c r="AG1157" s="2">
        <v>46014</v>
      </c>
      <c r="AH1157">
        <v>414.76</v>
      </c>
      <c r="AI1157">
        <v>520.5</v>
      </c>
      <c r="AJ1157" s="1">
        <v>2903.33</v>
      </c>
      <c r="AK1157">
        <v>0</v>
      </c>
      <c r="AL1157">
        <v>0</v>
      </c>
      <c r="AM1157">
        <v>0</v>
      </c>
      <c r="AN1157" t="s">
        <v>135</v>
      </c>
      <c r="AO1157" t="s">
        <v>135</v>
      </c>
      <c r="AP1157" t="s">
        <v>136</v>
      </c>
      <c r="AQ1157" t="s">
        <v>137</v>
      </c>
      <c r="AR1157" t="s">
        <v>138</v>
      </c>
      <c r="AS1157" t="s">
        <v>139</v>
      </c>
      <c r="AT1157" t="s">
        <v>140</v>
      </c>
      <c r="AU1157">
        <v>104</v>
      </c>
      <c r="AV1157">
        <v>10</v>
      </c>
      <c r="AW1157">
        <v>1</v>
      </c>
      <c r="AX1157" s="2">
        <v>45733</v>
      </c>
      <c r="AY1157" t="s">
        <v>141</v>
      </c>
      <c r="AZ1157" s="2">
        <v>46027</v>
      </c>
      <c r="BA1157">
        <v>0</v>
      </c>
      <c r="BB1157">
        <v>0</v>
      </c>
      <c r="BC1157">
        <v>0</v>
      </c>
      <c r="BD1157">
        <v>700</v>
      </c>
      <c r="BE1157">
        <v>70</v>
      </c>
      <c r="BF1157">
        <v>9</v>
      </c>
      <c r="BG1157" s="2">
        <v>45809</v>
      </c>
      <c r="BH1157" t="s">
        <v>142</v>
      </c>
      <c r="BI1157" s="2">
        <v>46026</v>
      </c>
      <c r="BJ1157">
        <v>0</v>
      </c>
      <c r="BK1157">
        <v>0</v>
      </c>
      <c r="BL1157">
        <v>0</v>
      </c>
      <c r="BM1157">
        <v>7</v>
      </c>
      <c r="BN1157">
        <v>7</v>
      </c>
      <c r="BO1157">
        <v>804.05</v>
      </c>
      <c r="BP1157">
        <v>0</v>
      </c>
      <c r="BQ1157">
        <v>804.05</v>
      </c>
      <c r="BR1157">
        <v>520.5</v>
      </c>
      <c r="BS1157">
        <v>7</v>
      </c>
      <c r="BT1157">
        <v>7</v>
      </c>
      <c r="BU1157" s="1">
        <v>1333.71</v>
      </c>
      <c r="BV1157">
        <v>0</v>
      </c>
      <c r="BW1157" s="1">
        <v>1333.71</v>
      </c>
      <c r="BX1157">
        <v>0</v>
      </c>
      <c r="BY1157">
        <v>0</v>
      </c>
      <c r="BZ1157">
        <v>0</v>
      </c>
      <c r="CA1157">
        <v>0</v>
      </c>
      <c r="CB1157">
        <v>930.96</v>
      </c>
      <c r="CC1157" t="s">
        <v>161</v>
      </c>
    </row>
    <row r="1158" spans="1:81" x14ac:dyDescent="0.25">
      <c r="A1158">
        <v>345</v>
      </c>
      <c r="B1158">
        <v>2</v>
      </c>
      <c r="C1158">
        <v>3309</v>
      </c>
      <c r="D1158" t="s">
        <v>6589</v>
      </c>
      <c r="E1158" t="s">
        <v>5780</v>
      </c>
      <c r="F1158" t="s">
        <v>6590</v>
      </c>
      <c r="G1158" t="s">
        <v>6591</v>
      </c>
      <c r="H1158" t="s">
        <v>6592</v>
      </c>
      <c r="I1158" t="s">
        <v>6593</v>
      </c>
      <c r="J1158" t="s">
        <v>3174</v>
      </c>
      <c r="K1158" t="s">
        <v>1853</v>
      </c>
      <c r="L1158" t="s">
        <v>128</v>
      </c>
      <c r="M1158" t="s">
        <v>1854</v>
      </c>
      <c r="N1158" t="s">
        <v>6594</v>
      </c>
      <c r="O1158" t="s">
        <v>159</v>
      </c>
      <c r="P1158">
        <v>0</v>
      </c>
      <c r="Q1158" t="s">
        <v>125</v>
      </c>
      <c r="R1158">
        <v>4</v>
      </c>
      <c r="S1158">
        <v>80</v>
      </c>
      <c r="T1158" t="s">
        <v>132</v>
      </c>
      <c r="U1158" t="s">
        <v>133</v>
      </c>
      <c r="V1158" s="1">
        <v>1800</v>
      </c>
      <c r="W1158" s="1">
        <v>1182.24</v>
      </c>
      <c r="X1158">
        <v>617.76</v>
      </c>
      <c r="Y1158">
        <v>7</v>
      </c>
      <c r="Z1158">
        <v>0</v>
      </c>
      <c r="AA1158">
        <v>7</v>
      </c>
      <c r="AB1158">
        <v>0</v>
      </c>
      <c r="AC1158">
        <v>5</v>
      </c>
      <c r="AD1158" t="s">
        <v>134</v>
      </c>
      <c r="AE1158" t="s">
        <v>234</v>
      </c>
      <c r="AF1158" s="2">
        <v>45737</v>
      </c>
      <c r="AG1158" s="2">
        <v>46015</v>
      </c>
      <c r="AH1158">
        <v>918.2</v>
      </c>
      <c r="AI1158" s="1">
        <v>1767</v>
      </c>
      <c r="AJ1158" s="1">
        <v>9182.06</v>
      </c>
      <c r="AK1158">
        <v>0</v>
      </c>
      <c r="AL1158" s="1">
        <v>1182.24</v>
      </c>
      <c r="AM1158">
        <v>73.2</v>
      </c>
      <c r="AN1158" t="s">
        <v>135</v>
      </c>
      <c r="AO1158" t="s">
        <v>135</v>
      </c>
      <c r="AP1158" t="s">
        <v>136</v>
      </c>
      <c r="AQ1158" t="s">
        <v>137</v>
      </c>
      <c r="AR1158" t="s">
        <v>138</v>
      </c>
      <c r="AS1158" t="s">
        <v>150</v>
      </c>
      <c r="AT1158" t="s">
        <v>140</v>
      </c>
      <c r="AU1158">
        <v>106</v>
      </c>
      <c r="AV1158">
        <v>10</v>
      </c>
      <c r="AW1158">
        <v>1</v>
      </c>
      <c r="AX1158" s="2">
        <v>45811</v>
      </c>
      <c r="AY1158" t="s">
        <v>377</v>
      </c>
      <c r="AZ1158" s="2">
        <v>46028</v>
      </c>
      <c r="BA1158">
        <v>0</v>
      </c>
      <c r="BB1158">
        <v>0</v>
      </c>
      <c r="BC1158">
        <v>0</v>
      </c>
      <c r="BD1158">
        <v>700</v>
      </c>
      <c r="BE1158">
        <v>70</v>
      </c>
      <c r="BF1158">
        <v>9</v>
      </c>
      <c r="BG1158" s="2">
        <v>45809</v>
      </c>
      <c r="BH1158" t="s">
        <v>142</v>
      </c>
      <c r="BI1158" s="2">
        <v>46026</v>
      </c>
      <c r="BJ1158">
        <v>0</v>
      </c>
      <c r="BK1158">
        <v>0</v>
      </c>
      <c r="BL1158">
        <v>0</v>
      </c>
      <c r="BM1158">
        <v>7</v>
      </c>
      <c r="BN1158">
        <v>3.05</v>
      </c>
      <c r="BO1158" s="1">
        <v>1758.82</v>
      </c>
      <c r="BP1158" s="1">
        <v>2281.56</v>
      </c>
      <c r="BQ1158" s="1">
        <v>4040.38</v>
      </c>
      <c r="BR1158">
        <v>865.45</v>
      </c>
      <c r="BS1158">
        <v>7</v>
      </c>
      <c r="BT1158">
        <v>7</v>
      </c>
      <c r="BU1158" s="1">
        <v>2831.64</v>
      </c>
      <c r="BV1158">
        <v>0</v>
      </c>
      <c r="BW1158" s="1">
        <v>2831.64</v>
      </c>
      <c r="BX1158">
        <v>0</v>
      </c>
      <c r="BY1158">
        <v>0</v>
      </c>
      <c r="BZ1158">
        <v>0</v>
      </c>
      <c r="CA1158">
        <v>0</v>
      </c>
      <c r="CB1158" s="1">
        <v>3140.51</v>
      </c>
      <c r="CC1158" t="s">
        <v>161</v>
      </c>
    </row>
    <row r="1159" spans="1:81" x14ac:dyDescent="0.25">
      <c r="A1159">
        <v>345</v>
      </c>
      <c r="B1159">
        <v>2</v>
      </c>
      <c r="C1159">
        <v>3310</v>
      </c>
      <c r="D1159" t="s">
        <v>6595</v>
      </c>
      <c r="E1159" t="s">
        <v>121</v>
      </c>
      <c r="F1159" t="s">
        <v>6596</v>
      </c>
      <c r="G1159" t="s">
        <v>6597</v>
      </c>
      <c r="H1159" t="s">
        <v>6598</v>
      </c>
      <c r="I1159" t="s">
        <v>6599</v>
      </c>
      <c r="J1159" t="s">
        <v>126</v>
      </c>
      <c r="K1159" t="s">
        <v>466</v>
      </c>
      <c r="L1159" t="s">
        <v>128</v>
      </c>
      <c r="M1159" t="s">
        <v>467</v>
      </c>
      <c r="N1159" t="s">
        <v>6600</v>
      </c>
      <c r="O1159" t="s">
        <v>131</v>
      </c>
      <c r="P1159">
        <v>0</v>
      </c>
      <c r="Q1159" t="s">
        <v>125</v>
      </c>
      <c r="R1159">
        <v>3</v>
      </c>
      <c r="S1159">
        <v>85</v>
      </c>
      <c r="T1159" t="s">
        <v>132</v>
      </c>
      <c r="U1159" t="s">
        <v>133</v>
      </c>
      <c r="V1159" s="1">
        <v>1000</v>
      </c>
      <c r="W1159">
        <v>0</v>
      </c>
      <c r="X1159" s="1">
        <v>1000</v>
      </c>
      <c r="Y1159">
        <v>7</v>
      </c>
      <c r="Z1159">
        <v>0</v>
      </c>
      <c r="AA1159">
        <v>0</v>
      </c>
      <c r="AB1159">
        <v>0</v>
      </c>
      <c r="AC1159">
        <v>0</v>
      </c>
      <c r="AD1159" t="s">
        <v>134</v>
      </c>
      <c r="AE1159" t="s">
        <v>134</v>
      </c>
      <c r="AF1159" s="2">
        <v>45737</v>
      </c>
      <c r="AG1159" s="2">
        <v>46020</v>
      </c>
      <c r="AH1159">
        <v>202.98</v>
      </c>
      <c r="AI1159">
        <v>262.33999999999997</v>
      </c>
      <c r="AJ1159">
        <v>811.92</v>
      </c>
      <c r="AK1159">
        <v>0</v>
      </c>
      <c r="AL1159">
        <v>0</v>
      </c>
      <c r="AM1159">
        <v>0</v>
      </c>
      <c r="AN1159" t="s">
        <v>135</v>
      </c>
      <c r="AO1159" t="s">
        <v>135</v>
      </c>
      <c r="AP1159" t="s">
        <v>136</v>
      </c>
      <c r="AQ1159" t="s">
        <v>137</v>
      </c>
      <c r="AR1159" t="s">
        <v>138</v>
      </c>
      <c r="AS1159" t="s">
        <v>139</v>
      </c>
      <c r="AT1159" t="s">
        <v>140</v>
      </c>
      <c r="AU1159">
        <v>105</v>
      </c>
      <c r="AV1159">
        <v>10</v>
      </c>
      <c r="AW1159">
        <v>1</v>
      </c>
      <c r="AX1159" s="2">
        <v>45813</v>
      </c>
      <c r="AY1159" t="s">
        <v>308</v>
      </c>
      <c r="AZ1159" s="2">
        <v>46023</v>
      </c>
      <c r="BA1159">
        <v>0</v>
      </c>
      <c r="BB1159">
        <v>0</v>
      </c>
      <c r="BC1159">
        <v>0</v>
      </c>
      <c r="BD1159">
        <v>700</v>
      </c>
      <c r="BE1159">
        <v>70</v>
      </c>
      <c r="BF1159">
        <v>9</v>
      </c>
      <c r="BG1159" s="2">
        <v>45809</v>
      </c>
      <c r="BH1159" t="s">
        <v>142</v>
      </c>
      <c r="BI1159" s="2">
        <v>46026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197.63</v>
      </c>
      <c r="BQ1159">
        <v>197.63</v>
      </c>
      <c r="BR1159">
        <v>0</v>
      </c>
      <c r="BS1159">
        <v>0</v>
      </c>
      <c r="BT1159">
        <v>0</v>
      </c>
      <c r="BU1159">
        <v>0</v>
      </c>
      <c r="BV1159">
        <v>405.59</v>
      </c>
      <c r="BW1159">
        <v>405.59</v>
      </c>
      <c r="BX1159">
        <v>0</v>
      </c>
      <c r="BY1159">
        <v>0</v>
      </c>
      <c r="BZ1159">
        <v>0</v>
      </c>
      <c r="CA1159">
        <v>0</v>
      </c>
      <c r="CB1159">
        <v>176.02</v>
      </c>
      <c r="CC1159" t="s">
        <v>161</v>
      </c>
    </row>
    <row r="1160" spans="1:81" x14ac:dyDescent="0.25">
      <c r="A1160">
        <v>345</v>
      </c>
      <c r="B1160">
        <v>2</v>
      </c>
      <c r="C1160">
        <v>3311</v>
      </c>
      <c r="D1160" t="s">
        <v>6601</v>
      </c>
      <c r="E1160" t="s">
        <v>121</v>
      </c>
      <c r="F1160" t="s">
        <v>6602</v>
      </c>
      <c r="G1160" t="s">
        <v>6603</v>
      </c>
      <c r="H1160" t="s">
        <v>6580</v>
      </c>
      <c r="I1160" t="s">
        <v>6604</v>
      </c>
      <c r="J1160" t="s">
        <v>4569</v>
      </c>
      <c r="K1160" t="s">
        <v>336</v>
      </c>
      <c r="L1160" t="s">
        <v>128</v>
      </c>
      <c r="M1160" t="s">
        <v>337</v>
      </c>
      <c r="N1160" t="s">
        <v>6605</v>
      </c>
      <c r="O1160" t="s">
        <v>131</v>
      </c>
      <c r="P1160">
        <v>0</v>
      </c>
      <c r="Q1160" t="s">
        <v>125</v>
      </c>
      <c r="R1160">
        <v>3</v>
      </c>
      <c r="S1160">
        <v>85</v>
      </c>
      <c r="T1160" t="s">
        <v>132</v>
      </c>
      <c r="U1160" t="s">
        <v>133</v>
      </c>
      <c r="V1160" s="1">
        <v>1000</v>
      </c>
      <c r="W1160">
        <v>0</v>
      </c>
      <c r="X1160" s="1">
        <v>1000</v>
      </c>
      <c r="Y1160">
        <v>7</v>
      </c>
      <c r="Z1160">
        <v>0</v>
      </c>
      <c r="AA1160">
        <v>0</v>
      </c>
      <c r="AB1160">
        <v>0</v>
      </c>
      <c r="AC1160">
        <v>0</v>
      </c>
      <c r="AD1160" t="s">
        <v>134</v>
      </c>
      <c r="AE1160" t="s">
        <v>134</v>
      </c>
      <c r="AF1160" s="2">
        <v>45737</v>
      </c>
      <c r="AG1160" s="2">
        <v>46011</v>
      </c>
      <c r="AH1160">
        <v>124.04</v>
      </c>
      <c r="AI1160">
        <v>143.56</v>
      </c>
      <c r="AJ1160">
        <v>620.22</v>
      </c>
      <c r="AK1160">
        <v>0</v>
      </c>
      <c r="AL1160">
        <v>0</v>
      </c>
      <c r="AM1160">
        <v>0</v>
      </c>
      <c r="AN1160" t="s">
        <v>135</v>
      </c>
      <c r="AO1160" t="s">
        <v>135</v>
      </c>
      <c r="AP1160" t="s">
        <v>136</v>
      </c>
      <c r="AQ1160" t="s">
        <v>137</v>
      </c>
      <c r="AR1160" t="s">
        <v>138</v>
      </c>
      <c r="AS1160" t="s">
        <v>150</v>
      </c>
      <c r="AT1160" t="s">
        <v>140</v>
      </c>
      <c r="AU1160">
        <v>101</v>
      </c>
      <c r="AV1160">
        <v>10</v>
      </c>
      <c r="AW1160">
        <v>1</v>
      </c>
      <c r="AX1160" s="2">
        <v>45737</v>
      </c>
      <c r="AY1160" t="s">
        <v>151</v>
      </c>
      <c r="AZ1160" s="2">
        <v>46024</v>
      </c>
      <c r="BA1160">
        <v>0</v>
      </c>
      <c r="BB1160">
        <v>0</v>
      </c>
      <c r="BC1160">
        <v>0</v>
      </c>
      <c r="BD1160">
        <v>700</v>
      </c>
      <c r="BE1160">
        <v>70</v>
      </c>
      <c r="BF1160">
        <v>9</v>
      </c>
      <c r="BG1160" s="2">
        <v>45809</v>
      </c>
      <c r="BH1160" t="s">
        <v>142</v>
      </c>
      <c r="BI1160" s="2">
        <v>46026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229.12</v>
      </c>
      <c r="BQ1160">
        <v>229.12</v>
      </c>
      <c r="BR1160">
        <v>0</v>
      </c>
      <c r="BS1160">
        <v>0</v>
      </c>
      <c r="BT1160">
        <v>0</v>
      </c>
      <c r="BU1160">
        <v>0</v>
      </c>
      <c r="BV1160">
        <v>262.61</v>
      </c>
      <c r="BW1160">
        <v>262.61</v>
      </c>
      <c r="BX1160">
        <v>0</v>
      </c>
      <c r="BY1160">
        <v>0</v>
      </c>
      <c r="BZ1160">
        <v>0</v>
      </c>
      <c r="CA1160">
        <v>0</v>
      </c>
      <c r="CB1160">
        <v>192.43</v>
      </c>
      <c r="CC1160" t="s">
        <v>161</v>
      </c>
    </row>
    <row r="1161" spans="1:81" x14ac:dyDescent="0.25">
      <c r="A1161">
        <v>345</v>
      </c>
      <c r="B1161">
        <v>2</v>
      </c>
      <c r="C1161">
        <v>3312</v>
      </c>
      <c r="D1161" t="s">
        <v>6606</v>
      </c>
      <c r="E1161" t="s">
        <v>121</v>
      </c>
      <c r="F1161" t="s">
        <v>6607</v>
      </c>
      <c r="G1161" t="s">
        <v>6608</v>
      </c>
      <c r="H1161" t="s">
        <v>6609</v>
      </c>
      <c r="I1161" t="s">
        <v>6610</v>
      </c>
      <c r="J1161" t="s">
        <v>781</v>
      </c>
      <c r="K1161" t="s">
        <v>466</v>
      </c>
      <c r="L1161" t="s">
        <v>128</v>
      </c>
      <c r="M1161" t="s">
        <v>467</v>
      </c>
      <c r="N1161" t="s">
        <v>6611</v>
      </c>
      <c r="O1161" t="s">
        <v>296</v>
      </c>
      <c r="P1161">
        <v>0</v>
      </c>
      <c r="Q1161" t="s">
        <v>125</v>
      </c>
      <c r="R1161">
        <v>3</v>
      </c>
      <c r="S1161">
        <v>87</v>
      </c>
      <c r="T1161" t="s">
        <v>132</v>
      </c>
      <c r="U1161" t="s">
        <v>133</v>
      </c>
      <c r="V1161" s="1">
        <v>2500</v>
      </c>
      <c r="W1161">
        <v>0</v>
      </c>
      <c r="X1161" s="1">
        <v>2500</v>
      </c>
      <c r="Y1161">
        <v>7</v>
      </c>
      <c r="Z1161">
        <v>0</v>
      </c>
      <c r="AA1161">
        <v>0</v>
      </c>
      <c r="AB1161">
        <v>0</v>
      </c>
      <c r="AC1161">
        <v>0</v>
      </c>
      <c r="AD1161" t="s">
        <v>134</v>
      </c>
      <c r="AE1161" t="s">
        <v>134</v>
      </c>
      <c r="AF1161" s="2">
        <v>45738</v>
      </c>
      <c r="AG1161" s="2">
        <v>46008</v>
      </c>
      <c r="AH1161" s="1">
        <v>1062.5899999999999</v>
      </c>
      <c r="AI1161" s="1">
        <v>3120.8</v>
      </c>
      <c r="AJ1161" s="1">
        <v>13813.68</v>
      </c>
      <c r="AK1161">
        <v>0</v>
      </c>
      <c r="AL1161" s="1">
        <v>2212.31</v>
      </c>
      <c r="AM1161">
        <v>0</v>
      </c>
      <c r="AN1161" t="s">
        <v>135</v>
      </c>
      <c r="AO1161" t="s">
        <v>135</v>
      </c>
      <c r="AP1161" t="s">
        <v>136</v>
      </c>
      <c r="AQ1161" t="s">
        <v>137</v>
      </c>
      <c r="AR1161" t="s">
        <v>138</v>
      </c>
      <c r="AS1161" t="s">
        <v>139</v>
      </c>
      <c r="AT1161" t="s">
        <v>140</v>
      </c>
      <c r="AU1161">
        <v>103</v>
      </c>
      <c r="AV1161">
        <v>10</v>
      </c>
      <c r="AW1161">
        <v>1</v>
      </c>
      <c r="AX1161" s="2">
        <v>45811</v>
      </c>
      <c r="AY1161" t="s">
        <v>377</v>
      </c>
      <c r="AZ1161" s="2">
        <v>46028</v>
      </c>
      <c r="BA1161">
        <v>0</v>
      </c>
      <c r="BB1161">
        <v>0</v>
      </c>
      <c r="BC1161">
        <v>0</v>
      </c>
      <c r="BD1161">
        <v>700</v>
      </c>
      <c r="BE1161">
        <v>70</v>
      </c>
      <c r="BF1161">
        <v>9</v>
      </c>
      <c r="BG1161" s="2">
        <v>45809</v>
      </c>
      <c r="BH1161" t="s">
        <v>142</v>
      </c>
      <c r="BI1161" s="2">
        <v>46026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 s="1">
        <v>3594.32</v>
      </c>
      <c r="BQ1161" s="1">
        <v>3594.32</v>
      </c>
      <c r="BR1161">
        <v>0</v>
      </c>
      <c r="BS1161">
        <v>0</v>
      </c>
      <c r="BT1161">
        <v>0</v>
      </c>
      <c r="BU1161">
        <v>0</v>
      </c>
      <c r="BV1161" s="1">
        <v>4632.28</v>
      </c>
      <c r="BW1161" s="1">
        <v>4632.28</v>
      </c>
      <c r="BX1161">
        <v>0</v>
      </c>
      <c r="BY1161">
        <v>0</v>
      </c>
      <c r="BZ1161">
        <v>0</v>
      </c>
      <c r="CA1161">
        <v>0</v>
      </c>
      <c r="CB1161" s="1">
        <v>4654.8599999999997</v>
      </c>
      <c r="CC1161" t="s">
        <v>161</v>
      </c>
    </row>
    <row r="1162" spans="1:81" x14ac:dyDescent="0.25">
      <c r="A1162">
        <v>345</v>
      </c>
      <c r="B1162">
        <v>2</v>
      </c>
      <c r="C1162">
        <v>3313</v>
      </c>
      <c r="D1162" t="s">
        <v>6612</v>
      </c>
      <c r="E1162" t="s">
        <v>5780</v>
      </c>
      <c r="F1162" t="s">
        <v>6613</v>
      </c>
      <c r="G1162" t="s">
        <v>6614</v>
      </c>
      <c r="H1162" t="s">
        <v>6615</v>
      </c>
      <c r="I1162" t="s">
        <v>6616</v>
      </c>
      <c r="J1162" t="s">
        <v>126</v>
      </c>
      <c r="K1162" t="s">
        <v>4248</v>
      </c>
      <c r="L1162" t="s">
        <v>128</v>
      </c>
      <c r="M1162" t="s">
        <v>1325</v>
      </c>
      <c r="N1162" t="s">
        <v>6617</v>
      </c>
      <c r="O1162" t="s">
        <v>159</v>
      </c>
      <c r="P1162">
        <v>0</v>
      </c>
      <c r="Q1162" t="s">
        <v>125</v>
      </c>
      <c r="R1162">
        <v>5</v>
      </c>
      <c r="S1162">
        <v>61</v>
      </c>
      <c r="T1162" t="s">
        <v>132</v>
      </c>
      <c r="U1162" t="s">
        <v>133</v>
      </c>
      <c r="V1162">
        <v>0</v>
      </c>
      <c r="W1162">
        <v>306.64999999999998</v>
      </c>
      <c r="X1162">
        <v>-306.64999999999998</v>
      </c>
      <c r="Y1162">
        <v>0</v>
      </c>
      <c r="Z1162">
        <v>0</v>
      </c>
      <c r="AA1162">
        <v>5</v>
      </c>
      <c r="AB1162">
        <v>91</v>
      </c>
      <c r="AC1162">
        <v>100</v>
      </c>
      <c r="AD1162" t="s">
        <v>134</v>
      </c>
      <c r="AE1162" t="s">
        <v>234</v>
      </c>
      <c r="AF1162" s="2">
        <v>45743</v>
      </c>
      <c r="AG1162" s="2">
        <v>45861</v>
      </c>
      <c r="AH1162">
        <v>0</v>
      </c>
      <c r="AI1162">
        <v>0</v>
      </c>
      <c r="AJ1162">
        <v>0</v>
      </c>
      <c r="AK1162">
        <v>306.64999999999998</v>
      </c>
      <c r="AL1162">
        <v>0</v>
      </c>
      <c r="AM1162">
        <v>0</v>
      </c>
      <c r="AN1162" t="s">
        <v>135</v>
      </c>
      <c r="AO1162" t="s">
        <v>135</v>
      </c>
      <c r="AP1162" t="s">
        <v>136</v>
      </c>
      <c r="AQ1162" t="s">
        <v>137</v>
      </c>
      <c r="AR1162" t="s">
        <v>138</v>
      </c>
      <c r="AS1162" t="s">
        <v>150</v>
      </c>
      <c r="AT1162" t="s">
        <v>140</v>
      </c>
      <c r="AU1162">
        <v>998</v>
      </c>
      <c r="AV1162">
        <v>99</v>
      </c>
      <c r="AW1162">
        <v>9</v>
      </c>
      <c r="AX1162" s="2">
        <v>45818</v>
      </c>
      <c r="AY1162" t="s">
        <v>377</v>
      </c>
      <c r="AZ1162" s="2">
        <v>46028</v>
      </c>
      <c r="BA1162">
        <v>0</v>
      </c>
      <c r="BB1162">
        <v>0</v>
      </c>
      <c r="BC1162">
        <v>0</v>
      </c>
      <c r="BD1162">
        <v>998</v>
      </c>
      <c r="BE1162">
        <v>99</v>
      </c>
      <c r="BF1162">
        <v>9</v>
      </c>
      <c r="BG1162" s="2">
        <v>45809</v>
      </c>
      <c r="BH1162" t="s">
        <v>142</v>
      </c>
      <c r="BI1162" s="2">
        <v>46026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 t="s">
        <v>161</v>
      </c>
    </row>
    <row r="1163" spans="1:81" x14ac:dyDescent="0.25">
      <c r="A1163">
        <v>345</v>
      </c>
      <c r="B1163">
        <v>2</v>
      </c>
      <c r="C1163">
        <v>3314</v>
      </c>
      <c r="D1163" t="s">
        <v>6618</v>
      </c>
      <c r="E1163" t="s">
        <v>121</v>
      </c>
      <c r="F1163" t="s">
        <v>6619</v>
      </c>
      <c r="G1163" t="s">
        <v>6620</v>
      </c>
      <c r="H1163" t="s">
        <v>6517</v>
      </c>
      <c r="I1163" t="s">
        <v>6621</v>
      </c>
      <c r="J1163" t="s">
        <v>1465</v>
      </c>
      <c r="K1163" t="s">
        <v>466</v>
      </c>
      <c r="L1163" t="s">
        <v>128</v>
      </c>
      <c r="M1163" t="s">
        <v>467</v>
      </c>
      <c r="N1163" t="s">
        <v>6622</v>
      </c>
      <c r="O1163" t="s">
        <v>167</v>
      </c>
      <c r="P1163">
        <v>0</v>
      </c>
      <c r="Q1163" t="s">
        <v>125</v>
      </c>
      <c r="R1163">
        <v>3</v>
      </c>
      <c r="S1163">
        <v>83</v>
      </c>
      <c r="T1163" t="s">
        <v>132</v>
      </c>
      <c r="U1163" t="s">
        <v>133</v>
      </c>
      <c r="V1163" s="1">
        <v>1000</v>
      </c>
      <c r="W1163">
        <v>0</v>
      </c>
      <c r="X1163" s="1">
        <v>1000</v>
      </c>
      <c r="Y1163">
        <v>7</v>
      </c>
      <c r="Z1163">
        <v>0</v>
      </c>
      <c r="AA1163">
        <v>7</v>
      </c>
      <c r="AB1163">
        <v>0</v>
      </c>
      <c r="AC1163">
        <v>0</v>
      </c>
      <c r="AD1163" t="s">
        <v>134</v>
      </c>
      <c r="AE1163" t="s">
        <v>134</v>
      </c>
      <c r="AF1163" s="2">
        <v>45743</v>
      </c>
      <c r="AG1163" s="2">
        <v>46015</v>
      </c>
      <c r="AH1163">
        <v>434.34</v>
      </c>
      <c r="AI1163">
        <v>633.66</v>
      </c>
      <c r="AJ1163" s="1">
        <v>6080.8</v>
      </c>
      <c r="AK1163">
        <v>0</v>
      </c>
      <c r="AL1163">
        <v>0</v>
      </c>
      <c r="AM1163">
        <v>0</v>
      </c>
      <c r="AN1163" t="s">
        <v>135</v>
      </c>
      <c r="AO1163" t="s">
        <v>135</v>
      </c>
      <c r="AP1163" t="s">
        <v>136</v>
      </c>
      <c r="AQ1163" t="s">
        <v>137</v>
      </c>
      <c r="AR1163" t="s">
        <v>138</v>
      </c>
      <c r="AS1163" t="s">
        <v>139</v>
      </c>
      <c r="AT1163" t="s">
        <v>140</v>
      </c>
      <c r="AU1163">
        <v>100</v>
      </c>
      <c r="AV1163">
        <v>10</v>
      </c>
      <c r="AW1163">
        <v>1</v>
      </c>
      <c r="AX1163" s="2">
        <v>45812</v>
      </c>
      <c r="AY1163" t="s">
        <v>168</v>
      </c>
      <c r="AZ1163" s="2">
        <v>46022</v>
      </c>
      <c r="BA1163">
        <v>0</v>
      </c>
      <c r="BB1163">
        <v>0</v>
      </c>
      <c r="BC1163">
        <v>0</v>
      </c>
      <c r="BD1163">
        <v>700</v>
      </c>
      <c r="BE1163">
        <v>70</v>
      </c>
      <c r="BF1163">
        <v>9</v>
      </c>
      <c r="BG1163" s="2">
        <v>45809</v>
      </c>
      <c r="BH1163" t="s">
        <v>142</v>
      </c>
      <c r="BI1163" s="2">
        <v>46026</v>
      </c>
      <c r="BJ1163">
        <v>0</v>
      </c>
      <c r="BK1163">
        <v>0</v>
      </c>
      <c r="BL1163">
        <v>0</v>
      </c>
      <c r="BM1163">
        <v>6</v>
      </c>
      <c r="BN1163">
        <v>1.82</v>
      </c>
      <c r="BO1163">
        <v>876.82</v>
      </c>
      <c r="BP1163" s="1">
        <v>2019.86</v>
      </c>
      <c r="BQ1163" s="1">
        <v>2896.68</v>
      </c>
      <c r="BR1163">
        <v>0</v>
      </c>
      <c r="BS1163">
        <v>0</v>
      </c>
      <c r="BT1163">
        <v>0</v>
      </c>
      <c r="BU1163">
        <v>0</v>
      </c>
      <c r="BV1163" s="1">
        <v>1368.62</v>
      </c>
      <c r="BW1163" s="1">
        <v>1368.62</v>
      </c>
      <c r="BX1163">
        <v>0</v>
      </c>
      <c r="BY1163">
        <v>0</v>
      </c>
      <c r="BZ1163">
        <v>0</v>
      </c>
      <c r="CA1163">
        <v>0</v>
      </c>
      <c r="CB1163" s="1">
        <v>2003.17</v>
      </c>
      <c r="CC1163" t="s">
        <v>161</v>
      </c>
    </row>
    <row r="1164" spans="1:81" x14ac:dyDescent="0.25">
      <c r="A1164">
        <v>345</v>
      </c>
      <c r="B1164">
        <v>2</v>
      </c>
      <c r="C1164">
        <v>3316</v>
      </c>
      <c r="D1164" t="s">
        <v>6623</v>
      </c>
      <c r="E1164" t="s">
        <v>121</v>
      </c>
      <c r="F1164" t="s">
        <v>6624</v>
      </c>
      <c r="G1164" t="s">
        <v>6625</v>
      </c>
      <c r="H1164" t="s">
        <v>6626</v>
      </c>
      <c r="I1164" t="s">
        <v>6627</v>
      </c>
      <c r="J1164" t="s">
        <v>126</v>
      </c>
      <c r="K1164" t="s">
        <v>1853</v>
      </c>
      <c r="L1164" t="s">
        <v>128</v>
      </c>
      <c r="M1164" t="s">
        <v>1854</v>
      </c>
      <c r="N1164" t="s">
        <v>6628</v>
      </c>
      <c r="O1164" t="s">
        <v>159</v>
      </c>
      <c r="P1164">
        <v>0</v>
      </c>
      <c r="Q1164" t="s">
        <v>125</v>
      </c>
      <c r="R1164">
        <v>4</v>
      </c>
      <c r="S1164">
        <v>76</v>
      </c>
      <c r="T1164" t="s">
        <v>132</v>
      </c>
      <c r="U1164" t="s">
        <v>133</v>
      </c>
      <c r="V1164" s="1">
        <v>1000</v>
      </c>
      <c r="W1164">
        <v>243.9</v>
      </c>
      <c r="X1164">
        <v>756.1</v>
      </c>
      <c r="Y1164">
        <v>0</v>
      </c>
      <c r="Z1164">
        <v>0</v>
      </c>
      <c r="AA1164">
        <v>7</v>
      </c>
      <c r="AB1164">
        <v>1</v>
      </c>
      <c r="AC1164">
        <v>35</v>
      </c>
      <c r="AD1164" t="s">
        <v>134</v>
      </c>
      <c r="AE1164" t="s">
        <v>134</v>
      </c>
      <c r="AF1164" s="2">
        <v>45743</v>
      </c>
      <c r="AG1164" s="2">
        <v>46008</v>
      </c>
      <c r="AH1164">
        <v>218.6</v>
      </c>
      <c r="AI1164">
        <v>287.16000000000003</v>
      </c>
      <c r="AJ1164" s="1">
        <v>1530.26</v>
      </c>
      <c r="AK1164">
        <v>243.9</v>
      </c>
      <c r="AL1164">
        <v>0</v>
      </c>
      <c r="AM1164">
        <v>0</v>
      </c>
      <c r="AN1164" t="s">
        <v>135</v>
      </c>
      <c r="AO1164" t="s">
        <v>135</v>
      </c>
      <c r="AP1164" t="s">
        <v>136</v>
      </c>
      <c r="AQ1164" t="s">
        <v>137</v>
      </c>
      <c r="AR1164" t="s">
        <v>138</v>
      </c>
      <c r="AS1164" t="s">
        <v>139</v>
      </c>
      <c r="AT1164" t="s">
        <v>140</v>
      </c>
      <c r="AU1164">
        <v>103</v>
      </c>
      <c r="AV1164">
        <v>10</v>
      </c>
      <c r="AW1164">
        <v>1</v>
      </c>
      <c r="AX1164" s="2">
        <v>45972</v>
      </c>
      <c r="AY1164" t="s">
        <v>377</v>
      </c>
      <c r="AZ1164" s="2">
        <v>46028</v>
      </c>
      <c r="BA1164">
        <v>0</v>
      </c>
      <c r="BB1164">
        <v>0</v>
      </c>
      <c r="BC1164">
        <v>0</v>
      </c>
      <c r="BD1164">
        <v>700</v>
      </c>
      <c r="BE1164">
        <v>70</v>
      </c>
      <c r="BF1164">
        <v>9</v>
      </c>
      <c r="BG1164" s="2">
        <v>45809</v>
      </c>
      <c r="BH1164" t="s">
        <v>142</v>
      </c>
      <c r="BI1164" s="2">
        <v>46026</v>
      </c>
      <c r="BJ1164">
        <v>0</v>
      </c>
      <c r="BK1164">
        <v>0</v>
      </c>
      <c r="BL1164">
        <v>0</v>
      </c>
      <c r="BM1164">
        <v>7</v>
      </c>
      <c r="BN1164">
        <v>7</v>
      </c>
      <c r="BO1164">
        <v>352.28</v>
      </c>
      <c r="BP1164">
        <v>0</v>
      </c>
      <c r="BQ1164">
        <v>352.28</v>
      </c>
      <c r="BR1164">
        <v>163.76</v>
      </c>
      <c r="BS1164">
        <v>6.73</v>
      </c>
      <c r="BT1164">
        <v>6.73</v>
      </c>
      <c r="BU1164">
        <v>812.28</v>
      </c>
      <c r="BV1164">
        <v>0</v>
      </c>
      <c r="BW1164">
        <v>812.28</v>
      </c>
      <c r="BX1164">
        <v>0</v>
      </c>
      <c r="BY1164">
        <v>0</v>
      </c>
      <c r="BZ1164">
        <v>0</v>
      </c>
      <c r="CA1164">
        <v>0</v>
      </c>
      <c r="CB1164">
        <v>442.9</v>
      </c>
      <c r="CC1164" t="s">
        <v>161</v>
      </c>
    </row>
    <row r="1165" spans="1:81" x14ac:dyDescent="0.25">
      <c r="A1165">
        <v>345</v>
      </c>
      <c r="B1165">
        <v>2</v>
      </c>
      <c r="C1165">
        <v>3318</v>
      </c>
      <c r="D1165" t="s">
        <v>6629</v>
      </c>
      <c r="E1165" t="s">
        <v>121</v>
      </c>
      <c r="F1165" t="s">
        <v>6630</v>
      </c>
      <c r="G1165" t="s">
        <v>2940</v>
      </c>
      <c r="H1165" t="s">
        <v>1812</v>
      </c>
      <c r="I1165" t="s">
        <v>6631</v>
      </c>
      <c r="J1165" t="s">
        <v>459</v>
      </c>
      <c r="K1165" t="s">
        <v>336</v>
      </c>
      <c r="L1165" t="s">
        <v>128</v>
      </c>
      <c r="M1165" t="s">
        <v>337</v>
      </c>
      <c r="N1165" t="s">
        <v>6632</v>
      </c>
      <c r="O1165" t="s">
        <v>167</v>
      </c>
      <c r="P1165">
        <v>0</v>
      </c>
      <c r="Q1165" t="s">
        <v>125</v>
      </c>
      <c r="R1165">
        <v>3</v>
      </c>
      <c r="S1165">
        <v>82</v>
      </c>
      <c r="T1165" t="s">
        <v>132</v>
      </c>
      <c r="U1165" t="s">
        <v>133</v>
      </c>
      <c r="V1165" s="1">
        <v>1000</v>
      </c>
      <c r="W1165">
        <v>366.66</v>
      </c>
      <c r="X1165">
        <v>633.34</v>
      </c>
      <c r="Y1165">
        <v>7</v>
      </c>
      <c r="Z1165">
        <v>0</v>
      </c>
      <c r="AA1165">
        <v>7</v>
      </c>
      <c r="AB1165">
        <v>0</v>
      </c>
      <c r="AC1165">
        <v>0</v>
      </c>
      <c r="AD1165" t="s">
        <v>134</v>
      </c>
      <c r="AE1165" t="s">
        <v>134</v>
      </c>
      <c r="AF1165" s="2">
        <v>45743</v>
      </c>
      <c r="AG1165" s="2">
        <v>46014</v>
      </c>
      <c r="AH1165">
        <v>378.31</v>
      </c>
      <c r="AI1165">
        <v>499.46</v>
      </c>
      <c r="AJ1165" s="1">
        <v>4539.76</v>
      </c>
      <c r="AK1165">
        <v>0</v>
      </c>
      <c r="AL1165">
        <v>366.66</v>
      </c>
      <c r="AM1165">
        <v>0</v>
      </c>
      <c r="AN1165" t="s">
        <v>135</v>
      </c>
      <c r="AO1165" t="s">
        <v>135</v>
      </c>
      <c r="AP1165" t="s">
        <v>136</v>
      </c>
      <c r="AQ1165" t="s">
        <v>137</v>
      </c>
      <c r="AR1165" t="s">
        <v>138</v>
      </c>
      <c r="AS1165" t="s">
        <v>139</v>
      </c>
      <c r="AT1165" t="s">
        <v>140</v>
      </c>
      <c r="AU1165">
        <v>100</v>
      </c>
      <c r="AV1165">
        <v>10</v>
      </c>
      <c r="AW1165">
        <v>1</v>
      </c>
      <c r="AX1165" s="2">
        <v>45859</v>
      </c>
      <c r="AY1165" t="s">
        <v>141</v>
      </c>
      <c r="AZ1165" s="2">
        <v>46027</v>
      </c>
      <c r="BA1165">
        <v>0</v>
      </c>
      <c r="BB1165">
        <v>0</v>
      </c>
      <c r="BC1165">
        <v>0</v>
      </c>
      <c r="BD1165">
        <v>700</v>
      </c>
      <c r="BE1165">
        <v>70</v>
      </c>
      <c r="BF1165">
        <v>9</v>
      </c>
      <c r="BG1165" s="2">
        <v>45866</v>
      </c>
      <c r="BH1165" t="s">
        <v>141</v>
      </c>
      <c r="BI1165" s="2">
        <v>46034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 s="1">
        <v>1194.6400000000001</v>
      </c>
      <c r="BQ1165" s="1">
        <v>1194.6400000000001</v>
      </c>
      <c r="BR1165">
        <v>0</v>
      </c>
      <c r="BS1165">
        <v>7</v>
      </c>
      <c r="BT1165">
        <v>1.31</v>
      </c>
      <c r="BU1165">
        <v>366.66</v>
      </c>
      <c r="BV1165" s="1">
        <v>1592.99</v>
      </c>
      <c r="BW1165" s="1">
        <v>1959.65</v>
      </c>
      <c r="BX1165">
        <v>366.66</v>
      </c>
      <c r="BY1165">
        <v>100</v>
      </c>
      <c r="BZ1165">
        <v>0</v>
      </c>
      <c r="CA1165">
        <v>0</v>
      </c>
      <c r="CB1165" s="1">
        <v>1365.1</v>
      </c>
      <c r="CC1165" t="s">
        <v>161</v>
      </c>
    </row>
    <row r="1166" spans="1:81" x14ac:dyDescent="0.25">
      <c r="A1166">
        <v>345</v>
      </c>
      <c r="B1166">
        <v>2</v>
      </c>
      <c r="C1166">
        <v>3319</v>
      </c>
      <c r="D1166" t="s">
        <v>6633</v>
      </c>
      <c r="E1166" t="s">
        <v>121</v>
      </c>
      <c r="F1166" t="s">
        <v>6634</v>
      </c>
      <c r="G1166" t="s">
        <v>6635</v>
      </c>
      <c r="H1166" t="s">
        <v>6636</v>
      </c>
      <c r="I1166" t="s">
        <v>6637</v>
      </c>
      <c r="J1166" t="s">
        <v>126</v>
      </c>
      <c r="K1166" t="s">
        <v>473</v>
      </c>
      <c r="L1166" t="s">
        <v>128</v>
      </c>
      <c r="M1166" t="s">
        <v>474</v>
      </c>
      <c r="N1166" t="s">
        <v>6638</v>
      </c>
      <c r="O1166" t="s">
        <v>195</v>
      </c>
      <c r="P1166">
        <v>0</v>
      </c>
      <c r="Q1166" t="s">
        <v>125</v>
      </c>
      <c r="R1166">
        <v>3</v>
      </c>
      <c r="S1166">
        <v>83</v>
      </c>
      <c r="T1166" t="s">
        <v>132</v>
      </c>
      <c r="U1166" t="s">
        <v>133</v>
      </c>
      <c r="V1166" s="1">
        <v>1000</v>
      </c>
      <c r="W1166">
        <v>0</v>
      </c>
      <c r="X1166" s="1">
        <v>1000</v>
      </c>
      <c r="Y1166">
        <v>7</v>
      </c>
      <c r="Z1166">
        <v>0</v>
      </c>
      <c r="AA1166">
        <v>0</v>
      </c>
      <c r="AB1166">
        <v>0</v>
      </c>
      <c r="AC1166">
        <v>0</v>
      </c>
      <c r="AD1166" t="s">
        <v>134</v>
      </c>
      <c r="AE1166" t="s">
        <v>134</v>
      </c>
      <c r="AF1166" s="2">
        <v>45743</v>
      </c>
      <c r="AG1166" s="2">
        <v>46001</v>
      </c>
      <c r="AH1166">
        <v>319.61</v>
      </c>
      <c r="AI1166">
        <v>499.03</v>
      </c>
      <c r="AJ1166" s="1">
        <v>2556.9</v>
      </c>
      <c r="AK1166">
        <v>0</v>
      </c>
      <c r="AL1166">
        <v>0</v>
      </c>
      <c r="AM1166">
        <v>0</v>
      </c>
      <c r="AN1166" t="s">
        <v>135</v>
      </c>
      <c r="AO1166" t="s">
        <v>135</v>
      </c>
      <c r="AP1166" t="s">
        <v>136</v>
      </c>
      <c r="AQ1166" t="s">
        <v>137</v>
      </c>
      <c r="AR1166" t="s">
        <v>138</v>
      </c>
      <c r="AS1166" t="s">
        <v>139</v>
      </c>
      <c r="AT1166" t="s">
        <v>140</v>
      </c>
      <c r="AU1166">
        <v>105</v>
      </c>
      <c r="AV1166">
        <v>10</v>
      </c>
      <c r="AW1166">
        <v>1</v>
      </c>
      <c r="AX1166" s="2">
        <v>45811</v>
      </c>
      <c r="AY1166" t="s">
        <v>377</v>
      </c>
      <c r="AZ1166" s="2">
        <v>46028</v>
      </c>
      <c r="BA1166">
        <v>0</v>
      </c>
      <c r="BB1166">
        <v>0</v>
      </c>
      <c r="BC1166">
        <v>0</v>
      </c>
      <c r="BD1166">
        <v>700</v>
      </c>
      <c r="BE1166">
        <v>70</v>
      </c>
      <c r="BF1166">
        <v>9</v>
      </c>
      <c r="BG1166" s="2">
        <v>45809</v>
      </c>
      <c r="BH1166" t="s">
        <v>142</v>
      </c>
      <c r="BI1166" s="2">
        <v>46026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695.71</v>
      </c>
      <c r="BQ1166">
        <v>695.71</v>
      </c>
      <c r="BR1166">
        <v>0</v>
      </c>
      <c r="BS1166">
        <v>0</v>
      </c>
      <c r="BT1166">
        <v>0</v>
      </c>
      <c r="BU1166">
        <v>0</v>
      </c>
      <c r="BV1166">
        <v>591.27</v>
      </c>
      <c r="BW1166">
        <v>591.27</v>
      </c>
      <c r="BX1166">
        <v>0</v>
      </c>
      <c r="BY1166">
        <v>0</v>
      </c>
      <c r="BZ1166">
        <v>0</v>
      </c>
      <c r="CA1166">
        <v>0</v>
      </c>
      <c r="CB1166">
        <v>998.59</v>
      </c>
      <c r="CC1166" t="s">
        <v>161</v>
      </c>
    </row>
    <row r="1167" spans="1:81" x14ac:dyDescent="0.25">
      <c r="A1167">
        <v>345</v>
      </c>
      <c r="B1167">
        <v>2</v>
      </c>
      <c r="C1167">
        <v>3320</v>
      </c>
      <c r="D1167" t="s">
        <v>6639</v>
      </c>
      <c r="E1167" t="s">
        <v>121</v>
      </c>
      <c r="F1167" t="s">
        <v>6640</v>
      </c>
      <c r="G1167" t="s">
        <v>6641</v>
      </c>
      <c r="H1167" t="s">
        <v>6642</v>
      </c>
      <c r="I1167" t="s">
        <v>6643</v>
      </c>
      <c r="J1167" t="s">
        <v>1465</v>
      </c>
      <c r="K1167" t="s">
        <v>466</v>
      </c>
      <c r="L1167" t="s">
        <v>128</v>
      </c>
      <c r="M1167" t="s">
        <v>467</v>
      </c>
      <c r="N1167" t="s">
        <v>6644</v>
      </c>
      <c r="O1167" t="s">
        <v>167</v>
      </c>
      <c r="P1167">
        <v>0</v>
      </c>
      <c r="Q1167" t="s">
        <v>125</v>
      </c>
      <c r="R1167">
        <v>3</v>
      </c>
      <c r="S1167">
        <v>82</v>
      </c>
      <c r="T1167" t="s">
        <v>132</v>
      </c>
      <c r="U1167" t="s">
        <v>133</v>
      </c>
      <c r="V1167" s="1">
        <v>1200</v>
      </c>
      <c r="W1167">
        <v>0</v>
      </c>
      <c r="X1167" s="1">
        <v>1200</v>
      </c>
      <c r="Y1167">
        <v>7</v>
      </c>
      <c r="Z1167">
        <v>0</v>
      </c>
      <c r="AA1167">
        <v>0</v>
      </c>
      <c r="AB1167">
        <v>0</v>
      </c>
      <c r="AC1167">
        <v>0</v>
      </c>
      <c r="AD1167" t="s">
        <v>134</v>
      </c>
      <c r="AE1167" t="s">
        <v>134</v>
      </c>
      <c r="AF1167" s="2">
        <v>45743</v>
      </c>
      <c r="AG1167" s="2">
        <v>46018</v>
      </c>
      <c r="AH1167">
        <v>614.65</v>
      </c>
      <c r="AI1167" s="1">
        <v>1522.85</v>
      </c>
      <c r="AJ1167" s="1">
        <v>7990.53</v>
      </c>
      <c r="AK1167">
        <v>0</v>
      </c>
      <c r="AL1167">
        <v>593.92999999999995</v>
      </c>
      <c r="AM1167">
        <v>0</v>
      </c>
      <c r="AN1167" t="s">
        <v>135</v>
      </c>
      <c r="AO1167" t="s">
        <v>135</v>
      </c>
      <c r="AP1167" t="s">
        <v>136</v>
      </c>
      <c r="AQ1167" t="s">
        <v>137</v>
      </c>
      <c r="AR1167" t="s">
        <v>138</v>
      </c>
      <c r="AS1167" t="s">
        <v>139</v>
      </c>
      <c r="AT1167" t="s">
        <v>140</v>
      </c>
      <c r="AU1167">
        <v>105</v>
      </c>
      <c r="AV1167">
        <v>10</v>
      </c>
      <c r="AW1167">
        <v>1</v>
      </c>
      <c r="AX1167" s="2">
        <v>45882</v>
      </c>
      <c r="AY1167" t="s">
        <v>168</v>
      </c>
      <c r="AZ1167" s="2">
        <v>46022</v>
      </c>
      <c r="BA1167">
        <v>0</v>
      </c>
      <c r="BB1167">
        <v>0</v>
      </c>
      <c r="BC1167">
        <v>0</v>
      </c>
      <c r="BD1167">
        <v>700</v>
      </c>
      <c r="BE1167">
        <v>70</v>
      </c>
      <c r="BF1167">
        <v>9</v>
      </c>
      <c r="BG1167" s="2">
        <v>45809</v>
      </c>
      <c r="BH1167" t="s">
        <v>142</v>
      </c>
      <c r="BI1167" s="2">
        <v>46026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 s="1">
        <v>3075.17</v>
      </c>
      <c r="BQ1167" s="1">
        <v>3075.17</v>
      </c>
      <c r="BR1167">
        <v>0</v>
      </c>
      <c r="BS1167">
        <v>0</v>
      </c>
      <c r="BT1167">
        <v>0</v>
      </c>
      <c r="BU1167">
        <v>0</v>
      </c>
      <c r="BV1167" s="1">
        <v>3019.22</v>
      </c>
      <c r="BW1167" s="1">
        <v>3019.22</v>
      </c>
      <c r="BX1167">
        <v>0</v>
      </c>
      <c r="BY1167">
        <v>0</v>
      </c>
      <c r="BZ1167">
        <v>0</v>
      </c>
      <c r="CA1167">
        <v>0</v>
      </c>
      <c r="CB1167" s="1">
        <v>2222.06</v>
      </c>
      <c r="CC1167" t="s">
        <v>161</v>
      </c>
    </row>
    <row r="1168" spans="1:81" x14ac:dyDescent="0.25">
      <c r="A1168">
        <v>345</v>
      </c>
      <c r="B1168">
        <v>2</v>
      </c>
      <c r="C1168">
        <v>3321</v>
      </c>
      <c r="D1168" t="s">
        <v>6645</v>
      </c>
      <c r="E1168" t="s">
        <v>121</v>
      </c>
      <c r="F1168" t="s">
        <v>6646</v>
      </c>
      <c r="G1168" t="s">
        <v>6647</v>
      </c>
      <c r="H1168" t="s">
        <v>5799</v>
      </c>
      <c r="I1168" t="s">
        <v>6648</v>
      </c>
      <c r="J1168" t="s">
        <v>126</v>
      </c>
      <c r="K1168" t="s">
        <v>1853</v>
      </c>
      <c r="L1168" t="s">
        <v>128</v>
      </c>
      <c r="M1168" t="s">
        <v>6649</v>
      </c>
      <c r="N1168" t="s">
        <v>6650</v>
      </c>
      <c r="O1168" t="s">
        <v>167</v>
      </c>
      <c r="P1168">
        <v>0</v>
      </c>
      <c r="Q1168" t="s">
        <v>125</v>
      </c>
      <c r="R1168">
        <v>4</v>
      </c>
      <c r="S1168">
        <v>81</v>
      </c>
      <c r="T1168" t="s">
        <v>132</v>
      </c>
      <c r="U1168" t="s">
        <v>133</v>
      </c>
      <c r="V1168" s="1">
        <v>1800</v>
      </c>
      <c r="W1168">
        <v>0</v>
      </c>
      <c r="X1168" s="1">
        <v>1800</v>
      </c>
      <c r="Y1168">
        <v>7</v>
      </c>
      <c r="Z1168">
        <v>0</v>
      </c>
      <c r="AA1168">
        <v>7</v>
      </c>
      <c r="AB1168">
        <v>0</v>
      </c>
      <c r="AC1168">
        <v>0</v>
      </c>
      <c r="AD1168" t="s">
        <v>134</v>
      </c>
      <c r="AE1168" t="s">
        <v>134</v>
      </c>
      <c r="AF1168" s="2">
        <v>45743</v>
      </c>
      <c r="AG1168" s="2">
        <v>45994</v>
      </c>
      <c r="AH1168">
        <v>784.81</v>
      </c>
      <c r="AI1168">
        <v>946.52</v>
      </c>
      <c r="AJ1168" s="1">
        <v>3924.09</v>
      </c>
      <c r="AK1168">
        <v>0</v>
      </c>
      <c r="AL1168">
        <v>0</v>
      </c>
      <c r="AM1168">
        <v>0</v>
      </c>
      <c r="AN1168" t="s">
        <v>135</v>
      </c>
      <c r="AO1168" t="s">
        <v>135</v>
      </c>
      <c r="AP1168" t="s">
        <v>136</v>
      </c>
      <c r="AQ1168" t="s">
        <v>137</v>
      </c>
      <c r="AR1168" t="s">
        <v>138</v>
      </c>
      <c r="AS1168" t="s">
        <v>139</v>
      </c>
      <c r="AT1168" t="s">
        <v>140</v>
      </c>
      <c r="AU1168">
        <v>103</v>
      </c>
      <c r="AV1168">
        <v>10</v>
      </c>
      <c r="AW1168">
        <v>1</v>
      </c>
      <c r="AX1168" s="2">
        <v>45867</v>
      </c>
      <c r="AY1168" t="s">
        <v>377</v>
      </c>
      <c r="AZ1168" s="2">
        <v>46028</v>
      </c>
      <c r="BA1168">
        <v>0</v>
      </c>
      <c r="BB1168">
        <v>0</v>
      </c>
      <c r="BC1168">
        <v>0</v>
      </c>
      <c r="BD1168">
        <v>700</v>
      </c>
      <c r="BE1168">
        <v>70</v>
      </c>
      <c r="BF1168">
        <v>9</v>
      </c>
      <c r="BG1168" s="2">
        <v>45809</v>
      </c>
      <c r="BH1168" t="s">
        <v>142</v>
      </c>
      <c r="BI1168" s="2">
        <v>46026</v>
      </c>
      <c r="BJ1168">
        <v>0</v>
      </c>
      <c r="BK1168">
        <v>0</v>
      </c>
      <c r="BL1168">
        <v>0</v>
      </c>
      <c r="BM1168">
        <v>7</v>
      </c>
      <c r="BN1168">
        <v>7</v>
      </c>
      <c r="BO1168">
        <v>801.09</v>
      </c>
      <c r="BP1168">
        <v>0</v>
      </c>
      <c r="BQ1168">
        <v>801.09</v>
      </c>
      <c r="BR1168">
        <v>0</v>
      </c>
      <c r="BS1168">
        <v>7</v>
      </c>
      <c r="BT1168">
        <v>7</v>
      </c>
      <c r="BU1168">
        <v>768.85</v>
      </c>
      <c r="BV1168">
        <v>0</v>
      </c>
      <c r="BW1168">
        <v>768.85</v>
      </c>
      <c r="BX1168">
        <v>0</v>
      </c>
      <c r="BY1168">
        <v>0</v>
      </c>
      <c r="BZ1168">
        <v>0</v>
      </c>
      <c r="CA1168">
        <v>0</v>
      </c>
      <c r="CB1168" s="1">
        <v>1362.96</v>
      </c>
      <c r="CC1168" t="s">
        <v>143</v>
      </c>
    </row>
    <row r="1169" spans="1:81" x14ac:dyDescent="0.25">
      <c r="A1169">
        <v>345</v>
      </c>
      <c r="B1169">
        <v>2</v>
      </c>
      <c r="C1169">
        <v>3322</v>
      </c>
      <c r="D1169" t="s">
        <v>6651</v>
      </c>
      <c r="E1169" t="s">
        <v>121</v>
      </c>
      <c r="F1169" t="s">
        <v>6652</v>
      </c>
      <c r="G1169" t="s">
        <v>6653</v>
      </c>
      <c r="H1169" t="s">
        <v>6654</v>
      </c>
      <c r="I1169" t="s">
        <v>6655</v>
      </c>
      <c r="J1169" t="s">
        <v>1009</v>
      </c>
      <c r="K1169" t="s">
        <v>336</v>
      </c>
      <c r="L1169" t="s">
        <v>128</v>
      </c>
      <c r="M1169" t="s">
        <v>337</v>
      </c>
      <c r="N1169" t="s">
        <v>6656</v>
      </c>
      <c r="O1169" t="s">
        <v>159</v>
      </c>
      <c r="P1169">
        <v>0</v>
      </c>
      <c r="Q1169" t="s">
        <v>125</v>
      </c>
      <c r="R1169">
        <v>5</v>
      </c>
      <c r="S1169">
        <v>69</v>
      </c>
      <c r="T1169" t="s">
        <v>132</v>
      </c>
      <c r="U1169" t="s">
        <v>133</v>
      </c>
      <c r="V1169" s="1">
        <v>1000</v>
      </c>
      <c r="W1169">
        <v>0</v>
      </c>
      <c r="X1169" s="1">
        <v>1000</v>
      </c>
      <c r="Y1169">
        <v>7</v>
      </c>
      <c r="Z1169">
        <v>0</v>
      </c>
      <c r="AA1169">
        <v>5</v>
      </c>
      <c r="AB1169">
        <v>5</v>
      </c>
      <c r="AC1169">
        <v>13</v>
      </c>
      <c r="AD1169" t="s">
        <v>134</v>
      </c>
      <c r="AE1169" t="s">
        <v>134</v>
      </c>
      <c r="AF1169" s="2">
        <v>45744</v>
      </c>
      <c r="AG1169" s="2">
        <v>46015</v>
      </c>
      <c r="AH1169">
        <v>215.06</v>
      </c>
      <c r="AI1169">
        <v>478.04</v>
      </c>
      <c r="AJ1169">
        <v>860.24</v>
      </c>
      <c r="AK1169">
        <v>0</v>
      </c>
      <c r="AL1169">
        <v>0</v>
      </c>
      <c r="AM1169">
        <v>0</v>
      </c>
      <c r="AN1169" t="s">
        <v>135</v>
      </c>
      <c r="AO1169" t="s">
        <v>135</v>
      </c>
      <c r="AP1169" t="s">
        <v>136</v>
      </c>
      <c r="AQ1169" t="s">
        <v>137</v>
      </c>
      <c r="AR1169" t="s">
        <v>138</v>
      </c>
      <c r="AS1169" t="s">
        <v>139</v>
      </c>
      <c r="AT1169" t="s">
        <v>140</v>
      </c>
      <c r="AU1169">
        <v>101</v>
      </c>
      <c r="AV1169">
        <v>10</v>
      </c>
      <c r="AW1169">
        <v>1</v>
      </c>
      <c r="AX1169" s="2">
        <v>45811</v>
      </c>
      <c r="AY1169" t="s">
        <v>377</v>
      </c>
      <c r="AZ1169" s="2">
        <v>46028</v>
      </c>
      <c r="BA1169">
        <v>0</v>
      </c>
      <c r="BB1169">
        <v>0</v>
      </c>
      <c r="BC1169">
        <v>0</v>
      </c>
      <c r="BD1169">
        <v>700</v>
      </c>
      <c r="BE1169">
        <v>70</v>
      </c>
      <c r="BF1169">
        <v>9</v>
      </c>
      <c r="BG1169" s="2">
        <v>45809</v>
      </c>
      <c r="BH1169" t="s">
        <v>142</v>
      </c>
      <c r="BI1169" s="2">
        <v>46026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478.04</v>
      </c>
      <c r="BW1169">
        <v>478.04</v>
      </c>
      <c r="BX1169">
        <v>0</v>
      </c>
      <c r="BY1169">
        <v>0</v>
      </c>
      <c r="BZ1169">
        <v>0</v>
      </c>
      <c r="CA1169">
        <v>0</v>
      </c>
      <c r="CB1169">
        <v>195.83</v>
      </c>
      <c r="CC1169" t="s">
        <v>161</v>
      </c>
    </row>
    <row r="1170" spans="1:81" x14ac:dyDescent="0.25">
      <c r="A1170">
        <v>345</v>
      </c>
      <c r="B1170">
        <v>2</v>
      </c>
      <c r="C1170">
        <v>3323</v>
      </c>
      <c r="D1170" t="s">
        <v>6657</v>
      </c>
      <c r="E1170" t="s">
        <v>121</v>
      </c>
      <c r="F1170" t="s">
        <v>6658</v>
      </c>
      <c r="G1170" t="s">
        <v>6659</v>
      </c>
      <c r="H1170" t="s">
        <v>6660</v>
      </c>
      <c r="I1170" t="s">
        <v>6661</v>
      </c>
      <c r="J1170" t="s">
        <v>606</v>
      </c>
      <c r="K1170" t="s">
        <v>336</v>
      </c>
      <c r="L1170" t="s">
        <v>128</v>
      </c>
      <c r="M1170" t="s">
        <v>337</v>
      </c>
      <c r="N1170" t="s">
        <v>6662</v>
      </c>
      <c r="O1170" t="s">
        <v>201</v>
      </c>
      <c r="P1170">
        <v>0</v>
      </c>
      <c r="Q1170" t="s">
        <v>125</v>
      </c>
      <c r="R1170">
        <v>3</v>
      </c>
      <c r="S1170">
        <v>85</v>
      </c>
      <c r="T1170" t="s">
        <v>132</v>
      </c>
      <c r="U1170" t="s">
        <v>133</v>
      </c>
      <c r="V1170" s="1">
        <v>1000</v>
      </c>
      <c r="W1170">
        <v>0</v>
      </c>
      <c r="X1170" s="1">
        <v>1000</v>
      </c>
      <c r="Y1170">
        <v>7</v>
      </c>
      <c r="Z1170">
        <v>0</v>
      </c>
      <c r="AA1170">
        <v>0</v>
      </c>
      <c r="AB1170">
        <v>0</v>
      </c>
      <c r="AC1170">
        <v>0</v>
      </c>
      <c r="AD1170" t="s">
        <v>134</v>
      </c>
      <c r="AE1170" t="s">
        <v>134</v>
      </c>
      <c r="AF1170" s="2">
        <v>45744</v>
      </c>
      <c r="AG1170" s="2">
        <v>46009</v>
      </c>
      <c r="AH1170">
        <v>279.64</v>
      </c>
      <c r="AI1170">
        <v>362.1</v>
      </c>
      <c r="AJ1170" s="1">
        <v>2516.8200000000002</v>
      </c>
      <c r="AK1170">
        <v>0</v>
      </c>
      <c r="AL1170">
        <v>0</v>
      </c>
      <c r="AM1170">
        <v>0</v>
      </c>
      <c r="AN1170" t="s">
        <v>135</v>
      </c>
      <c r="AO1170" t="s">
        <v>135</v>
      </c>
      <c r="AP1170" t="s">
        <v>136</v>
      </c>
      <c r="AQ1170" t="s">
        <v>137</v>
      </c>
      <c r="AR1170" t="s">
        <v>138</v>
      </c>
      <c r="AS1170" t="s">
        <v>139</v>
      </c>
      <c r="AT1170" t="s">
        <v>140</v>
      </c>
      <c r="AU1170">
        <v>101</v>
      </c>
      <c r="AV1170">
        <v>10</v>
      </c>
      <c r="AW1170">
        <v>1</v>
      </c>
      <c r="AX1170" s="2">
        <v>45812</v>
      </c>
      <c r="AY1170" t="s">
        <v>168</v>
      </c>
      <c r="AZ1170" s="2">
        <v>46022</v>
      </c>
      <c r="BA1170">
        <v>0</v>
      </c>
      <c r="BB1170">
        <v>0</v>
      </c>
      <c r="BC1170">
        <v>0</v>
      </c>
      <c r="BD1170">
        <v>700</v>
      </c>
      <c r="BE1170">
        <v>70</v>
      </c>
      <c r="BF1170">
        <v>9</v>
      </c>
      <c r="BG1170" s="2">
        <v>45809</v>
      </c>
      <c r="BH1170" t="s">
        <v>142</v>
      </c>
      <c r="BI1170" s="2">
        <v>46026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 s="1">
        <v>1080.45</v>
      </c>
      <c r="BQ1170" s="1">
        <v>1080.45</v>
      </c>
      <c r="BR1170">
        <v>0</v>
      </c>
      <c r="BS1170">
        <v>0</v>
      </c>
      <c r="BT1170">
        <v>0</v>
      </c>
      <c r="BU1170">
        <v>0</v>
      </c>
      <c r="BV1170">
        <v>638.66999999999996</v>
      </c>
      <c r="BW1170">
        <v>638.66999999999996</v>
      </c>
      <c r="BX1170">
        <v>0</v>
      </c>
      <c r="BY1170">
        <v>0</v>
      </c>
      <c r="BZ1170">
        <v>0</v>
      </c>
      <c r="CA1170">
        <v>0</v>
      </c>
      <c r="CB1170">
        <v>873.06</v>
      </c>
      <c r="CC1170" t="s">
        <v>161</v>
      </c>
    </row>
    <row r="1171" spans="1:81" x14ac:dyDescent="0.25">
      <c r="A1171">
        <v>345</v>
      </c>
      <c r="B1171">
        <v>2</v>
      </c>
      <c r="C1171">
        <v>3324</v>
      </c>
      <c r="D1171" t="s">
        <v>6663</v>
      </c>
      <c r="E1171" t="s">
        <v>121</v>
      </c>
      <c r="F1171" t="s">
        <v>6664</v>
      </c>
      <c r="G1171" t="s">
        <v>6665</v>
      </c>
      <c r="H1171" t="s">
        <v>6666</v>
      </c>
      <c r="I1171" t="s">
        <v>6667</v>
      </c>
      <c r="J1171" t="s">
        <v>126</v>
      </c>
      <c r="K1171" t="s">
        <v>466</v>
      </c>
      <c r="L1171" t="s">
        <v>128</v>
      </c>
      <c r="M1171" t="s">
        <v>467</v>
      </c>
      <c r="N1171" t="s">
        <v>6668</v>
      </c>
      <c r="O1171" t="s">
        <v>167</v>
      </c>
      <c r="P1171">
        <v>0</v>
      </c>
      <c r="Q1171" t="s">
        <v>125</v>
      </c>
      <c r="R1171">
        <v>4</v>
      </c>
      <c r="S1171">
        <v>77</v>
      </c>
      <c r="T1171" t="s">
        <v>132</v>
      </c>
      <c r="U1171" t="s">
        <v>133</v>
      </c>
      <c r="V1171" s="1">
        <v>1000</v>
      </c>
      <c r="W1171">
        <v>468.62</v>
      </c>
      <c r="X1171">
        <v>531.38</v>
      </c>
      <c r="Y1171">
        <v>0</v>
      </c>
      <c r="Z1171">
        <v>0</v>
      </c>
      <c r="AA1171">
        <v>9</v>
      </c>
      <c r="AB1171">
        <v>1</v>
      </c>
      <c r="AC1171">
        <v>0</v>
      </c>
      <c r="AD1171" t="s">
        <v>134</v>
      </c>
      <c r="AE1171" t="s">
        <v>134</v>
      </c>
      <c r="AF1171" s="2">
        <v>45744</v>
      </c>
      <c r="AG1171" s="2">
        <v>46003</v>
      </c>
      <c r="AH1171">
        <v>550.41999999999996</v>
      </c>
      <c r="AI1171">
        <v>777.24</v>
      </c>
      <c r="AJ1171" s="1">
        <v>2201.71</v>
      </c>
      <c r="AK1171">
        <v>468.62</v>
      </c>
      <c r="AL1171">
        <v>0</v>
      </c>
      <c r="AM1171">
        <v>0</v>
      </c>
      <c r="AN1171" t="s">
        <v>135</v>
      </c>
      <c r="AO1171" t="s">
        <v>135</v>
      </c>
      <c r="AP1171" t="s">
        <v>136</v>
      </c>
      <c r="AQ1171" t="s">
        <v>137</v>
      </c>
      <c r="AR1171" t="s">
        <v>138</v>
      </c>
      <c r="AS1171" t="s">
        <v>139</v>
      </c>
      <c r="AT1171" t="s">
        <v>140</v>
      </c>
      <c r="AU1171">
        <v>105</v>
      </c>
      <c r="AV1171">
        <v>10</v>
      </c>
      <c r="AW1171">
        <v>1</v>
      </c>
      <c r="AX1171" s="2">
        <v>45813</v>
      </c>
      <c r="AY1171" t="s">
        <v>308</v>
      </c>
      <c r="AZ1171" s="2">
        <v>46023</v>
      </c>
      <c r="BA1171">
        <v>0</v>
      </c>
      <c r="BB1171">
        <v>0</v>
      </c>
      <c r="BC1171">
        <v>0</v>
      </c>
      <c r="BD1171">
        <v>700</v>
      </c>
      <c r="BE1171">
        <v>70</v>
      </c>
      <c r="BF1171">
        <v>9</v>
      </c>
      <c r="BG1171" s="2">
        <v>45809</v>
      </c>
      <c r="BH1171" t="s">
        <v>142</v>
      </c>
      <c r="BI1171" s="2">
        <v>46026</v>
      </c>
      <c r="BJ1171">
        <v>0</v>
      </c>
      <c r="BK1171">
        <v>0</v>
      </c>
      <c r="BL1171">
        <v>0</v>
      </c>
      <c r="BM1171">
        <v>7.81</v>
      </c>
      <c r="BN1171">
        <v>7.81</v>
      </c>
      <c r="BO1171" s="1">
        <v>1308.1199999999999</v>
      </c>
      <c r="BP1171">
        <v>0</v>
      </c>
      <c r="BQ1171" s="1">
        <v>1308.1199999999999</v>
      </c>
      <c r="BR1171">
        <v>530.88</v>
      </c>
      <c r="BS1171">
        <v>7</v>
      </c>
      <c r="BT1171">
        <v>7</v>
      </c>
      <c r="BU1171">
        <v>893.59</v>
      </c>
      <c r="BV1171">
        <v>0</v>
      </c>
      <c r="BW1171">
        <v>893.59</v>
      </c>
      <c r="BX1171">
        <v>0</v>
      </c>
      <c r="BY1171">
        <v>0</v>
      </c>
      <c r="BZ1171">
        <v>0</v>
      </c>
      <c r="CA1171">
        <v>0</v>
      </c>
      <c r="CB1171">
        <v>693.24</v>
      </c>
      <c r="CC1171" t="s">
        <v>161</v>
      </c>
    </row>
    <row r="1172" spans="1:81" x14ac:dyDescent="0.25">
      <c r="A1172">
        <v>345</v>
      </c>
      <c r="B1172">
        <v>2</v>
      </c>
      <c r="C1172">
        <v>3326</v>
      </c>
      <c r="D1172" t="s">
        <v>6669</v>
      </c>
      <c r="E1172" t="s">
        <v>121</v>
      </c>
      <c r="F1172" t="s">
        <v>6670</v>
      </c>
      <c r="G1172" t="s">
        <v>6671</v>
      </c>
      <c r="H1172" t="s">
        <v>6672</v>
      </c>
      <c r="I1172" t="s">
        <v>6655</v>
      </c>
      <c r="J1172" t="s">
        <v>4569</v>
      </c>
      <c r="K1172" t="s">
        <v>336</v>
      </c>
      <c r="L1172" t="s">
        <v>128</v>
      </c>
      <c r="M1172" t="s">
        <v>467</v>
      </c>
      <c r="N1172" t="s">
        <v>6673</v>
      </c>
      <c r="O1172" t="s">
        <v>159</v>
      </c>
      <c r="P1172">
        <v>0</v>
      </c>
      <c r="Q1172" t="s">
        <v>125</v>
      </c>
      <c r="R1172">
        <v>3</v>
      </c>
      <c r="S1172">
        <v>82</v>
      </c>
      <c r="T1172" t="s">
        <v>132</v>
      </c>
      <c r="U1172" t="s">
        <v>133</v>
      </c>
      <c r="V1172" s="1">
        <v>1000</v>
      </c>
      <c r="W1172">
        <v>377.3</v>
      </c>
      <c r="X1172">
        <v>622.70000000000005</v>
      </c>
      <c r="Y1172">
        <v>7</v>
      </c>
      <c r="Z1172">
        <v>0</v>
      </c>
      <c r="AA1172">
        <v>7</v>
      </c>
      <c r="AB1172">
        <v>0</v>
      </c>
      <c r="AC1172">
        <v>0</v>
      </c>
      <c r="AD1172" t="s">
        <v>134</v>
      </c>
      <c r="AE1172" t="s">
        <v>234</v>
      </c>
      <c r="AF1172" s="2">
        <v>45744</v>
      </c>
      <c r="AG1172" s="2">
        <v>46020</v>
      </c>
      <c r="AH1172">
        <v>405.54</v>
      </c>
      <c r="AI1172">
        <v>505.47</v>
      </c>
      <c r="AJ1172" s="1">
        <v>4055.49</v>
      </c>
      <c r="AK1172">
        <v>0</v>
      </c>
      <c r="AL1172">
        <v>377.3</v>
      </c>
      <c r="AM1172">
        <v>120.28</v>
      </c>
      <c r="AN1172" t="s">
        <v>135</v>
      </c>
      <c r="AO1172" t="s">
        <v>135</v>
      </c>
      <c r="AP1172" t="s">
        <v>136</v>
      </c>
      <c r="AQ1172" t="s">
        <v>137</v>
      </c>
      <c r="AR1172" t="s">
        <v>138</v>
      </c>
      <c r="AS1172" t="s">
        <v>139</v>
      </c>
      <c r="AT1172" t="s">
        <v>140</v>
      </c>
      <c r="AU1172">
        <v>100</v>
      </c>
      <c r="AV1172">
        <v>10</v>
      </c>
      <c r="AW1172">
        <v>1</v>
      </c>
      <c r="AX1172" s="2">
        <v>45815</v>
      </c>
      <c r="AY1172" t="s">
        <v>160</v>
      </c>
      <c r="AZ1172" s="2">
        <v>46025</v>
      </c>
      <c r="BA1172">
        <v>0</v>
      </c>
      <c r="BB1172">
        <v>0</v>
      </c>
      <c r="BC1172">
        <v>0</v>
      </c>
      <c r="BD1172">
        <v>700</v>
      </c>
      <c r="BE1172">
        <v>70</v>
      </c>
      <c r="BF1172">
        <v>9</v>
      </c>
      <c r="BG1172" s="2">
        <v>45809</v>
      </c>
      <c r="BH1172" t="s">
        <v>142</v>
      </c>
      <c r="BI1172" s="2">
        <v>46026</v>
      </c>
      <c r="BJ1172">
        <v>0</v>
      </c>
      <c r="BK1172">
        <v>0</v>
      </c>
      <c r="BL1172">
        <v>0</v>
      </c>
      <c r="BM1172">
        <v>7</v>
      </c>
      <c r="BN1172">
        <v>7</v>
      </c>
      <c r="BO1172" s="1">
        <v>1240.23</v>
      </c>
      <c r="BP1172">
        <v>0</v>
      </c>
      <c r="BQ1172" s="1">
        <v>1240.23</v>
      </c>
      <c r="BR1172">
        <v>453.83</v>
      </c>
      <c r="BS1172">
        <v>7</v>
      </c>
      <c r="BT1172">
        <v>7</v>
      </c>
      <c r="BU1172" s="1">
        <v>2043.03</v>
      </c>
      <c r="BV1172">
        <v>0</v>
      </c>
      <c r="BW1172" s="1">
        <v>2043.03</v>
      </c>
      <c r="BX1172">
        <v>377.3</v>
      </c>
      <c r="BY1172">
        <v>18.47</v>
      </c>
      <c r="BZ1172">
        <v>0</v>
      </c>
      <c r="CA1172">
        <v>0</v>
      </c>
      <c r="CB1172" s="1">
        <v>1400.44</v>
      </c>
      <c r="CC1172" t="s">
        <v>161</v>
      </c>
    </row>
    <row r="1173" spans="1:81" x14ac:dyDescent="0.25">
      <c r="A1173">
        <v>345</v>
      </c>
      <c r="B1173">
        <v>2</v>
      </c>
      <c r="C1173">
        <v>3330</v>
      </c>
      <c r="D1173" t="s">
        <v>6674</v>
      </c>
      <c r="E1173" t="s">
        <v>121</v>
      </c>
      <c r="F1173" t="s">
        <v>6675</v>
      </c>
      <c r="G1173" t="s">
        <v>6676</v>
      </c>
      <c r="H1173" t="s">
        <v>6677</v>
      </c>
      <c r="I1173" t="s">
        <v>6678</v>
      </c>
      <c r="J1173" t="s">
        <v>1263</v>
      </c>
      <c r="K1173" t="s">
        <v>466</v>
      </c>
      <c r="L1173" t="s">
        <v>128</v>
      </c>
      <c r="M1173" t="s">
        <v>467</v>
      </c>
      <c r="N1173" t="s">
        <v>6679</v>
      </c>
      <c r="O1173" t="s">
        <v>159</v>
      </c>
      <c r="P1173">
        <v>0</v>
      </c>
      <c r="Q1173" t="s">
        <v>125</v>
      </c>
      <c r="R1173">
        <v>3</v>
      </c>
      <c r="S1173">
        <v>83</v>
      </c>
      <c r="T1173" t="s">
        <v>132</v>
      </c>
      <c r="U1173" t="s">
        <v>133</v>
      </c>
      <c r="V1173" s="1">
        <v>2000</v>
      </c>
      <c r="W1173">
        <v>0</v>
      </c>
      <c r="X1173" s="1">
        <v>2000</v>
      </c>
      <c r="Y1173">
        <v>7</v>
      </c>
      <c r="Z1173">
        <v>0</v>
      </c>
      <c r="AA1173">
        <v>7</v>
      </c>
      <c r="AB1173">
        <v>0</v>
      </c>
      <c r="AC1173">
        <v>9</v>
      </c>
      <c r="AD1173" t="s">
        <v>134</v>
      </c>
      <c r="AE1173" t="s">
        <v>134</v>
      </c>
      <c r="AF1173" s="2">
        <v>45744</v>
      </c>
      <c r="AG1173" s="2">
        <v>46017</v>
      </c>
      <c r="AH1173" s="1">
        <v>2411.31</v>
      </c>
      <c r="AI1173" s="1">
        <v>5438.94</v>
      </c>
      <c r="AJ1173" s="1">
        <v>26524.42</v>
      </c>
      <c r="AK1173">
        <v>0</v>
      </c>
      <c r="AL1173">
        <v>0</v>
      </c>
      <c r="AM1173">
        <v>0</v>
      </c>
      <c r="AN1173" t="s">
        <v>135</v>
      </c>
      <c r="AO1173" t="s">
        <v>135</v>
      </c>
      <c r="AP1173" t="s">
        <v>136</v>
      </c>
      <c r="AQ1173" t="s">
        <v>137</v>
      </c>
      <c r="AR1173" t="s">
        <v>138</v>
      </c>
      <c r="AS1173" t="s">
        <v>150</v>
      </c>
      <c r="AT1173" t="s">
        <v>140</v>
      </c>
      <c r="AU1173">
        <v>106</v>
      </c>
      <c r="AV1173">
        <v>10</v>
      </c>
      <c r="AW1173">
        <v>1</v>
      </c>
      <c r="AX1173" s="2">
        <v>45813</v>
      </c>
      <c r="AY1173" t="s">
        <v>308</v>
      </c>
      <c r="AZ1173" s="2">
        <v>46023</v>
      </c>
      <c r="BA1173">
        <v>0</v>
      </c>
      <c r="BB1173">
        <v>0</v>
      </c>
      <c r="BC1173">
        <v>0</v>
      </c>
      <c r="BD1173">
        <v>700</v>
      </c>
      <c r="BE1173">
        <v>70</v>
      </c>
      <c r="BF1173">
        <v>9</v>
      </c>
      <c r="BG1173" s="2">
        <v>45809</v>
      </c>
      <c r="BH1173" t="s">
        <v>142</v>
      </c>
      <c r="BI1173" s="2">
        <v>46026</v>
      </c>
      <c r="BJ1173">
        <v>0</v>
      </c>
      <c r="BK1173">
        <v>0</v>
      </c>
      <c r="BL1173">
        <v>0</v>
      </c>
      <c r="BM1173">
        <v>7</v>
      </c>
      <c r="BN1173">
        <v>2.04</v>
      </c>
      <c r="BO1173" s="1">
        <v>1969.73</v>
      </c>
      <c r="BP1173" s="1">
        <v>4775.04</v>
      </c>
      <c r="BQ1173" s="1">
        <v>6744.77</v>
      </c>
      <c r="BR1173">
        <v>0</v>
      </c>
      <c r="BS1173">
        <v>0</v>
      </c>
      <c r="BT1173">
        <v>0</v>
      </c>
      <c r="BU1173">
        <v>0</v>
      </c>
      <c r="BV1173" s="1">
        <v>7843.5</v>
      </c>
      <c r="BW1173" s="1">
        <v>7843.5</v>
      </c>
      <c r="BX1173">
        <v>0</v>
      </c>
      <c r="BY1173">
        <v>0</v>
      </c>
      <c r="BZ1173">
        <v>0</v>
      </c>
      <c r="CA1173">
        <v>0</v>
      </c>
      <c r="CB1173" s="1">
        <v>8208.8700000000008</v>
      </c>
      <c r="CC1173" t="s">
        <v>161</v>
      </c>
    </row>
    <row r="1174" spans="1:81" x14ac:dyDescent="0.25">
      <c r="A1174">
        <v>345</v>
      </c>
      <c r="B1174">
        <v>2</v>
      </c>
      <c r="C1174">
        <v>3331</v>
      </c>
      <c r="D1174" t="s">
        <v>6680</v>
      </c>
      <c r="E1174" t="s">
        <v>121</v>
      </c>
      <c r="F1174" t="s">
        <v>6681</v>
      </c>
      <c r="G1174" t="s">
        <v>6682</v>
      </c>
      <c r="H1174" t="s">
        <v>1233</v>
      </c>
      <c r="I1174" t="s">
        <v>6683</v>
      </c>
      <c r="J1174" t="s">
        <v>4569</v>
      </c>
      <c r="K1174" t="s">
        <v>466</v>
      </c>
      <c r="L1174" t="s">
        <v>128</v>
      </c>
      <c r="M1174" t="s">
        <v>467</v>
      </c>
      <c r="N1174" t="s">
        <v>6684</v>
      </c>
      <c r="O1174" t="s">
        <v>167</v>
      </c>
      <c r="P1174">
        <v>0</v>
      </c>
      <c r="Q1174" t="s">
        <v>125</v>
      </c>
      <c r="R1174">
        <v>3</v>
      </c>
      <c r="S1174">
        <v>82</v>
      </c>
      <c r="T1174" t="s">
        <v>132</v>
      </c>
      <c r="U1174" t="s">
        <v>133</v>
      </c>
      <c r="V1174" s="1">
        <v>1700</v>
      </c>
      <c r="W1174">
        <v>0</v>
      </c>
      <c r="X1174" s="1">
        <v>1700</v>
      </c>
      <c r="Y1174">
        <v>7</v>
      </c>
      <c r="Z1174">
        <v>0</v>
      </c>
      <c r="AA1174">
        <v>9</v>
      </c>
      <c r="AB1174">
        <v>0</v>
      </c>
      <c r="AC1174">
        <v>0</v>
      </c>
      <c r="AD1174" t="s">
        <v>134</v>
      </c>
      <c r="AE1174" t="s">
        <v>134</v>
      </c>
      <c r="AF1174" s="2">
        <v>45744</v>
      </c>
      <c r="AG1174" s="2">
        <v>46020</v>
      </c>
      <c r="AH1174">
        <v>808.98</v>
      </c>
      <c r="AI1174" s="1">
        <v>1356.06</v>
      </c>
      <c r="AJ1174" s="1">
        <v>8898.8700000000008</v>
      </c>
      <c r="AK1174">
        <v>0</v>
      </c>
      <c r="AL1174">
        <v>0</v>
      </c>
      <c r="AM1174">
        <v>0</v>
      </c>
      <c r="AN1174" t="s">
        <v>135</v>
      </c>
      <c r="AO1174" t="s">
        <v>135</v>
      </c>
      <c r="AP1174" t="s">
        <v>136</v>
      </c>
      <c r="AQ1174" t="s">
        <v>137</v>
      </c>
      <c r="AR1174" t="s">
        <v>138</v>
      </c>
      <c r="AS1174" t="s">
        <v>139</v>
      </c>
      <c r="AT1174" t="s">
        <v>140</v>
      </c>
      <c r="AU1174">
        <v>100</v>
      </c>
      <c r="AV1174">
        <v>10</v>
      </c>
      <c r="AW1174">
        <v>1</v>
      </c>
      <c r="AX1174" s="2">
        <v>45744</v>
      </c>
      <c r="AY1174" t="s">
        <v>151</v>
      </c>
      <c r="AZ1174" s="2">
        <v>46024</v>
      </c>
      <c r="BA1174">
        <v>0</v>
      </c>
      <c r="BB1174">
        <v>0</v>
      </c>
      <c r="BC1174">
        <v>0</v>
      </c>
      <c r="BD1174">
        <v>700</v>
      </c>
      <c r="BE1174">
        <v>70</v>
      </c>
      <c r="BF1174">
        <v>9</v>
      </c>
      <c r="BG1174" s="2">
        <v>45809</v>
      </c>
      <c r="BH1174" t="s">
        <v>142</v>
      </c>
      <c r="BI1174" s="2">
        <v>46026</v>
      </c>
      <c r="BJ1174">
        <v>0</v>
      </c>
      <c r="BK1174">
        <v>0</v>
      </c>
      <c r="BL1174">
        <v>0</v>
      </c>
      <c r="BM1174">
        <v>9</v>
      </c>
      <c r="BN1174">
        <v>5.23</v>
      </c>
      <c r="BO1174" s="1">
        <v>1497.65</v>
      </c>
      <c r="BP1174" s="1">
        <v>1079.6600000000001</v>
      </c>
      <c r="BQ1174" s="1">
        <v>2577.31</v>
      </c>
      <c r="BR1174">
        <v>718.11</v>
      </c>
      <c r="BS1174">
        <v>8</v>
      </c>
      <c r="BT1174">
        <v>1.36</v>
      </c>
      <c r="BU1174">
        <v>584.20000000000005</v>
      </c>
      <c r="BV1174" s="1">
        <v>2845.16</v>
      </c>
      <c r="BW1174" s="1">
        <v>3429.36</v>
      </c>
      <c r="BX1174">
        <v>0</v>
      </c>
      <c r="BY1174">
        <v>0</v>
      </c>
      <c r="BZ1174">
        <v>0</v>
      </c>
      <c r="CA1174">
        <v>0</v>
      </c>
      <c r="CB1174" s="1">
        <v>2557.15</v>
      </c>
      <c r="CC1174" t="s">
        <v>161</v>
      </c>
    </row>
    <row r="1175" spans="1:81" x14ac:dyDescent="0.25">
      <c r="A1175">
        <v>345</v>
      </c>
      <c r="B1175">
        <v>2</v>
      </c>
      <c r="C1175">
        <v>3332</v>
      </c>
      <c r="D1175" t="s">
        <v>6685</v>
      </c>
      <c r="E1175" t="s">
        <v>121</v>
      </c>
      <c r="F1175" t="s">
        <v>6686</v>
      </c>
      <c r="G1175" t="s">
        <v>6687</v>
      </c>
      <c r="H1175" t="s">
        <v>6688</v>
      </c>
      <c r="I1175" t="s">
        <v>6689</v>
      </c>
      <c r="J1175" t="s">
        <v>1369</v>
      </c>
      <c r="K1175" t="s">
        <v>473</v>
      </c>
      <c r="L1175" t="s">
        <v>128</v>
      </c>
      <c r="M1175" t="s">
        <v>474</v>
      </c>
      <c r="N1175" t="s">
        <v>6690</v>
      </c>
      <c r="O1175" t="s">
        <v>149</v>
      </c>
      <c r="P1175">
        <v>0</v>
      </c>
      <c r="Q1175" t="s">
        <v>125</v>
      </c>
      <c r="R1175">
        <v>3</v>
      </c>
      <c r="S1175">
        <v>87</v>
      </c>
      <c r="T1175" t="s">
        <v>132</v>
      </c>
      <c r="U1175" t="s">
        <v>133</v>
      </c>
      <c r="V1175" s="1">
        <v>2400</v>
      </c>
      <c r="W1175">
        <v>975.94</v>
      </c>
      <c r="X1175" s="1">
        <v>1424.06</v>
      </c>
      <c r="Y1175">
        <v>7</v>
      </c>
      <c r="Z1175">
        <v>0</v>
      </c>
      <c r="AA1175">
        <v>8</v>
      </c>
      <c r="AB1175">
        <v>0</v>
      </c>
      <c r="AC1175">
        <v>0</v>
      </c>
      <c r="AD1175" t="s">
        <v>134</v>
      </c>
      <c r="AE1175" t="s">
        <v>134</v>
      </c>
      <c r="AF1175" s="2">
        <v>45747</v>
      </c>
      <c r="AG1175" s="2">
        <v>46019</v>
      </c>
      <c r="AH1175" s="1">
        <v>1105.6400000000001</v>
      </c>
      <c r="AI1175" s="1">
        <v>1738.42</v>
      </c>
      <c r="AJ1175" s="1">
        <v>9950.82</v>
      </c>
      <c r="AK1175">
        <v>0</v>
      </c>
      <c r="AL1175">
        <v>975.94</v>
      </c>
      <c r="AM1175">
        <v>0</v>
      </c>
      <c r="AN1175" t="s">
        <v>135</v>
      </c>
      <c r="AO1175" t="s">
        <v>135</v>
      </c>
      <c r="AP1175" t="s">
        <v>136</v>
      </c>
      <c r="AQ1175" t="s">
        <v>137</v>
      </c>
      <c r="AR1175" t="s">
        <v>138</v>
      </c>
      <c r="AS1175" t="s">
        <v>139</v>
      </c>
      <c r="AT1175" t="s">
        <v>140</v>
      </c>
      <c r="AU1175">
        <v>102</v>
      </c>
      <c r="AV1175">
        <v>10</v>
      </c>
      <c r="AW1175">
        <v>1</v>
      </c>
      <c r="AX1175" s="2">
        <v>45814</v>
      </c>
      <c r="AY1175" t="s">
        <v>151</v>
      </c>
      <c r="AZ1175" s="2">
        <v>46024</v>
      </c>
      <c r="BA1175">
        <v>0</v>
      </c>
      <c r="BB1175">
        <v>0</v>
      </c>
      <c r="BC1175">
        <v>0</v>
      </c>
      <c r="BD1175">
        <v>700</v>
      </c>
      <c r="BE1175">
        <v>70</v>
      </c>
      <c r="BF1175">
        <v>9</v>
      </c>
      <c r="BG1175" s="2">
        <v>45809</v>
      </c>
      <c r="BH1175" t="s">
        <v>142</v>
      </c>
      <c r="BI1175" s="2">
        <v>46026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 s="1">
        <v>3915.51</v>
      </c>
      <c r="BQ1175" s="1">
        <v>3915.51</v>
      </c>
      <c r="BR1175">
        <v>0</v>
      </c>
      <c r="BS1175">
        <v>8</v>
      </c>
      <c r="BT1175">
        <v>2.33</v>
      </c>
      <c r="BU1175">
        <v>975.94</v>
      </c>
      <c r="BV1175" s="1">
        <v>2368.7199999999998</v>
      </c>
      <c r="BW1175" s="1">
        <v>3344.66</v>
      </c>
      <c r="BX1175">
        <v>975.94</v>
      </c>
      <c r="BY1175">
        <v>100</v>
      </c>
      <c r="BZ1175">
        <v>0</v>
      </c>
      <c r="CA1175">
        <v>0</v>
      </c>
      <c r="CB1175" s="1">
        <v>3974.47</v>
      </c>
      <c r="CC1175" t="s">
        <v>161</v>
      </c>
    </row>
    <row r="1176" spans="1:81" x14ac:dyDescent="0.25">
      <c r="A1176">
        <v>345</v>
      </c>
      <c r="B1176">
        <v>2</v>
      </c>
      <c r="C1176">
        <v>3333</v>
      </c>
      <c r="D1176" t="s">
        <v>6691</v>
      </c>
      <c r="E1176" t="s">
        <v>121</v>
      </c>
      <c r="F1176" t="s">
        <v>6692</v>
      </c>
      <c r="G1176" t="s">
        <v>6693</v>
      </c>
      <c r="H1176" t="s">
        <v>6694</v>
      </c>
      <c r="I1176" t="s">
        <v>6695</v>
      </c>
      <c r="J1176" t="s">
        <v>1180</v>
      </c>
      <c r="K1176" t="s">
        <v>466</v>
      </c>
      <c r="L1176" t="s">
        <v>128</v>
      </c>
      <c r="M1176" t="s">
        <v>467</v>
      </c>
      <c r="N1176" t="s">
        <v>6696</v>
      </c>
      <c r="O1176" t="s">
        <v>3269</v>
      </c>
      <c r="P1176">
        <v>0</v>
      </c>
      <c r="Q1176" t="s">
        <v>125</v>
      </c>
      <c r="R1176">
        <v>5</v>
      </c>
      <c r="S1176">
        <v>74</v>
      </c>
      <c r="T1176" t="s">
        <v>132</v>
      </c>
      <c r="U1176" t="s">
        <v>133</v>
      </c>
      <c r="V1176" s="1">
        <v>1000</v>
      </c>
      <c r="W1176">
        <v>540.53</v>
      </c>
      <c r="X1176">
        <v>459.47</v>
      </c>
      <c r="Y1176">
        <v>7</v>
      </c>
      <c r="Z1176">
        <v>0</v>
      </c>
      <c r="AA1176">
        <v>7</v>
      </c>
      <c r="AB1176">
        <v>2</v>
      </c>
      <c r="AC1176">
        <v>43</v>
      </c>
      <c r="AD1176" t="s">
        <v>134</v>
      </c>
      <c r="AE1176" t="s">
        <v>134</v>
      </c>
      <c r="AF1176" s="2">
        <v>45747</v>
      </c>
      <c r="AG1176" s="2">
        <v>46020</v>
      </c>
      <c r="AH1176">
        <v>527.1</v>
      </c>
      <c r="AI1176">
        <v>643.67999999999995</v>
      </c>
      <c r="AJ1176" s="1">
        <v>2635.53</v>
      </c>
      <c r="AK1176">
        <v>0</v>
      </c>
      <c r="AL1176">
        <v>540.53</v>
      </c>
      <c r="AM1176">
        <v>0</v>
      </c>
      <c r="AN1176" t="s">
        <v>135</v>
      </c>
      <c r="AO1176" t="s">
        <v>135</v>
      </c>
      <c r="AP1176" t="s">
        <v>136</v>
      </c>
      <c r="AQ1176" t="s">
        <v>137</v>
      </c>
      <c r="AR1176" t="s">
        <v>138</v>
      </c>
      <c r="AS1176" t="s">
        <v>150</v>
      </c>
      <c r="AT1176" t="s">
        <v>140</v>
      </c>
      <c r="AU1176">
        <v>105</v>
      </c>
      <c r="AV1176">
        <v>10</v>
      </c>
      <c r="AW1176">
        <v>1</v>
      </c>
      <c r="AX1176" s="2">
        <v>45813</v>
      </c>
      <c r="AY1176" t="s">
        <v>308</v>
      </c>
      <c r="AZ1176" s="2">
        <v>46023</v>
      </c>
      <c r="BA1176">
        <v>0</v>
      </c>
      <c r="BB1176">
        <v>0</v>
      </c>
      <c r="BC1176">
        <v>0</v>
      </c>
      <c r="BD1176">
        <v>700</v>
      </c>
      <c r="BE1176">
        <v>70</v>
      </c>
      <c r="BF1176">
        <v>9</v>
      </c>
      <c r="BG1176" s="2">
        <v>45809</v>
      </c>
      <c r="BH1176" t="s">
        <v>142</v>
      </c>
      <c r="BI1176" s="2">
        <v>46026</v>
      </c>
      <c r="BJ1176">
        <v>0</v>
      </c>
      <c r="BK1176">
        <v>0</v>
      </c>
      <c r="BL1176">
        <v>0</v>
      </c>
      <c r="BM1176">
        <v>5.86</v>
      </c>
      <c r="BN1176">
        <v>5.86</v>
      </c>
      <c r="BO1176" s="1">
        <v>1131.21</v>
      </c>
      <c r="BP1176">
        <v>0</v>
      </c>
      <c r="BQ1176" s="1">
        <v>1131.21</v>
      </c>
      <c r="BR1176">
        <v>0</v>
      </c>
      <c r="BS1176">
        <v>7</v>
      </c>
      <c r="BT1176">
        <v>7</v>
      </c>
      <c r="BU1176" s="1">
        <v>1110.1600000000001</v>
      </c>
      <c r="BV1176">
        <v>0</v>
      </c>
      <c r="BW1176" s="1">
        <v>1110.1600000000001</v>
      </c>
      <c r="BX1176">
        <v>540.53</v>
      </c>
      <c r="BY1176">
        <v>48.69</v>
      </c>
      <c r="BZ1176">
        <v>0</v>
      </c>
      <c r="CA1176">
        <v>0</v>
      </c>
      <c r="CB1176">
        <v>634.29</v>
      </c>
      <c r="CC1176" t="s">
        <v>161</v>
      </c>
    </row>
    <row r="1177" spans="1:81" x14ac:dyDescent="0.25">
      <c r="A1177">
        <v>345</v>
      </c>
      <c r="B1177">
        <v>2</v>
      </c>
      <c r="C1177">
        <v>3336</v>
      </c>
      <c r="D1177" t="s">
        <v>6697</v>
      </c>
      <c r="E1177" t="s">
        <v>121</v>
      </c>
      <c r="F1177" t="s">
        <v>6698</v>
      </c>
      <c r="G1177" t="s">
        <v>6699</v>
      </c>
      <c r="H1177" t="s">
        <v>6700</v>
      </c>
      <c r="I1177" t="s">
        <v>6701</v>
      </c>
      <c r="J1177" t="s">
        <v>4569</v>
      </c>
      <c r="K1177" t="s">
        <v>127</v>
      </c>
      <c r="L1177" t="s">
        <v>128</v>
      </c>
      <c r="M1177" t="s">
        <v>129</v>
      </c>
      <c r="N1177" t="s">
        <v>6702</v>
      </c>
      <c r="O1177" t="s">
        <v>167</v>
      </c>
      <c r="P1177">
        <v>0</v>
      </c>
      <c r="Q1177" t="s">
        <v>125</v>
      </c>
      <c r="R1177">
        <v>3</v>
      </c>
      <c r="S1177">
        <v>82</v>
      </c>
      <c r="T1177" t="s">
        <v>132</v>
      </c>
      <c r="U1177" t="s">
        <v>133</v>
      </c>
      <c r="V1177" s="1">
        <v>1000</v>
      </c>
      <c r="W1177">
        <v>253.99</v>
      </c>
      <c r="X1177">
        <v>746.01</v>
      </c>
      <c r="Y1177">
        <v>7</v>
      </c>
      <c r="Z1177">
        <v>0</v>
      </c>
      <c r="AA1177">
        <v>9</v>
      </c>
      <c r="AB1177">
        <v>0</v>
      </c>
      <c r="AC1177">
        <v>0</v>
      </c>
      <c r="AD1177" t="s">
        <v>134</v>
      </c>
      <c r="AE1177" t="s">
        <v>134</v>
      </c>
      <c r="AF1177" s="2">
        <v>45747</v>
      </c>
      <c r="AG1177" s="2">
        <v>46018</v>
      </c>
      <c r="AH1177">
        <v>303.94</v>
      </c>
      <c r="AI1177">
        <v>473.38</v>
      </c>
      <c r="AJ1177" s="1">
        <v>3343.41</v>
      </c>
      <c r="AK1177">
        <v>0</v>
      </c>
      <c r="AL1177">
        <v>253.99</v>
      </c>
      <c r="AM1177">
        <v>168.84</v>
      </c>
      <c r="AN1177" t="s">
        <v>135</v>
      </c>
      <c r="AO1177" t="s">
        <v>135</v>
      </c>
      <c r="AP1177" t="s">
        <v>136</v>
      </c>
      <c r="AQ1177" t="s">
        <v>137</v>
      </c>
      <c r="AR1177" t="s">
        <v>138</v>
      </c>
      <c r="AS1177" t="s">
        <v>139</v>
      </c>
      <c r="AT1177" t="s">
        <v>140</v>
      </c>
      <c r="AU1177">
        <v>102</v>
      </c>
      <c r="AV1177">
        <v>10</v>
      </c>
      <c r="AW1177">
        <v>1</v>
      </c>
      <c r="AX1177" s="2">
        <v>45995</v>
      </c>
      <c r="AY1177" t="s">
        <v>308</v>
      </c>
      <c r="AZ1177" s="2">
        <v>46023</v>
      </c>
      <c r="BA1177">
        <v>0</v>
      </c>
      <c r="BB1177">
        <v>0</v>
      </c>
      <c r="BC1177">
        <v>0</v>
      </c>
      <c r="BD1177">
        <v>700</v>
      </c>
      <c r="BE1177">
        <v>70</v>
      </c>
      <c r="BF1177">
        <v>9</v>
      </c>
      <c r="BG1177" s="2">
        <v>45809</v>
      </c>
      <c r="BH1177" t="s">
        <v>142</v>
      </c>
      <c r="BI1177" s="2">
        <v>46026</v>
      </c>
      <c r="BJ1177">
        <v>0</v>
      </c>
      <c r="BK1177">
        <v>0</v>
      </c>
      <c r="BL1177">
        <v>0</v>
      </c>
      <c r="BM1177">
        <v>8.19</v>
      </c>
      <c r="BN1177">
        <v>8.19</v>
      </c>
      <c r="BO1177" s="1">
        <v>1040.77</v>
      </c>
      <c r="BP1177">
        <v>0</v>
      </c>
      <c r="BQ1177" s="1">
        <v>1040.77</v>
      </c>
      <c r="BR1177">
        <v>428.83</v>
      </c>
      <c r="BS1177">
        <v>8.02</v>
      </c>
      <c r="BT1177">
        <v>8.02</v>
      </c>
      <c r="BU1177" s="1">
        <v>1221.4000000000001</v>
      </c>
      <c r="BV1177">
        <v>0</v>
      </c>
      <c r="BW1177" s="1">
        <v>1221.4000000000001</v>
      </c>
      <c r="BX1177">
        <v>253.99</v>
      </c>
      <c r="BY1177">
        <v>20.79</v>
      </c>
      <c r="BZ1177">
        <v>0</v>
      </c>
      <c r="CA1177">
        <v>0</v>
      </c>
      <c r="CB1177" s="1">
        <v>1045.21</v>
      </c>
      <c r="CC1177" t="s">
        <v>161</v>
      </c>
    </row>
    <row r="1178" spans="1:81" x14ac:dyDescent="0.25">
      <c r="A1178">
        <v>345</v>
      </c>
      <c r="B1178">
        <v>2</v>
      </c>
      <c r="C1178">
        <v>3338</v>
      </c>
      <c r="D1178" t="s">
        <v>6703</v>
      </c>
      <c r="E1178" t="s">
        <v>121</v>
      </c>
      <c r="F1178" t="s">
        <v>6704</v>
      </c>
      <c r="G1178" t="s">
        <v>6705</v>
      </c>
      <c r="H1178" t="s">
        <v>6706</v>
      </c>
      <c r="I1178" t="s">
        <v>6707</v>
      </c>
      <c r="J1178" t="s">
        <v>1180</v>
      </c>
      <c r="K1178" t="s">
        <v>466</v>
      </c>
      <c r="L1178" t="s">
        <v>128</v>
      </c>
      <c r="M1178" t="s">
        <v>467</v>
      </c>
      <c r="N1178" t="s">
        <v>6708</v>
      </c>
      <c r="O1178" t="s">
        <v>167</v>
      </c>
      <c r="P1178">
        <v>0</v>
      </c>
      <c r="Q1178" t="s">
        <v>125</v>
      </c>
      <c r="R1178">
        <v>4</v>
      </c>
      <c r="S1178">
        <v>81</v>
      </c>
      <c r="T1178" t="s">
        <v>132</v>
      </c>
      <c r="U1178" t="s">
        <v>133</v>
      </c>
      <c r="V1178" s="1">
        <v>1000</v>
      </c>
      <c r="W1178">
        <v>0</v>
      </c>
      <c r="X1178" s="1">
        <v>1000</v>
      </c>
      <c r="Y1178">
        <v>7</v>
      </c>
      <c r="Z1178">
        <v>0</v>
      </c>
      <c r="AA1178">
        <v>16</v>
      </c>
      <c r="AB1178">
        <v>0</v>
      </c>
      <c r="AC1178">
        <v>0</v>
      </c>
      <c r="AD1178" t="s">
        <v>134</v>
      </c>
      <c r="AE1178" t="s">
        <v>134</v>
      </c>
      <c r="AF1178" s="2">
        <v>45750</v>
      </c>
      <c r="AG1178" s="2">
        <v>45978</v>
      </c>
      <c r="AH1178">
        <v>287.33999999999997</v>
      </c>
      <c r="AI1178">
        <v>382.9</v>
      </c>
      <c r="AJ1178">
        <v>862.03</v>
      </c>
      <c r="AK1178">
        <v>0</v>
      </c>
      <c r="AL1178">
        <v>0</v>
      </c>
      <c r="AM1178">
        <v>0</v>
      </c>
      <c r="AN1178" t="s">
        <v>135</v>
      </c>
      <c r="AO1178" t="s">
        <v>135</v>
      </c>
      <c r="AP1178" t="s">
        <v>136</v>
      </c>
      <c r="AQ1178" t="s">
        <v>137</v>
      </c>
      <c r="AR1178" t="s">
        <v>138</v>
      </c>
      <c r="AS1178" t="s">
        <v>139</v>
      </c>
      <c r="AT1178" t="s">
        <v>140</v>
      </c>
      <c r="AU1178">
        <v>105</v>
      </c>
      <c r="AV1178">
        <v>10</v>
      </c>
      <c r="AW1178">
        <v>1</v>
      </c>
      <c r="AX1178" s="2">
        <v>45813</v>
      </c>
      <c r="AY1178" t="s">
        <v>308</v>
      </c>
      <c r="AZ1178" s="2">
        <v>46023</v>
      </c>
      <c r="BA1178">
        <v>0</v>
      </c>
      <c r="BB1178">
        <v>0</v>
      </c>
      <c r="BC1178">
        <v>0</v>
      </c>
      <c r="BD1178">
        <v>700</v>
      </c>
      <c r="BE1178">
        <v>70</v>
      </c>
      <c r="BF1178">
        <v>9</v>
      </c>
      <c r="BG1178" s="2">
        <v>45809</v>
      </c>
      <c r="BH1178" t="s">
        <v>142</v>
      </c>
      <c r="BI1178" s="2">
        <v>46026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382.9</v>
      </c>
      <c r="BQ1178">
        <v>382.9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287.33999999999997</v>
      </c>
      <c r="CC1178" t="s">
        <v>161</v>
      </c>
    </row>
    <row r="1179" spans="1:81" x14ac:dyDescent="0.25">
      <c r="A1179">
        <v>345</v>
      </c>
      <c r="B1179">
        <v>2</v>
      </c>
      <c r="C1179">
        <v>3340</v>
      </c>
      <c r="D1179" t="s">
        <v>6709</v>
      </c>
      <c r="E1179" t="s">
        <v>121</v>
      </c>
      <c r="F1179" t="s">
        <v>6710</v>
      </c>
      <c r="G1179" t="s">
        <v>6711</v>
      </c>
      <c r="H1179" t="s">
        <v>6712</v>
      </c>
      <c r="I1179" t="s">
        <v>6713</v>
      </c>
      <c r="J1179" t="s">
        <v>1556</v>
      </c>
      <c r="K1179" t="s">
        <v>473</v>
      </c>
      <c r="L1179" t="s">
        <v>128</v>
      </c>
      <c r="M1179" t="s">
        <v>474</v>
      </c>
      <c r="N1179" t="s">
        <v>6714</v>
      </c>
      <c r="O1179" t="s">
        <v>167</v>
      </c>
      <c r="P1179">
        <v>0</v>
      </c>
      <c r="Q1179" t="s">
        <v>125</v>
      </c>
      <c r="R1179">
        <v>3</v>
      </c>
      <c r="S1179">
        <v>84</v>
      </c>
      <c r="T1179" t="s">
        <v>132</v>
      </c>
      <c r="U1179" t="s">
        <v>133</v>
      </c>
      <c r="V1179" s="1">
        <v>1000</v>
      </c>
      <c r="W1179">
        <v>46.19</v>
      </c>
      <c r="X1179">
        <v>953.81</v>
      </c>
      <c r="Y1179">
        <v>7</v>
      </c>
      <c r="Z1179">
        <v>0</v>
      </c>
      <c r="AA1179">
        <v>9</v>
      </c>
      <c r="AB1179">
        <v>1</v>
      </c>
      <c r="AC1179">
        <v>6</v>
      </c>
      <c r="AD1179" t="s">
        <v>134</v>
      </c>
      <c r="AE1179" t="s">
        <v>134</v>
      </c>
      <c r="AF1179" s="2">
        <v>45750</v>
      </c>
      <c r="AG1179" s="2">
        <v>46018</v>
      </c>
      <c r="AH1179">
        <v>324.14999999999998</v>
      </c>
      <c r="AI1179">
        <v>941.62</v>
      </c>
      <c r="AJ1179" s="1">
        <v>2593.25</v>
      </c>
      <c r="AK1179">
        <v>0</v>
      </c>
      <c r="AL1179">
        <v>46.19</v>
      </c>
      <c r="AM1179">
        <v>191.21</v>
      </c>
      <c r="AN1179" t="s">
        <v>135</v>
      </c>
      <c r="AO1179" t="s">
        <v>135</v>
      </c>
      <c r="AP1179" t="s">
        <v>136</v>
      </c>
      <c r="AQ1179" t="s">
        <v>137</v>
      </c>
      <c r="AR1179" t="s">
        <v>138</v>
      </c>
      <c r="AS1179" t="s">
        <v>139</v>
      </c>
      <c r="AT1179" t="s">
        <v>140</v>
      </c>
      <c r="AU1179">
        <v>102</v>
      </c>
      <c r="AV1179">
        <v>10</v>
      </c>
      <c r="AW1179">
        <v>1</v>
      </c>
      <c r="AX1179" s="2">
        <v>45848</v>
      </c>
      <c r="AY1179" t="s">
        <v>308</v>
      </c>
      <c r="AZ1179" s="2">
        <v>46023</v>
      </c>
      <c r="BA1179">
        <v>0</v>
      </c>
      <c r="BB1179">
        <v>0</v>
      </c>
      <c r="BC1179">
        <v>0</v>
      </c>
      <c r="BD1179">
        <v>700</v>
      </c>
      <c r="BE1179">
        <v>70</v>
      </c>
      <c r="BF1179">
        <v>9</v>
      </c>
      <c r="BG1179" s="2">
        <v>45809</v>
      </c>
      <c r="BH1179" t="s">
        <v>142</v>
      </c>
      <c r="BI1179" s="2">
        <v>46026</v>
      </c>
      <c r="BJ1179">
        <v>0</v>
      </c>
      <c r="BK1179">
        <v>0</v>
      </c>
      <c r="BL1179">
        <v>0</v>
      </c>
      <c r="BM1179">
        <v>7</v>
      </c>
      <c r="BN1179">
        <v>7</v>
      </c>
      <c r="BO1179">
        <v>706.36</v>
      </c>
      <c r="BP1179">
        <v>0</v>
      </c>
      <c r="BQ1179">
        <v>706.36</v>
      </c>
      <c r="BR1179">
        <v>550.22</v>
      </c>
      <c r="BS1179">
        <v>8.14</v>
      </c>
      <c r="BT1179">
        <v>8.01</v>
      </c>
      <c r="BU1179" s="1">
        <v>1728.51</v>
      </c>
      <c r="BV1179">
        <v>27.88</v>
      </c>
      <c r="BW1179" s="1">
        <v>1756.39</v>
      </c>
      <c r="BX1179">
        <v>46.19</v>
      </c>
      <c r="BY1179">
        <v>2.67</v>
      </c>
      <c r="BZ1179">
        <v>0</v>
      </c>
      <c r="CA1179">
        <v>0</v>
      </c>
      <c r="CB1179">
        <v>368.96</v>
      </c>
      <c r="CC1179" t="s">
        <v>161</v>
      </c>
    </row>
    <row r="1180" spans="1:81" x14ac:dyDescent="0.25">
      <c r="A1180">
        <v>345</v>
      </c>
      <c r="B1180">
        <v>2</v>
      </c>
      <c r="C1180">
        <v>3341</v>
      </c>
      <c r="D1180" t="s">
        <v>6715</v>
      </c>
      <c r="E1180" t="s">
        <v>121</v>
      </c>
      <c r="F1180" t="s">
        <v>6716</v>
      </c>
      <c r="G1180" t="s">
        <v>6717</v>
      </c>
      <c r="H1180" t="s">
        <v>6718</v>
      </c>
      <c r="I1180" t="s">
        <v>6719</v>
      </c>
      <c r="J1180" t="s">
        <v>1144</v>
      </c>
      <c r="K1180" t="s">
        <v>473</v>
      </c>
      <c r="L1180" t="s">
        <v>128</v>
      </c>
      <c r="M1180" t="s">
        <v>474</v>
      </c>
      <c r="N1180" t="s">
        <v>6720</v>
      </c>
      <c r="O1180" t="s">
        <v>167</v>
      </c>
      <c r="P1180">
        <v>0</v>
      </c>
      <c r="Q1180" t="s">
        <v>125</v>
      </c>
      <c r="R1180">
        <v>3</v>
      </c>
      <c r="S1180">
        <v>84</v>
      </c>
      <c r="T1180" t="s">
        <v>132</v>
      </c>
      <c r="U1180" t="s">
        <v>133</v>
      </c>
      <c r="V1180" s="1">
        <v>1000</v>
      </c>
      <c r="W1180">
        <v>0</v>
      </c>
      <c r="X1180" s="1">
        <v>1000</v>
      </c>
      <c r="Y1180">
        <v>7</v>
      </c>
      <c r="Z1180">
        <v>0</v>
      </c>
      <c r="AA1180">
        <v>0</v>
      </c>
      <c r="AB1180">
        <v>0</v>
      </c>
      <c r="AC1180">
        <v>0</v>
      </c>
      <c r="AD1180" t="s">
        <v>134</v>
      </c>
      <c r="AE1180" t="s">
        <v>134</v>
      </c>
      <c r="AF1180" s="2">
        <v>45750</v>
      </c>
      <c r="AG1180" s="2">
        <v>46021</v>
      </c>
      <c r="AH1180">
        <v>268.08</v>
      </c>
      <c r="AI1180" s="1">
        <v>1146</v>
      </c>
      <c r="AJ1180" s="1">
        <v>3217.02</v>
      </c>
      <c r="AK1180" s="1">
        <v>1146</v>
      </c>
      <c r="AL1180">
        <v>0</v>
      </c>
      <c r="AM1180">
        <v>0</v>
      </c>
      <c r="AN1180" t="s">
        <v>135</v>
      </c>
      <c r="AO1180" t="s">
        <v>135</v>
      </c>
      <c r="AP1180" t="s">
        <v>136</v>
      </c>
      <c r="AQ1180" t="s">
        <v>137</v>
      </c>
      <c r="AR1180" t="s">
        <v>138</v>
      </c>
      <c r="AS1180" t="s">
        <v>139</v>
      </c>
      <c r="AT1180" t="s">
        <v>140</v>
      </c>
      <c r="AU1180">
        <v>105</v>
      </c>
      <c r="AV1180">
        <v>10</v>
      </c>
      <c r="AW1180">
        <v>1</v>
      </c>
      <c r="AX1180" s="2">
        <v>45810</v>
      </c>
      <c r="AY1180" t="s">
        <v>141</v>
      </c>
      <c r="AZ1180" s="2">
        <v>46027</v>
      </c>
      <c r="BA1180">
        <v>0</v>
      </c>
      <c r="BB1180">
        <v>0</v>
      </c>
      <c r="BC1180">
        <v>0</v>
      </c>
      <c r="BD1180">
        <v>700</v>
      </c>
      <c r="BE1180">
        <v>70</v>
      </c>
      <c r="BF1180">
        <v>9</v>
      </c>
      <c r="BG1180" s="2">
        <v>45809</v>
      </c>
      <c r="BH1180" t="s">
        <v>142</v>
      </c>
      <c r="BI1180" s="2">
        <v>46026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370.42</v>
      </c>
      <c r="BQ1180">
        <v>370.42</v>
      </c>
      <c r="BR1180">
        <v>0</v>
      </c>
      <c r="BS1180">
        <v>0</v>
      </c>
      <c r="BT1180">
        <v>0</v>
      </c>
      <c r="BU1180">
        <v>0</v>
      </c>
      <c r="BV1180" s="1">
        <v>2579.41</v>
      </c>
      <c r="BW1180" s="1">
        <v>2579.41</v>
      </c>
      <c r="BX1180">
        <v>0</v>
      </c>
      <c r="BY1180">
        <v>0</v>
      </c>
      <c r="BZ1180">
        <v>0</v>
      </c>
      <c r="CA1180">
        <v>0</v>
      </c>
      <c r="CB1180">
        <v>319.45999999999998</v>
      </c>
      <c r="CC1180" t="s">
        <v>161</v>
      </c>
    </row>
    <row r="1181" spans="1:81" x14ac:dyDescent="0.25">
      <c r="A1181">
        <v>345</v>
      </c>
      <c r="B1181">
        <v>2</v>
      </c>
      <c r="C1181">
        <v>3342</v>
      </c>
      <c r="D1181" t="s">
        <v>6721</v>
      </c>
      <c r="E1181" t="s">
        <v>121</v>
      </c>
      <c r="F1181" t="s">
        <v>6722</v>
      </c>
      <c r="G1181" t="s">
        <v>6723</v>
      </c>
      <c r="H1181" t="s">
        <v>6724</v>
      </c>
      <c r="I1181" t="s">
        <v>6725</v>
      </c>
      <c r="J1181" t="s">
        <v>4569</v>
      </c>
      <c r="K1181" t="s">
        <v>473</v>
      </c>
      <c r="L1181" t="s">
        <v>128</v>
      </c>
      <c r="M1181" t="s">
        <v>6726</v>
      </c>
      <c r="N1181" t="s">
        <v>6727</v>
      </c>
      <c r="O1181" t="s">
        <v>167</v>
      </c>
      <c r="P1181">
        <v>0</v>
      </c>
      <c r="Q1181" t="s">
        <v>125</v>
      </c>
      <c r="R1181">
        <v>4</v>
      </c>
      <c r="S1181">
        <v>76</v>
      </c>
      <c r="T1181" t="s">
        <v>132</v>
      </c>
      <c r="U1181" t="s">
        <v>133</v>
      </c>
      <c r="V1181" s="1">
        <v>1000</v>
      </c>
      <c r="W1181">
        <v>998.82</v>
      </c>
      <c r="X1181">
        <v>1.18</v>
      </c>
      <c r="Y1181">
        <v>7</v>
      </c>
      <c r="Z1181">
        <v>0</v>
      </c>
      <c r="AA1181">
        <v>7</v>
      </c>
      <c r="AB1181">
        <v>1</v>
      </c>
      <c r="AC1181">
        <v>29</v>
      </c>
      <c r="AD1181" t="s">
        <v>134</v>
      </c>
      <c r="AE1181" t="s">
        <v>134</v>
      </c>
      <c r="AF1181" s="2">
        <v>45750</v>
      </c>
      <c r="AG1181" s="2">
        <v>46020</v>
      </c>
      <c r="AH1181">
        <v>700.89</v>
      </c>
      <c r="AI1181">
        <v>998.82</v>
      </c>
      <c r="AJ1181" s="1">
        <v>4906.2700000000004</v>
      </c>
      <c r="AK1181">
        <v>0</v>
      </c>
      <c r="AL1181">
        <v>998.82</v>
      </c>
      <c r="AM1181">
        <v>0</v>
      </c>
      <c r="AN1181" t="s">
        <v>135</v>
      </c>
      <c r="AO1181" t="s">
        <v>135</v>
      </c>
      <c r="AP1181" t="s">
        <v>136</v>
      </c>
      <c r="AQ1181" t="s">
        <v>137</v>
      </c>
      <c r="AR1181" t="s">
        <v>138</v>
      </c>
      <c r="AS1181" t="s">
        <v>139</v>
      </c>
      <c r="AT1181" t="s">
        <v>140</v>
      </c>
      <c r="AU1181">
        <v>105</v>
      </c>
      <c r="AV1181">
        <v>10</v>
      </c>
      <c r="AW1181">
        <v>1</v>
      </c>
      <c r="AX1181" s="2">
        <v>45815</v>
      </c>
      <c r="AY1181" t="s">
        <v>160</v>
      </c>
      <c r="AZ1181" s="2">
        <v>46025</v>
      </c>
      <c r="BA1181">
        <v>0</v>
      </c>
      <c r="BB1181">
        <v>0</v>
      </c>
      <c r="BC1181">
        <v>0</v>
      </c>
      <c r="BD1181">
        <v>700</v>
      </c>
      <c r="BE1181">
        <v>70</v>
      </c>
      <c r="BF1181">
        <v>9</v>
      </c>
      <c r="BG1181" s="2">
        <v>45809</v>
      </c>
      <c r="BH1181" t="s">
        <v>142</v>
      </c>
      <c r="BI1181" s="2">
        <v>46026</v>
      </c>
      <c r="BJ1181">
        <v>0</v>
      </c>
      <c r="BK1181">
        <v>0</v>
      </c>
      <c r="BL1181">
        <v>0</v>
      </c>
      <c r="BM1181">
        <v>7</v>
      </c>
      <c r="BN1181">
        <v>7</v>
      </c>
      <c r="BO1181">
        <v>409.08</v>
      </c>
      <c r="BP1181">
        <v>0</v>
      </c>
      <c r="BQ1181">
        <v>409.08</v>
      </c>
      <c r="BR1181">
        <v>0</v>
      </c>
      <c r="BS1181">
        <v>7</v>
      </c>
      <c r="BT1181">
        <v>7</v>
      </c>
      <c r="BU1181" s="1">
        <v>2926.1</v>
      </c>
      <c r="BV1181">
        <v>0</v>
      </c>
      <c r="BW1181" s="1">
        <v>2926.1</v>
      </c>
      <c r="BX1181">
        <v>998.82</v>
      </c>
      <c r="BY1181">
        <v>34.130000000000003</v>
      </c>
      <c r="BZ1181">
        <v>0</v>
      </c>
      <c r="CA1181">
        <v>0</v>
      </c>
      <c r="CB1181" s="1">
        <v>1352.45</v>
      </c>
      <c r="CC1181" t="s">
        <v>161</v>
      </c>
    </row>
    <row r="1182" spans="1:81" x14ac:dyDescent="0.25">
      <c r="A1182">
        <v>345</v>
      </c>
      <c r="B1182">
        <v>2</v>
      </c>
      <c r="C1182">
        <v>3343</v>
      </c>
      <c r="D1182" t="s">
        <v>6728</v>
      </c>
      <c r="E1182" t="s">
        <v>121</v>
      </c>
      <c r="F1182" t="s">
        <v>6729</v>
      </c>
      <c r="G1182" t="s">
        <v>6730</v>
      </c>
      <c r="H1182" t="s">
        <v>3042</v>
      </c>
      <c r="I1182" t="s">
        <v>6731</v>
      </c>
      <c r="J1182" t="s">
        <v>5724</v>
      </c>
      <c r="K1182" t="s">
        <v>336</v>
      </c>
      <c r="L1182" t="s">
        <v>128</v>
      </c>
      <c r="M1182" t="s">
        <v>337</v>
      </c>
      <c r="N1182" t="s">
        <v>6732</v>
      </c>
      <c r="O1182" t="s">
        <v>149</v>
      </c>
      <c r="P1182">
        <v>0</v>
      </c>
      <c r="Q1182" t="s">
        <v>125</v>
      </c>
      <c r="R1182">
        <v>3</v>
      </c>
      <c r="S1182">
        <v>86</v>
      </c>
      <c r="T1182" t="s">
        <v>132</v>
      </c>
      <c r="U1182" t="s">
        <v>133</v>
      </c>
      <c r="V1182" s="1">
        <v>1300</v>
      </c>
      <c r="W1182">
        <v>0</v>
      </c>
      <c r="X1182" s="1">
        <v>1300</v>
      </c>
      <c r="Y1182">
        <v>7</v>
      </c>
      <c r="Z1182">
        <v>0</v>
      </c>
      <c r="AA1182">
        <v>9</v>
      </c>
      <c r="AB1182">
        <v>0</v>
      </c>
      <c r="AC1182">
        <v>0</v>
      </c>
      <c r="AD1182" t="s">
        <v>134</v>
      </c>
      <c r="AE1182" t="s">
        <v>134</v>
      </c>
      <c r="AF1182" s="2">
        <v>45750</v>
      </c>
      <c r="AG1182" s="2">
        <v>46020</v>
      </c>
      <c r="AH1182">
        <v>590.72</v>
      </c>
      <c r="AI1182" s="1">
        <v>2615.91</v>
      </c>
      <c r="AJ1182" s="1">
        <v>8270.08</v>
      </c>
      <c r="AK1182">
        <v>0</v>
      </c>
      <c r="AL1182">
        <v>0</v>
      </c>
      <c r="AM1182">
        <v>0</v>
      </c>
      <c r="AN1182" t="s">
        <v>135</v>
      </c>
      <c r="AO1182" t="s">
        <v>135</v>
      </c>
      <c r="AP1182" t="s">
        <v>136</v>
      </c>
      <c r="AQ1182" t="s">
        <v>137</v>
      </c>
      <c r="AR1182" t="s">
        <v>138</v>
      </c>
      <c r="AS1182" t="s">
        <v>139</v>
      </c>
      <c r="AT1182" t="s">
        <v>140</v>
      </c>
      <c r="AU1182">
        <v>101</v>
      </c>
      <c r="AV1182">
        <v>10</v>
      </c>
      <c r="AW1182">
        <v>1</v>
      </c>
      <c r="AX1182" s="2">
        <v>45814</v>
      </c>
      <c r="AY1182" t="s">
        <v>151</v>
      </c>
      <c r="AZ1182" s="2">
        <v>46024</v>
      </c>
      <c r="BA1182">
        <v>0</v>
      </c>
      <c r="BB1182">
        <v>0</v>
      </c>
      <c r="BC1182">
        <v>0</v>
      </c>
      <c r="BD1182">
        <v>700</v>
      </c>
      <c r="BE1182">
        <v>70</v>
      </c>
      <c r="BF1182">
        <v>9</v>
      </c>
      <c r="BG1182" s="2">
        <v>45809</v>
      </c>
      <c r="BH1182" t="s">
        <v>142</v>
      </c>
      <c r="BI1182" s="2">
        <v>46026</v>
      </c>
      <c r="BJ1182">
        <v>0</v>
      </c>
      <c r="BK1182">
        <v>0</v>
      </c>
      <c r="BL1182">
        <v>0</v>
      </c>
      <c r="BM1182">
        <v>9</v>
      </c>
      <c r="BN1182">
        <v>0.34</v>
      </c>
      <c r="BO1182">
        <v>130.35</v>
      </c>
      <c r="BP1182" s="1">
        <v>3356.98</v>
      </c>
      <c r="BQ1182" s="1">
        <v>3487.33</v>
      </c>
      <c r="BR1182">
        <v>0</v>
      </c>
      <c r="BS1182">
        <v>0</v>
      </c>
      <c r="BT1182">
        <v>0</v>
      </c>
      <c r="BU1182">
        <v>0</v>
      </c>
      <c r="BV1182" s="1">
        <v>2545.92</v>
      </c>
      <c r="BW1182" s="1">
        <v>2545.92</v>
      </c>
      <c r="BX1182">
        <v>0</v>
      </c>
      <c r="BY1182">
        <v>0</v>
      </c>
      <c r="BZ1182">
        <v>0</v>
      </c>
      <c r="CA1182">
        <v>0</v>
      </c>
      <c r="CB1182" s="1">
        <v>2695.14</v>
      </c>
      <c r="CC1182" t="s">
        <v>161</v>
      </c>
    </row>
    <row r="1183" spans="1:81" x14ac:dyDescent="0.25">
      <c r="A1183">
        <v>345</v>
      </c>
      <c r="B1183">
        <v>2</v>
      </c>
      <c r="C1183">
        <v>3344</v>
      </c>
      <c r="D1183" t="s">
        <v>6733</v>
      </c>
      <c r="E1183" t="s">
        <v>121</v>
      </c>
      <c r="F1183" t="s">
        <v>6734</v>
      </c>
      <c r="G1183" t="s">
        <v>6735</v>
      </c>
      <c r="H1183" t="s">
        <v>6736</v>
      </c>
      <c r="I1183" t="s">
        <v>6737</v>
      </c>
      <c r="J1183" t="s">
        <v>4569</v>
      </c>
      <c r="K1183" t="s">
        <v>1853</v>
      </c>
      <c r="L1183" t="s">
        <v>128</v>
      </c>
      <c r="M1183" t="s">
        <v>1854</v>
      </c>
      <c r="N1183" t="s">
        <v>6738</v>
      </c>
      <c r="O1183" t="s">
        <v>1146</v>
      </c>
      <c r="P1183">
        <v>0</v>
      </c>
      <c r="Q1183" t="s">
        <v>125</v>
      </c>
      <c r="R1183">
        <v>3</v>
      </c>
      <c r="S1183">
        <v>83</v>
      </c>
      <c r="T1183" t="s">
        <v>132</v>
      </c>
      <c r="U1183" t="s">
        <v>133</v>
      </c>
      <c r="V1183" s="1">
        <v>2900</v>
      </c>
      <c r="W1183">
        <v>808.63</v>
      </c>
      <c r="X1183" s="1">
        <v>2091.37</v>
      </c>
      <c r="Y1183">
        <v>7</v>
      </c>
      <c r="Z1183">
        <v>0</v>
      </c>
      <c r="AA1183">
        <v>9</v>
      </c>
      <c r="AB1183">
        <v>0</v>
      </c>
      <c r="AC1183">
        <v>0</v>
      </c>
      <c r="AD1183" t="s">
        <v>134</v>
      </c>
      <c r="AE1183" t="s">
        <v>134</v>
      </c>
      <c r="AF1183" s="2">
        <v>45750</v>
      </c>
      <c r="AG1183" s="2">
        <v>46018</v>
      </c>
      <c r="AH1183" s="1">
        <v>1245.98</v>
      </c>
      <c r="AI1183" s="1">
        <v>3737</v>
      </c>
      <c r="AJ1183" s="1">
        <v>7475.93</v>
      </c>
      <c r="AK1183">
        <v>0</v>
      </c>
      <c r="AL1183">
        <v>808.63</v>
      </c>
      <c r="AM1183">
        <v>87.99</v>
      </c>
      <c r="AN1183" t="s">
        <v>135</v>
      </c>
      <c r="AO1183" t="s">
        <v>135</v>
      </c>
      <c r="AP1183" t="s">
        <v>136</v>
      </c>
      <c r="AQ1183" t="s">
        <v>137</v>
      </c>
      <c r="AR1183" t="s">
        <v>138</v>
      </c>
      <c r="AS1183" t="s">
        <v>139</v>
      </c>
      <c r="AT1183" t="s">
        <v>140</v>
      </c>
      <c r="AU1183">
        <v>103</v>
      </c>
      <c r="AV1183">
        <v>10</v>
      </c>
      <c r="AW1183">
        <v>1</v>
      </c>
      <c r="AX1183" s="2">
        <v>45840</v>
      </c>
      <c r="AY1183" t="s">
        <v>168</v>
      </c>
      <c r="AZ1183" s="2">
        <v>46022</v>
      </c>
      <c r="BA1183">
        <v>0</v>
      </c>
      <c r="BB1183">
        <v>0</v>
      </c>
      <c r="BC1183">
        <v>0</v>
      </c>
      <c r="BD1183">
        <v>700</v>
      </c>
      <c r="BE1183">
        <v>70</v>
      </c>
      <c r="BF1183">
        <v>9</v>
      </c>
      <c r="BG1183" s="2">
        <v>45809</v>
      </c>
      <c r="BH1183" t="s">
        <v>142</v>
      </c>
      <c r="BI1183" s="2">
        <v>46026</v>
      </c>
      <c r="BJ1183">
        <v>0</v>
      </c>
      <c r="BK1183">
        <v>0</v>
      </c>
      <c r="BL1183">
        <v>0</v>
      </c>
      <c r="BM1183">
        <v>7</v>
      </c>
      <c r="BN1183">
        <v>7</v>
      </c>
      <c r="BO1183">
        <v>961.39</v>
      </c>
      <c r="BP1183">
        <v>0</v>
      </c>
      <c r="BQ1183">
        <v>961.39</v>
      </c>
      <c r="BR1183">
        <v>711.52</v>
      </c>
      <c r="BS1183">
        <v>9</v>
      </c>
      <c r="BT1183">
        <v>9</v>
      </c>
      <c r="BU1183">
        <v>808.63</v>
      </c>
      <c r="BV1183">
        <v>0</v>
      </c>
      <c r="BW1183">
        <v>808.63</v>
      </c>
      <c r="BX1183">
        <v>808.63</v>
      </c>
      <c r="BY1183">
        <v>100</v>
      </c>
      <c r="BZ1183">
        <v>0</v>
      </c>
      <c r="CA1183">
        <v>0</v>
      </c>
      <c r="CB1183" s="1">
        <v>3281.31</v>
      </c>
      <c r="CC1183" t="s">
        <v>161</v>
      </c>
    </row>
    <row r="1184" spans="1:81" x14ac:dyDescent="0.25">
      <c r="A1184">
        <v>345</v>
      </c>
      <c r="B1184">
        <v>2</v>
      </c>
      <c r="C1184">
        <v>3345</v>
      </c>
      <c r="D1184" t="s">
        <v>6739</v>
      </c>
      <c r="E1184" t="s">
        <v>121</v>
      </c>
      <c r="F1184" t="s">
        <v>6740</v>
      </c>
      <c r="G1184" t="s">
        <v>6741</v>
      </c>
      <c r="H1184" t="s">
        <v>6742</v>
      </c>
      <c r="I1184" t="s">
        <v>6743</v>
      </c>
      <c r="J1184" t="s">
        <v>1263</v>
      </c>
      <c r="K1184" t="s">
        <v>466</v>
      </c>
      <c r="L1184" t="s">
        <v>128</v>
      </c>
      <c r="M1184" t="s">
        <v>467</v>
      </c>
      <c r="N1184" t="s">
        <v>6744</v>
      </c>
      <c r="O1184" t="s">
        <v>1146</v>
      </c>
      <c r="P1184">
        <v>0</v>
      </c>
      <c r="Q1184" t="s">
        <v>125</v>
      </c>
      <c r="R1184">
        <v>4</v>
      </c>
      <c r="S1184">
        <v>80</v>
      </c>
      <c r="T1184" t="s">
        <v>132</v>
      </c>
      <c r="U1184" t="s">
        <v>133</v>
      </c>
      <c r="V1184" s="1">
        <v>1500</v>
      </c>
      <c r="W1184">
        <v>0</v>
      </c>
      <c r="X1184" s="1">
        <v>1500</v>
      </c>
      <c r="Y1184">
        <v>7</v>
      </c>
      <c r="Z1184">
        <v>0</v>
      </c>
      <c r="AA1184">
        <v>0</v>
      </c>
      <c r="AB1184">
        <v>0</v>
      </c>
      <c r="AC1184">
        <v>0</v>
      </c>
      <c r="AD1184" t="s">
        <v>234</v>
      </c>
      <c r="AE1184" t="s">
        <v>134</v>
      </c>
      <c r="AF1184" s="2">
        <v>45750</v>
      </c>
      <c r="AG1184" s="2">
        <v>46017</v>
      </c>
      <c r="AH1184">
        <v>755.15</v>
      </c>
      <c r="AI1184" s="1">
        <v>1507.72</v>
      </c>
      <c r="AJ1184" s="1">
        <v>9061.91</v>
      </c>
      <c r="AK1184">
        <v>0</v>
      </c>
      <c r="AL1184">
        <v>0</v>
      </c>
      <c r="AM1184">
        <v>0</v>
      </c>
      <c r="AN1184" t="s">
        <v>135</v>
      </c>
      <c r="AO1184" t="s">
        <v>135</v>
      </c>
      <c r="AP1184" t="s">
        <v>136</v>
      </c>
      <c r="AQ1184" t="s">
        <v>137</v>
      </c>
      <c r="AR1184" t="s">
        <v>138</v>
      </c>
      <c r="AS1184" t="s">
        <v>150</v>
      </c>
      <c r="AT1184" t="s">
        <v>140</v>
      </c>
      <c r="AU1184">
        <v>106</v>
      </c>
      <c r="AV1184">
        <v>10</v>
      </c>
      <c r="AW1184">
        <v>1</v>
      </c>
      <c r="AX1184" s="2">
        <v>45757</v>
      </c>
      <c r="AY1184" t="s">
        <v>308</v>
      </c>
      <c r="AZ1184" s="2">
        <v>46023</v>
      </c>
      <c r="BA1184">
        <v>0</v>
      </c>
      <c r="BB1184">
        <v>0</v>
      </c>
      <c r="BC1184">
        <v>0</v>
      </c>
      <c r="BD1184">
        <v>700</v>
      </c>
      <c r="BE1184">
        <v>70</v>
      </c>
      <c r="BF1184">
        <v>9</v>
      </c>
      <c r="BG1184" s="2">
        <v>45809</v>
      </c>
      <c r="BH1184" t="s">
        <v>142</v>
      </c>
      <c r="BI1184" s="2">
        <v>46026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 s="1">
        <v>3373.16</v>
      </c>
      <c r="BQ1184" s="1">
        <v>3373.16</v>
      </c>
      <c r="BR1184">
        <v>0</v>
      </c>
      <c r="BS1184">
        <v>0</v>
      </c>
      <c r="BT1184">
        <v>0</v>
      </c>
      <c r="BU1184">
        <v>0</v>
      </c>
      <c r="BV1184" s="1">
        <v>3305.51</v>
      </c>
      <c r="BW1184" s="1">
        <v>3305.51</v>
      </c>
      <c r="BX1184">
        <v>0</v>
      </c>
      <c r="BY1184">
        <v>0</v>
      </c>
      <c r="BZ1184">
        <v>0</v>
      </c>
      <c r="CA1184">
        <v>0</v>
      </c>
      <c r="CB1184" s="1">
        <v>2659.5</v>
      </c>
      <c r="CC1184" t="s">
        <v>161</v>
      </c>
    </row>
    <row r="1185" spans="1:81" x14ac:dyDescent="0.25">
      <c r="A1185">
        <v>345</v>
      </c>
      <c r="B1185">
        <v>2</v>
      </c>
      <c r="C1185">
        <v>3347</v>
      </c>
      <c r="D1185" t="s">
        <v>6745</v>
      </c>
      <c r="E1185" t="s">
        <v>121</v>
      </c>
      <c r="F1185" t="s">
        <v>6746</v>
      </c>
      <c r="G1185" t="s">
        <v>6747</v>
      </c>
      <c r="H1185" t="s">
        <v>6748</v>
      </c>
      <c r="I1185" t="s">
        <v>6749</v>
      </c>
      <c r="J1185" t="s">
        <v>375</v>
      </c>
      <c r="K1185" t="s">
        <v>336</v>
      </c>
      <c r="L1185" t="s">
        <v>128</v>
      </c>
      <c r="M1185" t="s">
        <v>337</v>
      </c>
      <c r="N1185" t="s">
        <v>6750</v>
      </c>
      <c r="O1185" t="s">
        <v>131</v>
      </c>
      <c r="P1185">
        <v>0</v>
      </c>
      <c r="Q1185" t="s">
        <v>125</v>
      </c>
      <c r="R1185">
        <v>3</v>
      </c>
      <c r="S1185">
        <v>85</v>
      </c>
      <c r="T1185" t="s">
        <v>132</v>
      </c>
      <c r="U1185" t="s">
        <v>133</v>
      </c>
      <c r="V1185" s="1">
        <v>1000</v>
      </c>
      <c r="W1185">
        <v>0</v>
      </c>
      <c r="X1185" s="1">
        <v>1000</v>
      </c>
      <c r="Y1185">
        <v>7</v>
      </c>
      <c r="Z1185">
        <v>0</v>
      </c>
      <c r="AA1185">
        <v>5</v>
      </c>
      <c r="AB1185">
        <v>0</v>
      </c>
      <c r="AC1185">
        <v>0</v>
      </c>
      <c r="AD1185" t="s">
        <v>134</v>
      </c>
      <c r="AE1185" t="s">
        <v>134</v>
      </c>
      <c r="AF1185" s="2">
        <v>45752</v>
      </c>
      <c r="AG1185" s="2">
        <v>46015</v>
      </c>
      <c r="AH1185">
        <v>202.72</v>
      </c>
      <c r="AI1185">
        <v>318.25</v>
      </c>
      <c r="AJ1185" s="1">
        <v>2635.43</v>
      </c>
      <c r="AK1185">
        <v>0</v>
      </c>
      <c r="AL1185">
        <v>0</v>
      </c>
      <c r="AM1185">
        <v>0</v>
      </c>
      <c r="AN1185" t="s">
        <v>135</v>
      </c>
      <c r="AO1185" t="s">
        <v>135</v>
      </c>
      <c r="AP1185" t="s">
        <v>136</v>
      </c>
      <c r="AQ1185" t="s">
        <v>137</v>
      </c>
      <c r="AR1185" t="s">
        <v>138</v>
      </c>
      <c r="AS1185" t="s">
        <v>150</v>
      </c>
      <c r="AT1185" t="s">
        <v>140</v>
      </c>
      <c r="AU1185">
        <v>101</v>
      </c>
      <c r="AV1185">
        <v>10</v>
      </c>
      <c r="AW1185">
        <v>1</v>
      </c>
      <c r="AX1185" s="2">
        <v>45874</v>
      </c>
      <c r="AY1185" t="s">
        <v>377</v>
      </c>
      <c r="AZ1185" s="2">
        <v>46028</v>
      </c>
      <c r="BA1185">
        <v>0</v>
      </c>
      <c r="BB1185">
        <v>0</v>
      </c>
      <c r="BC1185">
        <v>0</v>
      </c>
      <c r="BD1185">
        <v>700</v>
      </c>
      <c r="BE1185">
        <v>70</v>
      </c>
      <c r="BF1185">
        <v>9</v>
      </c>
      <c r="BG1185" s="2">
        <v>45809</v>
      </c>
      <c r="BH1185" t="s">
        <v>142</v>
      </c>
      <c r="BI1185" s="2">
        <v>46026</v>
      </c>
      <c r="BJ1185">
        <v>0</v>
      </c>
      <c r="BK1185">
        <v>0</v>
      </c>
      <c r="BL1185">
        <v>0</v>
      </c>
      <c r="BM1185">
        <v>2.76</v>
      </c>
      <c r="BN1185">
        <v>2.23</v>
      </c>
      <c r="BO1185">
        <v>607.16999999999996</v>
      </c>
      <c r="BP1185">
        <v>142.9</v>
      </c>
      <c r="BQ1185">
        <v>750.07</v>
      </c>
      <c r="BR1185">
        <v>0</v>
      </c>
      <c r="BS1185">
        <v>5</v>
      </c>
      <c r="BT1185">
        <v>5</v>
      </c>
      <c r="BU1185">
        <v>984.31</v>
      </c>
      <c r="BV1185">
        <v>0</v>
      </c>
      <c r="BW1185">
        <v>984.31</v>
      </c>
      <c r="BX1185">
        <v>0</v>
      </c>
      <c r="BY1185">
        <v>0</v>
      </c>
      <c r="BZ1185">
        <v>0</v>
      </c>
      <c r="CA1185">
        <v>0</v>
      </c>
      <c r="CB1185">
        <v>861.83</v>
      </c>
      <c r="CC1185" t="s">
        <v>161</v>
      </c>
    </row>
    <row r="1186" spans="1:81" x14ac:dyDescent="0.25">
      <c r="A1186">
        <v>345</v>
      </c>
      <c r="B1186">
        <v>2</v>
      </c>
      <c r="C1186">
        <v>3348</v>
      </c>
      <c r="D1186" t="s">
        <v>6751</v>
      </c>
      <c r="E1186" t="s">
        <v>121</v>
      </c>
      <c r="F1186" t="s">
        <v>6752</v>
      </c>
      <c r="G1186" t="s">
        <v>6753</v>
      </c>
      <c r="H1186" t="s">
        <v>6754</v>
      </c>
      <c r="I1186" t="s">
        <v>6755</v>
      </c>
      <c r="J1186" t="s">
        <v>6756</v>
      </c>
      <c r="K1186" t="s">
        <v>1853</v>
      </c>
      <c r="L1186" t="s">
        <v>128</v>
      </c>
      <c r="M1186" t="s">
        <v>1854</v>
      </c>
      <c r="N1186" t="s">
        <v>6757</v>
      </c>
      <c r="O1186" t="s">
        <v>131</v>
      </c>
      <c r="P1186">
        <v>0</v>
      </c>
      <c r="Q1186" t="s">
        <v>125</v>
      </c>
      <c r="R1186">
        <v>4</v>
      </c>
      <c r="S1186">
        <v>81</v>
      </c>
      <c r="T1186" t="s">
        <v>132</v>
      </c>
      <c r="U1186" t="s">
        <v>133</v>
      </c>
      <c r="V1186" s="1">
        <v>1000</v>
      </c>
      <c r="W1186">
        <v>0</v>
      </c>
      <c r="X1186" s="1">
        <v>1000</v>
      </c>
      <c r="Y1186">
        <v>7</v>
      </c>
      <c r="Z1186">
        <v>0</v>
      </c>
      <c r="AA1186">
        <v>5</v>
      </c>
      <c r="AB1186">
        <v>0</v>
      </c>
      <c r="AC1186">
        <v>11</v>
      </c>
      <c r="AD1186" t="s">
        <v>134</v>
      </c>
      <c r="AE1186" t="s">
        <v>134</v>
      </c>
      <c r="AF1186" s="2">
        <v>45752</v>
      </c>
      <c r="AG1186" s="2">
        <v>46008</v>
      </c>
      <c r="AH1186">
        <v>151.11000000000001</v>
      </c>
      <c r="AI1186">
        <v>158.63999999999999</v>
      </c>
      <c r="AJ1186">
        <v>302.23</v>
      </c>
      <c r="AK1186">
        <v>0</v>
      </c>
      <c r="AL1186">
        <v>0</v>
      </c>
      <c r="AM1186">
        <v>0</v>
      </c>
      <c r="AN1186" t="s">
        <v>135</v>
      </c>
      <c r="AO1186" t="s">
        <v>135</v>
      </c>
      <c r="AP1186" t="s">
        <v>136</v>
      </c>
      <c r="AQ1186" t="s">
        <v>137</v>
      </c>
      <c r="AR1186" t="s">
        <v>138</v>
      </c>
      <c r="AS1186" t="s">
        <v>139</v>
      </c>
      <c r="AT1186" t="s">
        <v>140</v>
      </c>
      <c r="AU1186">
        <v>103</v>
      </c>
      <c r="AV1186">
        <v>10</v>
      </c>
      <c r="AW1186">
        <v>1</v>
      </c>
      <c r="AX1186" s="2">
        <v>45867</v>
      </c>
      <c r="AY1186" t="s">
        <v>377</v>
      </c>
      <c r="AZ1186" s="2">
        <v>46028</v>
      </c>
      <c r="BA1186">
        <v>0</v>
      </c>
      <c r="BB1186">
        <v>0</v>
      </c>
      <c r="BC1186">
        <v>0</v>
      </c>
      <c r="BD1186">
        <v>700</v>
      </c>
      <c r="BE1186">
        <v>70</v>
      </c>
      <c r="BF1186">
        <v>9</v>
      </c>
      <c r="BG1186" s="2">
        <v>45809</v>
      </c>
      <c r="BH1186" t="s">
        <v>142</v>
      </c>
      <c r="BI1186" s="2">
        <v>46026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158.63999999999999</v>
      </c>
      <c r="BW1186">
        <v>158.63999999999999</v>
      </c>
      <c r="BX1186">
        <v>0</v>
      </c>
      <c r="BY1186">
        <v>0</v>
      </c>
      <c r="BZ1186">
        <v>0</v>
      </c>
      <c r="CA1186">
        <v>0</v>
      </c>
      <c r="CB1186">
        <v>296.99</v>
      </c>
      <c r="CC1186" t="s">
        <v>161</v>
      </c>
    </row>
    <row r="1187" spans="1:81" x14ac:dyDescent="0.25">
      <c r="A1187">
        <v>345</v>
      </c>
      <c r="B1187">
        <v>2</v>
      </c>
      <c r="C1187">
        <v>3350</v>
      </c>
      <c r="D1187" t="s">
        <v>6758</v>
      </c>
      <c r="E1187" t="s">
        <v>121</v>
      </c>
      <c r="F1187" t="s">
        <v>6759</v>
      </c>
      <c r="G1187" t="s">
        <v>6760</v>
      </c>
      <c r="H1187" t="s">
        <v>6410</v>
      </c>
      <c r="I1187" t="s">
        <v>6761</v>
      </c>
      <c r="J1187" t="s">
        <v>126</v>
      </c>
      <c r="K1187" t="s">
        <v>473</v>
      </c>
      <c r="L1187" t="s">
        <v>128</v>
      </c>
      <c r="M1187" t="s">
        <v>474</v>
      </c>
      <c r="N1187" t="s">
        <v>6762</v>
      </c>
      <c r="O1187" t="s">
        <v>167</v>
      </c>
      <c r="P1187">
        <v>0</v>
      </c>
      <c r="Q1187" t="s">
        <v>125</v>
      </c>
      <c r="R1187">
        <v>3</v>
      </c>
      <c r="S1187">
        <v>82</v>
      </c>
      <c r="T1187" t="s">
        <v>132</v>
      </c>
      <c r="U1187" t="s">
        <v>133</v>
      </c>
      <c r="V1187" s="1">
        <v>1800</v>
      </c>
      <c r="W1187">
        <v>0</v>
      </c>
      <c r="X1187" s="1">
        <v>1800</v>
      </c>
      <c r="Y1187">
        <v>7</v>
      </c>
      <c r="Z1187">
        <v>0</v>
      </c>
      <c r="AA1187">
        <v>0</v>
      </c>
      <c r="AB1187">
        <v>0</v>
      </c>
      <c r="AC1187">
        <v>0</v>
      </c>
      <c r="AD1187" t="s">
        <v>134</v>
      </c>
      <c r="AE1187" t="s">
        <v>134</v>
      </c>
      <c r="AF1187" s="2">
        <v>45752</v>
      </c>
      <c r="AG1187" s="2">
        <v>46017</v>
      </c>
      <c r="AH1187">
        <v>940.74</v>
      </c>
      <c r="AI1187" s="1">
        <v>1222.8900000000001</v>
      </c>
      <c r="AJ1187" s="1">
        <v>7525.93</v>
      </c>
      <c r="AK1187">
        <v>0</v>
      </c>
      <c r="AL1187">
        <v>0</v>
      </c>
      <c r="AM1187">
        <v>0</v>
      </c>
      <c r="AN1187" t="s">
        <v>135</v>
      </c>
      <c r="AO1187" t="s">
        <v>135</v>
      </c>
      <c r="AP1187" t="s">
        <v>136</v>
      </c>
      <c r="AQ1187" t="s">
        <v>137</v>
      </c>
      <c r="AR1187" t="s">
        <v>138</v>
      </c>
      <c r="AS1187" t="s">
        <v>139</v>
      </c>
      <c r="AT1187" t="s">
        <v>140</v>
      </c>
      <c r="AU1187">
        <v>105</v>
      </c>
      <c r="AV1187">
        <v>10</v>
      </c>
      <c r="AW1187">
        <v>1</v>
      </c>
      <c r="AX1187" s="2">
        <v>45811</v>
      </c>
      <c r="AY1187" t="s">
        <v>377</v>
      </c>
      <c r="AZ1187" s="2">
        <v>46028</v>
      </c>
      <c r="BA1187">
        <v>0</v>
      </c>
      <c r="BB1187">
        <v>0</v>
      </c>
      <c r="BC1187">
        <v>0</v>
      </c>
      <c r="BD1187">
        <v>700</v>
      </c>
      <c r="BE1187">
        <v>70</v>
      </c>
      <c r="BF1187">
        <v>9</v>
      </c>
      <c r="BG1187" s="2">
        <v>45809</v>
      </c>
      <c r="BH1187" t="s">
        <v>142</v>
      </c>
      <c r="BI1187" s="2">
        <v>46026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 s="1">
        <v>1853.19</v>
      </c>
      <c r="BQ1187" s="1">
        <v>1853.19</v>
      </c>
      <c r="BR1187">
        <v>0</v>
      </c>
      <c r="BS1187">
        <v>0</v>
      </c>
      <c r="BT1187">
        <v>0</v>
      </c>
      <c r="BU1187">
        <v>0</v>
      </c>
      <c r="BV1187" s="1">
        <v>2927.86</v>
      </c>
      <c r="BW1187" s="1">
        <v>2927.86</v>
      </c>
      <c r="BX1187">
        <v>0</v>
      </c>
      <c r="BY1187">
        <v>0</v>
      </c>
      <c r="BZ1187">
        <v>0</v>
      </c>
      <c r="CA1187">
        <v>0</v>
      </c>
      <c r="CB1187" s="1">
        <v>2315.85</v>
      </c>
      <c r="CC1187" t="s">
        <v>143</v>
      </c>
    </row>
    <row r="1188" spans="1:81" x14ac:dyDescent="0.25">
      <c r="A1188">
        <v>345</v>
      </c>
      <c r="B1188">
        <v>2</v>
      </c>
      <c r="C1188">
        <v>3351</v>
      </c>
      <c r="D1188" t="s">
        <v>6763</v>
      </c>
      <c r="E1188" t="s">
        <v>121</v>
      </c>
      <c r="F1188" t="s">
        <v>6764</v>
      </c>
      <c r="G1188" t="s">
        <v>6765</v>
      </c>
      <c r="H1188" t="s">
        <v>6766</v>
      </c>
      <c r="I1188" t="s">
        <v>6767</v>
      </c>
      <c r="J1188" t="s">
        <v>126</v>
      </c>
      <c r="K1188" t="s">
        <v>473</v>
      </c>
      <c r="L1188" t="s">
        <v>128</v>
      </c>
      <c r="M1188" t="s">
        <v>474</v>
      </c>
      <c r="N1188" t="s">
        <v>6768</v>
      </c>
      <c r="O1188" t="s">
        <v>167</v>
      </c>
      <c r="P1188">
        <v>0</v>
      </c>
      <c r="Q1188" t="s">
        <v>125</v>
      </c>
      <c r="R1188">
        <v>3</v>
      </c>
      <c r="S1188">
        <v>83</v>
      </c>
      <c r="T1188" t="s">
        <v>132</v>
      </c>
      <c r="U1188" t="s">
        <v>133</v>
      </c>
      <c r="V1188" s="1">
        <v>1000</v>
      </c>
      <c r="W1188">
        <v>0</v>
      </c>
      <c r="X1188" s="1">
        <v>1000</v>
      </c>
      <c r="Y1188">
        <v>7</v>
      </c>
      <c r="Z1188">
        <v>0</v>
      </c>
      <c r="AA1188">
        <v>0</v>
      </c>
      <c r="AB1188">
        <v>0</v>
      </c>
      <c r="AC1188">
        <v>0</v>
      </c>
      <c r="AD1188" t="s">
        <v>134</v>
      </c>
      <c r="AE1188" t="s">
        <v>134</v>
      </c>
      <c r="AF1188" s="2">
        <v>45752</v>
      </c>
      <c r="AG1188" s="2">
        <v>46008</v>
      </c>
      <c r="AH1188">
        <v>112.7</v>
      </c>
      <c r="AI1188">
        <v>153.69999999999999</v>
      </c>
      <c r="AJ1188">
        <v>338.11</v>
      </c>
      <c r="AK1188">
        <v>0</v>
      </c>
      <c r="AL1188">
        <v>153.69999999999999</v>
      </c>
      <c r="AM1188">
        <v>0</v>
      </c>
      <c r="AN1188" t="s">
        <v>135</v>
      </c>
      <c r="AO1188" t="s">
        <v>135</v>
      </c>
      <c r="AP1188" t="s">
        <v>136</v>
      </c>
      <c r="AQ1188" t="s">
        <v>137</v>
      </c>
      <c r="AR1188" t="s">
        <v>138</v>
      </c>
      <c r="AS1188" t="s">
        <v>139</v>
      </c>
      <c r="AT1188" t="s">
        <v>140</v>
      </c>
      <c r="AU1188">
        <v>105</v>
      </c>
      <c r="AV1188">
        <v>10</v>
      </c>
      <c r="AW1188">
        <v>1</v>
      </c>
      <c r="AX1188" s="2">
        <v>45811</v>
      </c>
      <c r="AY1188" t="s">
        <v>377</v>
      </c>
      <c r="AZ1188" s="2">
        <v>46028</v>
      </c>
      <c r="BA1188">
        <v>0</v>
      </c>
      <c r="BB1188">
        <v>0</v>
      </c>
      <c r="BC1188">
        <v>0</v>
      </c>
      <c r="BD1188">
        <v>700</v>
      </c>
      <c r="BE1188">
        <v>70</v>
      </c>
      <c r="BF1188">
        <v>9</v>
      </c>
      <c r="BG1188" s="2">
        <v>45809</v>
      </c>
      <c r="BH1188" t="s">
        <v>142</v>
      </c>
      <c r="BI1188" s="2">
        <v>46026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243.91</v>
      </c>
      <c r="BW1188">
        <v>243.91</v>
      </c>
      <c r="BX1188">
        <v>0</v>
      </c>
      <c r="BY1188">
        <v>0</v>
      </c>
      <c r="BZ1188">
        <v>0</v>
      </c>
      <c r="CA1188">
        <v>0</v>
      </c>
      <c r="CB1188">
        <v>69.599999999999994</v>
      </c>
      <c r="CC1188" t="s">
        <v>161</v>
      </c>
    </row>
    <row r="1189" spans="1:81" x14ac:dyDescent="0.25">
      <c r="A1189">
        <v>345</v>
      </c>
      <c r="B1189">
        <v>2</v>
      </c>
      <c r="C1189">
        <v>3352</v>
      </c>
      <c r="D1189" t="s">
        <v>6769</v>
      </c>
      <c r="E1189" t="s">
        <v>121</v>
      </c>
      <c r="F1189" t="s">
        <v>6770</v>
      </c>
      <c r="G1189" t="s">
        <v>6771</v>
      </c>
      <c r="H1189" t="s">
        <v>6772</v>
      </c>
      <c r="I1189" t="s">
        <v>6773</v>
      </c>
      <c r="J1189" t="s">
        <v>6774</v>
      </c>
      <c r="K1189" t="s">
        <v>473</v>
      </c>
      <c r="L1189" t="s">
        <v>128</v>
      </c>
      <c r="M1189" t="s">
        <v>474</v>
      </c>
      <c r="N1189" t="s">
        <v>6775</v>
      </c>
      <c r="O1189" t="s">
        <v>201</v>
      </c>
      <c r="P1189">
        <v>0</v>
      </c>
      <c r="Q1189" t="s">
        <v>125</v>
      </c>
      <c r="R1189">
        <v>3</v>
      </c>
      <c r="S1189">
        <v>84</v>
      </c>
      <c r="T1189" t="s">
        <v>132</v>
      </c>
      <c r="U1189" t="s">
        <v>133</v>
      </c>
      <c r="V1189" s="1">
        <v>1200</v>
      </c>
      <c r="W1189">
        <v>0</v>
      </c>
      <c r="X1189" s="1">
        <v>1200</v>
      </c>
      <c r="Y1189">
        <v>7</v>
      </c>
      <c r="Z1189">
        <v>0</v>
      </c>
      <c r="AA1189">
        <v>0</v>
      </c>
      <c r="AB1189">
        <v>0</v>
      </c>
      <c r="AC1189">
        <v>0</v>
      </c>
      <c r="AD1189" t="s">
        <v>134</v>
      </c>
      <c r="AE1189" t="s">
        <v>134</v>
      </c>
      <c r="AF1189" s="2">
        <v>45752</v>
      </c>
      <c r="AG1189" s="2">
        <v>46017</v>
      </c>
      <c r="AH1189">
        <v>650.87</v>
      </c>
      <c r="AI1189" s="1">
        <v>1037.26</v>
      </c>
      <c r="AJ1189" s="1">
        <v>3905.23</v>
      </c>
      <c r="AK1189">
        <v>0</v>
      </c>
      <c r="AL1189">
        <v>0</v>
      </c>
      <c r="AM1189">
        <v>0</v>
      </c>
      <c r="AN1189" t="s">
        <v>135</v>
      </c>
      <c r="AO1189" t="s">
        <v>135</v>
      </c>
      <c r="AP1189" t="s">
        <v>136</v>
      </c>
      <c r="AQ1189" t="s">
        <v>137</v>
      </c>
      <c r="AR1189" t="s">
        <v>138</v>
      </c>
      <c r="AS1189" t="s">
        <v>139</v>
      </c>
      <c r="AT1189" t="s">
        <v>140</v>
      </c>
      <c r="AU1189">
        <v>105</v>
      </c>
      <c r="AV1189">
        <v>10</v>
      </c>
      <c r="AW1189">
        <v>1</v>
      </c>
      <c r="AX1189" s="2">
        <v>45811</v>
      </c>
      <c r="AY1189" t="s">
        <v>377</v>
      </c>
      <c r="AZ1189" s="2">
        <v>46028</v>
      </c>
      <c r="BA1189">
        <v>0</v>
      </c>
      <c r="BB1189">
        <v>0</v>
      </c>
      <c r="BC1189">
        <v>0</v>
      </c>
      <c r="BD1189">
        <v>700</v>
      </c>
      <c r="BE1189">
        <v>70</v>
      </c>
      <c r="BF1189">
        <v>9</v>
      </c>
      <c r="BG1189" s="2">
        <v>45809</v>
      </c>
      <c r="BH1189" t="s">
        <v>142</v>
      </c>
      <c r="BI1189" s="2">
        <v>46026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 s="1">
        <v>1088.69</v>
      </c>
      <c r="BQ1189" s="1">
        <v>1088.69</v>
      </c>
      <c r="BR1189">
        <v>0</v>
      </c>
      <c r="BS1189">
        <v>0</v>
      </c>
      <c r="BT1189">
        <v>0</v>
      </c>
      <c r="BU1189">
        <v>0</v>
      </c>
      <c r="BV1189" s="1">
        <v>2138.25</v>
      </c>
      <c r="BW1189" s="1">
        <v>2138.25</v>
      </c>
      <c r="BX1189">
        <v>0</v>
      </c>
      <c r="BY1189">
        <v>0</v>
      </c>
      <c r="BZ1189">
        <v>0</v>
      </c>
      <c r="CA1189">
        <v>0</v>
      </c>
      <c r="CB1189">
        <v>922.98</v>
      </c>
      <c r="CC1189" t="s">
        <v>161</v>
      </c>
    </row>
    <row r="1190" spans="1:81" x14ac:dyDescent="0.25">
      <c r="A1190">
        <v>345</v>
      </c>
      <c r="B1190">
        <v>2</v>
      </c>
      <c r="C1190">
        <v>3354</v>
      </c>
      <c r="D1190" t="s">
        <v>6776</v>
      </c>
      <c r="E1190" t="s">
        <v>121</v>
      </c>
      <c r="F1190" t="s">
        <v>6777</v>
      </c>
      <c r="G1190" t="s">
        <v>6778</v>
      </c>
      <c r="H1190" t="s">
        <v>6779</v>
      </c>
      <c r="I1190" t="s">
        <v>6780</v>
      </c>
      <c r="J1190" t="s">
        <v>126</v>
      </c>
      <c r="K1190" t="s">
        <v>473</v>
      </c>
      <c r="L1190" t="s">
        <v>128</v>
      </c>
      <c r="M1190" t="s">
        <v>474</v>
      </c>
      <c r="N1190" t="s">
        <v>6781</v>
      </c>
      <c r="O1190" t="s">
        <v>195</v>
      </c>
      <c r="P1190">
        <v>0</v>
      </c>
      <c r="Q1190" t="s">
        <v>125</v>
      </c>
      <c r="R1190">
        <v>3</v>
      </c>
      <c r="S1190">
        <v>82</v>
      </c>
      <c r="T1190" t="s">
        <v>132</v>
      </c>
      <c r="U1190" t="s">
        <v>133</v>
      </c>
      <c r="V1190" s="1">
        <v>1000</v>
      </c>
      <c r="W1190">
        <v>0</v>
      </c>
      <c r="X1190" s="1">
        <v>1000</v>
      </c>
      <c r="Y1190">
        <v>7</v>
      </c>
      <c r="Z1190">
        <v>0</v>
      </c>
      <c r="AA1190">
        <v>0</v>
      </c>
      <c r="AB1190">
        <v>0</v>
      </c>
      <c r="AC1190">
        <v>0</v>
      </c>
      <c r="AD1190" t="s">
        <v>134</v>
      </c>
      <c r="AE1190" t="s">
        <v>134</v>
      </c>
      <c r="AF1190" s="2">
        <v>45752</v>
      </c>
      <c r="AG1190" s="2">
        <v>46008</v>
      </c>
      <c r="AH1190">
        <v>429.47</v>
      </c>
      <c r="AI1190">
        <v>724.61</v>
      </c>
      <c r="AJ1190" s="1">
        <v>2147.35</v>
      </c>
      <c r="AK1190">
        <v>0</v>
      </c>
      <c r="AL1190">
        <v>0</v>
      </c>
      <c r="AM1190">
        <v>0</v>
      </c>
      <c r="AN1190" t="s">
        <v>135</v>
      </c>
      <c r="AO1190" t="s">
        <v>135</v>
      </c>
      <c r="AP1190" t="s">
        <v>136</v>
      </c>
      <c r="AQ1190" t="s">
        <v>137</v>
      </c>
      <c r="AR1190" t="s">
        <v>138</v>
      </c>
      <c r="AS1190" t="s">
        <v>139</v>
      </c>
      <c r="AT1190" t="s">
        <v>140</v>
      </c>
      <c r="AU1190">
        <v>105</v>
      </c>
      <c r="AV1190">
        <v>10</v>
      </c>
      <c r="AW1190">
        <v>1</v>
      </c>
      <c r="AX1190" s="2">
        <v>45811</v>
      </c>
      <c r="AY1190" t="s">
        <v>377</v>
      </c>
      <c r="AZ1190" s="2">
        <v>46028</v>
      </c>
      <c r="BA1190">
        <v>0</v>
      </c>
      <c r="BB1190">
        <v>0</v>
      </c>
      <c r="BC1190">
        <v>0</v>
      </c>
      <c r="BD1190">
        <v>700</v>
      </c>
      <c r="BE1190">
        <v>70</v>
      </c>
      <c r="BF1190">
        <v>9</v>
      </c>
      <c r="BG1190" s="2">
        <v>45809</v>
      </c>
      <c r="BH1190" t="s">
        <v>142</v>
      </c>
      <c r="BI1190" s="2">
        <v>46026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449.64</v>
      </c>
      <c r="BQ1190">
        <v>449.64</v>
      </c>
      <c r="BR1190">
        <v>0</v>
      </c>
      <c r="BS1190">
        <v>0</v>
      </c>
      <c r="BT1190">
        <v>0</v>
      </c>
      <c r="BU1190">
        <v>0</v>
      </c>
      <c r="BV1190">
        <v>724.61</v>
      </c>
      <c r="BW1190">
        <v>724.61</v>
      </c>
      <c r="BX1190">
        <v>0</v>
      </c>
      <c r="BY1190">
        <v>0</v>
      </c>
      <c r="BZ1190">
        <v>0</v>
      </c>
      <c r="CA1190">
        <v>0</v>
      </c>
      <c r="CB1190">
        <v>536.86</v>
      </c>
      <c r="CC1190" t="s">
        <v>161</v>
      </c>
    </row>
    <row r="1191" spans="1:81" x14ac:dyDescent="0.25">
      <c r="A1191">
        <v>345</v>
      </c>
      <c r="B1191">
        <v>2</v>
      </c>
      <c r="C1191">
        <v>3355</v>
      </c>
      <c r="D1191" t="s">
        <v>6782</v>
      </c>
      <c r="E1191" t="s">
        <v>121</v>
      </c>
      <c r="F1191" t="s">
        <v>6783</v>
      </c>
      <c r="G1191" t="s">
        <v>6784</v>
      </c>
      <c r="H1191" t="s">
        <v>6785</v>
      </c>
      <c r="I1191" t="s">
        <v>6786</v>
      </c>
      <c r="J1191" t="s">
        <v>217</v>
      </c>
      <c r="K1191" t="s">
        <v>336</v>
      </c>
      <c r="L1191" t="s">
        <v>128</v>
      </c>
      <c r="M1191" t="s">
        <v>337</v>
      </c>
      <c r="N1191" t="s">
        <v>6787</v>
      </c>
      <c r="O1191" t="s">
        <v>167</v>
      </c>
      <c r="P1191">
        <v>0</v>
      </c>
      <c r="Q1191" t="s">
        <v>125</v>
      </c>
      <c r="R1191">
        <v>4</v>
      </c>
      <c r="S1191">
        <v>81</v>
      </c>
      <c r="T1191" t="s">
        <v>132</v>
      </c>
      <c r="U1191" t="s">
        <v>133</v>
      </c>
      <c r="V1191" s="1">
        <v>1500</v>
      </c>
      <c r="W1191">
        <v>786.73</v>
      </c>
      <c r="X1191">
        <v>713.27</v>
      </c>
      <c r="Y1191">
        <v>7</v>
      </c>
      <c r="Z1191">
        <v>0</v>
      </c>
      <c r="AA1191">
        <v>9</v>
      </c>
      <c r="AB1191">
        <v>0</v>
      </c>
      <c r="AC1191">
        <v>0</v>
      </c>
      <c r="AD1191" t="s">
        <v>134</v>
      </c>
      <c r="AE1191" t="s">
        <v>134</v>
      </c>
      <c r="AF1191" s="2">
        <v>45752</v>
      </c>
      <c r="AG1191" s="2">
        <v>46018</v>
      </c>
      <c r="AH1191">
        <v>510.19</v>
      </c>
      <c r="AI1191">
        <v>786.73</v>
      </c>
      <c r="AJ1191" s="1">
        <v>3061.14</v>
      </c>
      <c r="AK1191">
        <v>0</v>
      </c>
      <c r="AL1191">
        <v>786.73</v>
      </c>
      <c r="AM1191">
        <v>107.99</v>
      </c>
      <c r="AN1191" t="s">
        <v>135</v>
      </c>
      <c r="AO1191" t="s">
        <v>135</v>
      </c>
      <c r="AP1191" t="s">
        <v>136</v>
      </c>
      <c r="AQ1191" t="s">
        <v>137</v>
      </c>
      <c r="AR1191" t="s">
        <v>138</v>
      </c>
      <c r="AS1191" t="s">
        <v>139</v>
      </c>
      <c r="AT1191" t="s">
        <v>140</v>
      </c>
      <c r="AU1191">
        <v>102</v>
      </c>
      <c r="AV1191">
        <v>10</v>
      </c>
      <c r="AW1191">
        <v>1</v>
      </c>
      <c r="AX1191" s="2">
        <v>45814</v>
      </c>
      <c r="AY1191" t="s">
        <v>151</v>
      </c>
      <c r="AZ1191" s="2">
        <v>46024</v>
      </c>
      <c r="BA1191">
        <v>0</v>
      </c>
      <c r="BB1191">
        <v>0</v>
      </c>
      <c r="BC1191">
        <v>0</v>
      </c>
      <c r="BD1191">
        <v>700</v>
      </c>
      <c r="BE1191">
        <v>70</v>
      </c>
      <c r="BF1191">
        <v>9</v>
      </c>
      <c r="BG1191" s="2">
        <v>45809</v>
      </c>
      <c r="BH1191" t="s">
        <v>142</v>
      </c>
      <c r="BI1191" s="2">
        <v>46026</v>
      </c>
      <c r="BJ1191">
        <v>0</v>
      </c>
      <c r="BK1191">
        <v>0</v>
      </c>
      <c r="BL1191">
        <v>0</v>
      </c>
      <c r="BM1191">
        <v>7.67</v>
      </c>
      <c r="BN1191">
        <v>7.67</v>
      </c>
      <c r="BO1191" s="1">
        <v>1274.3699999999999</v>
      </c>
      <c r="BP1191">
        <v>0</v>
      </c>
      <c r="BQ1191" s="1">
        <v>1274.3699999999999</v>
      </c>
      <c r="BR1191">
        <v>849.58</v>
      </c>
      <c r="BS1191">
        <v>8.25</v>
      </c>
      <c r="BT1191">
        <v>8.25</v>
      </c>
      <c r="BU1191" s="1">
        <v>1786.77</v>
      </c>
      <c r="BV1191">
        <v>0</v>
      </c>
      <c r="BW1191" s="1">
        <v>1786.77</v>
      </c>
      <c r="BX1191">
        <v>786.73</v>
      </c>
      <c r="BY1191">
        <v>44.03</v>
      </c>
      <c r="BZ1191">
        <v>0</v>
      </c>
      <c r="CA1191">
        <v>0</v>
      </c>
      <c r="CB1191">
        <v>562.69000000000005</v>
      </c>
      <c r="CC1191" t="s">
        <v>161</v>
      </c>
    </row>
    <row r="1192" spans="1:81" x14ac:dyDescent="0.25">
      <c r="A1192">
        <v>345</v>
      </c>
      <c r="B1192">
        <v>2</v>
      </c>
      <c r="C1192">
        <v>3356</v>
      </c>
      <c r="D1192" t="s">
        <v>6788</v>
      </c>
      <c r="E1192" t="s">
        <v>121</v>
      </c>
      <c r="F1192" t="s">
        <v>6789</v>
      </c>
      <c r="G1192" t="s">
        <v>6790</v>
      </c>
      <c r="H1192" t="s">
        <v>6791</v>
      </c>
      <c r="I1192" t="s">
        <v>6792</v>
      </c>
      <c r="J1192" t="s">
        <v>600</v>
      </c>
      <c r="K1192" t="s">
        <v>336</v>
      </c>
      <c r="L1192" t="s">
        <v>128</v>
      </c>
      <c r="M1192" t="s">
        <v>337</v>
      </c>
      <c r="N1192" t="s">
        <v>6793</v>
      </c>
      <c r="O1192" t="s">
        <v>167</v>
      </c>
      <c r="P1192">
        <v>0</v>
      </c>
      <c r="Q1192" t="s">
        <v>125</v>
      </c>
      <c r="R1192">
        <v>3</v>
      </c>
      <c r="S1192">
        <v>82</v>
      </c>
      <c r="T1192" t="s">
        <v>132</v>
      </c>
      <c r="U1192" t="s">
        <v>133</v>
      </c>
      <c r="V1192" s="1">
        <v>1000</v>
      </c>
      <c r="W1192">
        <v>962.99</v>
      </c>
      <c r="X1192">
        <v>37.01</v>
      </c>
      <c r="Y1192">
        <v>7</v>
      </c>
      <c r="Z1192">
        <v>0</v>
      </c>
      <c r="AA1192">
        <v>9</v>
      </c>
      <c r="AB1192">
        <v>0</v>
      </c>
      <c r="AC1192">
        <v>0</v>
      </c>
      <c r="AD1192" t="s">
        <v>134</v>
      </c>
      <c r="AE1192" t="s">
        <v>134</v>
      </c>
      <c r="AF1192" s="2">
        <v>45752</v>
      </c>
      <c r="AG1192" s="2">
        <v>46019</v>
      </c>
      <c r="AH1192">
        <v>484.92</v>
      </c>
      <c r="AI1192" s="1">
        <v>1304.03</v>
      </c>
      <c r="AJ1192" s="1">
        <v>4364.32</v>
      </c>
      <c r="AK1192">
        <v>0</v>
      </c>
      <c r="AL1192">
        <v>962.99</v>
      </c>
      <c r="AM1192">
        <v>0</v>
      </c>
      <c r="AN1192" t="s">
        <v>135</v>
      </c>
      <c r="AO1192" t="s">
        <v>135</v>
      </c>
      <c r="AP1192" t="s">
        <v>136</v>
      </c>
      <c r="AQ1192" t="s">
        <v>137</v>
      </c>
      <c r="AR1192" t="s">
        <v>138</v>
      </c>
      <c r="AS1192" t="s">
        <v>139</v>
      </c>
      <c r="AT1192" t="s">
        <v>140</v>
      </c>
      <c r="AU1192">
        <v>102</v>
      </c>
      <c r="AV1192">
        <v>10</v>
      </c>
      <c r="AW1192">
        <v>1</v>
      </c>
      <c r="AX1192" s="2">
        <v>45814</v>
      </c>
      <c r="AY1192" t="s">
        <v>151</v>
      </c>
      <c r="AZ1192" s="2">
        <v>46024</v>
      </c>
      <c r="BA1192">
        <v>0</v>
      </c>
      <c r="BB1192">
        <v>0</v>
      </c>
      <c r="BC1192">
        <v>0</v>
      </c>
      <c r="BD1192">
        <v>700</v>
      </c>
      <c r="BE1192">
        <v>70</v>
      </c>
      <c r="BF1192">
        <v>9</v>
      </c>
      <c r="BG1192" s="2">
        <v>45809</v>
      </c>
      <c r="BH1192" t="s">
        <v>142</v>
      </c>
      <c r="BI1192" s="2">
        <v>46026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 s="1">
        <v>1234.9000000000001</v>
      </c>
      <c r="BQ1192" s="1">
        <v>1234.9000000000001</v>
      </c>
      <c r="BR1192">
        <v>0</v>
      </c>
      <c r="BS1192">
        <v>8.5</v>
      </c>
      <c r="BT1192">
        <v>5.83</v>
      </c>
      <c r="BU1192" s="1">
        <v>1925.98</v>
      </c>
      <c r="BV1192">
        <v>881.94</v>
      </c>
      <c r="BW1192" s="1">
        <v>2807.92</v>
      </c>
      <c r="BX1192">
        <v>962.99</v>
      </c>
      <c r="BY1192">
        <v>50</v>
      </c>
      <c r="BZ1192">
        <v>0</v>
      </c>
      <c r="CA1192">
        <v>0</v>
      </c>
      <c r="CB1192">
        <v>598.34</v>
      </c>
      <c r="CC1192" t="s">
        <v>161</v>
      </c>
    </row>
    <row r="1193" spans="1:81" x14ac:dyDescent="0.25">
      <c r="A1193">
        <v>345</v>
      </c>
      <c r="B1193">
        <v>2</v>
      </c>
      <c r="C1193">
        <v>3357</v>
      </c>
      <c r="D1193" t="s">
        <v>6794</v>
      </c>
      <c r="E1193" t="s">
        <v>121</v>
      </c>
      <c r="F1193" t="s">
        <v>6795</v>
      </c>
      <c r="G1193" t="s">
        <v>6796</v>
      </c>
      <c r="H1193" t="s">
        <v>6797</v>
      </c>
      <c r="I1193" t="s">
        <v>6798</v>
      </c>
      <c r="J1193" t="s">
        <v>600</v>
      </c>
      <c r="K1193" t="s">
        <v>336</v>
      </c>
      <c r="L1193" t="s">
        <v>128</v>
      </c>
      <c r="M1193" t="s">
        <v>337</v>
      </c>
      <c r="N1193" t="s">
        <v>6799</v>
      </c>
      <c r="O1193" t="s">
        <v>201</v>
      </c>
      <c r="P1193">
        <v>0</v>
      </c>
      <c r="Q1193" t="s">
        <v>125</v>
      </c>
      <c r="R1193">
        <v>5</v>
      </c>
      <c r="S1193">
        <v>69</v>
      </c>
      <c r="T1193" t="s">
        <v>132</v>
      </c>
      <c r="U1193" t="s">
        <v>133</v>
      </c>
      <c r="V1193">
        <v>247</v>
      </c>
      <c r="W1193">
        <v>646.84</v>
      </c>
      <c r="X1193">
        <v>-399.84</v>
      </c>
      <c r="Y1193">
        <v>0</v>
      </c>
      <c r="Z1193">
        <v>0</v>
      </c>
      <c r="AA1193">
        <v>5</v>
      </c>
      <c r="AB1193">
        <v>52</v>
      </c>
      <c r="AC1193">
        <v>14</v>
      </c>
      <c r="AD1193" t="s">
        <v>134</v>
      </c>
      <c r="AE1193" t="s">
        <v>134</v>
      </c>
      <c r="AF1193" s="2">
        <v>45752</v>
      </c>
      <c r="AG1193" s="2">
        <v>45969</v>
      </c>
      <c r="AH1193">
        <v>275.45</v>
      </c>
      <c r="AI1193">
        <v>293.51</v>
      </c>
      <c r="AJ1193">
        <v>550.91</v>
      </c>
      <c r="AK1193">
        <v>646.84</v>
      </c>
      <c r="AL1193">
        <v>0</v>
      </c>
      <c r="AM1193">
        <v>0</v>
      </c>
      <c r="AN1193" t="s">
        <v>135</v>
      </c>
      <c r="AO1193" t="s">
        <v>135</v>
      </c>
      <c r="AP1193" t="s">
        <v>136</v>
      </c>
      <c r="AQ1193" t="s">
        <v>137</v>
      </c>
      <c r="AR1193" t="s">
        <v>138</v>
      </c>
      <c r="AS1193" t="s">
        <v>139</v>
      </c>
      <c r="AT1193" t="s">
        <v>140</v>
      </c>
      <c r="AU1193">
        <v>102</v>
      </c>
      <c r="AV1193">
        <v>10</v>
      </c>
      <c r="AW1193">
        <v>1</v>
      </c>
      <c r="AX1193" s="2">
        <v>45814</v>
      </c>
      <c r="AY1193" t="s">
        <v>151</v>
      </c>
      <c r="AZ1193" s="2">
        <v>46024</v>
      </c>
      <c r="BA1193">
        <v>0</v>
      </c>
      <c r="BB1193">
        <v>0</v>
      </c>
      <c r="BC1193">
        <v>0</v>
      </c>
      <c r="BD1193">
        <v>700</v>
      </c>
      <c r="BE1193">
        <v>70</v>
      </c>
      <c r="BF1193">
        <v>9</v>
      </c>
      <c r="BG1193" s="2">
        <v>45809</v>
      </c>
      <c r="BH1193" t="s">
        <v>142</v>
      </c>
      <c r="BI1193" s="2">
        <v>46026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293.51</v>
      </c>
      <c r="BQ1193">
        <v>293.51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308.76</v>
      </c>
      <c r="CC1193" t="s">
        <v>161</v>
      </c>
    </row>
    <row r="1194" spans="1:81" x14ac:dyDescent="0.25">
      <c r="A1194">
        <v>345</v>
      </c>
      <c r="B1194">
        <v>2</v>
      </c>
      <c r="C1194">
        <v>3358</v>
      </c>
      <c r="D1194" t="s">
        <v>6800</v>
      </c>
      <c r="E1194" t="s">
        <v>121</v>
      </c>
      <c r="F1194" t="s">
        <v>6801</v>
      </c>
      <c r="G1194" t="s">
        <v>6802</v>
      </c>
      <c r="H1194" t="s">
        <v>6803</v>
      </c>
      <c r="I1194" t="s">
        <v>6804</v>
      </c>
      <c r="J1194" t="s">
        <v>600</v>
      </c>
      <c r="K1194" t="s">
        <v>336</v>
      </c>
      <c r="L1194" t="s">
        <v>128</v>
      </c>
      <c r="M1194" t="s">
        <v>6805</v>
      </c>
      <c r="N1194" t="s">
        <v>6806</v>
      </c>
      <c r="O1194" t="s">
        <v>201</v>
      </c>
      <c r="P1194">
        <v>0</v>
      </c>
      <c r="Q1194" t="s">
        <v>125</v>
      </c>
      <c r="R1194">
        <v>3</v>
      </c>
      <c r="S1194">
        <v>85</v>
      </c>
      <c r="T1194" t="s">
        <v>132</v>
      </c>
      <c r="U1194" t="s">
        <v>133</v>
      </c>
      <c r="V1194" s="1">
        <v>1000</v>
      </c>
      <c r="W1194">
        <v>0</v>
      </c>
      <c r="X1194" s="1">
        <v>1000</v>
      </c>
      <c r="Y1194">
        <v>7</v>
      </c>
      <c r="Z1194">
        <v>0</v>
      </c>
      <c r="AA1194">
        <v>0</v>
      </c>
      <c r="AB1194">
        <v>0</v>
      </c>
      <c r="AC1194">
        <v>0</v>
      </c>
      <c r="AD1194" t="s">
        <v>134</v>
      </c>
      <c r="AE1194" t="s">
        <v>134</v>
      </c>
      <c r="AF1194" s="2">
        <v>45752</v>
      </c>
      <c r="AG1194" s="2">
        <v>46020</v>
      </c>
      <c r="AH1194">
        <v>421.88</v>
      </c>
      <c r="AI1194">
        <v>760.9</v>
      </c>
      <c r="AJ1194" s="1">
        <v>4218.84</v>
      </c>
      <c r="AK1194">
        <v>0</v>
      </c>
      <c r="AL1194">
        <v>0</v>
      </c>
      <c r="AM1194">
        <v>0</v>
      </c>
      <c r="AN1194" t="s">
        <v>135</v>
      </c>
      <c r="AO1194" t="s">
        <v>135</v>
      </c>
      <c r="AP1194" t="s">
        <v>136</v>
      </c>
      <c r="AQ1194" t="s">
        <v>137</v>
      </c>
      <c r="AR1194" t="s">
        <v>138</v>
      </c>
      <c r="AS1194" t="s">
        <v>139</v>
      </c>
      <c r="AT1194" t="s">
        <v>140</v>
      </c>
      <c r="AU1194">
        <v>102</v>
      </c>
      <c r="AV1194">
        <v>10</v>
      </c>
      <c r="AW1194">
        <v>1</v>
      </c>
      <c r="AX1194" s="2">
        <v>45814</v>
      </c>
      <c r="AY1194" t="s">
        <v>151</v>
      </c>
      <c r="AZ1194" s="2">
        <v>46024</v>
      </c>
      <c r="BA1194">
        <v>0</v>
      </c>
      <c r="BB1194">
        <v>0</v>
      </c>
      <c r="BC1194">
        <v>0</v>
      </c>
      <c r="BD1194">
        <v>700</v>
      </c>
      <c r="BE1194">
        <v>70</v>
      </c>
      <c r="BF1194">
        <v>9</v>
      </c>
      <c r="BG1194" s="2">
        <v>45809</v>
      </c>
      <c r="BH1194" t="s">
        <v>142</v>
      </c>
      <c r="BI1194" s="2">
        <v>46026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835.88</v>
      </c>
      <c r="BQ1194">
        <v>835.88</v>
      </c>
      <c r="BR1194">
        <v>0</v>
      </c>
      <c r="BS1194">
        <v>0</v>
      </c>
      <c r="BT1194">
        <v>0</v>
      </c>
      <c r="BU1194">
        <v>0</v>
      </c>
      <c r="BV1194" s="1">
        <v>2002.77</v>
      </c>
      <c r="BW1194" s="1">
        <v>2002.77</v>
      </c>
      <c r="BX1194">
        <v>0</v>
      </c>
      <c r="BY1194">
        <v>0</v>
      </c>
      <c r="BZ1194">
        <v>0</v>
      </c>
      <c r="CA1194">
        <v>0</v>
      </c>
      <c r="CB1194">
        <v>981.1</v>
      </c>
      <c r="CC1194" t="s">
        <v>161</v>
      </c>
    </row>
    <row r="1195" spans="1:81" x14ac:dyDescent="0.25">
      <c r="A1195">
        <v>345</v>
      </c>
      <c r="B1195">
        <v>2</v>
      </c>
      <c r="C1195">
        <v>3359</v>
      </c>
      <c r="D1195" t="s">
        <v>6807</v>
      </c>
      <c r="E1195" t="s">
        <v>121</v>
      </c>
      <c r="F1195" t="s">
        <v>6808</v>
      </c>
      <c r="G1195" t="s">
        <v>6809</v>
      </c>
      <c r="H1195" t="s">
        <v>6803</v>
      </c>
      <c r="I1195" t="s">
        <v>6063</v>
      </c>
      <c r="J1195" t="s">
        <v>600</v>
      </c>
      <c r="K1195" t="s">
        <v>336</v>
      </c>
      <c r="L1195" t="s">
        <v>128</v>
      </c>
      <c r="M1195" t="s">
        <v>6810</v>
      </c>
      <c r="N1195" t="s">
        <v>6811</v>
      </c>
      <c r="O1195" t="s">
        <v>195</v>
      </c>
      <c r="P1195">
        <v>0</v>
      </c>
      <c r="Q1195" t="s">
        <v>125</v>
      </c>
      <c r="R1195">
        <v>3</v>
      </c>
      <c r="S1195">
        <v>83</v>
      </c>
      <c r="T1195" t="s">
        <v>132</v>
      </c>
      <c r="U1195" t="s">
        <v>133</v>
      </c>
      <c r="V1195" s="1">
        <v>1000</v>
      </c>
      <c r="W1195">
        <v>0</v>
      </c>
      <c r="X1195" s="1">
        <v>1000</v>
      </c>
      <c r="Y1195">
        <v>7</v>
      </c>
      <c r="Z1195">
        <v>0</v>
      </c>
      <c r="AA1195">
        <v>0</v>
      </c>
      <c r="AB1195">
        <v>0</v>
      </c>
      <c r="AC1195">
        <v>0</v>
      </c>
      <c r="AD1195" t="s">
        <v>134</v>
      </c>
      <c r="AE1195" t="s">
        <v>134</v>
      </c>
      <c r="AF1195" s="2">
        <v>45752</v>
      </c>
      <c r="AG1195" s="2">
        <v>46020</v>
      </c>
      <c r="AH1195">
        <v>196.78</v>
      </c>
      <c r="AI1195">
        <v>330.08</v>
      </c>
      <c r="AJ1195" s="1">
        <v>1574.29</v>
      </c>
      <c r="AK1195">
        <v>0</v>
      </c>
      <c r="AL1195">
        <v>0</v>
      </c>
      <c r="AM1195">
        <v>0</v>
      </c>
      <c r="AN1195" t="s">
        <v>135</v>
      </c>
      <c r="AO1195" t="s">
        <v>135</v>
      </c>
      <c r="AP1195" t="s">
        <v>136</v>
      </c>
      <c r="AQ1195" t="s">
        <v>137</v>
      </c>
      <c r="AR1195" t="s">
        <v>138</v>
      </c>
      <c r="AS1195" t="s">
        <v>139</v>
      </c>
      <c r="AT1195" t="s">
        <v>140</v>
      </c>
      <c r="AU1195">
        <v>102</v>
      </c>
      <c r="AV1195">
        <v>10</v>
      </c>
      <c r="AW1195">
        <v>1</v>
      </c>
      <c r="AX1195" s="2">
        <v>45814</v>
      </c>
      <c r="AY1195" t="s">
        <v>151</v>
      </c>
      <c r="AZ1195" s="2">
        <v>46024</v>
      </c>
      <c r="BA1195">
        <v>0</v>
      </c>
      <c r="BB1195">
        <v>0</v>
      </c>
      <c r="BC1195">
        <v>0</v>
      </c>
      <c r="BD1195">
        <v>700</v>
      </c>
      <c r="BE1195">
        <v>70</v>
      </c>
      <c r="BF1195">
        <v>9</v>
      </c>
      <c r="BG1195" s="2">
        <v>45809</v>
      </c>
      <c r="BH1195" t="s">
        <v>142</v>
      </c>
      <c r="BI1195" s="2">
        <v>46026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276.82</v>
      </c>
      <c r="BQ1195">
        <v>276.82</v>
      </c>
      <c r="BR1195">
        <v>0</v>
      </c>
      <c r="BS1195">
        <v>0</v>
      </c>
      <c r="BT1195">
        <v>0</v>
      </c>
      <c r="BU1195">
        <v>0</v>
      </c>
      <c r="BV1195">
        <v>608.89</v>
      </c>
      <c r="BW1195">
        <v>608.89</v>
      </c>
      <c r="BX1195">
        <v>0</v>
      </c>
      <c r="BY1195">
        <v>0</v>
      </c>
      <c r="BZ1195">
        <v>0</v>
      </c>
      <c r="CA1195">
        <v>0</v>
      </c>
      <c r="CB1195">
        <v>456.97</v>
      </c>
      <c r="CC1195" t="s">
        <v>161</v>
      </c>
    </row>
    <row r="1196" spans="1:81" x14ac:dyDescent="0.25">
      <c r="A1196">
        <v>345</v>
      </c>
      <c r="B1196">
        <v>2</v>
      </c>
      <c r="C1196">
        <v>3361</v>
      </c>
      <c r="D1196" t="s">
        <v>6812</v>
      </c>
      <c r="E1196" t="s">
        <v>5427</v>
      </c>
      <c r="F1196" t="s">
        <v>6813</v>
      </c>
      <c r="G1196" t="s">
        <v>6814</v>
      </c>
      <c r="H1196" t="s">
        <v>6815</v>
      </c>
      <c r="I1196" t="s">
        <v>6816</v>
      </c>
      <c r="J1196" t="s">
        <v>126</v>
      </c>
      <c r="K1196" t="s">
        <v>466</v>
      </c>
      <c r="L1196" t="s">
        <v>128</v>
      </c>
      <c r="M1196" t="s">
        <v>467</v>
      </c>
      <c r="N1196" t="s">
        <v>6817</v>
      </c>
      <c r="O1196" t="s">
        <v>167</v>
      </c>
      <c r="P1196">
        <v>0</v>
      </c>
      <c r="Q1196" t="s">
        <v>125</v>
      </c>
      <c r="R1196">
        <v>4</v>
      </c>
      <c r="S1196">
        <v>76</v>
      </c>
      <c r="T1196" t="s">
        <v>132</v>
      </c>
      <c r="U1196" t="s">
        <v>133</v>
      </c>
      <c r="V1196" s="1">
        <v>2000</v>
      </c>
      <c r="W1196">
        <v>0</v>
      </c>
      <c r="X1196" s="1">
        <v>2000</v>
      </c>
      <c r="Y1196">
        <v>7</v>
      </c>
      <c r="Z1196">
        <v>0</v>
      </c>
      <c r="AA1196">
        <v>7</v>
      </c>
      <c r="AB1196">
        <v>1</v>
      </c>
      <c r="AC1196">
        <v>24</v>
      </c>
      <c r="AD1196" t="s">
        <v>234</v>
      </c>
      <c r="AE1196" t="s">
        <v>134</v>
      </c>
      <c r="AF1196" s="2">
        <v>45753</v>
      </c>
      <c r="AG1196" s="2">
        <v>46015</v>
      </c>
      <c r="AH1196">
        <v>834.25</v>
      </c>
      <c r="AI1196" s="1">
        <v>1439.63</v>
      </c>
      <c r="AJ1196" s="1">
        <v>7508.3</v>
      </c>
      <c r="AK1196">
        <v>0</v>
      </c>
      <c r="AL1196">
        <v>0</v>
      </c>
      <c r="AM1196">
        <v>0</v>
      </c>
      <c r="AN1196" t="s">
        <v>135</v>
      </c>
      <c r="AO1196" t="s">
        <v>135</v>
      </c>
      <c r="AP1196" t="s">
        <v>136</v>
      </c>
      <c r="AQ1196" t="s">
        <v>137</v>
      </c>
      <c r="AR1196" t="s">
        <v>138</v>
      </c>
      <c r="AS1196" t="s">
        <v>139</v>
      </c>
      <c r="AT1196" t="s">
        <v>140</v>
      </c>
      <c r="AU1196">
        <v>105</v>
      </c>
      <c r="AV1196">
        <v>10</v>
      </c>
      <c r="AW1196">
        <v>1</v>
      </c>
      <c r="AX1196" s="2">
        <v>45944</v>
      </c>
      <c r="AY1196" t="s">
        <v>377</v>
      </c>
      <c r="AZ1196" s="2">
        <v>46028</v>
      </c>
      <c r="BA1196">
        <v>0</v>
      </c>
      <c r="BB1196">
        <v>0</v>
      </c>
      <c r="BC1196">
        <v>0</v>
      </c>
      <c r="BD1196">
        <v>700</v>
      </c>
      <c r="BE1196">
        <v>70</v>
      </c>
      <c r="BF1196">
        <v>9</v>
      </c>
      <c r="BG1196" s="2">
        <v>45809</v>
      </c>
      <c r="BH1196" t="s">
        <v>142</v>
      </c>
      <c r="BI1196" s="2">
        <v>46026</v>
      </c>
      <c r="BJ1196">
        <v>0</v>
      </c>
      <c r="BK1196">
        <v>0</v>
      </c>
      <c r="BL1196">
        <v>0</v>
      </c>
      <c r="BM1196">
        <v>7</v>
      </c>
      <c r="BN1196">
        <v>6.17</v>
      </c>
      <c r="BO1196" s="1">
        <v>1911.13</v>
      </c>
      <c r="BP1196">
        <v>255.91</v>
      </c>
      <c r="BQ1196" s="1">
        <v>2167.04</v>
      </c>
      <c r="BR1196">
        <v>997.95</v>
      </c>
      <c r="BS1196">
        <v>7</v>
      </c>
      <c r="BT1196">
        <v>6.35</v>
      </c>
      <c r="BU1196" s="1">
        <v>3416.3</v>
      </c>
      <c r="BV1196">
        <v>351.13</v>
      </c>
      <c r="BW1196" s="1">
        <v>3767.43</v>
      </c>
      <c r="BX1196">
        <v>0</v>
      </c>
      <c r="BY1196">
        <v>0</v>
      </c>
      <c r="BZ1196">
        <v>0</v>
      </c>
      <c r="CA1196">
        <v>0</v>
      </c>
      <c r="CB1196" s="1">
        <v>1529.34</v>
      </c>
      <c r="CC1196" t="s">
        <v>161</v>
      </c>
    </row>
    <row r="1197" spans="1:81" x14ac:dyDescent="0.25">
      <c r="A1197">
        <v>345</v>
      </c>
      <c r="B1197">
        <v>2</v>
      </c>
      <c r="C1197">
        <v>3363</v>
      </c>
      <c r="D1197" t="s">
        <v>6818</v>
      </c>
      <c r="E1197" t="s">
        <v>121</v>
      </c>
      <c r="F1197" t="s">
        <v>6819</v>
      </c>
      <c r="G1197" t="s">
        <v>6820</v>
      </c>
      <c r="H1197" t="s">
        <v>6821</v>
      </c>
      <c r="I1197" t="s">
        <v>6822</v>
      </c>
      <c r="J1197" t="s">
        <v>126</v>
      </c>
      <c r="K1197" t="s">
        <v>1853</v>
      </c>
      <c r="L1197" t="s">
        <v>128</v>
      </c>
      <c r="M1197" t="s">
        <v>1854</v>
      </c>
      <c r="N1197" t="s">
        <v>6823</v>
      </c>
      <c r="O1197" t="s">
        <v>201</v>
      </c>
      <c r="P1197">
        <v>0</v>
      </c>
      <c r="Q1197" t="s">
        <v>125</v>
      </c>
      <c r="R1197">
        <v>3</v>
      </c>
      <c r="S1197">
        <v>82</v>
      </c>
      <c r="T1197" t="s">
        <v>132</v>
      </c>
      <c r="U1197" t="s">
        <v>133</v>
      </c>
      <c r="V1197" s="1">
        <v>1000</v>
      </c>
      <c r="W1197">
        <v>390.12</v>
      </c>
      <c r="X1197">
        <v>609.88</v>
      </c>
      <c r="Y1197">
        <v>7</v>
      </c>
      <c r="Z1197">
        <v>0</v>
      </c>
      <c r="AA1197">
        <v>7</v>
      </c>
      <c r="AB1197">
        <v>0</v>
      </c>
      <c r="AC1197">
        <v>0</v>
      </c>
      <c r="AD1197" t="s">
        <v>134</v>
      </c>
      <c r="AE1197" t="s">
        <v>134</v>
      </c>
      <c r="AF1197" s="2">
        <v>45755</v>
      </c>
      <c r="AG1197" s="2">
        <v>46020</v>
      </c>
      <c r="AH1197">
        <v>344.06</v>
      </c>
      <c r="AI1197">
        <v>628.77</v>
      </c>
      <c r="AJ1197" s="1">
        <v>1376.24</v>
      </c>
      <c r="AK1197">
        <v>0</v>
      </c>
      <c r="AL1197">
        <v>390.12</v>
      </c>
      <c r="AM1197">
        <v>0</v>
      </c>
      <c r="AN1197" t="s">
        <v>135</v>
      </c>
      <c r="AO1197" t="s">
        <v>135</v>
      </c>
      <c r="AP1197" t="s">
        <v>136</v>
      </c>
      <c r="AQ1197" t="s">
        <v>137</v>
      </c>
      <c r="AR1197" t="s">
        <v>138</v>
      </c>
      <c r="AS1197" t="s">
        <v>139</v>
      </c>
      <c r="AT1197" t="s">
        <v>140</v>
      </c>
      <c r="AU1197">
        <v>103</v>
      </c>
      <c r="AV1197">
        <v>10</v>
      </c>
      <c r="AW1197">
        <v>1</v>
      </c>
      <c r="AX1197" s="2">
        <v>45815</v>
      </c>
      <c r="AY1197" t="s">
        <v>160</v>
      </c>
      <c r="AZ1197" s="2">
        <v>46025</v>
      </c>
      <c r="BA1197">
        <v>0</v>
      </c>
      <c r="BB1197">
        <v>0</v>
      </c>
      <c r="BC1197">
        <v>0</v>
      </c>
      <c r="BD1197">
        <v>700</v>
      </c>
      <c r="BE1197">
        <v>70</v>
      </c>
      <c r="BF1197">
        <v>9</v>
      </c>
      <c r="BG1197" s="2">
        <v>45809</v>
      </c>
      <c r="BH1197" t="s">
        <v>142</v>
      </c>
      <c r="BI1197" s="2">
        <v>46026</v>
      </c>
      <c r="BJ1197">
        <v>0</v>
      </c>
      <c r="BK1197">
        <v>0</v>
      </c>
      <c r="BL1197">
        <v>0</v>
      </c>
      <c r="BM1197">
        <v>7</v>
      </c>
      <c r="BN1197">
        <v>7</v>
      </c>
      <c r="BO1197">
        <v>209.99</v>
      </c>
      <c r="BP1197">
        <v>0</v>
      </c>
      <c r="BQ1197">
        <v>209.99</v>
      </c>
      <c r="BR1197">
        <v>0</v>
      </c>
      <c r="BS1197">
        <v>7</v>
      </c>
      <c r="BT1197">
        <v>7</v>
      </c>
      <c r="BU1197" s="1">
        <v>1018.89</v>
      </c>
      <c r="BV1197">
        <v>0</v>
      </c>
      <c r="BW1197" s="1">
        <v>1018.89</v>
      </c>
      <c r="BX1197">
        <v>390.12</v>
      </c>
      <c r="BY1197">
        <v>38.29</v>
      </c>
      <c r="BZ1197">
        <v>0</v>
      </c>
      <c r="CA1197">
        <v>0</v>
      </c>
      <c r="CB1197">
        <v>178.66</v>
      </c>
      <c r="CC1197" t="s">
        <v>161</v>
      </c>
    </row>
    <row r="1198" spans="1:81" x14ac:dyDescent="0.25">
      <c r="A1198">
        <v>345</v>
      </c>
      <c r="B1198">
        <v>2</v>
      </c>
      <c r="C1198">
        <v>3364</v>
      </c>
      <c r="D1198" t="s">
        <v>6824</v>
      </c>
      <c r="E1198" t="s">
        <v>121</v>
      </c>
      <c r="F1198" t="s">
        <v>6825</v>
      </c>
      <c r="G1198" t="s">
        <v>6826</v>
      </c>
      <c r="H1198" t="s">
        <v>6827</v>
      </c>
      <c r="I1198" t="s">
        <v>6828</v>
      </c>
      <c r="J1198" t="s">
        <v>126</v>
      </c>
      <c r="K1198" t="s">
        <v>1853</v>
      </c>
      <c r="L1198" t="s">
        <v>128</v>
      </c>
      <c r="M1198" t="s">
        <v>1854</v>
      </c>
      <c r="N1198" t="s">
        <v>6829</v>
      </c>
      <c r="O1198" t="s">
        <v>201</v>
      </c>
      <c r="P1198">
        <v>0</v>
      </c>
      <c r="Q1198" t="s">
        <v>125</v>
      </c>
      <c r="R1198">
        <v>4</v>
      </c>
      <c r="S1198">
        <v>76</v>
      </c>
      <c r="T1198" t="s">
        <v>132</v>
      </c>
      <c r="U1198" t="s">
        <v>133</v>
      </c>
      <c r="V1198" s="1">
        <v>1000</v>
      </c>
      <c r="W1198">
        <v>283.79000000000002</v>
      </c>
      <c r="X1198">
        <v>716.21</v>
      </c>
      <c r="Y1198">
        <v>0</v>
      </c>
      <c r="Z1198">
        <v>0</v>
      </c>
      <c r="AA1198">
        <v>7</v>
      </c>
      <c r="AB1198">
        <v>1</v>
      </c>
      <c r="AC1198">
        <v>42</v>
      </c>
      <c r="AD1198" t="s">
        <v>134</v>
      </c>
      <c r="AE1198" t="s">
        <v>134</v>
      </c>
      <c r="AF1198" s="2">
        <v>45755</v>
      </c>
      <c r="AG1198" s="2">
        <v>46013</v>
      </c>
      <c r="AH1198">
        <v>244.6</v>
      </c>
      <c r="AI1198">
        <v>384.23</v>
      </c>
      <c r="AJ1198" s="1">
        <v>1712.26</v>
      </c>
      <c r="AK1198">
        <v>283.79000000000002</v>
      </c>
      <c r="AL1198">
        <v>0</v>
      </c>
      <c r="AM1198">
        <v>0</v>
      </c>
      <c r="AN1198" t="s">
        <v>135</v>
      </c>
      <c r="AO1198" t="s">
        <v>135</v>
      </c>
      <c r="AP1198" t="s">
        <v>136</v>
      </c>
      <c r="AQ1198" t="s">
        <v>137</v>
      </c>
      <c r="AR1198" t="s">
        <v>138</v>
      </c>
      <c r="AS1198" t="s">
        <v>139</v>
      </c>
      <c r="AT1198" t="s">
        <v>140</v>
      </c>
      <c r="AU1198">
        <v>103</v>
      </c>
      <c r="AV1198">
        <v>10</v>
      </c>
      <c r="AW1198">
        <v>1</v>
      </c>
      <c r="AX1198" s="2">
        <v>45815</v>
      </c>
      <c r="AY1198" t="s">
        <v>160</v>
      </c>
      <c r="AZ1198" s="2">
        <v>46025</v>
      </c>
      <c r="BA1198">
        <v>0</v>
      </c>
      <c r="BB1198">
        <v>0</v>
      </c>
      <c r="BC1198">
        <v>0</v>
      </c>
      <c r="BD1198">
        <v>700</v>
      </c>
      <c r="BE1198">
        <v>70</v>
      </c>
      <c r="BF1198">
        <v>9</v>
      </c>
      <c r="BG1198" s="2">
        <v>45809</v>
      </c>
      <c r="BH1198" t="s">
        <v>142</v>
      </c>
      <c r="BI1198" s="2">
        <v>46026</v>
      </c>
      <c r="BJ1198">
        <v>0</v>
      </c>
      <c r="BK1198">
        <v>0</v>
      </c>
      <c r="BL1198">
        <v>0</v>
      </c>
      <c r="BM1198">
        <v>7</v>
      </c>
      <c r="BN1198">
        <v>7</v>
      </c>
      <c r="BO1198">
        <v>501.5</v>
      </c>
      <c r="BP1198">
        <v>0</v>
      </c>
      <c r="BQ1198">
        <v>501.5</v>
      </c>
      <c r="BR1198">
        <v>289.02</v>
      </c>
      <c r="BS1198">
        <v>7</v>
      </c>
      <c r="BT1198">
        <v>7</v>
      </c>
      <c r="BU1198">
        <v>668.02</v>
      </c>
      <c r="BV1198">
        <v>0</v>
      </c>
      <c r="BW1198">
        <v>668.02</v>
      </c>
      <c r="BX1198">
        <v>0</v>
      </c>
      <c r="BY1198">
        <v>0</v>
      </c>
      <c r="BZ1198">
        <v>0</v>
      </c>
      <c r="CA1198">
        <v>0</v>
      </c>
      <c r="CB1198">
        <v>595.98</v>
      </c>
      <c r="CC1198" t="s">
        <v>161</v>
      </c>
    </row>
    <row r="1199" spans="1:81" x14ac:dyDescent="0.25">
      <c r="A1199">
        <v>345</v>
      </c>
      <c r="B1199">
        <v>2</v>
      </c>
      <c r="C1199">
        <v>3366</v>
      </c>
      <c r="D1199" t="s">
        <v>6830</v>
      </c>
      <c r="E1199" t="s">
        <v>121</v>
      </c>
      <c r="F1199" t="s">
        <v>6831</v>
      </c>
      <c r="G1199" t="s">
        <v>6832</v>
      </c>
      <c r="H1199" t="s">
        <v>6833</v>
      </c>
      <c r="I1199" t="s">
        <v>6834</v>
      </c>
      <c r="J1199" t="s">
        <v>126</v>
      </c>
      <c r="K1199" t="s">
        <v>1853</v>
      </c>
      <c r="L1199" t="s">
        <v>128</v>
      </c>
      <c r="M1199" t="s">
        <v>1854</v>
      </c>
      <c r="N1199" t="s">
        <v>6835</v>
      </c>
      <c r="O1199" t="s">
        <v>167</v>
      </c>
      <c r="P1199">
        <v>0</v>
      </c>
      <c r="Q1199" t="s">
        <v>125</v>
      </c>
      <c r="R1199">
        <v>4</v>
      </c>
      <c r="S1199">
        <v>75</v>
      </c>
      <c r="T1199" t="s">
        <v>132</v>
      </c>
      <c r="U1199" t="s">
        <v>133</v>
      </c>
      <c r="V1199" s="1">
        <v>1500</v>
      </c>
      <c r="W1199">
        <v>651.09</v>
      </c>
      <c r="X1199">
        <v>848.91</v>
      </c>
      <c r="Y1199">
        <v>0</v>
      </c>
      <c r="Z1199">
        <v>0</v>
      </c>
      <c r="AA1199">
        <v>8</v>
      </c>
      <c r="AB1199">
        <v>1</v>
      </c>
      <c r="AC1199">
        <v>4</v>
      </c>
      <c r="AD1199" t="s">
        <v>134</v>
      </c>
      <c r="AE1199" t="s">
        <v>134</v>
      </c>
      <c r="AF1199" s="2">
        <v>45755</v>
      </c>
      <c r="AG1199" s="2">
        <v>46009</v>
      </c>
      <c r="AH1199">
        <v>611.78</v>
      </c>
      <c r="AI1199" s="1">
        <v>1761.68</v>
      </c>
      <c r="AJ1199" s="1">
        <v>5506.09</v>
      </c>
      <c r="AK1199">
        <v>651.09</v>
      </c>
      <c r="AL1199">
        <v>0</v>
      </c>
      <c r="AM1199">
        <v>0</v>
      </c>
      <c r="AN1199" t="s">
        <v>135</v>
      </c>
      <c r="AO1199" t="s">
        <v>135</v>
      </c>
      <c r="AP1199" t="s">
        <v>136</v>
      </c>
      <c r="AQ1199" t="s">
        <v>137</v>
      </c>
      <c r="AR1199" t="s">
        <v>138</v>
      </c>
      <c r="AS1199" t="s">
        <v>139</v>
      </c>
      <c r="AT1199" t="s">
        <v>140</v>
      </c>
      <c r="AU1199">
        <v>103</v>
      </c>
      <c r="AV1199">
        <v>10</v>
      </c>
      <c r="AW1199">
        <v>1</v>
      </c>
      <c r="AX1199" s="2">
        <v>45840</v>
      </c>
      <c r="AY1199" t="s">
        <v>168</v>
      </c>
      <c r="AZ1199" s="2">
        <v>46022</v>
      </c>
      <c r="BA1199">
        <v>0</v>
      </c>
      <c r="BB1199">
        <v>0</v>
      </c>
      <c r="BC1199">
        <v>0</v>
      </c>
      <c r="BD1199">
        <v>700</v>
      </c>
      <c r="BE1199">
        <v>70</v>
      </c>
      <c r="BF1199">
        <v>9</v>
      </c>
      <c r="BG1199" s="2">
        <v>45809</v>
      </c>
      <c r="BH1199" t="s">
        <v>142</v>
      </c>
      <c r="BI1199" s="2">
        <v>46026</v>
      </c>
      <c r="BJ1199">
        <v>0</v>
      </c>
      <c r="BK1199">
        <v>0</v>
      </c>
      <c r="BL1199">
        <v>0</v>
      </c>
      <c r="BM1199">
        <v>5</v>
      </c>
      <c r="BN1199">
        <v>2.7</v>
      </c>
      <c r="BO1199">
        <v>714.95</v>
      </c>
      <c r="BP1199">
        <v>611.19000000000005</v>
      </c>
      <c r="BQ1199" s="1">
        <v>1326.14</v>
      </c>
      <c r="BR1199">
        <v>283.98</v>
      </c>
      <c r="BS1199">
        <v>6.57</v>
      </c>
      <c r="BT1199">
        <v>6.01</v>
      </c>
      <c r="BU1199" s="1">
        <v>2960.29</v>
      </c>
      <c r="BV1199">
        <v>276.17</v>
      </c>
      <c r="BW1199" s="1">
        <v>3236.46</v>
      </c>
      <c r="BX1199">
        <v>0</v>
      </c>
      <c r="BY1199">
        <v>0</v>
      </c>
      <c r="BZ1199">
        <v>0</v>
      </c>
      <c r="CA1199">
        <v>0</v>
      </c>
      <c r="CB1199">
        <v>848.24</v>
      </c>
      <c r="CC1199" t="s">
        <v>161</v>
      </c>
    </row>
    <row r="1200" spans="1:81" x14ac:dyDescent="0.25">
      <c r="A1200">
        <v>345</v>
      </c>
      <c r="B1200">
        <v>2</v>
      </c>
      <c r="C1200">
        <v>3368</v>
      </c>
      <c r="D1200" t="s">
        <v>6836</v>
      </c>
      <c r="E1200" t="s">
        <v>121</v>
      </c>
      <c r="F1200" t="s">
        <v>6837</v>
      </c>
      <c r="G1200" t="s">
        <v>6838</v>
      </c>
      <c r="H1200" t="s">
        <v>6839</v>
      </c>
      <c r="I1200" t="s">
        <v>6840</v>
      </c>
      <c r="J1200" t="s">
        <v>126</v>
      </c>
      <c r="K1200" t="s">
        <v>1853</v>
      </c>
      <c r="L1200" t="s">
        <v>128</v>
      </c>
      <c r="M1200" t="s">
        <v>1854</v>
      </c>
      <c r="N1200" t="s">
        <v>6841</v>
      </c>
      <c r="O1200" t="s">
        <v>201</v>
      </c>
      <c r="P1200">
        <v>0</v>
      </c>
      <c r="Q1200" t="s">
        <v>125</v>
      </c>
      <c r="R1200">
        <v>3</v>
      </c>
      <c r="S1200">
        <v>82</v>
      </c>
      <c r="T1200" t="s">
        <v>132</v>
      </c>
      <c r="U1200" t="s">
        <v>133</v>
      </c>
      <c r="V1200" s="1">
        <v>1000</v>
      </c>
      <c r="W1200">
        <v>0</v>
      </c>
      <c r="X1200" s="1">
        <v>1000</v>
      </c>
      <c r="Y1200">
        <v>7</v>
      </c>
      <c r="Z1200">
        <v>0</v>
      </c>
      <c r="AA1200">
        <v>0</v>
      </c>
      <c r="AB1200">
        <v>0</v>
      </c>
      <c r="AC1200">
        <v>0</v>
      </c>
      <c r="AD1200" t="s">
        <v>134</v>
      </c>
      <c r="AE1200" t="s">
        <v>134</v>
      </c>
      <c r="AF1200" s="2">
        <v>45755</v>
      </c>
      <c r="AG1200" s="2">
        <v>46007</v>
      </c>
      <c r="AH1200">
        <v>401.54</v>
      </c>
      <c r="AI1200">
        <v>467.45</v>
      </c>
      <c r="AJ1200" s="1">
        <v>1204.6199999999999</v>
      </c>
      <c r="AK1200">
        <v>0</v>
      </c>
      <c r="AL1200">
        <v>0</v>
      </c>
      <c r="AM1200">
        <v>0</v>
      </c>
      <c r="AN1200" t="s">
        <v>135</v>
      </c>
      <c r="AO1200" t="s">
        <v>135</v>
      </c>
      <c r="AP1200" t="s">
        <v>136</v>
      </c>
      <c r="AQ1200" t="s">
        <v>137</v>
      </c>
      <c r="AR1200" t="s">
        <v>138</v>
      </c>
      <c r="AS1200" t="s">
        <v>150</v>
      </c>
      <c r="AT1200" t="s">
        <v>140</v>
      </c>
      <c r="AU1200">
        <v>103</v>
      </c>
      <c r="AV1200">
        <v>10</v>
      </c>
      <c r="AW1200">
        <v>1</v>
      </c>
      <c r="AX1200" s="2">
        <v>45978</v>
      </c>
      <c r="AY1200" t="s">
        <v>141</v>
      </c>
      <c r="AZ1200" s="2">
        <v>46027</v>
      </c>
      <c r="BA1200">
        <v>0</v>
      </c>
      <c r="BB1200">
        <v>0</v>
      </c>
      <c r="BC1200">
        <v>0</v>
      </c>
      <c r="BD1200">
        <v>700</v>
      </c>
      <c r="BE1200">
        <v>70</v>
      </c>
      <c r="BF1200">
        <v>9</v>
      </c>
      <c r="BG1200" s="2">
        <v>45809</v>
      </c>
      <c r="BH1200" t="s">
        <v>142</v>
      </c>
      <c r="BI1200" s="2">
        <v>46026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467.45</v>
      </c>
      <c r="BW1200">
        <v>467.45</v>
      </c>
      <c r="BX1200">
        <v>0</v>
      </c>
      <c r="BY1200">
        <v>0</v>
      </c>
      <c r="BZ1200">
        <v>0</v>
      </c>
      <c r="CA1200">
        <v>0</v>
      </c>
      <c r="CB1200">
        <v>437.14</v>
      </c>
      <c r="CC1200" t="s">
        <v>161</v>
      </c>
    </row>
    <row r="1201" spans="1:81" x14ac:dyDescent="0.25">
      <c r="A1201">
        <v>345</v>
      </c>
      <c r="B1201">
        <v>2</v>
      </c>
      <c r="C1201">
        <v>3369</v>
      </c>
      <c r="D1201" t="s">
        <v>6842</v>
      </c>
      <c r="E1201" t="s">
        <v>121</v>
      </c>
      <c r="F1201" t="s">
        <v>6843</v>
      </c>
      <c r="G1201" t="s">
        <v>6844</v>
      </c>
      <c r="H1201" t="s">
        <v>6845</v>
      </c>
      <c r="I1201" t="s">
        <v>6846</v>
      </c>
      <c r="J1201" t="s">
        <v>4996</v>
      </c>
      <c r="K1201" t="s">
        <v>1853</v>
      </c>
      <c r="L1201" t="s">
        <v>128</v>
      </c>
      <c r="M1201" t="s">
        <v>1854</v>
      </c>
      <c r="N1201" t="s">
        <v>6847</v>
      </c>
      <c r="O1201" t="s">
        <v>201</v>
      </c>
      <c r="P1201">
        <v>0</v>
      </c>
      <c r="Q1201" t="s">
        <v>125</v>
      </c>
      <c r="R1201">
        <v>3</v>
      </c>
      <c r="S1201">
        <v>84</v>
      </c>
      <c r="T1201" t="s">
        <v>132</v>
      </c>
      <c r="U1201" t="s">
        <v>133</v>
      </c>
      <c r="V1201" s="1">
        <v>1000</v>
      </c>
      <c r="W1201">
        <v>0</v>
      </c>
      <c r="X1201" s="1">
        <v>1000</v>
      </c>
      <c r="Y1201">
        <v>7</v>
      </c>
      <c r="Z1201">
        <v>0</v>
      </c>
      <c r="AA1201">
        <v>0</v>
      </c>
      <c r="AB1201">
        <v>0</v>
      </c>
      <c r="AC1201">
        <v>0</v>
      </c>
      <c r="AD1201" t="s">
        <v>134</v>
      </c>
      <c r="AE1201" t="s">
        <v>134</v>
      </c>
      <c r="AF1201" s="2">
        <v>45755</v>
      </c>
      <c r="AG1201" s="2">
        <v>46010</v>
      </c>
      <c r="AH1201">
        <v>248.1</v>
      </c>
      <c r="AI1201">
        <v>361.24</v>
      </c>
      <c r="AJ1201" s="1">
        <v>1240.51</v>
      </c>
      <c r="AK1201">
        <v>0</v>
      </c>
      <c r="AL1201">
        <v>0</v>
      </c>
      <c r="AM1201">
        <v>0</v>
      </c>
      <c r="AN1201" t="s">
        <v>135</v>
      </c>
      <c r="AO1201" t="s">
        <v>135</v>
      </c>
      <c r="AP1201" t="s">
        <v>136</v>
      </c>
      <c r="AQ1201" t="s">
        <v>137</v>
      </c>
      <c r="AR1201" t="s">
        <v>138</v>
      </c>
      <c r="AS1201" t="s">
        <v>139</v>
      </c>
      <c r="AT1201" t="s">
        <v>140</v>
      </c>
      <c r="AU1201">
        <v>103</v>
      </c>
      <c r="AV1201">
        <v>10</v>
      </c>
      <c r="AW1201">
        <v>1</v>
      </c>
      <c r="AX1201" s="2">
        <v>45820</v>
      </c>
      <c r="AY1201" t="s">
        <v>308</v>
      </c>
      <c r="AZ1201" s="2">
        <v>46023</v>
      </c>
      <c r="BA1201">
        <v>0</v>
      </c>
      <c r="BB1201">
        <v>0</v>
      </c>
      <c r="BC1201">
        <v>0</v>
      </c>
      <c r="BD1201">
        <v>700</v>
      </c>
      <c r="BE1201">
        <v>70</v>
      </c>
      <c r="BF1201">
        <v>9</v>
      </c>
      <c r="BG1201" s="2">
        <v>45809</v>
      </c>
      <c r="BH1201" t="s">
        <v>142</v>
      </c>
      <c r="BI1201" s="2">
        <v>46026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355.96</v>
      </c>
      <c r="BQ1201">
        <v>355.96</v>
      </c>
      <c r="BR1201">
        <v>0</v>
      </c>
      <c r="BS1201">
        <v>0</v>
      </c>
      <c r="BT1201">
        <v>0</v>
      </c>
      <c r="BU1201">
        <v>0</v>
      </c>
      <c r="BV1201">
        <v>637.04</v>
      </c>
      <c r="BW1201">
        <v>637.04</v>
      </c>
      <c r="BX1201">
        <v>0</v>
      </c>
      <c r="BY1201">
        <v>0</v>
      </c>
      <c r="BZ1201">
        <v>0</v>
      </c>
      <c r="CA1201">
        <v>0</v>
      </c>
      <c r="CB1201">
        <v>254.33</v>
      </c>
      <c r="CC1201" t="s">
        <v>161</v>
      </c>
    </row>
    <row r="1202" spans="1:81" x14ac:dyDescent="0.25">
      <c r="A1202">
        <v>345</v>
      </c>
      <c r="B1202">
        <v>2</v>
      </c>
      <c r="C1202">
        <v>3370</v>
      </c>
      <c r="D1202" t="s">
        <v>6848</v>
      </c>
      <c r="E1202" t="s">
        <v>121</v>
      </c>
      <c r="F1202" t="s">
        <v>6849</v>
      </c>
      <c r="G1202" t="s">
        <v>6850</v>
      </c>
      <c r="H1202" t="s">
        <v>6851</v>
      </c>
      <c r="I1202" t="s">
        <v>6701</v>
      </c>
      <c r="J1202" t="s">
        <v>4932</v>
      </c>
      <c r="K1202" t="s">
        <v>1853</v>
      </c>
      <c r="L1202" t="s">
        <v>128</v>
      </c>
      <c r="M1202" t="s">
        <v>1854</v>
      </c>
      <c r="N1202" t="s">
        <v>6852</v>
      </c>
      <c r="O1202" t="s">
        <v>201</v>
      </c>
      <c r="P1202">
        <v>0</v>
      </c>
      <c r="Q1202" t="s">
        <v>125</v>
      </c>
      <c r="R1202">
        <v>5</v>
      </c>
      <c r="S1202">
        <v>71</v>
      </c>
      <c r="T1202" t="s">
        <v>132</v>
      </c>
      <c r="U1202" t="s">
        <v>133</v>
      </c>
      <c r="V1202">
        <v>201</v>
      </c>
      <c r="W1202">
        <v>0</v>
      </c>
      <c r="X1202">
        <v>201</v>
      </c>
      <c r="Y1202">
        <v>0</v>
      </c>
      <c r="Z1202">
        <v>0</v>
      </c>
      <c r="AA1202">
        <v>5</v>
      </c>
      <c r="AB1202">
        <v>16</v>
      </c>
      <c r="AC1202">
        <v>60</v>
      </c>
      <c r="AD1202" t="s">
        <v>134</v>
      </c>
      <c r="AE1202" t="s">
        <v>134</v>
      </c>
      <c r="AF1202" s="2">
        <v>45755</v>
      </c>
      <c r="AG1202" s="2">
        <v>46010</v>
      </c>
      <c r="AH1202">
        <v>148.49</v>
      </c>
      <c r="AI1202">
        <v>223.76</v>
      </c>
      <c r="AJ1202">
        <v>296.99</v>
      </c>
      <c r="AK1202">
        <v>0</v>
      </c>
      <c r="AL1202">
        <v>0</v>
      </c>
      <c r="AM1202">
        <v>0</v>
      </c>
      <c r="AN1202" t="s">
        <v>135</v>
      </c>
      <c r="AO1202" t="s">
        <v>135</v>
      </c>
      <c r="AP1202" t="s">
        <v>136</v>
      </c>
      <c r="AQ1202" t="s">
        <v>137</v>
      </c>
      <c r="AR1202" t="s">
        <v>138</v>
      </c>
      <c r="AS1202" t="s">
        <v>139</v>
      </c>
      <c r="AT1202" t="s">
        <v>140</v>
      </c>
      <c r="AU1202">
        <v>103</v>
      </c>
      <c r="AV1202">
        <v>10</v>
      </c>
      <c r="AW1202">
        <v>1</v>
      </c>
      <c r="AX1202" s="2">
        <v>45820</v>
      </c>
      <c r="AY1202" t="s">
        <v>308</v>
      </c>
      <c r="AZ1202" s="2">
        <v>46023</v>
      </c>
      <c r="BA1202">
        <v>0</v>
      </c>
      <c r="BB1202">
        <v>0</v>
      </c>
      <c r="BC1202">
        <v>0</v>
      </c>
      <c r="BD1202">
        <v>700</v>
      </c>
      <c r="BE1202">
        <v>70</v>
      </c>
      <c r="BF1202">
        <v>9</v>
      </c>
      <c r="BG1202" s="2">
        <v>45809</v>
      </c>
      <c r="BH1202" t="s">
        <v>142</v>
      </c>
      <c r="BI1202" s="2">
        <v>46026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73.23</v>
      </c>
      <c r="BW1202">
        <v>73.23</v>
      </c>
      <c r="BX1202">
        <v>0</v>
      </c>
      <c r="BY1202">
        <v>0</v>
      </c>
      <c r="BZ1202">
        <v>0</v>
      </c>
      <c r="CA1202">
        <v>0</v>
      </c>
      <c r="CB1202">
        <v>74.58</v>
      </c>
      <c r="CC1202" t="s">
        <v>161</v>
      </c>
    </row>
    <row r="1203" spans="1:81" x14ac:dyDescent="0.25">
      <c r="A1203">
        <v>345</v>
      </c>
      <c r="B1203">
        <v>2</v>
      </c>
      <c r="C1203">
        <v>3371</v>
      </c>
      <c r="D1203" t="s">
        <v>6853</v>
      </c>
      <c r="E1203" t="s">
        <v>121</v>
      </c>
      <c r="F1203" t="s">
        <v>6854</v>
      </c>
      <c r="G1203" t="s">
        <v>6855</v>
      </c>
      <c r="H1203" t="s">
        <v>6856</v>
      </c>
      <c r="I1203" t="s">
        <v>6857</v>
      </c>
      <c r="J1203" t="s">
        <v>126</v>
      </c>
      <c r="K1203" t="s">
        <v>1853</v>
      </c>
      <c r="L1203" t="s">
        <v>128</v>
      </c>
      <c r="M1203" t="s">
        <v>1854</v>
      </c>
      <c r="N1203" t="s">
        <v>6858</v>
      </c>
      <c r="O1203" t="s">
        <v>149</v>
      </c>
      <c r="P1203">
        <v>0</v>
      </c>
      <c r="Q1203" t="s">
        <v>125</v>
      </c>
      <c r="R1203">
        <v>3</v>
      </c>
      <c r="S1203">
        <v>83</v>
      </c>
      <c r="T1203" t="s">
        <v>132</v>
      </c>
      <c r="U1203" t="s">
        <v>133</v>
      </c>
      <c r="V1203" s="1">
        <v>1000</v>
      </c>
      <c r="W1203">
        <v>0</v>
      </c>
      <c r="X1203" s="1">
        <v>1000</v>
      </c>
      <c r="Y1203">
        <v>7</v>
      </c>
      <c r="Z1203">
        <v>0</v>
      </c>
      <c r="AA1203">
        <v>0</v>
      </c>
      <c r="AB1203">
        <v>0</v>
      </c>
      <c r="AC1203">
        <v>0</v>
      </c>
      <c r="AD1203" t="s">
        <v>134</v>
      </c>
      <c r="AE1203" t="s">
        <v>134</v>
      </c>
      <c r="AF1203" s="2">
        <v>45755</v>
      </c>
      <c r="AG1203" s="2">
        <v>45961</v>
      </c>
      <c r="AH1203">
        <v>194.89</v>
      </c>
      <c r="AI1203">
        <v>194.89</v>
      </c>
      <c r="AJ1203">
        <v>194.89</v>
      </c>
      <c r="AK1203">
        <v>0</v>
      </c>
      <c r="AL1203">
        <v>0</v>
      </c>
      <c r="AM1203">
        <v>0</v>
      </c>
      <c r="AN1203" t="s">
        <v>135</v>
      </c>
      <c r="AO1203" t="s">
        <v>135</v>
      </c>
      <c r="AP1203" t="s">
        <v>136</v>
      </c>
      <c r="AQ1203" t="s">
        <v>137</v>
      </c>
      <c r="AR1203" t="s">
        <v>138</v>
      </c>
      <c r="AS1203" t="s">
        <v>150</v>
      </c>
      <c r="AT1203" t="s">
        <v>140</v>
      </c>
      <c r="AU1203">
        <v>103</v>
      </c>
      <c r="AV1203">
        <v>10</v>
      </c>
      <c r="AW1203">
        <v>1</v>
      </c>
      <c r="AX1203" s="2">
        <v>45813</v>
      </c>
      <c r="AY1203" t="s">
        <v>308</v>
      </c>
      <c r="AZ1203" s="2">
        <v>46023</v>
      </c>
      <c r="BA1203">
        <v>0</v>
      </c>
      <c r="BB1203">
        <v>0</v>
      </c>
      <c r="BC1203">
        <v>0</v>
      </c>
      <c r="BD1203">
        <v>700</v>
      </c>
      <c r="BE1203">
        <v>70</v>
      </c>
      <c r="BF1203">
        <v>9</v>
      </c>
      <c r="BG1203" s="2">
        <v>45809</v>
      </c>
      <c r="BH1203" t="s">
        <v>142</v>
      </c>
      <c r="BI1203" s="2">
        <v>46026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64.959999999999994</v>
      </c>
      <c r="CC1203" t="s">
        <v>161</v>
      </c>
    </row>
    <row r="1204" spans="1:81" x14ac:dyDescent="0.25">
      <c r="A1204">
        <v>345</v>
      </c>
      <c r="B1204">
        <v>2</v>
      </c>
      <c r="C1204">
        <v>3372</v>
      </c>
      <c r="D1204" t="s">
        <v>6859</v>
      </c>
      <c r="E1204" t="s">
        <v>121</v>
      </c>
      <c r="F1204" t="s">
        <v>6860</v>
      </c>
      <c r="G1204" t="s">
        <v>6861</v>
      </c>
      <c r="H1204" t="s">
        <v>6862</v>
      </c>
      <c r="I1204" t="s">
        <v>6863</v>
      </c>
      <c r="J1204" t="s">
        <v>126</v>
      </c>
      <c r="K1204" t="s">
        <v>1853</v>
      </c>
      <c r="L1204" t="s">
        <v>128</v>
      </c>
      <c r="M1204" t="s">
        <v>1854</v>
      </c>
      <c r="N1204" t="s">
        <v>6864</v>
      </c>
      <c r="O1204" t="s">
        <v>201</v>
      </c>
      <c r="P1204">
        <v>0</v>
      </c>
      <c r="Q1204" t="s">
        <v>125</v>
      </c>
      <c r="R1204">
        <v>3</v>
      </c>
      <c r="S1204">
        <v>85</v>
      </c>
      <c r="T1204" t="s">
        <v>132</v>
      </c>
      <c r="U1204" t="s">
        <v>133</v>
      </c>
      <c r="V1204" s="1">
        <v>1000</v>
      </c>
      <c r="W1204">
        <v>0</v>
      </c>
      <c r="X1204" s="1">
        <v>1000</v>
      </c>
      <c r="Y1204">
        <v>7</v>
      </c>
      <c r="Z1204">
        <v>0</v>
      </c>
      <c r="AA1204">
        <v>0</v>
      </c>
      <c r="AB1204">
        <v>0</v>
      </c>
      <c r="AC1204">
        <v>0</v>
      </c>
      <c r="AD1204" t="s">
        <v>134</v>
      </c>
      <c r="AE1204" t="s">
        <v>134</v>
      </c>
      <c r="AF1204" s="2">
        <v>45755</v>
      </c>
      <c r="AG1204" s="2">
        <v>46020</v>
      </c>
      <c r="AH1204">
        <v>189.34</v>
      </c>
      <c r="AI1204">
        <v>440.54</v>
      </c>
      <c r="AJ1204" s="1">
        <v>1704.07</v>
      </c>
      <c r="AK1204">
        <v>0</v>
      </c>
      <c r="AL1204">
        <v>0</v>
      </c>
      <c r="AM1204">
        <v>0</v>
      </c>
      <c r="AN1204" t="s">
        <v>135</v>
      </c>
      <c r="AO1204" t="s">
        <v>135</v>
      </c>
      <c r="AP1204" t="s">
        <v>136</v>
      </c>
      <c r="AQ1204" t="s">
        <v>137</v>
      </c>
      <c r="AR1204" t="s">
        <v>138</v>
      </c>
      <c r="AS1204" t="s">
        <v>139</v>
      </c>
      <c r="AT1204" t="s">
        <v>140</v>
      </c>
      <c r="AU1204">
        <v>103</v>
      </c>
      <c r="AV1204">
        <v>10</v>
      </c>
      <c r="AW1204">
        <v>1</v>
      </c>
      <c r="AX1204" s="2">
        <v>45842</v>
      </c>
      <c r="AY1204" t="s">
        <v>151</v>
      </c>
      <c r="AZ1204" s="2">
        <v>46024</v>
      </c>
      <c r="BA1204">
        <v>0</v>
      </c>
      <c r="BB1204">
        <v>0</v>
      </c>
      <c r="BC1204">
        <v>0</v>
      </c>
      <c r="BD1204">
        <v>700</v>
      </c>
      <c r="BE1204">
        <v>70</v>
      </c>
      <c r="BF1204">
        <v>9</v>
      </c>
      <c r="BG1204" s="2">
        <v>45809</v>
      </c>
      <c r="BH1204" t="s">
        <v>142</v>
      </c>
      <c r="BI1204" s="2">
        <v>46026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695.23</v>
      </c>
      <c r="BQ1204">
        <v>695.23</v>
      </c>
      <c r="BR1204">
        <v>0</v>
      </c>
      <c r="BS1204">
        <v>0</v>
      </c>
      <c r="BT1204">
        <v>0</v>
      </c>
      <c r="BU1204">
        <v>0</v>
      </c>
      <c r="BV1204">
        <v>559.89</v>
      </c>
      <c r="BW1204">
        <v>559.89</v>
      </c>
      <c r="BX1204">
        <v>0</v>
      </c>
      <c r="BY1204">
        <v>0</v>
      </c>
      <c r="BZ1204">
        <v>0</v>
      </c>
      <c r="CA1204">
        <v>0</v>
      </c>
      <c r="CB1204">
        <v>711.53</v>
      </c>
      <c r="CC1204" t="s">
        <v>161</v>
      </c>
    </row>
    <row r="1205" spans="1:81" x14ac:dyDescent="0.25">
      <c r="A1205">
        <v>345</v>
      </c>
      <c r="B1205">
        <v>2</v>
      </c>
      <c r="C1205">
        <v>3373</v>
      </c>
      <c r="D1205" t="s">
        <v>6865</v>
      </c>
      <c r="E1205" t="s">
        <v>121</v>
      </c>
      <c r="F1205" t="s">
        <v>6866</v>
      </c>
      <c r="G1205" t="s">
        <v>6867</v>
      </c>
      <c r="H1205" t="s">
        <v>6868</v>
      </c>
      <c r="I1205" t="s">
        <v>6869</v>
      </c>
      <c r="J1205" t="s">
        <v>4569</v>
      </c>
      <c r="K1205" t="s">
        <v>466</v>
      </c>
      <c r="L1205" t="s">
        <v>128</v>
      </c>
      <c r="M1205" t="s">
        <v>467</v>
      </c>
      <c r="N1205" t="s">
        <v>6870</v>
      </c>
      <c r="O1205" t="s">
        <v>167</v>
      </c>
      <c r="P1205">
        <v>0</v>
      </c>
      <c r="Q1205" t="s">
        <v>125</v>
      </c>
      <c r="R1205">
        <v>5</v>
      </c>
      <c r="S1205">
        <v>74</v>
      </c>
      <c r="T1205" t="s">
        <v>132</v>
      </c>
      <c r="U1205" t="s">
        <v>133</v>
      </c>
      <c r="V1205" s="1">
        <v>1500</v>
      </c>
      <c r="W1205">
        <v>0</v>
      </c>
      <c r="X1205" s="1">
        <v>1500</v>
      </c>
      <c r="Y1205">
        <v>7</v>
      </c>
      <c r="Z1205">
        <v>0</v>
      </c>
      <c r="AA1205">
        <v>0</v>
      </c>
      <c r="AB1205">
        <v>0</v>
      </c>
      <c r="AC1205">
        <v>0</v>
      </c>
      <c r="AD1205" t="s">
        <v>134</v>
      </c>
      <c r="AE1205" t="s">
        <v>134</v>
      </c>
      <c r="AF1205" s="2">
        <v>45755</v>
      </c>
      <c r="AG1205" s="2">
        <v>46004</v>
      </c>
      <c r="AH1205">
        <v>93.73</v>
      </c>
      <c r="AI1205">
        <v>167.89</v>
      </c>
      <c r="AJ1205">
        <v>281.19</v>
      </c>
      <c r="AK1205">
        <v>0</v>
      </c>
      <c r="AL1205">
        <v>0</v>
      </c>
      <c r="AM1205">
        <v>0</v>
      </c>
      <c r="AN1205" t="s">
        <v>135</v>
      </c>
      <c r="AO1205" t="s">
        <v>135</v>
      </c>
      <c r="AP1205" t="s">
        <v>136</v>
      </c>
      <c r="AQ1205" t="s">
        <v>137</v>
      </c>
      <c r="AR1205" t="s">
        <v>138</v>
      </c>
      <c r="AS1205" t="s">
        <v>139</v>
      </c>
      <c r="AT1205" t="s">
        <v>140</v>
      </c>
      <c r="AU1205">
        <v>100</v>
      </c>
      <c r="AV1205">
        <v>10</v>
      </c>
      <c r="AW1205">
        <v>1</v>
      </c>
      <c r="AX1205" s="2">
        <v>45814</v>
      </c>
      <c r="AY1205" t="s">
        <v>151</v>
      </c>
      <c r="AZ1205" s="2">
        <v>46024</v>
      </c>
      <c r="BA1205">
        <v>0</v>
      </c>
      <c r="BB1205">
        <v>0</v>
      </c>
      <c r="BC1205">
        <v>0</v>
      </c>
      <c r="BD1205">
        <v>700</v>
      </c>
      <c r="BE1205">
        <v>70</v>
      </c>
      <c r="BF1205">
        <v>9</v>
      </c>
      <c r="BG1205" s="2">
        <v>45809</v>
      </c>
      <c r="BH1205" t="s">
        <v>142</v>
      </c>
      <c r="BI1205" s="2">
        <v>46026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82.8</v>
      </c>
      <c r="BW1205">
        <v>82.8</v>
      </c>
      <c r="BX1205">
        <v>0</v>
      </c>
      <c r="BY1205">
        <v>0</v>
      </c>
      <c r="BZ1205">
        <v>0</v>
      </c>
      <c r="CA1205">
        <v>0</v>
      </c>
      <c r="CB1205">
        <v>173.54</v>
      </c>
      <c r="CC1205" t="s">
        <v>161</v>
      </c>
    </row>
    <row r="1206" spans="1:81" x14ac:dyDescent="0.25">
      <c r="A1206">
        <v>345</v>
      </c>
      <c r="B1206">
        <v>2</v>
      </c>
      <c r="C1206">
        <v>3374</v>
      </c>
      <c r="D1206" t="s">
        <v>6871</v>
      </c>
      <c r="E1206" t="s">
        <v>121</v>
      </c>
      <c r="F1206" t="s">
        <v>6872</v>
      </c>
      <c r="G1206" t="s">
        <v>6873</v>
      </c>
      <c r="H1206" t="s">
        <v>6874</v>
      </c>
      <c r="I1206" t="s">
        <v>6875</v>
      </c>
      <c r="J1206" t="s">
        <v>126</v>
      </c>
      <c r="K1206" t="s">
        <v>127</v>
      </c>
      <c r="L1206" t="s">
        <v>128</v>
      </c>
      <c r="M1206" t="s">
        <v>129</v>
      </c>
      <c r="N1206" t="s">
        <v>6876</v>
      </c>
      <c r="O1206" t="s">
        <v>149</v>
      </c>
      <c r="P1206">
        <v>0</v>
      </c>
      <c r="Q1206" t="s">
        <v>125</v>
      </c>
      <c r="R1206">
        <v>3</v>
      </c>
      <c r="S1206">
        <v>86</v>
      </c>
      <c r="T1206" t="s">
        <v>132</v>
      </c>
      <c r="U1206" t="s">
        <v>133</v>
      </c>
      <c r="V1206" s="1">
        <v>1600</v>
      </c>
      <c r="W1206">
        <v>0</v>
      </c>
      <c r="X1206" s="1">
        <v>1600</v>
      </c>
      <c r="Y1206">
        <v>7</v>
      </c>
      <c r="Z1206">
        <v>0</v>
      </c>
      <c r="AA1206">
        <v>0</v>
      </c>
      <c r="AB1206">
        <v>0</v>
      </c>
      <c r="AC1206">
        <v>0</v>
      </c>
      <c r="AD1206" t="s">
        <v>134</v>
      </c>
      <c r="AE1206" t="s">
        <v>134</v>
      </c>
      <c r="AF1206" s="2">
        <v>45755</v>
      </c>
      <c r="AG1206" s="2">
        <v>45990</v>
      </c>
      <c r="AH1206">
        <v>741.98</v>
      </c>
      <c r="AI1206" s="1">
        <v>1088.46</v>
      </c>
      <c r="AJ1206" s="1">
        <v>2967.95</v>
      </c>
      <c r="AK1206">
        <v>0</v>
      </c>
      <c r="AL1206">
        <v>0</v>
      </c>
      <c r="AM1206">
        <v>0</v>
      </c>
      <c r="AN1206" t="s">
        <v>135</v>
      </c>
      <c r="AO1206" t="s">
        <v>135</v>
      </c>
      <c r="AP1206" t="s">
        <v>136</v>
      </c>
      <c r="AQ1206" t="s">
        <v>137</v>
      </c>
      <c r="AR1206" t="s">
        <v>138</v>
      </c>
      <c r="AS1206" t="s">
        <v>139</v>
      </c>
      <c r="AT1206" t="s">
        <v>140</v>
      </c>
      <c r="AU1206">
        <v>102</v>
      </c>
      <c r="AV1206">
        <v>10</v>
      </c>
      <c r="AW1206">
        <v>1</v>
      </c>
      <c r="AX1206" s="2">
        <v>45995</v>
      </c>
      <c r="AY1206" t="s">
        <v>308</v>
      </c>
      <c r="AZ1206" s="2">
        <v>46023</v>
      </c>
      <c r="BA1206">
        <v>0</v>
      </c>
      <c r="BB1206">
        <v>0</v>
      </c>
      <c r="BC1206">
        <v>0</v>
      </c>
      <c r="BD1206">
        <v>700</v>
      </c>
      <c r="BE1206">
        <v>70</v>
      </c>
      <c r="BF1206">
        <v>9</v>
      </c>
      <c r="BG1206" s="2">
        <v>45809</v>
      </c>
      <c r="BH1206" t="s">
        <v>142</v>
      </c>
      <c r="BI1206" s="2">
        <v>46026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 s="1">
        <v>1306.49</v>
      </c>
      <c r="BQ1206" s="1">
        <v>1306.49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 s="1">
        <v>1505.01</v>
      </c>
      <c r="CC1206" t="s">
        <v>161</v>
      </c>
    </row>
    <row r="1207" spans="1:81" x14ac:dyDescent="0.25">
      <c r="A1207">
        <v>345</v>
      </c>
      <c r="B1207">
        <v>2</v>
      </c>
      <c r="C1207">
        <v>3375</v>
      </c>
      <c r="D1207" t="s">
        <v>6877</v>
      </c>
      <c r="E1207" t="s">
        <v>121</v>
      </c>
      <c r="F1207" t="s">
        <v>6878</v>
      </c>
      <c r="G1207" t="s">
        <v>6879</v>
      </c>
      <c r="H1207" t="s">
        <v>5799</v>
      </c>
      <c r="I1207" t="s">
        <v>6880</v>
      </c>
      <c r="J1207" t="s">
        <v>3074</v>
      </c>
      <c r="K1207" t="s">
        <v>1853</v>
      </c>
      <c r="L1207" t="s">
        <v>128</v>
      </c>
      <c r="M1207" t="s">
        <v>1854</v>
      </c>
      <c r="N1207" t="s">
        <v>6881</v>
      </c>
      <c r="O1207" t="s">
        <v>195</v>
      </c>
      <c r="P1207">
        <v>0</v>
      </c>
      <c r="Q1207" t="s">
        <v>125</v>
      </c>
      <c r="R1207">
        <v>4</v>
      </c>
      <c r="S1207">
        <v>80</v>
      </c>
      <c r="T1207" t="s">
        <v>132</v>
      </c>
      <c r="U1207" t="s">
        <v>133</v>
      </c>
      <c r="V1207" s="1">
        <v>1000</v>
      </c>
      <c r="W1207">
        <v>853.6</v>
      </c>
      <c r="X1207">
        <v>146.4</v>
      </c>
      <c r="Y1207">
        <v>7</v>
      </c>
      <c r="Z1207">
        <v>0</v>
      </c>
      <c r="AA1207">
        <v>7</v>
      </c>
      <c r="AB1207">
        <v>0</v>
      </c>
      <c r="AC1207">
        <v>0</v>
      </c>
      <c r="AD1207" t="s">
        <v>134</v>
      </c>
      <c r="AE1207" t="s">
        <v>134</v>
      </c>
      <c r="AF1207" s="2">
        <v>45755</v>
      </c>
      <c r="AG1207" s="2">
        <v>46017</v>
      </c>
      <c r="AH1207">
        <v>531.98</v>
      </c>
      <c r="AI1207">
        <v>853.6</v>
      </c>
      <c r="AJ1207" s="1">
        <v>1063.96</v>
      </c>
      <c r="AK1207">
        <v>0</v>
      </c>
      <c r="AL1207">
        <v>853.6</v>
      </c>
      <c r="AM1207">
        <v>0</v>
      </c>
      <c r="AN1207" t="s">
        <v>135</v>
      </c>
      <c r="AO1207" t="s">
        <v>135</v>
      </c>
      <c r="AP1207" t="s">
        <v>136</v>
      </c>
      <c r="AQ1207" t="s">
        <v>137</v>
      </c>
      <c r="AR1207" t="s">
        <v>138</v>
      </c>
      <c r="AS1207" t="s">
        <v>150</v>
      </c>
      <c r="AT1207" t="s">
        <v>140</v>
      </c>
      <c r="AU1207">
        <v>106</v>
      </c>
      <c r="AV1207">
        <v>10</v>
      </c>
      <c r="AW1207">
        <v>1</v>
      </c>
      <c r="AX1207" s="2">
        <v>45756</v>
      </c>
      <c r="AY1207" t="s">
        <v>168</v>
      </c>
      <c r="AZ1207" s="2">
        <v>46022</v>
      </c>
      <c r="BA1207">
        <v>0</v>
      </c>
      <c r="BB1207">
        <v>0</v>
      </c>
      <c r="BC1207">
        <v>0</v>
      </c>
      <c r="BD1207">
        <v>700</v>
      </c>
      <c r="BE1207">
        <v>70</v>
      </c>
      <c r="BF1207">
        <v>9</v>
      </c>
      <c r="BG1207" s="2">
        <v>45809</v>
      </c>
      <c r="BH1207" t="s">
        <v>142</v>
      </c>
      <c r="BI1207" s="2">
        <v>46026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7</v>
      </c>
      <c r="BT1207">
        <v>7</v>
      </c>
      <c r="BU1207">
        <v>853.6</v>
      </c>
      <c r="BV1207">
        <v>0</v>
      </c>
      <c r="BW1207">
        <v>853.6</v>
      </c>
      <c r="BX1207">
        <v>853.6</v>
      </c>
      <c r="BY1207">
        <v>100</v>
      </c>
      <c r="BZ1207">
        <v>0</v>
      </c>
      <c r="CA1207">
        <v>0</v>
      </c>
      <c r="CB1207">
        <v>70.12</v>
      </c>
      <c r="CC1207" t="s">
        <v>161</v>
      </c>
    </row>
    <row r="1208" spans="1:81" x14ac:dyDescent="0.25">
      <c r="A1208">
        <v>345</v>
      </c>
      <c r="B1208">
        <v>2</v>
      </c>
      <c r="C1208">
        <v>3376</v>
      </c>
      <c r="D1208" t="s">
        <v>6882</v>
      </c>
      <c r="E1208" t="s">
        <v>121</v>
      </c>
      <c r="F1208" t="s">
        <v>6883</v>
      </c>
      <c r="G1208" t="s">
        <v>6884</v>
      </c>
      <c r="H1208" t="s">
        <v>6885</v>
      </c>
      <c r="I1208" t="s">
        <v>6886</v>
      </c>
      <c r="J1208" t="s">
        <v>1009</v>
      </c>
      <c r="K1208" t="s">
        <v>336</v>
      </c>
      <c r="L1208" t="s">
        <v>128</v>
      </c>
      <c r="M1208" t="s">
        <v>337</v>
      </c>
      <c r="N1208" t="s">
        <v>6887</v>
      </c>
      <c r="O1208" t="s">
        <v>159</v>
      </c>
      <c r="P1208">
        <v>0</v>
      </c>
      <c r="Q1208" t="s">
        <v>125</v>
      </c>
      <c r="R1208">
        <v>4</v>
      </c>
      <c r="S1208">
        <v>81</v>
      </c>
      <c r="T1208" t="s">
        <v>132</v>
      </c>
      <c r="U1208" t="s">
        <v>133</v>
      </c>
      <c r="V1208" s="1">
        <v>1000</v>
      </c>
      <c r="W1208">
        <v>0</v>
      </c>
      <c r="X1208" s="1">
        <v>1000</v>
      </c>
      <c r="Y1208">
        <v>7</v>
      </c>
      <c r="Z1208">
        <v>0</v>
      </c>
      <c r="AA1208">
        <v>5</v>
      </c>
      <c r="AB1208">
        <v>0</v>
      </c>
      <c r="AC1208">
        <v>0</v>
      </c>
      <c r="AD1208" t="s">
        <v>134</v>
      </c>
      <c r="AE1208" t="s">
        <v>134</v>
      </c>
      <c r="AF1208" s="2">
        <v>45755</v>
      </c>
      <c r="AG1208" s="2">
        <v>46015</v>
      </c>
      <c r="AH1208">
        <v>217.1</v>
      </c>
      <c r="AI1208">
        <v>233.63</v>
      </c>
      <c r="AJ1208">
        <v>651.32000000000005</v>
      </c>
      <c r="AK1208">
        <v>0</v>
      </c>
      <c r="AL1208">
        <v>0</v>
      </c>
      <c r="AM1208">
        <v>0</v>
      </c>
      <c r="AN1208" t="s">
        <v>135</v>
      </c>
      <c r="AO1208" t="s">
        <v>135</v>
      </c>
      <c r="AP1208" t="s">
        <v>136</v>
      </c>
      <c r="AQ1208" t="s">
        <v>137</v>
      </c>
      <c r="AR1208" t="s">
        <v>138</v>
      </c>
      <c r="AS1208" t="s">
        <v>139</v>
      </c>
      <c r="AT1208" t="s">
        <v>140</v>
      </c>
      <c r="AU1208">
        <v>101</v>
      </c>
      <c r="AV1208">
        <v>10</v>
      </c>
      <c r="AW1208">
        <v>1</v>
      </c>
      <c r="AX1208" s="2">
        <v>45811</v>
      </c>
      <c r="AY1208" t="s">
        <v>377</v>
      </c>
      <c r="AZ1208" s="2">
        <v>46028</v>
      </c>
      <c r="BA1208">
        <v>0</v>
      </c>
      <c r="BB1208">
        <v>0</v>
      </c>
      <c r="BC1208">
        <v>0</v>
      </c>
      <c r="BD1208">
        <v>700</v>
      </c>
      <c r="BE1208">
        <v>70</v>
      </c>
      <c r="BF1208">
        <v>9</v>
      </c>
      <c r="BG1208" s="2">
        <v>45809</v>
      </c>
      <c r="BH1208" t="s">
        <v>142</v>
      </c>
      <c r="BI1208" s="2">
        <v>46026</v>
      </c>
      <c r="BJ1208">
        <v>0</v>
      </c>
      <c r="BK1208">
        <v>0</v>
      </c>
      <c r="BL1208">
        <v>0</v>
      </c>
      <c r="BM1208">
        <v>5</v>
      </c>
      <c r="BN1208">
        <v>5</v>
      </c>
      <c r="BO1208">
        <v>212</v>
      </c>
      <c r="BP1208">
        <v>0</v>
      </c>
      <c r="BQ1208">
        <v>212</v>
      </c>
      <c r="BR1208">
        <v>0</v>
      </c>
      <c r="BS1208">
        <v>5</v>
      </c>
      <c r="BT1208">
        <v>5</v>
      </c>
      <c r="BU1208">
        <v>233.63</v>
      </c>
      <c r="BV1208">
        <v>0</v>
      </c>
      <c r="BW1208">
        <v>233.63</v>
      </c>
      <c r="BX1208">
        <v>0</v>
      </c>
      <c r="BY1208">
        <v>0</v>
      </c>
      <c r="BZ1208">
        <v>0</v>
      </c>
      <c r="CA1208">
        <v>0</v>
      </c>
      <c r="CB1208">
        <v>139.22999999999999</v>
      </c>
      <c r="CC1208" t="s">
        <v>161</v>
      </c>
    </row>
    <row r="1209" spans="1:81" x14ac:dyDescent="0.25">
      <c r="A1209">
        <v>345</v>
      </c>
      <c r="B1209">
        <v>2</v>
      </c>
      <c r="C1209">
        <v>3377</v>
      </c>
      <c r="D1209" t="s">
        <v>6888</v>
      </c>
      <c r="E1209" t="s">
        <v>121</v>
      </c>
      <c r="F1209" t="s">
        <v>6889</v>
      </c>
      <c r="G1209" t="s">
        <v>6890</v>
      </c>
      <c r="H1209" t="s">
        <v>6891</v>
      </c>
      <c r="I1209" t="s">
        <v>6892</v>
      </c>
      <c r="J1209" t="s">
        <v>126</v>
      </c>
      <c r="K1209" t="s">
        <v>1853</v>
      </c>
      <c r="L1209" t="s">
        <v>128</v>
      </c>
      <c r="M1209" t="s">
        <v>1854</v>
      </c>
      <c r="N1209" t="s">
        <v>6893</v>
      </c>
      <c r="O1209" t="s">
        <v>167</v>
      </c>
      <c r="P1209">
        <v>0</v>
      </c>
      <c r="Q1209" t="s">
        <v>125</v>
      </c>
      <c r="R1209">
        <v>4</v>
      </c>
      <c r="S1209">
        <v>81</v>
      </c>
      <c r="T1209" t="s">
        <v>132</v>
      </c>
      <c r="U1209" t="s">
        <v>133</v>
      </c>
      <c r="V1209" s="1">
        <v>1500</v>
      </c>
      <c r="W1209">
        <v>0</v>
      </c>
      <c r="X1209" s="1">
        <v>1500</v>
      </c>
      <c r="Y1209">
        <v>7</v>
      </c>
      <c r="Z1209">
        <v>0</v>
      </c>
      <c r="AA1209">
        <v>0</v>
      </c>
      <c r="AB1209">
        <v>0</v>
      </c>
      <c r="AC1209">
        <v>0</v>
      </c>
      <c r="AD1209" t="s">
        <v>134</v>
      </c>
      <c r="AE1209" t="s">
        <v>134</v>
      </c>
      <c r="AF1209" s="2">
        <v>45755</v>
      </c>
      <c r="AG1209" s="2">
        <v>46017</v>
      </c>
      <c r="AH1209">
        <v>158.59</v>
      </c>
      <c r="AI1209">
        <v>194.38</v>
      </c>
      <c r="AJ1209">
        <v>475.77</v>
      </c>
      <c r="AK1209">
        <v>0</v>
      </c>
      <c r="AL1209">
        <v>0</v>
      </c>
      <c r="AM1209">
        <v>0</v>
      </c>
      <c r="AN1209" t="s">
        <v>135</v>
      </c>
      <c r="AO1209" t="s">
        <v>135</v>
      </c>
      <c r="AP1209" t="s">
        <v>136</v>
      </c>
      <c r="AQ1209" t="s">
        <v>137</v>
      </c>
      <c r="AR1209" t="s">
        <v>138</v>
      </c>
      <c r="AS1209" t="s">
        <v>139</v>
      </c>
      <c r="AT1209" t="s">
        <v>140</v>
      </c>
      <c r="AU1209">
        <v>103</v>
      </c>
      <c r="AV1209">
        <v>10</v>
      </c>
      <c r="AW1209">
        <v>1</v>
      </c>
      <c r="AX1209" s="2">
        <v>45867</v>
      </c>
      <c r="AY1209" t="s">
        <v>377</v>
      </c>
      <c r="AZ1209" s="2">
        <v>46028</v>
      </c>
      <c r="BA1209">
        <v>0</v>
      </c>
      <c r="BB1209">
        <v>0</v>
      </c>
      <c r="BC1209">
        <v>0</v>
      </c>
      <c r="BD1209">
        <v>700</v>
      </c>
      <c r="BE1209">
        <v>70</v>
      </c>
      <c r="BF1209">
        <v>9</v>
      </c>
      <c r="BG1209" s="2">
        <v>45809</v>
      </c>
      <c r="BH1209" t="s">
        <v>142</v>
      </c>
      <c r="BI1209" s="2">
        <v>46026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194.38</v>
      </c>
      <c r="BQ1209">
        <v>194.38</v>
      </c>
      <c r="BR1209">
        <v>0</v>
      </c>
      <c r="BS1209">
        <v>0</v>
      </c>
      <c r="BT1209">
        <v>0</v>
      </c>
      <c r="BU1209">
        <v>0</v>
      </c>
      <c r="BV1209">
        <v>138.22</v>
      </c>
      <c r="BW1209">
        <v>138.22</v>
      </c>
      <c r="BX1209">
        <v>0</v>
      </c>
      <c r="BY1209">
        <v>0</v>
      </c>
      <c r="BZ1209">
        <v>0</v>
      </c>
      <c r="CA1209">
        <v>0</v>
      </c>
      <c r="CB1209">
        <v>180.11</v>
      </c>
      <c r="CC1209" t="s">
        <v>161</v>
      </c>
    </row>
    <row r="1210" spans="1:81" x14ac:dyDescent="0.25">
      <c r="A1210">
        <v>345</v>
      </c>
      <c r="B1210">
        <v>2</v>
      </c>
      <c r="C1210">
        <v>3378</v>
      </c>
      <c r="D1210" t="s">
        <v>6894</v>
      </c>
      <c r="E1210" t="s">
        <v>121</v>
      </c>
      <c r="F1210" t="s">
        <v>6895</v>
      </c>
      <c r="G1210" t="s">
        <v>6896</v>
      </c>
      <c r="H1210" t="s">
        <v>6897</v>
      </c>
      <c r="I1210" t="s">
        <v>6898</v>
      </c>
      <c r="J1210" t="s">
        <v>6899</v>
      </c>
      <c r="K1210" t="s">
        <v>473</v>
      </c>
      <c r="L1210" t="s">
        <v>128</v>
      </c>
      <c r="M1210" t="s">
        <v>474</v>
      </c>
      <c r="N1210" t="s">
        <v>6900</v>
      </c>
      <c r="O1210" t="s">
        <v>201</v>
      </c>
      <c r="P1210">
        <v>0</v>
      </c>
      <c r="Q1210" t="s">
        <v>125</v>
      </c>
      <c r="R1210">
        <v>3</v>
      </c>
      <c r="S1210">
        <v>82</v>
      </c>
      <c r="T1210" t="s">
        <v>132</v>
      </c>
      <c r="U1210" t="s">
        <v>133</v>
      </c>
      <c r="V1210" s="1">
        <v>1000</v>
      </c>
      <c r="W1210">
        <v>0</v>
      </c>
      <c r="X1210" s="1">
        <v>1000</v>
      </c>
      <c r="Y1210">
        <v>7</v>
      </c>
      <c r="Z1210">
        <v>0</v>
      </c>
      <c r="AA1210">
        <v>0</v>
      </c>
      <c r="AB1210">
        <v>0</v>
      </c>
      <c r="AC1210">
        <v>0</v>
      </c>
      <c r="AD1210" t="s">
        <v>134</v>
      </c>
      <c r="AE1210" t="s">
        <v>134</v>
      </c>
      <c r="AF1210" s="2">
        <v>45756</v>
      </c>
      <c r="AG1210" s="2">
        <v>46013</v>
      </c>
      <c r="AH1210">
        <v>240.11</v>
      </c>
      <c r="AI1210">
        <v>264.51</v>
      </c>
      <c r="AJ1210">
        <v>720.33</v>
      </c>
      <c r="AK1210">
        <v>0</v>
      </c>
      <c r="AL1210">
        <v>0</v>
      </c>
      <c r="AM1210">
        <v>0</v>
      </c>
      <c r="AN1210" t="s">
        <v>135</v>
      </c>
      <c r="AO1210" t="s">
        <v>135</v>
      </c>
      <c r="AP1210" t="s">
        <v>136</v>
      </c>
      <c r="AQ1210" t="s">
        <v>137</v>
      </c>
      <c r="AR1210" t="s">
        <v>138</v>
      </c>
      <c r="AS1210" t="s">
        <v>150</v>
      </c>
      <c r="AT1210" t="s">
        <v>140</v>
      </c>
      <c r="AU1210">
        <v>105</v>
      </c>
      <c r="AV1210">
        <v>10</v>
      </c>
      <c r="AW1210">
        <v>1</v>
      </c>
      <c r="AX1210" s="2">
        <v>45815</v>
      </c>
      <c r="AY1210" t="s">
        <v>160</v>
      </c>
      <c r="AZ1210" s="2">
        <v>46025</v>
      </c>
      <c r="BA1210">
        <v>0</v>
      </c>
      <c r="BB1210">
        <v>0</v>
      </c>
      <c r="BC1210">
        <v>0</v>
      </c>
      <c r="BD1210">
        <v>700</v>
      </c>
      <c r="BE1210">
        <v>70</v>
      </c>
      <c r="BF1210">
        <v>9</v>
      </c>
      <c r="BG1210" s="2">
        <v>45809</v>
      </c>
      <c r="BH1210" t="s">
        <v>142</v>
      </c>
      <c r="BI1210" s="2">
        <v>46026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264.51</v>
      </c>
      <c r="BW1210">
        <v>264.51</v>
      </c>
      <c r="BX1210">
        <v>0</v>
      </c>
      <c r="BY1210">
        <v>0</v>
      </c>
      <c r="BZ1210">
        <v>0</v>
      </c>
      <c r="CA1210">
        <v>0</v>
      </c>
      <c r="CB1210">
        <v>234.56</v>
      </c>
      <c r="CC1210" t="s">
        <v>143</v>
      </c>
    </row>
    <row r="1211" spans="1:81" x14ac:dyDescent="0.25">
      <c r="A1211">
        <v>345</v>
      </c>
      <c r="B1211">
        <v>2</v>
      </c>
      <c r="C1211">
        <v>3379</v>
      </c>
      <c r="D1211" t="s">
        <v>6901</v>
      </c>
      <c r="E1211" t="s">
        <v>121</v>
      </c>
      <c r="F1211" t="s">
        <v>6902</v>
      </c>
      <c r="G1211" t="s">
        <v>6903</v>
      </c>
      <c r="H1211" t="s">
        <v>6904</v>
      </c>
      <c r="I1211" t="s">
        <v>6905</v>
      </c>
      <c r="J1211" t="s">
        <v>4569</v>
      </c>
      <c r="K1211" t="s">
        <v>336</v>
      </c>
      <c r="L1211" t="s">
        <v>128</v>
      </c>
      <c r="M1211" t="s">
        <v>337</v>
      </c>
      <c r="N1211" t="s">
        <v>6906</v>
      </c>
      <c r="O1211" t="s">
        <v>201</v>
      </c>
      <c r="P1211">
        <v>0</v>
      </c>
      <c r="Q1211" t="s">
        <v>125</v>
      </c>
      <c r="R1211">
        <v>3</v>
      </c>
      <c r="S1211">
        <v>82</v>
      </c>
      <c r="T1211" t="s">
        <v>132</v>
      </c>
      <c r="U1211" t="s">
        <v>133</v>
      </c>
      <c r="V1211" s="1">
        <v>1300</v>
      </c>
      <c r="W1211">
        <v>0</v>
      </c>
      <c r="X1211" s="1">
        <v>1300</v>
      </c>
      <c r="Y1211">
        <v>7</v>
      </c>
      <c r="Z1211">
        <v>0</v>
      </c>
      <c r="AA1211">
        <v>0</v>
      </c>
      <c r="AB1211">
        <v>0</v>
      </c>
      <c r="AC1211">
        <v>0</v>
      </c>
      <c r="AD1211" t="s">
        <v>134</v>
      </c>
      <c r="AE1211" t="s">
        <v>134</v>
      </c>
      <c r="AF1211" s="2">
        <v>45756</v>
      </c>
      <c r="AG1211" s="2">
        <v>45986</v>
      </c>
      <c r="AH1211">
        <v>684</v>
      </c>
      <c r="AI1211">
        <v>901.89</v>
      </c>
      <c r="AJ1211" s="1">
        <v>1368.01</v>
      </c>
      <c r="AK1211">
        <v>0</v>
      </c>
      <c r="AL1211">
        <v>0</v>
      </c>
      <c r="AM1211">
        <v>0</v>
      </c>
      <c r="AN1211" t="s">
        <v>135</v>
      </c>
      <c r="AO1211" t="s">
        <v>135</v>
      </c>
      <c r="AP1211" t="s">
        <v>136</v>
      </c>
      <c r="AQ1211" t="s">
        <v>137</v>
      </c>
      <c r="AR1211" t="s">
        <v>138</v>
      </c>
      <c r="AS1211" t="s">
        <v>150</v>
      </c>
      <c r="AT1211" t="s">
        <v>140</v>
      </c>
      <c r="AU1211">
        <v>100</v>
      </c>
      <c r="AV1211">
        <v>10</v>
      </c>
      <c r="AW1211">
        <v>1</v>
      </c>
      <c r="AX1211" s="2">
        <v>45810</v>
      </c>
      <c r="AY1211" t="s">
        <v>141</v>
      </c>
      <c r="AZ1211" s="2">
        <v>46027</v>
      </c>
      <c r="BA1211">
        <v>0</v>
      </c>
      <c r="BB1211">
        <v>0</v>
      </c>
      <c r="BC1211">
        <v>0</v>
      </c>
      <c r="BD1211">
        <v>700</v>
      </c>
      <c r="BE1211">
        <v>70</v>
      </c>
      <c r="BF1211">
        <v>9</v>
      </c>
      <c r="BG1211" s="2">
        <v>45809</v>
      </c>
      <c r="BH1211" t="s">
        <v>142</v>
      </c>
      <c r="BI1211" s="2">
        <v>46026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901.89</v>
      </c>
      <c r="BQ1211">
        <v>901.89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627.91999999999996</v>
      </c>
      <c r="CC1211" t="s">
        <v>161</v>
      </c>
    </row>
    <row r="1212" spans="1:81" x14ac:dyDescent="0.25">
      <c r="A1212">
        <v>345</v>
      </c>
      <c r="B1212">
        <v>2</v>
      </c>
      <c r="C1212">
        <v>3380</v>
      </c>
      <c r="D1212" t="s">
        <v>6907</v>
      </c>
      <c r="E1212" t="s">
        <v>121</v>
      </c>
      <c r="F1212" t="s">
        <v>6908</v>
      </c>
      <c r="G1212" t="s">
        <v>6909</v>
      </c>
      <c r="H1212" t="s">
        <v>6910</v>
      </c>
      <c r="I1212" t="s">
        <v>6911</v>
      </c>
      <c r="J1212" t="s">
        <v>459</v>
      </c>
      <c r="K1212" t="s">
        <v>336</v>
      </c>
      <c r="L1212" t="s">
        <v>128</v>
      </c>
      <c r="M1212" t="s">
        <v>6133</v>
      </c>
      <c r="N1212" t="s">
        <v>6912</v>
      </c>
      <c r="O1212" t="s">
        <v>167</v>
      </c>
      <c r="P1212">
        <v>0</v>
      </c>
      <c r="Q1212" t="s">
        <v>125</v>
      </c>
      <c r="R1212">
        <v>3</v>
      </c>
      <c r="S1212">
        <v>82</v>
      </c>
      <c r="T1212" t="s">
        <v>132</v>
      </c>
      <c r="U1212" t="s">
        <v>133</v>
      </c>
      <c r="V1212" s="1">
        <v>1000</v>
      </c>
      <c r="W1212">
        <v>277.87</v>
      </c>
      <c r="X1212">
        <v>722.13</v>
      </c>
      <c r="Y1212">
        <v>7</v>
      </c>
      <c r="Z1212">
        <v>0</v>
      </c>
      <c r="AA1212">
        <v>7</v>
      </c>
      <c r="AB1212">
        <v>0</v>
      </c>
      <c r="AC1212">
        <v>5</v>
      </c>
      <c r="AD1212" t="s">
        <v>134</v>
      </c>
      <c r="AE1212" t="s">
        <v>134</v>
      </c>
      <c r="AF1212" s="2">
        <v>45756</v>
      </c>
      <c r="AG1212" s="2">
        <v>46008</v>
      </c>
      <c r="AH1212">
        <v>279.89</v>
      </c>
      <c r="AI1212">
        <v>356.31</v>
      </c>
      <c r="AJ1212" s="1">
        <v>2239.14</v>
      </c>
      <c r="AK1212">
        <v>0</v>
      </c>
      <c r="AL1212">
        <v>277.87</v>
      </c>
      <c r="AM1212">
        <v>60.7</v>
      </c>
      <c r="AN1212" t="s">
        <v>135</v>
      </c>
      <c r="AO1212" t="s">
        <v>135</v>
      </c>
      <c r="AP1212" t="s">
        <v>136</v>
      </c>
      <c r="AQ1212" t="s">
        <v>137</v>
      </c>
      <c r="AR1212" t="s">
        <v>138</v>
      </c>
      <c r="AS1212" t="s">
        <v>139</v>
      </c>
      <c r="AT1212" t="s">
        <v>140</v>
      </c>
      <c r="AU1212">
        <v>100</v>
      </c>
      <c r="AV1212">
        <v>10</v>
      </c>
      <c r="AW1212">
        <v>1</v>
      </c>
      <c r="AX1212" s="2">
        <v>45810</v>
      </c>
      <c r="AY1212" t="s">
        <v>141</v>
      </c>
      <c r="AZ1212" s="2">
        <v>46027</v>
      </c>
      <c r="BA1212">
        <v>0</v>
      </c>
      <c r="BB1212">
        <v>0</v>
      </c>
      <c r="BC1212">
        <v>0</v>
      </c>
      <c r="BD1212">
        <v>700</v>
      </c>
      <c r="BE1212">
        <v>70</v>
      </c>
      <c r="BF1212">
        <v>9</v>
      </c>
      <c r="BG1212" s="2">
        <v>45809</v>
      </c>
      <c r="BH1212" t="s">
        <v>142</v>
      </c>
      <c r="BI1212" s="2">
        <v>46026</v>
      </c>
      <c r="BJ1212">
        <v>0</v>
      </c>
      <c r="BK1212">
        <v>0</v>
      </c>
      <c r="BL1212">
        <v>0</v>
      </c>
      <c r="BM1212">
        <v>7</v>
      </c>
      <c r="BN1212">
        <v>7</v>
      </c>
      <c r="BO1212">
        <v>715.19</v>
      </c>
      <c r="BP1212">
        <v>0</v>
      </c>
      <c r="BQ1212">
        <v>715.19</v>
      </c>
      <c r="BR1212">
        <v>168.67</v>
      </c>
      <c r="BS1212">
        <v>7</v>
      </c>
      <c r="BT1212">
        <v>7</v>
      </c>
      <c r="BU1212">
        <v>865.17</v>
      </c>
      <c r="BV1212">
        <v>0</v>
      </c>
      <c r="BW1212">
        <v>865.17</v>
      </c>
      <c r="BX1212">
        <v>277.87</v>
      </c>
      <c r="BY1212">
        <v>32.119999999999997</v>
      </c>
      <c r="BZ1212">
        <v>0</v>
      </c>
      <c r="CA1212">
        <v>0</v>
      </c>
      <c r="CB1212">
        <v>895.24</v>
      </c>
      <c r="CC1212" t="s">
        <v>161</v>
      </c>
    </row>
    <row r="1213" spans="1:81" x14ac:dyDescent="0.25">
      <c r="A1213">
        <v>345</v>
      </c>
      <c r="B1213">
        <v>2</v>
      </c>
      <c r="C1213">
        <v>3381</v>
      </c>
      <c r="D1213" t="s">
        <v>6913</v>
      </c>
      <c r="E1213" t="s">
        <v>121</v>
      </c>
      <c r="F1213" t="s">
        <v>6914</v>
      </c>
      <c r="G1213" t="s">
        <v>6915</v>
      </c>
      <c r="H1213" t="s">
        <v>3457</v>
      </c>
      <c r="I1213" t="s">
        <v>6916</v>
      </c>
      <c r="J1213" t="s">
        <v>459</v>
      </c>
      <c r="K1213" t="s">
        <v>336</v>
      </c>
      <c r="L1213" t="s">
        <v>128</v>
      </c>
      <c r="M1213" t="s">
        <v>337</v>
      </c>
      <c r="N1213" t="s">
        <v>6917</v>
      </c>
      <c r="O1213" t="s">
        <v>195</v>
      </c>
      <c r="P1213">
        <v>0</v>
      </c>
      <c r="Q1213" t="s">
        <v>125</v>
      </c>
      <c r="R1213">
        <v>3</v>
      </c>
      <c r="S1213">
        <v>82</v>
      </c>
      <c r="T1213" t="s">
        <v>132</v>
      </c>
      <c r="U1213" t="s">
        <v>133</v>
      </c>
      <c r="V1213" s="1">
        <v>1000</v>
      </c>
      <c r="W1213">
        <v>0</v>
      </c>
      <c r="X1213" s="1">
        <v>1000</v>
      </c>
      <c r="Y1213">
        <v>7</v>
      </c>
      <c r="Z1213">
        <v>0</v>
      </c>
      <c r="AA1213">
        <v>0</v>
      </c>
      <c r="AB1213">
        <v>0</v>
      </c>
      <c r="AC1213">
        <v>0</v>
      </c>
      <c r="AD1213" t="s">
        <v>134</v>
      </c>
      <c r="AE1213" t="s">
        <v>134</v>
      </c>
      <c r="AF1213" s="2">
        <v>45756</v>
      </c>
      <c r="AG1213" s="2">
        <v>46021</v>
      </c>
      <c r="AH1213">
        <v>251.83</v>
      </c>
      <c r="AI1213">
        <v>461.84</v>
      </c>
      <c r="AJ1213" s="1">
        <v>2266.5500000000002</v>
      </c>
      <c r="AK1213">
        <v>0</v>
      </c>
      <c r="AL1213">
        <v>0</v>
      </c>
      <c r="AM1213">
        <v>0</v>
      </c>
      <c r="AN1213" t="s">
        <v>135</v>
      </c>
      <c r="AO1213" t="s">
        <v>135</v>
      </c>
      <c r="AP1213" t="s">
        <v>136</v>
      </c>
      <c r="AQ1213" t="s">
        <v>137</v>
      </c>
      <c r="AR1213" t="s">
        <v>138</v>
      </c>
      <c r="AS1213" t="s">
        <v>139</v>
      </c>
      <c r="AT1213" t="s">
        <v>140</v>
      </c>
      <c r="AU1213">
        <v>100</v>
      </c>
      <c r="AV1213">
        <v>10</v>
      </c>
      <c r="AW1213">
        <v>1</v>
      </c>
      <c r="AX1213" s="2">
        <v>45859</v>
      </c>
      <c r="AY1213" t="s">
        <v>141</v>
      </c>
      <c r="AZ1213" s="2">
        <v>46027</v>
      </c>
      <c r="BA1213">
        <v>0</v>
      </c>
      <c r="BB1213">
        <v>0</v>
      </c>
      <c r="BC1213">
        <v>0</v>
      </c>
      <c r="BD1213">
        <v>700</v>
      </c>
      <c r="BE1213">
        <v>70</v>
      </c>
      <c r="BF1213">
        <v>9</v>
      </c>
      <c r="BG1213" s="2">
        <v>45866</v>
      </c>
      <c r="BH1213" t="s">
        <v>141</v>
      </c>
      <c r="BI1213" s="2">
        <v>46034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402.1</v>
      </c>
      <c r="BQ1213">
        <v>402.1</v>
      </c>
      <c r="BR1213">
        <v>0</v>
      </c>
      <c r="BS1213">
        <v>0</v>
      </c>
      <c r="BT1213">
        <v>0</v>
      </c>
      <c r="BU1213">
        <v>0</v>
      </c>
      <c r="BV1213" s="1">
        <v>1476.47</v>
      </c>
      <c r="BW1213" s="1">
        <v>1476.47</v>
      </c>
      <c r="BX1213">
        <v>0</v>
      </c>
      <c r="BY1213">
        <v>0</v>
      </c>
      <c r="BZ1213">
        <v>0</v>
      </c>
      <c r="CA1213">
        <v>0</v>
      </c>
      <c r="CB1213">
        <v>390.07</v>
      </c>
      <c r="CC1213" t="s">
        <v>161</v>
      </c>
    </row>
    <row r="1214" spans="1:81" x14ac:dyDescent="0.25">
      <c r="A1214">
        <v>345</v>
      </c>
      <c r="B1214">
        <v>2</v>
      </c>
      <c r="C1214">
        <v>3382</v>
      </c>
      <c r="D1214" t="s">
        <v>6918</v>
      </c>
      <c r="E1214" t="s">
        <v>121</v>
      </c>
      <c r="F1214" t="s">
        <v>6919</v>
      </c>
      <c r="G1214" t="s">
        <v>6920</v>
      </c>
      <c r="H1214" t="s">
        <v>5996</v>
      </c>
      <c r="I1214" t="s">
        <v>6921</v>
      </c>
      <c r="J1214" t="s">
        <v>1263</v>
      </c>
      <c r="K1214" t="s">
        <v>466</v>
      </c>
      <c r="L1214" t="s">
        <v>128</v>
      </c>
      <c r="M1214" t="s">
        <v>467</v>
      </c>
      <c r="N1214" t="s">
        <v>6922</v>
      </c>
      <c r="O1214" t="s">
        <v>619</v>
      </c>
      <c r="P1214">
        <v>0</v>
      </c>
      <c r="Q1214" t="s">
        <v>125</v>
      </c>
      <c r="R1214">
        <v>4</v>
      </c>
      <c r="S1214">
        <v>76</v>
      </c>
      <c r="T1214" t="s">
        <v>132</v>
      </c>
      <c r="U1214" t="s">
        <v>133</v>
      </c>
      <c r="V1214" s="1">
        <v>1000</v>
      </c>
      <c r="W1214">
        <v>298.38</v>
      </c>
      <c r="X1214">
        <v>701.62</v>
      </c>
      <c r="Y1214">
        <v>7</v>
      </c>
      <c r="Z1214">
        <v>0</v>
      </c>
      <c r="AA1214">
        <v>7</v>
      </c>
      <c r="AB1214">
        <v>0</v>
      </c>
      <c r="AC1214">
        <v>20</v>
      </c>
      <c r="AD1214" t="s">
        <v>134</v>
      </c>
      <c r="AE1214" t="s">
        <v>134</v>
      </c>
      <c r="AF1214" s="2">
        <v>45756</v>
      </c>
      <c r="AG1214" s="2">
        <v>46015</v>
      </c>
      <c r="AH1214">
        <v>254.41</v>
      </c>
      <c r="AI1214">
        <v>381.1</v>
      </c>
      <c r="AJ1214" s="1">
        <v>2798.56</v>
      </c>
      <c r="AK1214">
        <v>0</v>
      </c>
      <c r="AL1214">
        <v>298.38</v>
      </c>
      <c r="AM1214">
        <v>64.08</v>
      </c>
      <c r="AN1214" t="s">
        <v>135</v>
      </c>
      <c r="AO1214" t="s">
        <v>135</v>
      </c>
      <c r="AP1214" t="s">
        <v>136</v>
      </c>
      <c r="AQ1214" t="s">
        <v>137</v>
      </c>
      <c r="AR1214" t="s">
        <v>138</v>
      </c>
      <c r="AS1214" t="s">
        <v>150</v>
      </c>
      <c r="AT1214" t="s">
        <v>140</v>
      </c>
      <c r="AU1214">
        <v>100</v>
      </c>
      <c r="AV1214">
        <v>10</v>
      </c>
      <c r="AW1214">
        <v>1</v>
      </c>
      <c r="AX1214" s="2">
        <v>45811</v>
      </c>
      <c r="AY1214" t="s">
        <v>377</v>
      </c>
      <c r="AZ1214" s="2">
        <v>46028</v>
      </c>
      <c r="BA1214">
        <v>0</v>
      </c>
      <c r="BB1214">
        <v>0</v>
      </c>
      <c r="BC1214">
        <v>0</v>
      </c>
      <c r="BD1214">
        <v>700</v>
      </c>
      <c r="BE1214">
        <v>70</v>
      </c>
      <c r="BF1214">
        <v>9</v>
      </c>
      <c r="BG1214" s="2">
        <v>45809</v>
      </c>
      <c r="BH1214" t="s">
        <v>142</v>
      </c>
      <c r="BI1214" s="2">
        <v>46026</v>
      </c>
      <c r="BJ1214">
        <v>0</v>
      </c>
      <c r="BK1214">
        <v>0</v>
      </c>
      <c r="BL1214">
        <v>0</v>
      </c>
      <c r="BM1214">
        <v>7</v>
      </c>
      <c r="BN1214">
        <v>7</v>
      </c>
      <c r="BO1214">
        <v>714.89</v>
      </c>
      <c r="BP1214">
        <v>0</v>
      </c>
      <c r="BQ1214">
        <v>714.89</v>
      </c>
      <c r="BR1214">
        <v>191.19</v>
      </c>
      <c r="BS1214">
        <v>7</v>
      </c>
      <c r="BT1214">
        <v>7</v>
      </c>
      <c r="BU1214" s="1">
        <v>1011</v>
      </c>
      <c r="BV1214">
        <v>0</v>
      </c>
      <c r="BW1214" s="1">
        <v>1011</v>
      </c>
      <c r="BX1214">
        <v>298.38</v>
      </c>
      <c r="BY1214">
        <v>29.51</v>
      </c>
      <c r="BZ1214">
        <v>0</v>
      </c>
      <c r="CA1214">
        <v>0</v>
      </c>
      <c r="CB1214">
        <v>813.09</v>
      </c>
      <c r="CC1214" t="s">
        <v>161</v>
      </c>
    </row>
    <row r="1215" spans="1:81" x14ac:dyDescent="0.25">
      <c r="A1215">
        <v>345</v>
      </c>
      <c r="B1215">
        <v>2</v>
      </c>
      <c r="C1215">
        <v>3384</v>
      </c>
      <c r="D1215" t="s">
        <v>6923</v>
      </c>
      <c r="E1215" t="s">
        <v>121</v>
      </c>
      <c r="F1215" t="s">
        <v>6924</v>
      </c>
      <c r="G1215" t="s">
        <v>6925</v>
      </c>
      <c r="H1215" t="s">
        <v>6926</v>
      </c>
      <c r="I1215" t="s">
        <v>6927</v>
      </c>
      <c r="J1215" t="s">
        <v>6928</v>
      </c>
      <c r="K1215" t="s">
        <v>1853</v>
      </c>
      <c r="L1215" t="s">
        <v>128</v>
      </c>
      <c r="M1215" t="s">
        <v>1854</v>
      </c>
      <c r="N1215" t="s">
        <v>6929</v>
      </c>
      <c r="O1215" t="s">
        <v>195</v>
      </c>
      <c r="P1215">
        <v>0</v>
      </c>
      <c r="Q1215" t="s">
        <v>125</v>
      </c>
      <c r="R1215">
        <v>3</v>
      </c>
      <c r="S1215">
        <v>83</v>
      </c>
      <c r="T1215" t="s">
        <v>132</v>
      </c>
      <c r="U1215" t="s">
        <v>133</v>
      </c>
      <c r="V1215" s="1">
        <v>1000</v>
      </c>
      <c r="W1215">
        <v>404.34</v>
      </c>
      <c r="X1215">
        <v>595.66</v>
      </c>
      <c r="Y1215">
        <v>7</v>
      </c>
      <c r="Z1215">
        <v>0</v>
      </c>
      <c r="AA1215">
        <v>9</v>
      </c>
      <c r="AB1215">
        <v>0</v>
      </c>
      <c r="AC1215">
        <v>0</v>
      </c>
      <c r="AD1215" t="s">
        <v>134</v>
      </c>
      <c r="AE1215" t="s">
        <v>134</v>
      </c>
      <c r="AF1215" s="2">
        <v>45758</v>
      </c>
      <c r="AG1215" s="2">
        <v>46018</v>
      </c>
      <c r="AH1215">
        <v>365.3</v>
      </c>
      <c r="AI1215">
        <v>549.39</v>
      </c>
      <c r="AJ1215" s="1">
        <v>2922.41</v>
      </c>
      <c r="AK1215">
        <v>0</v>
      </c>
      <c r="AL1215">
        <v>404.34</v>
      </c>
      <c r="AM1215">
        <v>89.64</v>
      </c>
      <c r="AN1215" t="s">
        <v>135</v>
      </c>
      <c r="AO1215" t="s">
        <v>135</v>
      </c>
      <c r="AP1215" t="s">
        <v>136</v>
      </c>
      <c r="AQ1215" t="s">
        <v>137</v>
      </c>
      <c r="AR1215" t="s">
        <v>138</v>
      </c>
      <c r="AS1215" t="s">
        <v>139</v>
      </c>
      <c r="AT1215" t="s">
        <v>140</v>
      </c>
      <c r="AU1215">
        <v>103</v>
      </c>
      <c r="AV1215">
        <v>10</v>
      </c>
      <c r="AW1215">
        <v>1</v>
      </c>
      <c r="AX1215" s="2">
        <v>45840</v>
      </c>
      <c r="AY1215" t="s">
        <v>168</v>
      </c>
      <c r="AZ1215" s="2">
        <v>46022</v>
      </c>
      <c r="BA1215">
        <v>0</v>
      </c>
      <c r="BB1215">
        <v>0</v>
      </c>
      <c r="BC1215">
        <v>0</v>
      </c>
      <c r="BD1215">
        <v>700</v>
      </c>
      <c r="BE1215">
        <v>70</v>
      </c>
      <c r="BF1215">
        <v>9</v>
      </c>
      <c r="BG1215" s="2">
        <v>45809</v>
      </c>
      <c r="BH1215" t="s">
        <v>142</v>
      </c>
      <c r="BI1215" s="2">
        <v>46026</v>
      </c>
      <c r="BJ1215">
        <v>0</v>
      </c>
      <c r="BK1215">
        <v>0</v>
      </c>
      <c r="BL1215">
        <v>0</v>
      </c>
      <c r="BM1215">
        <v>7</v>
      </c>
      <c r="BN1215">
        <v>3.14</v>
      </c>
      <c r="BO1215">
        <v>362.45</v>
      </c>
      <c r="BP1215">
        <v>445.95</v>
      </c>
      <c r="BQ1215">
        <v>808.4</v>
      </c>
      <c r="BR1215">
        <v>362.45</v>
      </c>
      <c r="BS1215">
        <v>7.78</v>
      </c>
      <c r="BT1215">
        <v>7.78</v>
      </c>
      <c r="BU1215" s="1">
        <v>1730.95</v>
      </c>
      <c r="BV1215">
        <v>0</v>
      </c>
      <c r="BW1215" s="1">
        <v>1730.95</v>
      </c>
      <c r="BX1215">
        <v>404.34</v>
      </c>
      <c r="BY1215">
        <v>23.36</v>
      </c>
      <c r="BZ1215">
        <v>0</v>
      </c>
      <c r="CA1215">
        <v>0</v>
      </c>
      <c r="CB1215">
        <v>945.52</v>
      </c>
      <c r="CC1215" t="s">
        <v>161</v>
      </c>
    </row>
    <row r="1216" spans="1:81" x14ac:dyDescent="0.25">
      <c r="A1216">
        <v>345</v>
      </c>
      <c r="B1216">
        <v>2</v>
      </c>
      <c r="C1216">
        <v>3385</v>
      </c>
      <c r="D1216" t="s">
        <v>6930</v>
      </c>
      <c r="E1216" t="s">
        <v>121</v>
      </c>
      <c r="F1216" t="s">
        <v>6931</v>
      </c>
      <c r="G1216" t="s">
        <v>6932</v>
      </c>
      <c r="H1216" t="s">
        <v>1233</v>
      </c>
      <c r="I1216" t="s">
        <v>6933</v>
      </c>
      <c r="J1216" t="s">
        <v>4569</v>
      </c>
      <c r="K1216" t="s">
        <v>466</v>
      </c>
      <c r="L1216" t="s">
        <v>128</v>
      </c>
      <c r="M1216" t="s">
        <v>467</v>
      </c>
      <c r="N1216" t="s">
        <v>6934</v>
      </c>
      <c r="O1216" t="s">
        <v>167</v>
      </c>
      <c r="P1216">
        <v>0</v>
      </c>
      <c r="Q1216" t="s">
        <v>125</v>
      </c>
      <c r="R1216">
        <v>4</v>
      </c>
      <c r="S1216">
        <v>81</v>
      </c>
      <c r="T1216" t="s">
        <v>132</v>
      </c>
      <c r="U1216" t="s">
        <v>133</v>
      </c>
      <c r="V1216" s="1">
        <v>1000</v>
      </c>
      <c r="W1216">
        <v>0</v>
      </c>
      <c r="X1216" s="1">
        <v>1000</v>
      </c>
      <c r="Y1216">
        <v>7</v>
      </c>
      <c r="Z1216">
        <v>0</v>
      </c>
      <c r="AA1216">
        <v>0</v>
      </c>
      <c r="AB1216">
        <v>0</v>
      </c>
      <c r="AC1216">
        <v>0</v>
      </c>
      <c r="AD1216" t="s">
        <v>134</v>
      </c>
      <c r="AE1216" t="s">
        <v>134</v>
      </c>
      <c r="AF1216" s="2">
        <v>45758</v>
      </c>
      <c r="AG1216" s="2">
        <v>46020</v>
      </c>
      <c r="AH1216">
        <v>318.42</v>
      </c>
      <c r="AI1216">
        <v>402.01</v>
      </c>
      <c r="AJ1216" s="1">
        <v>1910.57</v>
      </c>
      <c r="AK1216">
        <v>0</v>
      </c>
      <c r="AL1216">
        <v>0</v>
      </c>
      <c r="AM1216">
        <v>0</v>
      </c>
      <c r="AN1216" t="s">
        <v>135</v>
      </c>
      <c r="AO1216" t="s">
        <v>135</v>
      </c>
      <c r="AP1216" t="s">
        <v>136</v>
      </c>
      <c r="AQ1216" t="s">
        <v>137</v>
      </c>
      <c r="AR1216" t="s">
        <v>138</v>
      </c>
      <c r="AS1216" t="s">
        <v>139</v>
      </c>
      <c r="AT1216" t="s">
        <v>140</v>
      </c>
      <c r="AU1216">
        <v>100</v>
      </c>
      <c r="AV1216">
        <v>10</v>
      </c>
      <c r="AW1216">
        <v>1</v>
      </c>
      <c r="AX1216" s="2">
        <v>45814</v>
      </c>
      <c r="AY1216" t="s">
        <v>151</v>
      </c>
      <c r="AZ1216" s="2">
        <v>46024</v>
      </c>
      <c r="BA1216">
        <v>0</v>
      </c>
      <c r="BB1216">
        <v>0</v>
      </c>
      <c r="BC1216">
        <v>0</v>
      </c>
      <c r="BD1216">
        <v>700</v>
      </c>
      <c r="BE1216">
        <v>70</v>
      </c>
      <c r="BF1216">
        <v>9</v>
      </c>
      <c r="BG1216" s="2">
        <v>45809</v>
      </c>
      <c r="BH1216" t="s">
        <v>142</v>
      </c>
      <c r="BI1216" s="2">
        <v>46026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563.75</v>
      </c>
      <c r="BQ1216">
        <v>563.75</v>
      </c>
      <c r="BR1216">
        <v>0</v>
      </c>
      <c r="BS1216">
        <v>0</v>
      </c>
      <c r="BT1216">
        <v>0</v>
      </c>
      <c r="BU1216">
        <v>0</v>
      </c>
      <c r="BV1216" s="1">
        <v>1017.26</v>
      </c>
      <c r="BW1216" s="1">
        <v>1017.26</v>
      </c>
      <c r="BX1216">
        <v>0</v>
      </c>
      <c r="BY1216">
        <v>0</v>
      </c>
      <c r="BZ1216">
        <v>0</v>
      </c>
      <c r="CA1216">
        <v>0</v>
      </c>
      <c r="CB1216">
        <v>656.02</v>
      </c>
      <c r="CC1216" t="s">
        <v>161</v>
      </c>
    </row>
    <row r="1217" spans="1:81" x14ac:dyDescent="0.25">
      <c r="A1217">
        <v>345</v>
      </c>
      <c r="B1217">
        <v>2</v>
      </c>
      <c r="C1217">
        <v>3386</v>
      </c>
      <c r="D1217" t="s">
        <v>6935</v>
      </c>
      <c r="E1217" t="s">
        <v>121</v>
      </c>
      <c r="F1217" t="s">
        <v>6936</v>
      </c>
      <c r="G1217" t="s">
        <v>6937</v>
      </c>
      <c r="H1217" t="s">
        <v>6938</v>
      </c>
      <c r="I1217" t="s">
        <v>6939</v>
      </c>
      <c r="J1217" t="s">
        <v>4932</v>
      </c>
      <c r="K1217" t="s">
        <v>1853</v>
      </c>
      <c r="L1217" t="s">
        <v>128</v>
      </c>
      <c r="M1217" t="s">
        <v>1854</v>
      </c>
      <c r="N1217" t="s">
        <v>6940</v>
      </c>
      <c r="O1217" t="s">
        <v>159</v>
      </c>
      <c r="P1217">
        <v>0</v>
      </c>
      <c r="Q1217" t="s">
        <v>125</v>
      </c>
      <c r="R1217">
        <v>5</v>
      </c>
      <c r="S1217">
        <v>72</v>
      </c>
      <c r="T1217" t="s">
        <v>132</v>
      </c>
      <c r="U1217" t="s">
        <v>133</v>
      </c>
      <c r="V1217" s="1">
        <v>1000</v>
      </c>
      <c r="W1217">
        <v>0</v>
      </c>
      <c r="X1217" s="1">
        <v>1000</v>
      </c>
      <c r="Y1217">
        <v>7</v>
      </c>
      <c r="Z1217">
        <v>0</v>
      </c>
      <c r="AA1217">
        <v>7</v>
      </c>
      <c r="AB1217">
        <v>0</v>
      </c>
      <c r="AC1217">
        <v>33</v>
      </c>
      <c r="AD1217" t="s">
        <v>134</v>
      </c>
      <c r="AE1217" t="s">
        <v>134</v>
      </c>
      <c r="AF1217" s="2">
        <v>45758</v>
      </c>
      <c r="AG1217" s="2">
        <v>46010</v>
      </c>
      <c r="AH1217">
        <v>484.45</v>
      </c>
      <c r="AI1217">
        <v>970.88</v>
      </c>
      <c r="AJ1217" s="1">
        <v>2422.25</v>
      </c>
      <c r="AK1217">
        <v>0</v>
      </c>
      <c r="AL1217">
        <v>0</v>
      </c>
      <c r="AM1217">
        <v>0</v>
      </c>
      <c r="AN1217" t="s">
        <v>135</v>
      </c>
      <c r="AO1217" t="s">
        <v>135</v>
      </c>
      <c r="AP1217" t="s">
        <v>136</v>
      </c>
      <c r="AQ1217" t="s">
        <v>137</v>
      </c>
      <c r="AR1217" t="s">
        <v>138</v>
      </c>
      <c r="AS1217" t="s">
        <v>139</v>
      </c>
      <c r="AT1217" t="s">
        <v>140</v>
      </c>
      <c r="AU1217">
        <v>103</v>
      </c>
      <c r="AV1217">
        <v>10</v>
      </c>
      <c r="AW1217">
        <v>1</v>
      </c>
      <c r="AX1217" s="2">
        <v>45820</v>
      </c>
      <c r="AY1217" t="s">
        <v>308</v>
      </c>
      <c r="AZ1217" s="2">
        <v>46023</v>
      </c>
      <c r="BA1217">
        <v>0</v>
      </c>
      <c r="BB1217">
        <v>0</v>
      </c>
      <c r="BC1217">
        <v>0</v>
      </c>
      <c r="BD1217">
        <v>700</v>
      </c>
      <c r="BE1217">
        <v>70</v>
      </c>
      <c r="BF1217">
        <v>9</v>
      </c>
      <c r="BG1217" s="2">
        <v>45809</v>
      </c>
      <c r="BH1217" t="s">
        <v>142</v>
      </c>
      <c r="BI1217" s="2">
        <v>46026</v>
      </c>
      <c r="BJ1217">
        <v>0</v>
      </c>
      <c r="BK1217">
        <v>0</v>
      </c>
      <c r="BL1217">
        <v>0</v>
      </c>
      <c r="BM1217">
        <v>5.94</v>
      </c>
      <c r="BN1217">
        <v>5.94</v>
      </c>
      <c r="BO1217">
        <v>751.25</v>
      </c>
      <c r="BP1217">
        <v>0</v>
      </c>
      <c r="BQ1217">
        <v>751.25</v>
      </c>
      <c r="BR1217">
        <v>0</v>
      </c>
      <c r="BS1217">
        <v>5.65</v>
      </c>
      <c r="BT1217">
        <v>5.65</v>
      </c>
      <c r="BU1217" s="1">
        <v>1435.31</v>
      </c>
      <c r="BV1217">
        <v>0</v>
      </c>
      <c r="BW1217" s="1">
        <v>1435.31</v>
      </c>
      <c r="BX1217">
        <v>0</v>
      </c>
      <c r="BY1217">
        <v>0</v>
      </c>
      <c r="BZ1217">
        <v>0</v>
      </c>
      <c r="CA1217">
        <v>0</v>
      </c>
      <c r="CB1217">
        <v>458.82</v>
      </c>
      <c r="CC1217" t="s">
        <v>161</v>
      </c>
    </row>
    <row r="1218" spans="1:81" x14ac:dyDescent="0.25">
      <c r="A1218">
        <v>345</v>
      </c>
      <c r="B1218">
        <v>2</v>
      </c>
      <c r="C1218">
        <v>3387</v>
      </c>
      <c r="D1218" t="s">
        <v>6941</v>
      </c>
      <c r="E1218" t="s">
        <v>121</v>
      </c>
      <c r="F1218" t="s">
        <v>6942</v>
      </c>
      <c r="G1218" t="s">
        <v>6943</v>
      </c>
      <c r="H1218" t="s">
        <v>6944</v>
      </c>
      <c r="I1218" t="s">
        <v>6494</v>
      </c>
      <c r="J1218" t="s">
        <v>6945</v>
      </c>
      <c r="K1218" t="s">
        <v>127</v>
      </c>
      <c r="L1218" t="s">
        <v>128</v>
      </c>
      <c r="M1218" t="s">
        <v>129</v>
      </c>
      <c r="N1218" t="s">
        <v>6946</v>
      </c>
      <c r="O1218" t="s">
        <v>159</v>
      </c>
      <c r="P1218">
        <v>0</v>
      </c>
      <c r="Q1218" t="s">
        <v>125</v>
      </c>
      <c r="R1218">
        <v>4</v>
      </c>
      <c r="S1218">
        <v>79</v>
      </c>
      <c r="T1218" t="s">
        <v>132</v>
      </c>
      <c r="U1218" t="s">
        <v>133</v>
      </c>
      <c r="V1218" s="1">
        <v>1500</v>
      </c>
      <c r="W1218">
        <v>0</v>
      </c>
      <c r="X1218" s="1">
        <v>1500</v>
      </c>
      <c r="Y1218">
        <v>7</v>
      </c>
      <c r="Z1218">
        <v>0</v>
      </c>
      <c r="AA1218">
        <v>0</v>
      </c>
      <c r="AB1218">
        <v>0</v>
      </c>
      <c r="AC1218">
        <v>0</v>
      </c>
      <c r="AD1218" t="s">
        <v>134</v>
      </c>
      <c r="AE1218" t="s">
        <v>134</v>
      </c>
      <c r="AF1218" s="2">
        <v>45758</v>
      </c>
      <c r="AG1218" s="2">
        <v>46018</v>
      </c>
      <c r="AH1218">
        <v>630.80999999999995</v>
      </c>
      <c r="AI1218">
        <v>861.45</v>
      </c>
      <c r="AJ1218" s="1">
        <v>3154.05</v>
      </c>
      <c r="AK1218">
        <v>0</v>
      </c>
      <c r="AL1218">
        <v>0</v>
      </c>
      <c r="AM1218">
        <v>0</v>
      </c>
      <c r="AN1218" t="s">
        <v>135</v>
      </c>
      <c r="AO1218" t="s">
        <v>135</v>
      </c>
      <c r="AP1218" t="s">
        <v>136</v>
      </c>
      <c r="AQ1218" t="s">
        <v>137</v>
      </c>
      <c r="AR1218" t="s">
        <v>138</v>
      </c>
      <c r="AS1218" t="s">
        <v>150</v>
      </c>
      <c r="AT1218" t="s">
        <v>140</v>
      </c>
      <c r="AU1218">
        <v>102</v>
      </c>
      <c r="AV1218">
        <v>10</v>
      </c>
      <c r="AW1218">
        <v>1</v>
      </c>
      <c r="AX1218" s="2">
        <v>45890</v>
      </c>
      <c r="AY1218" t="s">
        <v>308</v>
      </c>
      <c r="AZ1218" s="2">
        <v>46023</v>
      </c>
      <c r="BA1218">
        <v>0</v>
      </c>
      <c r="BB1218">
        <v>0</v>
      </c>
      <c r="BC1218">
        <v>0</v>
      </c>
      <c r="BD1218">
        <v>999</v>
      </c>
      <c r="BE1218">
        <v>99</v>
      </c>
      <c r="BF1218">
        <v>9</v>
      </c>
      <c r="BG1218" t="s">
        <v>135</v>
      </c>
      <c r="BH1218" t="s">
        <v>250</v>
      </c>
      <c r="BI1218" t="s">
        <v>135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 s="1">
        <v>1192.2</v>
      </c>
      <c r="BQ1218" s="1">
        <v>1192.2</v>
      </c>
      <c r="BR1218">
        <v>0</v>
      </c>
      <c r="BS1218">
        <v>0</v>
      </c>
      <c r="BT1218">
        <v>0</v>
      </c>
      <c r="BU1218">
        <v>0</v>
      </c>
      <c r="BV1218" s="1">
        <v>1961.85</v>
      </c>
      <c r="BW1218" s="1">
        <v>1961.85</v>
      </c>
      <c r="BX1218">
        <v>0</v>
      </c>
      <c r="BY1218">
        <v>0</v>
      </c>
      <c r="BZ1218">
        <v>0</v>
      </c>
      <c r="CA1218">
        <v>0</v>
      </c>
      <c r="CB1218">
        <v>877.4</v>
      </c>
      <c r="CC1218" t="s">
        <v>161</v>
      </c>
    </row>
    <row r="1219" spans="1:81" x14ac:dyDescent="0.25">
      <c r="A1219">
        <v>345</v>
      </c>
      <c r="B1219">
        <v>2</v>
      </c>
      <c r="C1219">
        <v>3388</v>
      </c>
      <c r="D1219" t="s">
        <v>6947</v>
      </c>
      <c r="E1219" t="s">
        <v>121</v>
      </c>
      <c r="F1219" t="s">
        <v>6948</v>
      </c>
      <c r="G1219" t="s">
        <v>6949</v>
      </c>
      <c r="H1219" t="s">
        <v>6950</v>
      </c>
      <c r="I1219" t="s">
        <v>6951</v>
      </c>
      <c r="J1219" t="s">
        <v>931</v>
      </c>
      <c r="K1219" t="s">
        <v>466</v>
      </c>
      <c r="L1219" t="s">
        <v>128</v>
      </c>
      <c r="M1219" t="s">
        <v>467</v>
      </c>
      <c r="N1219" t="s">
        <v>6952</v>
      </c>
      <c r="O1219" t="s">
        <v>167</v>
      </c>
      <c r="P1219">
        <v>0</v>
      </c>
      <c r="Q1219" t="s">
        <v>125</v>
      </c>
      <c r="R1219">
        <v>3</v>
      </c>
      <c r="S1219">
        <v>82</v>
      </c>
      <c r="T1219" t="s">
        <v>132</v>
      </c>
      <c r="U1219" t="s">
        <v>133</v>
      </c>
      <c r="V1219" s="1">
        <v>1500</v>
      </c>
      <c r="W1219">
        <v>0</v>
      </c>
      <c r="X1219" s="1">
        <v>1500</v>
      </c>
      <c r="Y1219">
        <v>7</v>
      </c>
      <c r="Z1219">
        <v>0</v>
      </c>
      <c r="AA1219">
        <v>0</v>
      </c>
      <c r="AB1219">
        <v>0</v>
      </c>
      <c r="AC1219">
        <v>0</v>
      </c>
      <c r="AD1219" t="s">
        <v>134</v>
      </c>
      <c r="AE1219" t="s">
        <v>134</v>
      </c>
      <c r="AF1219" s="2">
        <v>45758</v>
      </c>
      <c r="AG1219" s="2">
        <v>46011</v>
      </c>
      <c r="AH1219">
        <v>652.61</v>
      </c>
      <c r="AI1219" s="1">
        <v>2807.31</v>
      </c>
      <c r="AJ1219" s="1">
        <v>4568.33</v>
      </c>
      <c r="AK1219">
        <v>0</v>
      </c>
      <c r="AL1219">
        <v>0</v>
      </c>
      <c r="AM1219">
        <v>0</v>
      </c>
      <c r="AN1219" t="s">
        <v>135</v>
      </c>
      <c r="AO1219" t="s">
        <v>135</v>
      </c>
      <c r="AP1219" t="s">
        <v>136</v>
      </c>
      <c r="AQ1219" t="s">
        <v>137</v>
      </c>
      <c r="AR1219" t="s">
        <v>138</v>
      </c>
      <c r="AS1219" t="s">
        <v>139</v>
      </c>
      <c r="AT1219" t="s">
        <v>140</v>
      </c>
      <c r="AU1219">
        <v>105</v>
      </c>
      <c r="AV1219">
        <v>10</v>
      </c>
      <c r="AW1219">
        <v>1</v>
      </c>
      <c r="AX1219" s="2">
        <v>45813</v>
      </c>
      <c r="AY1219" t="s">
        <v>308</v>
      </c>
      <c r="AZ1219" s="2">
        <v>46023</v>
      </c>
      <c r="BA1219">
        <v>0</v>
      </c>
      <c r="BB1219">
        <v>0</v>
      </c>
      <c r="BC1219">
        <v>0</v>
      </c>
      <c r="BD1219">
        <v>700</v>
      </c>
      <c r="BE1219">
        <v>70</v>
      </c>
      <c r="BF1219">
        <v>9</v>
      </c>
      <c r="BG1219" s="2">
        <v>45809</v>
      </c>
      <c r="BH1219" t="s">
        <v>142</v>
      </c>
      <c r="BI1219" s="2">
        <v>46026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 s="1">
        <v>1130.71</v>
      </c>
      <c r="BQ1219" s="1">
        <v>1130.71</v>
      </c>
      <c r="BR1219">
        <v>0</v>
      </c>
      <c r="BS1219">
        <v>0</v>
      </c>
      <c r="BT1219">
        <v>0</v>
      </c>
      <c r="BU1219">
        <v>0</v>
      </c>
      <c r="BV1219">
        <v>630.30999999999995</v>
      </c>
      <c r="BW1219">
        <v>630.30999999999995</v>
      </c>
      <c r="BX1219">
        <v>0</v>
      </c>
      <c r="BY1219">
        <v>0</v>
      </c>
      <c r="BZ1219">
        <v>0</v>
      </c>
      <c r="CA1219">
        <v>0</v>
      </c>
      <c r="CB1219" s="1">
        <v>1885.01</v>
      </c>
      <c r="CC1219" t="s">
        <v>161</v>
      </c>
    </row>
    <row r="1220" spans="1:81" x14ac:dyDescent="0.25">
      <c r="A1220">
        <v>345</v>
      </c>
      <c r="B1220">
        <v>2</v>
      </c>
      <c r="C1220">
        <v>3390</v>
      </c>
      <c r="D1220" t="s">
        <v>6953</v>
      </c>
      <c r="E1220" t="s">
        <v>121</v>
      </c>
      <c r="F1220" t="s">
        <v>6954</v>
      </c>
      <c r="G1220" t="s">
        <v>6955</v>
      </c>
      <c r="H1220" t="s">
        <v>6956</v>
      </c>
      <c r="I1220" t="s">
        <v>6957</v>
      </c>
      <c r="J1220" t="s">
        <v>4569</v>
      </c>
      <c r="K1220" t="s">
        <v>336</v>
      </c>
      <c r="L1220" t="s">
        <v>128</v>
      </c>
      <c r="M1220" t="s">
        <v>337</v>
      </c>
      <c r="N1220" t="s">
        <v>6958</v>
      </c>
      <c r="O1220" t="s">
        <v>195</v>
      </c>
      <c r="P1220">
        <v>0</v>
      </c>
      <c r="Q1220" t="s">
        <v>125</v>
      </c>
      <c r="R1220">
        <v>4</v>
      </c>
      <c r="S1220">
        <v>77</v>
      </c>
      <c r="T1220" t="s">
        <v>132</v>
      </c>
      <c r="U1220" t="s">
        <v>133</v>
      </c>
      <c r="V1220" s="1">
        <v>1000</v>
      </c>
      <c r="W1220">
        <v>137.86000000000001</v>
      </c>
      <c r="X1220">
        <v>862.14</v>
      </c>
      <c r="Y1220">
        <v>7</v>
      </c>
      <c r="Z1220">
        <v>0</v>
      </c>
      <c r="AA1220">
        <v>7</v>
      </c>
      <c r="AB1220">
        <v>0</v>
      </c>
      <c r="AC1220">
        <v>18</v>
      </c>
      <c r="AD1220" t="s">
        <v>134</v>
      </c>
      <c r="AE1220" t="s">
        <v>134</v>
      </c>
      <c r="AF1220" s="2">
        <v>45758</v>
      </c>
      <c r="AG1220" s="2">
        <v>46014</v>
      </c>
      <c r="AH1220">
        <v>194.25</v>
      </c>
      <c r="AI1220">
        <v>254.87</v>
      </c>
      <c r="AJ1220">
        <v>971.28</v>
      </c>
      <c r="AK1220">
        <v>137.86000000000001</v>
      </c>
      <c r="AL1220">
        <v>0</v>
      </c>
      <c r="AM1220">
        <v>0</v>
      </c>
      <c r="AN1220" t="s">
        <v>135</v>
      </c>
      <c r="AO1220" t="s">
        <v>135</v>
      </c>
      <c r="AP1220" t="s">
        <v>136</v>
      </c>
      <c r="AQ1220" t="s">
        <v>137</v>
      </c>
      <c r="AR1220" t="s">
        <v>138</v>
      </c>
      <c r="AS1220" t="s">
        <v>139</v>
      </c>
      <c r="AT1220" t="s">
        <v>140</v>
      </c>
      <c r="AU1220">
        <v>104</v>
      </c>
      <c r="AV1220">
        <v>10</v>
      </c>
      <c r="AW1220">
        <v>1</v>
      </c>
      <c r="AX1220" s="2">
        <v>45761</v>
      </c>
      <c r="AY1220" t="s">
        <v>141</v>
      </c>
      <c r="AZ1220" s="2">
        <v>46027</v>
      </c>
      <c r="BA1220">
        <v>0</v>
      </c>
      <c r="BB1220">
        <v>0</v>
      </c>
      <c r="BC1220">
        <v>0</v>
      </c>
      <c r="BD1220">
        <v>700</v>
      </c>
      <c r="BE1220">
        <v>70</v>
      </c>
      <c r="BF1220">
        <v>9</v>
      </c>
      <c r="BG1220" s="2">
        <v>45809</v>
      </c>
      <c r="BH1220" t="s">
        <v>142</v>
      </c>
      <c r="BI1220" s="2">
        <v>46026</v>
      </c>
      <c r="BJ1220">
        <v>0</v>
      </c>
      <c r="BK1220">
        <v>0</v>
      </c>
      <c r="BL1220">
        <v>0</v>
      </c>
      <c r="BM1220">
        <v>7</v>
      </c>
      <c r="BN1220">
        <v>7</v>
      </c>
      <c r="BO1220">
        <v>417.1</v>
      </c>
      <c r="BP1220">
        <v>0</v>
      </c>
      <c r="BQ1220">
        <v>417.1</v>
      </c>
      <c r="BR1220">
        <v>170.32</v>
      </c>
      <c r="BS1220">
        <v>7</v>
      </c>
      <c r="BT1220">
        <v>7</v>
      </c>
      <c r="BU1220">
        <v>299.31</v>
      </c>
      <c r="BV1220">
        <v>0</v>
      </c>
      <c r="BW1220">
        <v>299.31</v>
      </c>
      <c r="BX1220">
        <v>0</v>
      </c>
      <c r="BY1220">
        <v>0</v>
      </c>
      <c r="BZ1220">
        <v>0</v>
      </c>
      <c r="CA1220">
        <v>0</v>
      </c>
      <c r="CB1220">
        <v>502.48</v>
      </c>
      <c r="CC1220" t="s">
        <v>161</v>
      </c>
    </row>
    <row r="1221" spans="1:81" x14ac:dyDescent="0.25">
      <c r="A1221">
        <v>345</v>
      </c>
      <c r="B1221">
        <v>2</v>
      </c>
      <c r="C1221">
        <v>3391</v>
      </c>
      <c r="D1221" t="s">
        <v>6959</v>
      </c>
      <c r="E1221" t="s">
        <v>121</v>
      </c>
      <c r="F1221" t="s">
        <v>6960</v>
      </c>
      <c r="G1221" t="s">
        <v>6961</v>
      </c>
      <c r="H1221" t="s">
        <v>6962</v>
      </c>
      <c r="I1221" t="s">
        <v>6963</v>
      </c>
      <c r="J1221" t="s">
        <v>4569</v>
      </c>
      <c r="K1221" t="s">
        <v>336</v>
      </c>
      <c r="L1221" t="s">
        <v>128</v>
      </c>
      <c r="M1221" t="s">
        <v>6805</v>
      </c>
      <c r="N1221" t="s">
        <v>6964</v>
      </c>
      <c r="O1221" t="s">
        <v>201</v>
      </c>
      <c r="P1221">
        <v>0</v>
      </c>
      <c r="Q1221" t="s">
        <v>125</v>
      </c>
      <c r="R1221">
        <v>3</v>
      </c>
      <c r="S1221">
        <v>84</v>
      </c>
      <c r="T1221" t="s">
        <v>132</v>
      </c>
      <c r="U1221" t="s">
        <v>133</v>
      </c>
      <c r="V1221" s="1">
        <v>1200</v>
      </c>
      <c r="W1221">
        <v>0</v>
      </c>
      <c r="X1221" s="1">
        <v>1200</v>
      </c>
      <c r="Y1221">
        <v>7</v>
      </c>
      <c r="Z1221">
        <v>0</v>
      </c>
      <c r="AA1221">
        <v>7</v>
      </c>
      <c r="AB1221">
        <v>1</v>
      </c>
      <c r="AC1221">
        <v>7</v>
      </c>
      <c r="AD1221" t="s">
        <v>134</v>
      </c>
      <c r="AE1221" t="s">
        <v>134</v>
      </c>
      <c r="AF1221" s="2">
        <v>45758</v>
      </c>
      <c r="AG1221" s="2">
        <v>46014</v>
      </c>
      <c r="AH1221">
        <v>947.09</v>
      </c>
      <c r="AI1221" s="1">
        <v>1675.54</v>
      </c>
      <c r="AJ1221" s="1">
        <v>5682.58</v>
      </c>
      <c r="AK1221">
        <v>0</v>
      </c>
      <c r="AL1221">
        <v>0</v>
      </c>
      <c r="AM1221">
        <v>0</v>
      </c>
      <c r="AN1221" t="s">
        <v>135</v>
      </c>
      <c r="AO1221" t="s">
        <v>135</v>
      </c>
      <c r="AP1221" t="s">
        <v>136</v>
      </c>
      <c r="AQ1221" t="s">
        <v>137</v>
      </c>
      <c r="AR1221" t="s">
        <v>138</v>
      </c>
      <c r="AS1221" t="s">
        <v>139</v>
      </c>
      <c r="AT1221" t="s">
        <v>140</v>
      </c>
      <c r="AU1221">
        <v>104</v>
      </c>
      <c r="AV1221">
        <v>10</v>
      </c>
      <c r="AW1221">
        <v>1</v>
      </c>
      <c r="AX1221" s="2">
        <v>45761</v>
      </c>
      <c r="AY1221" t="s">
        <v>141</v>
      </c>
      <c r="AZ1221" s="2">
        <v>46027</v>
      </c>
      <c r="BA1221">
        <v>0</v>
      </c>
      <c r="BB1221">
        <v>0</v>
      </c>
      <c r="BC1221">
        <v>0</v>
      </c>
      <c r="BD1221">
        <v>700</v>
      </c>
      <c r="BE1221">
        <v>70</v>
      </c>
      <c r="BF1221">
        <v>9</v>
      </c>
      <c r="BG1221" s="2">
        <v>45809</v>
      </c>
      <c r="BH1221" t="s">
        <v>142</v>
      </c>
      <c r="BI1221" s="2">
        <v>46026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 s="1">
        <v>1900.8</v>
      </c>
      <c r="BQ1221" s="1">
        <v>1900.8</v>
      </c>
      <c r="BR1221">
        <v>0</v>
      </c>
      <c r="BS1221">
        <v>7</v>
      </c>
      <c r="BT1221">
        <v>2.13</v>
      </c>
      <c r="BU1221" s="1">
        <v>1153.18</v>
      </c>
      <c r="BV1221" s="1">
        <v>2628.6</v>
      </c>
      <c r="BW1221" s="1">
        <v>3781.78</v>
      </c>
      <c r="BX1221">
        <v>0</v>
      </c>
      <c r="BY1221">
        <v>0</v>
      </c>
      <c r="BZ1221">
        <v>0</v>
      </c>
      <c r="CA1221">
        <v>0</v>
      </c>
      <c r="CB1221" s="1">
        <v>1119.25</v>
      </c>
      <c r="CC1221" t="s">
        <v>161</v>
      </c>
    </row>
    <row r="1222" spans="1:81" x14ac:dyDescent="0.25">
      <c r="A1222">
        <v>345</v>
      </c>
      <c r="B1222">
        <v>2</v>
      </c>
      <c r="C1222">
        <v>3392</v>
      </c>
      <c r="D1222" t="s">
        <v>6965</v>
      </c>
      <c r="E1222" t="s">
        <v>121</v>
      </c>
      <c r="F1222" t="s">
        <v>6966</v>
      </c>
      <c r="G1222" t="s">
        <v>6967</v>
      </c>
      <c r="H1222" t="s">
        <v>6968</v>
      </c>
      <c r="I1222" t="s">
        <v>6969</v>
      </c>
      <c r="J1222" t="s">
        <v>5517</v>
      </c>
      <c r="K1222" t="s">
        <v>336</v>
      </c>
      <c r="L1222" t="s">
        <v>128</v>
      </c>
      <c r="M1222" t="s">
        <v>337</v>
      </c>
      <c r="N1222" t="s">
        <v>6970</v>
      </c>
      <c r="O1222" t="s">
        <v>201</v>
      </c>
      <c r="P1222">
        <v>0</v>
      </c>
      <c r="Q1222" t="s">
        <v>125</v>
      </c>
      <c r="R1222">
        <v>4</v>
      </c>
      <c r="S1222">
        <v>75</v>
      </c>
      <c r="T1222" t="s">
        <v>132</v>
      </c>
      <c r="U1222" t="s">
        <v>133</v>
      </c>
      <c r="V1222">
        <v>100</v>
      </c>
      <c r="W1222">
        <v>0</v>
      </c>
      <c r="X1222">
        <v>100</v>
      </c>
      <c r="Y1222">
        <v>7</v>
      </c>
      <c r="Z1222">
        <v>0</v>
      </c>
      <c r="AA1222">
        <v>2</v>
      </c>
      <c r="AB1222">
        <v>1</v>
      </c>
      <c r="AC1222">
        <v>71</v>
      </c>
      <c r="AD1222" t="s">
        <v>134</v>
      </c>
      <c r="AE1222" t="s">
        <v>134</v>
      </c>
      <c r="AF1222" s="2">
        <v>45758</v>
      </c>
      <c r="AG1222" s="2">
        <v>45993</v>
      </c>
      <c r="AH1222">
        <v>45.85</v>
      </c>
      <c r="AI1222">
        <v>54.41</v>
      </c>
      <c r="AJ1222">
        <v>183.41</v>
      </c>
      <c r="AK1222">
        <v>0</v>
      </c>
      <c r="AL1222">
        <v>0</v>
      </c>
      <c r="AM1222">
        <v>0</v>
      </c>
      <c r="AN1222" t="s">
        <v>135</v>
      </c>
      <c r="AO1222" t="s">
        <v>135</v>
      </c>
      <c r="AP1222" t="s">
        <v>136</v>
      </c>
      <c r="AQ1222" t="s">
        <v>137</v>
      </c>
      <c r="AR1222" t="s">
        <v>138</v>
      </c>
      <c r="AS1222" t="s">
        <v>150</v>
      </c>
      <c r="AT1222" t="s">
        <v>140</v>
      </c>
      <c r="AU1222">
        <v>101</v>
      </c>
      <c r="AV1222">
        <v>10</v>
      </c>
      <c r="AW1222">
        <v>1</v>
      </c>
      <c r="AX1222" s="2">
        <v>45810</v>
      </c>
      <c r="AY1222" t="s">
        <v>141</v>
      </c>
      <c r="AZ1222" s="2">
        <v>46027</v>
      </c>
      <c r="BA1222">
        <v>0</v>
      </c>
      <c r="BB1222">
        <v>0</v>
      </c>
      <c r="BC1222">
        <v>0</v>
      </c>
      <c r="BD1222">
        <v>700</v>
      </c>
      <c r="BE1222">
        <v>70</v>
      </c>
      <c r="BF1222">
        <v>9</v>
      </c>
      <c r="BG1222" s="2">
        <v>45809</v>
      </c>
      <c r="BH1222" t="s">
        <v>142</v>
      </c>
      <c r="BI1222" s="2">
        <v>46026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81.69</v>
      </c>
      <c r="BP1222">
        <v>0</v>
      </c>
      <c r="BQ1222">
        <v>81.69</v>
      </c>
      <c r="BR1222">
        <v>0</v>
      </c>
      <c r="BS1222">
        <v>2</v>
      </c>
      <c r="BT1222">
        <v>2</v>
      </c>
      <c r="BU1222">
        <v>54.41</v>
      </c>
      <c r="BV1222">
        <v>0</v>
      </c>
      <c r="BW1222">
        <v>54.41</v>
      </c>
      <c r="BX1222">
        <v>0</v>
      </c>
      <c r="BY1222">
        <v>0</v>
      </c>
      <c r="BZ1222">
        <v>0</v>
      </c>
      <c r="CA1222">
        <v>0</v>
      </c>
      <c r="CB1222">
        <v>65.099999999999994</v>
      </c>
      <c r="CC1222" t="s">
        <v>161</v>
      </c>
    </row>
    <row r="1223" spans="1:81" x14ac:dyDescent="0.25">
      <c r="A1223">
        <v>345</v>
      </c>
      <c r="B1223">
        <v>2</v>
      </c>
      <c r="C1223">
        <v>3393</v>
      </c>
      <c r="D1223" t="s">
        <v>6971</v>
      </c>
      <c r="E1223" t="s">
        <v>5427</v>
      </c>
      <c r="F1223" t="s">
        <v>6972</v>
      </c>
      <c r="G1223" t="s">
        <v>6973</v>
      </c>
      <c r="H1223" t="s">
        <v>6974</v>
      </c>
      <c r="I1223" t="s">
        <v>6975</v>
      </c>
      <c r="J1223" t="s">
        <v>126</v>
      </c>
      <c r="K1223" t="s">
        <v>1853</v>
      </c>
      <c r="L1223" t="s">
        <v>128</v>
      </c>
      <c r="M1223" t="s">
        <v>1854</v>
      </c>
      <c r="N1223" t="s">
        <v>6976</v>
      </c>
      <c r="O1223" t="s">
        <v>167</v>
      </c>
      <c r="P1223">
        <v>0</v>
      </c>
      <c r="Q1223" t="s">
        <v>125</v>
      </c>
      <c r="R1223">
        <v>3</v>
      </c>
      <c r="S1223">
        <v>84</v>
      </c>
      <c r="T1223" t="s">
        <v>132</v>
      </c>
      <c r="U1223" t="s">
        <v>133</v>
      </c>
      <c r="V1223" s="1">
        <v>2800</v>
      </c>
      <c r="W1223">
        <v>0</v>
      </c>
      <c r="X1223" s="1">
        <v>2800</v>
      </c>
      <c r="Y1223">
        <v>7</v>
      </c>
      <c r="Z1223">
        <v>0</v>
      </c>
      <c r="AA1223">
        <v>9</v>
      </c>
      <c r="AB1223">
        <v>0</v>
      </c>
      <c r="AC1223">
        <v>13</v>
      </c>
      <c r="AD1223" t="s">
        <v>134</v>
      </c>
      <c r="AE1223" t="s">
        <v>134</v>
      </c>
      <c r="AF1223" s="2">
        <v>45762</v>
      </c>
      <c r="AG1223" s="2">
        <v>46004</v>
      </c>
      <c r="AH1223">
        <v>238.72</v>
      </c>
      <c r="AI1223">
        <v>338.18</v>
      </c>
      <c r="AJ1223">
        <v>716.18</v>
      </c>
      <c r="AK1223">
        <v>0</v>
      </c>
      <c r="AL1223">
        <v>0</v>
      </c>
      <c r="AM1223">
        <v>0</v>
      </c>
      <c r="AN1223" t="s">
        <v>135</v>
      </c>
      <c r="AO1223" t="s">
        <v>135</v>
      </c>
      <c r="AP1223" t="s">
        <v>136</v>
      </c>
      <c r="AQ1223" t="s">
        <v>137</v>
      </c>
      <c r="AR1223" t="s">
        <v>138</v>
      </c>
      <c r="AS1223" t="s">
        <v>139</v>
      </c>
      <c r="AT1223" t="s">
        <v>140</v>
      </c>
      <c r="AU1223">
        <v>103</v>
      </c>
      <c r="AV1223">
        <v>10</v>
      </c>
      <c r="AW1223">
        <v>1</v>
      </c>
      <c r="AX1223" s="2">
        <v>45814</v>
      </c>
      <c r="AY1223" t="s">
        <v>151</v>
      </c>
      <c r="AZ1223" s="2">
        <v>46024</v>
      </c>
      <c r="BA1223">
        <v>0</v>
      </c>
      <c r="BB1223">
        <v>0</v>
      </c>
      <c r="BC1223">
        <v>0</v>
      </c>
      <c r="BD1223">
        <v>700</v>
      </c>
      <c r="BE1223">
        <v>70</v>
      </c>
      <c r="BF1223">
        <v>9</v>
      </c>
      <c r="BG1223" s="2">
        <v>45809</v>
      </c>
      <c r="BH1223" t="s">
        <v>142</v>
      </c>
      <c r="BI1223" s="2">
        <v>46026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9</v>
      </c>
      <c r="BT1223">
        <v>5.15</v>
      </c>
      <c r="BU1223">
        <v>338.18</v>
      </c>
      <c r="BV1223">
        <v>252.26</v>
      </c>
      <c r="BW1223">
        <v>590.44000000000005</v>
      </c>
      <c r="BX1223">
        <v>0</v>
      </c>
      <c r="BY1223">
        <v>0</v>
      </c>
      <c r="BZ1223">
        <v>0</v>
      </c>
      <c r="CA1223">
        <v>0</v>
      </c>
      <c r="CB1223" s="1">
        <v>1357.6</v>
      </c>
      <c r="CC1223" t="s">
        <v>161</v>
      </c>
    </row>
    <row r="1224" spans="1:81" x14ac:dyDescent="0.25">
      <c r="A1224">
        <v>345</v>
      </c>
      <c r="B1224">
        <v>2</v>
      </c>
      <c r="C1224">
        <v>3394</v>
      </c>
      <c r="D1224" t="s">
        <v>6977</v>
      </c>
      <c r="E1224" t="s">
        <v>121</v>
      </c>
      <c r="F1224" t="s">
        <v>6978</v>
      </c>
      <c r="G1224" t="s">
        <v>6979</v>
      </c>
      <c r="H1224" t="s">
        <v>6980</v>
      </c>
      <c r="I1224" t="s">
        <v>6981</v>
      </c>
      <c r="J1224" t="s">
        <v>3074</v>
      </c>
      <c r="K1224" t="s">
        <v>1853</v>
      </c>
      <c r="L1224" t="s">
        <v>128</v>
      </c>
      <c r="M1224" t="s">
        <v>1854</v>
      </c>
      <c r="N1224" t="s">
        <v>6982</v>
      </c>
      <c r="O1224" t="s">
        <v>159</v>
      </c>
      <c r="P1224">
        <v>0</v>
      </c>
      <c r="Q1224" t="s">
        <v>125</v>
      </c>
      <c r="R1224">
        <v>4</v>
      </c>
      <c r="S1224">
        <v>77</v>
      </c>
      <c r="T1224" t="s">
        <v>132</v>
      </c>
      <c r="U1224" t="s">
        <v>133</v>
      </c>
      <c r="V1224" s="1">
        <v>1000</v>
      </c>
      <c r="W1224">
        <v>0</v>
      </c>
      <c r="X1224" s="1">
        <v>1000</v>
      </c>
      <c r="Y1224">
        <v>7</v>
      </c>
      <c r="Z1224">
        <v>0</v>
      </c>
      <c r="AA1224">
        <v>7</v>
      </c>
      <c r="AB1224">
        <v>0</v>
      </c>
      <c r="AC1224">
        <v>0</v>
      </c>
      <c r="AD1224" t="s">
        <v>134</v>
      </c>
      <c r="AE1224" t="s">
        <v>134</v>
      </c>
      <c r="AF1224" s="2">
        <v>45763</v>
      </c>
      <c r="AG1224" s="2">
        <v>46002</v>
      </c>
      <c r="AH1224">
        <v>298.45999999999998</v>
      </c>
      <c r="AI1224">
        <v>316.05</v>
      </c>
      <c r="AJ1224">
        <v>895.39</v>
      </c>
      <c r="AK1224">
        <v>0</v>
      </c>
      <c r="AL1224">
        <v>0</v>
      </c>
      <c r="AM1224">
        <v>0</v>
      </c>
      <c r="AN1224" t="s">
        <v>135</v>
      </c>
      <c r="AO1224" t="s">
        <v>135</v>
      </c>
      <c r="AP1224" t="s">
        <v>136</v>
      </c>
      <c r="AQ1224" t="s">
        <v>137</v>
      </c>
      <c r="AR1224" t="s">
        <v>138</v>
      </c>
      <c r="AS1224" t="s">
        <v>150</v>
      </c>
      <c r="AT1224" t="s">
        <v>140</v>
      </c>
      <c r="AU1224">
        <v>106</v>
      </c>
      <c r="AV1224">
        <v>10</v>
      </c>
      <c r="AW1224">
        <v>1</v>
      </c>
      <c r="AX1224" s="2">
        <v>45763</v>
      </c>
      <c r="AY1224" t="s">
        <v>168</v>
      </c>
      <c r="AZ1224" s="2">
        <v>46022</v>
      </c>
      <c r="BA1224">
        <v>0</v>
      </c>
      <c r="BB1224">
        <v>0</v>
      </c>
      <c r="BC1224">
        <v>0</v>
      </c>
      <c r="BD1224">
        <v>700</v>
      </c>
      <c r="BE1224">
        <v>70</v>
      </c>
      <c r="BF1224">
        <v>9</v>
      </c>
      <c r="BG1224" s="2">
        <v>45809</v>
      </c>
      <c r="BH1224" t="s">
        <v>142</v>
      </c>
      <c r="BI1224" s="2">
        <v>46026</v>
      </c>
      <c r="BJ1224">
        <v>0</v>
      </c>
      <c r="BK1224">
        <v>0</v>
      </c>
      <c r="BL1224">
        <v>0</v>
      </c>
      <c r="BM1224">
        <v>7</v>
      </c>
      <c r="BN1224">
        <v>7</v>
      </c>
      <c r="BO1224">
        <v>316.05</v>
      </c>
      <c r="BP1224">
        <v>0</v>
      </c>
      <c r="BQ1224">
        <v>316.05</v>
      </c>
      <c r="BR1224">
        <v>316.05</v>
      </c>
      <c r="BS1224">
        <v>7</v>
      </c>
      <c r="BT1224">
        <v>7</v>
      </c>
      <c r="BU1224">
        <v>265.66000000000003</v>
      </c>
      <c r="BV1224">
        <v>0</v>
      </c>
      <c r="BW1224">
        <v>265.66000000000003</v>
      </c>
      <c r="BX1224">
        <v>0</v>
      </c>
      <c r="BY1224">
        <v>0</v>
      </c>
      <c r="BZ1224">
        <v>0</v>
      </c>
      <c r="CA1224">
        <v>0</v>
      </c>
      <c r="CB1224">
        <v>209.91</v>
      </c>
      <c r="CC1224" t="s">
        <v>161</v>
      </c>
    </row>
    <row r="1225" spans="1:81" x14ac:dyDescent="0.25">
      <c r="A1225">
        <v>345</v>
      </c>
      <c r="B1225">
        <v>2</v>
      </c>
      <c r="C1225">
        <v>3395</v>
      </c>
      <c r="D1225" t="s">
        <v>6983</v>
      </c>
      <c r="E1225" t="s">
        <v>121</v>
      </c>
      <c r="F1225" t="s">
        <v>6984</v>
      </c>
      <c r="G1225" t="s">
        <v>6985</v>
      </c>
      <c r="H1225" t="s">
        <v>6986</v>
      </c>
      <c r="I1225" t="s">
        <v>6987</v>
      </c>
      <c r="J1225" t="s">
        <v>5517</v>
      </c>
      <c r="K1225" t="s">
        <v>336</v>
      </c>
      <c r="L1225" t="s">
        <v>128</v>
      </c>
      <c r="M1225" t="s">
        <v>337</v>
      </c>
      <c r="N1225" t="s">
        <v>6988</v>
      </c>
      <c r="O1225" t="s">
        <v>195</v>
      </c>
      <c r="P1225">
        <v>0</v>
      </c>
      <c r="Q1225" t="s">
        <v>125</v>
      </c>
      <c r="R1225">
        <v>3</v>
      </c>
      <c r="S1225">
        <v>84</v>
      </c>
      <c r="T1225" t="s">
        <v>132</v>
      </c>
      <c r="U1225" t="s">
        <v>133</v>
      </c>
      <c r="V1225" s="1">
        <v>1000</v>
      </c>
      <c r="W1225">
        <v>0</v>
      </c>
      <c r="X1225" s="1">
        <v>1000</v>
      </c>
      <c r="Y1225">
        <v>7</v>
      </c>
      <c r="Z1225">
        <v>0</v>
      </c>
      <c r="AA1225">
        <v>0</v>
      </c>
      <c r="AB1225">
        <v>0</v>
      </c>
      <c r="AC1225">
        <v>0</v>
      </c>
      <c r="AD1225" t="s">
        <v>134</v>
      </c>
      <c r="AE1225" t="s">
        <v>134</v>
      </c>
      <c r="AF1225" s="2">
        <v>45763</v>
      </c>
      <c r="AG1225" s="2">
        <v>46014</v>
      </c>
      <c r="AH1225">
        <v>212.5</v>
      </c>
      <c r="AI1225">
        <v>261.77999999999997</v>
      </c>
      <c r="AJ1225">
        <v>850.02</v>
      </c>
      <c r="AK1225">
        <v>0</v>
      </c>
      <c r="AL1225">
        <v>0</v>
      </c>
      <c r="AM1225">
        <v>0</v>
      </c>
      <c r="AN1225" t="s">
        <v>135</v>
      </c>
      <c r="AO1225" t="s">
        <v>135</v>
      </c>
      <c r="AP1225" t="s">
        <v>136</v>
      </c>
      <c r="AQ1225" t="s">
        <v>137</v>
      </c>
      <c r="AR1225" t="s">
        <v>138</v>
      </c>
      <c r="AS1225" t="s">
        <v>139</v>
      </c>
      <c r="AT1225" t="s">
        <v>140</v>
      </c>
      <c r="AU1225">
        <v>101</v>
      </c>
      <c r="AV1225">
        <v>10</v>
      </c>
      <c r="AW1225">
        <v>1</v>
      </c>
      <c r="AX1225" s="2">
        <v>45838</v>
      </c>
      <c r="AY1225" t="s">
        <v>141</v>
      </c>
      <c r="AZ1225" s="2">
        <v>46027</v>
      </c>
      <c r="BA1225">
        <v>0</v>
      </c>
      <c r="BB1225">
        <v>0</v>
      </c>
      <c r="BC1225">
        <v>0</v>
      </c>
      <c r="BD1225">
        <v>700</v>
      </c>
      <c r="BE1225">
        <v>70</v>
      </c>
      <c r="BF1225">
        <v>9</v>
      </c>
      <c r="BG1225" s="2">
        <v>45809</v>
      </c>
      <c r="BH1225" t="s">
        <v>142</v>
      </c>
      <c r="BI1225" s="2">
        <v>46026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176.22</v>
      </c>
      <c r="BQ1225">
        <v>176.22</v>
      </c>
      <c r="BR1225">
        <v>0</v>
      </c>
      <c r="BS1225">
        <v>0</v>
      </c>
      <c r="BT1225">
        <v>0</v>
      </c>
      <c r="BU1225">
        <v>0</v>
      </c>
      <c r="BV1225">
        <v>501.36</v>
      </c>
      <c r="BW1225">
        <v>501.36</v>
      </c>
      <c r="BX1225">
        <v>0</v>
      </c>
      <c r="BY1225">
        <v>0</v>
      </c>
      <c r="BZ1225">
        <v>0</v>
      </c>
      <c r="CA1225">
        <v>0</v>
      </c>
      <c r="CB1225">
        <v>189.52</v>
      </c>
      <c r="CC1225" t="s">
        <v>161</v>
      </c>
    </row>
    <row r="1226" spans="1:81" x14ac:dyDescent="0.25">
      <c r="A1226">
        <v>345</v>
      </c>
      <c r="B1226">
        <v>2</v>
      </c>
      <c r="C1226">
        <v>3396</v>
      </c>
      <c r="D1226" t="s">
        <v>6989</v>
      </c>
      <c r="E1226" t="s">
        <v>121</v>
      </c>
      <c r="F1226" t="s">
        <v>6990</v>
      </c>
      <c r="G1226" t="s">
        <v>6991</v>
      </c>
      <c r="H1226" t="s">
        <v>6992</v>
      </c>
      <c r="I1226" t="s">
        <v>6993</v>
      </c>
      <c r="J1226" t="s">
        <v>5134</v>
      </c>
      <c r="K1226" t="s">
        <v>1853</v>
      </c>
      <c r="L1226" t="s">
        <v>128</v>
      </c>
      <c r="M1226" t="s">
        <v>1854</v>
      </c>
      <c r="N1226" t="s">
        <v>6994</v>
      </c>
      <c r="O1226" t="s">
        <v>167</v>
      </c>
      <c r="P1226">
        <v>0</v>
      </c>
      <c r="Q1226" t="s">
        <v>125</v>
      </c>
      <c r="R1226">
        <v>3</v>
      </c>
      <c r="S1226">
        <v>82</v>
      </c>
      <c r="T1226" t="s">
        <v>132</v>
      </c>
      <c r="U1226" t="s">
        <v>133</v>
      </c>
      <c r="V1226" s="1">
        <v>1000</v>
      </c>
      <c r="W1226">
        <v>0</v>
      </c>
      <c r="X1226" s="1">
        <v>1000</v>
      </c>
      <c r="Y1226">
        <v>7</v>
      </c>
      <c r="Z1226">
        <v>0</v>
      </c>
      <c r="AA1226">
        <v>0</v>
      </c>
      <c r="AB1226">
        <v>0</v>
      </c>
      <c r="AC1226">
        <v>0</v>
      </c>
      <c r="AD1226" t="s">
        <v>134</v>
      </c>
      <c r="AE1226" t="s">
        <v>134</v>
      </c>
      <c r="AF1226" s="2">
        <v>45763</v>
      </c>
      <c r="AG1226" s="2">
        <v>46002</v>
      </c>
      <c r="AH1226">
        <v>281.22000000000003</v>
      </c>
      <c r="AI1226">
        <v>647.87</v>
      </c>
      <c r="AJ1226" s="1">
        <v>2531.06</v>
      </c>
      <c r="AK1226">
        <v>0</v>
      </c>
      <c r="AL1226">
        <v>0</v>
      </c>
      <c r="AM1226">
        <v>0</v>
      </c>
      <c r="AN1226" t="s">
        <v>135</v>
      </c>
      <c r="AO1226" t="s">
        <v>135</v>
      </c>
      <c r="AP1226" t="s">
        <v>136</v>
      </c>
      <c r="AQ1226" t="s">
        <v>137</v>
      </c>
      <c r="AR1226" t="s">
        <v>138</v>
      </c>
      <c r="AS1226" t="s">
        <v>139</v>
      </c>
      <c r="AT1226" t="s">
        <v>140</v>
      </c>
      <c r="AU1226">
        <v>103</v>
      </c>
      <c r="AV1226">
        <v>10</v>
      </c>
      <c r="AW1226">
        <v>1</v>
      </c>
      <c r="AX1226" s="2">
        <v>45854</v>
      </c>
      <c r="AY1226" t="s">
        <v>168</v>
      </c>
      <c r="AZ1226" s="2">
        <v>46022</v>
      </c>
      <c r="BA1226">
        <v>0</v>
      </c>
      <c r="BB1226">
        <v>0</v>
      </c>
      <c r="BC1226">
        <v>0</v>
      </c>
      <c r="BD1226">
        <v>700</v>
      </c>
      <c r="BE1226">
        <v>70</v>
      </c>
      <c r="BF1226">
        <v>9</v>
      </c>
      <c r="BG1226" s="2">
        <v>45809</v>
      </c>
      <c r="BH1226" t="s">
        <v>142</v>
      </c>
      <c r="BI1226" s="2">
        <v>46026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 s="1">
        <v>1216.69</v>
      </c>
      <c r="BQ1226" s="1">
        <v>1216.69</v>
      </c>
      <c r="BR1226">
        <v>0</v>
      </c>
      <c r="BS1226">
        <v>0</v>
      </c>
      <c r="BT1226">
        <v>0</v>
      </c>
      <c r="BU1226">
        <v>0</v>
      </c>
      <c r="BV1226">
        <v>357.47</v>
      </c>
      <c r="BW1226">
        <v>357.47</v>
      </c>
      <c r="BX1226">
        <v>0</v>
      </c>
      <c r="BY1226">
        <v>0</v>
      </c>
      <c r="BZ1226">
        <v>0</v>
      </c>
      <c r="CA1226">
        <v>0</v>
      </c>
      <c r="CB1226" s="1">
        <v>1353.39</v>
      </c>
      <c r="CC1226" t="s">
        <v>161</v>
      </c>
    </row>
    <row r="1227" spans="1:81" x14ac:dyDescent="0.25">
      <c r="A1227">
        <v>345</v>
      </c>
      <c r="B1227">
        <v>2</v>
      </c>
      <c r="C1227">
        <v>3397</v>
      </c>
      <c r="D1227" t="s">
        <v>6995</v>
      </c>
      <c r="E1227" t="s">
        <v>121</v>
      </c>
      <c r="F1227" t="s">
        <v>6996</v>
      </c>
      <c r="G1227" t="s">
        <v>6997</v>
      </c>
      <c r="H1227" t="s">
        <v>5763</v>
      </c>
      <c r="I1227" t="s">
        <v>6998</v>
      </c>
      <c r="J1227" t="s">
        <v>3074</v>
      </c>
      <c r="K1227" t="s">
        <v>1853</v>
      </c>
      <c r="L1227" t="s">
        <v>128</v>
      </c>
      <c r="M1227" t="s">
        <v>6999</v>
      </c>
      <c r="N1227" t="s">
        <v>7000</v>
      </c>
      <c r="O1227" t="s">
        <v>3115</v>
      </c>
      <c r="P1227">
        <v>0</v>
      </c>
      <c r="Q1227" t="s">
        <v>125</v>
      </c>
      <c r="R1227">
        <v>3</v>
      </c>
      <c r="S1227">
        <v>83</v>
      </c>
      <c r="T1227" t="s">
        <v>132</v>
      </c>
      <c r="U1227" t="s">
        <v>133</v>
      </c>
      <c r="V1227" s="1">
        <v>1200</v>
      </c>
      <c r="W1227">
        <v>0</v>
      </c>
      <c r="X1227" s="1">
        <v>1200</v>
      </c>
      <c r="Y1227">
        <v>7</v>
      </c>
      <c r="Z1227">
        <v>0</v>
      </c>
      <c r="AA1227">
        <v>0</v>
      </c>
      <c r="AB1227">
        <v>0</v>
      </c>
      <c r="AC1227">
        <v>0</v>
      </c>
      <c r="AD1227" t="s">
        <v>134</v>
      </c>
      <c r="AE1227" t="s">
        <v>134</v>
      </c>
      <c r="AF1227" s="2">
        <v>45763</v>
      </c>
      <c r="AG1227" s="2">
        <v>45981</v>
      </c>
      <c r="AH1227">
        <v>190.67</v>
      </c>
      <c r="AI1227">
        <v>216.97</v>
      </c>
      <c r="AJ1227">
        <v>762.71</v>
      </c>
      <c r="AK1227">
        <v>0</v>
      </c>
      <c r="AL1227">
        <v>0</v>
      </c>
      <c r="AM1227">
        <v>0</v>
      </c>
      <c r="AN1227" t="s">
        <v>135</v>
      </c>
      <c r="AO1227" t="s">
        <v>135</v>
      </c>
      <c r="AP1227" t="s">
        <v>136</v>
      </c>
      <c r="AQ1227" t="s">
        <v>137</v>
      </c>
      <c r="AR1227" t="s">
        <v>138</v>
      </c>
      <c r="AS1227" t="s">
        <v>139</v>
      </c>
      <c r="AT1227" t="s">
        <v>140</v>
      </c>
      <c r="AU1227">
        <v>106</v>
      </c>
      <c r="AV1227">
        <v>10</v>
      </c>
      <c r="AW1227">
        <v>1</v>
      </c>
      <c r="AX1227" s="2">
        <v>45812</v>
      </c>
      <c r="AY1227" t="s">
        <v>168</v>
      </c>
      <c r="AZ1227" s="2">
        <v>46022</v>
      </c>
      <c r="BA1227">
        <v>0</v>
      </c>
      <c r="BB1227">
        <v>0</v>
      </c>
      <c r="BC1227">
        <v>0</v>
      </c>
      <c r="BD1227">
        <v>700</v>
      </c>
      <c r="BE1227">
        <v>70</v>
      </c>
      <c r="BF1227">
        <v>9</v>
      </c>
      <c r="BG1227" s="2">
        <v>45809</v>
      </c>
      <c r="BH1227" t="s">
        <v>142</v>
      </c>
      <c r="BI1227" s="2">
        <v>46026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375.57</v>
      </c>
      <c r="BQ1227">
        <v>375.57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254.23</v>
      </c>
      <c r="CC1227" t="s">
        <v>161</v>
      </c>
    </row>
    <row r="1228" spans="1:81" x14ac:dyDescent="0.25">
      <c r="A1228">
        <v>345</v>
      </c>
      <c r="B1228">
        <v>2</v>
      </c>
      <c r="C1228">
        <v>3398</v>
      </c>
      <c r="D1228" t="s">
        <v>7001</v>
      </c>
      <c r="E1228" t="s">
        <v>121</v>
      </c>
      <c r="F1228" t="s">
        <v>7002</v>
      </c>
      <c r="G1228" t="s">
        <v>7003</v>
      </c>
      <c r="H1228" t="s">
        <v>7004</v>
      </c>
      <c r="I1228" t="s">
        <v>7005</v>
      </c>
      <c r="J1228" t="s">
        <v>1375</v>
      </c>
      <c r="K1228" t="s">
        <v>473</v>
      </c>
      <c r="L1228" t="s">
        <v>128</v>
      </c>
      <c r="M1228" t="s">
        <v>474</v>
      </c>
      <c r="N1228" t="s">
        <v>7006</v>
      </c>
      <c r="O1228" t="s">
        <v>3269</v>
      </c>
      <c r="P1228">
        <v>0</v>
      </c>
      <c r="Q1228" t="s">
        <v>125</v>
      </c>
      <c r="R1228">
        <v>3</v>
      </c>
      <c r="S1228">
        <v>86</v>
      </c>
      <c r="T1228" t="s">
        <v>132</v>
      </c>
      <c r="U1228" t="s">
        <v>133</v>
      </c>
      <c r="V1228" s="1">
        <v>1000</v>
      </c>
      <c r="W1228">
        <v>0</v>
      </c>
      <c r="X1228" s="1">
        <v>1000</v>
      </c>
      <c r="Y1228">
        <v>7</v>
      </c>
      <c r="Z1228">
        <v>0</v>
      </c>
      <c r="AA1228">
        <v>8</v>
      </c>
      <c r="AB1228">
        <v>0</v>
      </c>
      <c r="AC1228">
        <v>5</v>
      </c>
      <c r="AD1228" t="s">
        <v>134</v>
      </c>
      <c r="AE1228" t="s">
        <v>134</v>
      </c>
      <c r="AF1228" s="2">
        <v>45763</v>
      </c>
      <c r="AG1228" s="2">
        <v>46017</v>
      </c>
      <c r="AH1228">
        <v>163.1</v>
      </c>
      <c r="AI1228">
        <v>231.16</v>
      </c>
      <c r="AJ1228" s="1">
        <v>1467.94</v>
      </c>
      <c r="AK1228">
        <v>0</v>
      </c>
      <c r="AL1228">
        <v>0</v>
      </c>
      <c r="AM1228">
        <v>0</v>
      </c>
      <c r="AN1228" t="s">
        <v>135</v>
      </c>
      <c r="AO1228" t="s">
        <v>135</v>
      </c>
      <c r="AP1228" t="s">
        <v>136</v>
      </c>
      <c r="AQ1228" t="s">
        <v>137</v>
      </c>
      <c r="AR1228" t="s">
        <v>138</v>
      </c>
      <c r="AS1228" t="s">
        <v>139</v>
      </c>
      <c r="AT1228" t="s">
        <v>140</v>
      </c>
      <c r="AU1228">
        <v>102</v>
      </c>
      <c r="AV1228">
        <v>10</v>
      </c>
      <c r="AW1228">
        <v>1</v>
      </c>
      <c r="AX1228" s="2">
        <v>45846</v>
      </c>
      <c r="AY1228" t="s">
        <v>377</v>
      </c>
      <c r="AZ1228" s="2">
        <v>46028</v>
      </c>
      <c r="BA1228">
        <v>0</v>
      </c>
      <c r="BB1228">
        <v>0</v>
      </c>
      <c r="BC1228">
        <v>0</v>
      </c>
      <c r="BD1228">
        <v>700</v>
      </c>
      <c r="BE1228">
        <v>70</v>
      </c>
      <c r="BF1228">
        <v>9</v>
      </c>
      <c r="BG1228" s="2">
        <v>45809</v>
      </c>
      <c r="BH1228" t="s">
        <v>142</v>
      </c>
      <c r="BI1228" s="2">
        <v>46026</v>
      </c>
      <c r="BJ1228">
        <v>0</v>
      </c>
      <c r="BK1228">
        <v>0</v>
      </c>
      <c r="BL1228">
        <v>0</v>
      </c>
      <c r="BM1228">
        <v>7</v>
      </c>
      <c r="BN1228">
        <v>7</v>
      </c>
      <c r="BO1228">
        <v>489.2</v>
      </c>
      <c r="BP1228">
        <v>0</v>
      </c>
      <c r="BQ1228">
        <v>489.2</v>
      </c>
      <c r="BR1228">
        <v>117.67</v>
      </c>
      <c r="BS1228">
        <v>6.47</v>
      </c>
      <c r="BT1228">
        <v>6.47</v>
      </c>
      <c r="BU1228">
        <v>557.17999999999995</v>
      </c>
      <c r="BV1228">
        <v>0</v>
      </c>
      <c r="BW1228">
        <v>557.17999999999995</v>
      </c>
      <c r="BX1228">
        <v>0</v>
      </c>
      <c r="BY1228">
        <v>0</v>
      </c>
      <c r="BZ1228">
        <v>0</v>
      </c>
      <c r="CA1228">
        <v>0</v>
      </c>
      <c r="CB1228">
        <v>554.98</v>
      </c>
      <c r="CC1228" t="s">
        <v>161</v>
      </c>
    </row>
    <row r="1229" spans="1:81" x14ac:dyDescent="0.25">
      <c r="A1229">
        <v>345</v>
      </c>
      <c r="B1229">
        <v>2</v>
      </c>
      <c r="C1229">
        <v>3400</v>
      </c>
      <c r="D1229" t="s">
        <v>7007</v>
      </c>
      <c r="E1229" t="s">
        <v>121</v>
      </c>
      <c r="F1229" t="s">
        <v>7008</v>
      </c>
      <c r="G1229" t="s">
        <v>7009</v>
      </c>
      <c r="H1229" t="s">
        <v>7010</v>
      </c>
      <c r="I1229" t="s">
        <v>7011</v>
      </c>
      <c r="J1229" t="s">
        <v>126</v>
      </c>
      <c r="K1229" t="s">
        <v>4248</v>
      </c>
      <c r="L1229" t="s">
        <v>128</v>
      </c>
      <c r="M1229" t="s">
        <v>1325</v>
      </c>
      <c r="N1229" t="s">
        <v>7012</v>
      </c>
      <c r="O1229" t="s">
        <v>201</v>
      </c>
      <c r="P1229">
        <v>0</v>
      </c>
      <c r="Q1229" t="s">
        <v>125</v>
      </c>
      <c r="R1229">
        <v>3</v>
      </c>
      <c r="S1229">
        <v>83</v>
      </c>
      <c r="T1229" t="s">
        <v>132</v>
      </c>
      <c r="U1229" t="s">
        <v>133</v>
      </c>
      <c r="V1229" s="1">
        <v>3100</v>
      </c>
      <c r="W1229">
        <v>0</v>
      </c>
      <c r="X1229" s="1">
        <v>3100</v>
      </c>
      <c r="Y1229">
        <v>7</v>
      </c>
      <c r="Z1229">
        <v>0</v>
      </c>
      <c r="AA1229">
        <v>0</v>
      </c>
      <c r="AB1229">
        <v>0</v>
      </c>
      <c r="AC1229">
        <v>0</v>
      </c>
      <c r="AD1229" t="s">
        <v>134</v>
      </c>
      <c r="AE1229" t="s">
        <v>134</v>
      </c>
      <c r="AF1229" s="2">
        <v>45763</v>
      </c>
      <c r="AG1229" s="2">
        <v>46010</v>
      </c>
      <c r="AH1229">
        <v>780.04</v>
      </c>
      <c r="AI1229" s="1">
        <v>1194.6500000000001</v>
      </c>
      <c r="AJ1229" s="1">
        <v>3900.22</v>
      </c>
      <c r="AK1229">
        <v>0</v>
      </c>
      <c r="AL1229">
        <v>0</v>
      </c>
      <c r="AM1229">
        <v>0</v>
      </c>
      <c r="AN1229" t="s">
        <v>135</v>
      </c>
      <c r="AO1229" t="s">
        <v>135</v>
      </c>
      <c r="AP1229" t="s">
        <v>136</v>
      </c>
      <c r="AQ1229" t="s">
        <v>137</v>
      </c>
      <c r="AR1229" t="s">
        <v>138</v>
      </c>
      <c r="AS1229" t="s">
        <v>150</v>
      </c>
      <c r="AT1229" t="s">
        <v>140</v>
      </c>
      <c r="AU1229">
        <v>104</v>
      </c>
      <c r="AV1229">
        <v>10</v>
      </c>
      <c r="AW1229">
        <v>1</v>
      </c>
      <c r="AX1229" s="2">
        <v>45812</v>
      </c>
      <c r="AY1229" t="s">
        <v>168</v>
      </c>
      <c r="AZ1229" s="2">
        <v>46022</v>
      </c>
      <c r="BA1229">
        <v>0</v>
      </c>
      <c r="BB1229">
        <v>0</v>
      </c>
      <c r="BC1229">
        <v>0</v>
      </c>
      <c r="BD1229">
        <v>700</v>
      </c>
      <c r="BE1229">
        <v>70</v>
      </c>
      <c r="BF1229">
        <v>9</v>
      </c>
      <c r="BG1229" s="2">
        <v>45809</v>
      </c>
      <c r="BH1229" t="s">
        <v>142</v>
      </c>
      <c r="BI1229" s="2">
        <v>46026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 s="1">
        <v>2530.09</v>
      </c>
      <c r="BQ1229" s="1">
        <v>2530.09</v>
      </c>
      <c r="BR1229">
        <v>0</v>
      </c>
      <c r="BS1229">
        <v>0</v>
      </c>
      <c r="BT1229">
        <v>0</v>
      </c>
      <c r="BU1229">
        <v>0</v>
      </c>
      <c r="BV1229" s="1">
        <v>1370.13</v>
      </c>
      <c r="BW1229" s="1">
        <v>1370.13</v>
      </c>
      <c r="BX1229">
        <v>0</v>
      </c>
      <c r="BY1229">
        <v>0</v>
      </c>
      <c r="BZ1229">
        <v>0</v>
      </c>
      <c r="CA1229">
        <v>0</v>
      </c>
      <c r="CB1229" s="1">
        <v>1466.19</v>
      </c>
      <c r="CC1229" t="s">
        <v>161</v>
      </c>
    </row>
    <row r="1230" spans="1:81" x14ac:dyDescent="0.25">
      <c r="A1230">
        <v>345</v>
      </c>
      <c r="B1230">
        <v>2</v>
      </c>
      <c r="C1230">
        <v>3401</v>
      </c>
      <c r="D1230" t="s">
        <v>7013</v>
      </c>
      <c r="E1230" t="s">
        <v>121</v>
      </c>
      <c r="F1230" t="s">
        <v>7014</v>
      </c>
      <c r="G1230" t="s">
        <v>7015</v>
      </c>
      <c r="H1230" t="s">
        <v>7016</v>
      </c>
      <c r="I1230" t="s">
        <v>7017</v>
      </c>
      <c r="J1230" t="s">
        <v>126</v>
      </c>
      <c r="K1230" t="s">
        <v>4248</v>
      </c>
      <c r="L1230" t="s">
        <v>128</v>
      </c>
      <c r="M1230" t="s">
        <v>1325</v>
      </c>
      <c r="N1230" t="s">
        <v>7018</v>
      </c>
      <c r="O1230" t="s">
        <v>159</v>
      </c>
      <c r="P1230">
        <v>0</v>
      </c>
      <c r="Q1230" t="s">
        <v>125</v>
      </c>
      <c r="R1230">
        <v>3</v>
      </c>
      <c r="S1230">
        <v>82</v>
      </c>
      <c r="T1230" t="s">
        <v>132</v>
      </c>
      <c r="U1230" t="s">
        <v>133</v>
      </c>
      <c r="V1230" s="1">
        <v>1000</v>
      </c>
      <c r="W1230">
        <v>0</v>
      </c>
      <c r="X1230" s="1">
        <v>1000</v>
      </c>
      <c r="Y1230">
        <v>7</v>
      </c>
      <c r="Z1230">
        <v>0</v>
      </c>
      <c r="AA1230">
        <v>0</v>
      </c>
      <c r="AB1230">
        <v>0</v>
      </c>
      <c r="AC1230">
        <v>0</v>
      </c>
      <c r="AD1230" t="s">
        <v>134</v>
      </c>
      <c r="AE1230" t="s">
        <v>134</v>
      </c>
      <c r="AF1230" s="2">
        <v>45763</v>
      </c>
      <c r="AG1230" s="2">
        <v>46011</v>
      </c>
      <c r="AH1230">
        <v>475.98</v>
      </c>
      <c r="AI1230">
        <v>763.68</v>
      </c>
      <c r="AJ1230" s="1">
        <v>4283.84</v>
      </c>
      <c r="AK1230">
        <v>0</v>
      </c>
      <c r="AL1230">
        <v>0</v>
      </c>
      <c r="AM1230">
        <v>0</v>
      </c>
      <c r="AN1230" t="s">
        <v>135</v>
      </c>
      <c r="AO1230" t="s">
        <v>135</v>
      </c>
      <c r="AP1230" t="s">
        <v>136</v>
      </c>
      <c r="AQ1230" t="s">
        <v>137</v>
      </c>
      <c r="AR1230" t="s">
        <v>138</v>
      </c>
      <c r="AS1230" t="s">
        <v>139</v>
      </c>
      <c r="AT1230" t="s">
        <v>140</v>
      </c>
      <c r="AU1230">
        <v>104</v>
      </c>
      <c r="AV1230">
        <v>10</v>
      </c>
      <c r="AW1230">
        <v>1</v>
      </c>
      <c r="AX1230" s="2">
        <v>45813</v>
      </c>
      <c r="AY1230" t="s">
        <v>308</v>
      </c>
      <c r="AZ1230" s="2">
        <v>46023</v>
      </c>
      <c r="BA1230">
        <v>0</v>
      </c>
      <c r="BB1230">
        <v>0</v>
      </c>
      <c r="BC1230">
        <v>0</v>
      </c>
      <c r="BD1230">
        <v>700</v>
      </c>
      <c r="BE1230">
        <v>70</v>
      </c>
      <c r="BF1230">
        <v>9</v>
      </c>
      <c r="BG1230" s="2">
        <v>45809</v>
      </c>
      <c r="BH1230" t="s">
        <v>142</v>
      </c>
      <c r="BI1230" s="2">
        <v>46026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 s="1">
        <v>1545.12</v>
      </c>
      <c r="BQ1230" s="1">
        <v>1545.12</v>
      </c>
      <c r="BR1230">
        <v>0</v>
      </c>
      <c r="BS1230">
        <v>0</v>
      </c>
      <c r="BT1230">
        <v>0</v>
      </c>
      <c r="BU1230">
        <v>0</v>
      </c>
      <c r="BV1230" s="1">
        <v>1942.6</v>
      </c>
      <c r="BW1230" s="1">
        <v>1942.6</v>
      </c>
      <c r="BX1230">
        <v>0</v>
      </c>
      <c r="BY1230">
        <v>0</v>
      </c>
      <c r="BZ1230">
        <v>0</v>
      </c>
      <c r="CA1230">
        <v>0</v>
      </c>
      <c r="CB1230" s="1">
        <v>1249.8499999999999</v>
      </c>
      <c r="CC1230" t="s">
        <v>161</v>
      </c>
    </row>
    <row r="1231" spans="1:81" x14ac:dyDescent="0.25">
      <c r="A1231">
        <v>345</v>
      </c>
      <c r="B1231">
        <v>2</v>
      </c>
      <c r="C1231">
        <v>3402</v>
      </c>
      <c r="D1231" t="s">
        <v>7019</v>
      </c>
      <c r="E1231" t="s">
        <v>121</v>
      </c>
      <c r="F1231" t="s">
        <v>7020</v>
      </c>
      <c r="G1231" t="s">
        <v>7021</v>
      </c>
      <c r="H1231" t="s">
        <v>7022</v>
      </c>
      <c r="I1231" t="s">
        <v>7023</v>
      </c>
      <c r="J1231" t="s">
        <v>5517</v>
      </c>
      <c r="K1231" t="s">
        <v>336</v>
      </c>
      <c r="L1231" t="s">
        <v>128</v>
      </c>
      <c r="M1231" t="s">
        <v>337</v>
      </c>
      <c r="N1231" t="s">
        <v>7024</v>
      </c>
      <c r="O1231" t="s">
        <v>201</v>
      </c>
      <c r="P1231">
        <v>0</v>
      </c>
      <c r="Q1231" t="s">
        <v>125</v>
      </c>
      <c r="R1231">
        <v>5</v>
      </c>
      <c r="S1231">
        <v>67</v>
      </c>
      <c r="T1231" t="s">
        <v>132</v>
      </c>
      <c r="U1231" t="s">
        <v>133</v>
      </c>
      <c r="V1231" s="1">
        <v>1000</v>
      </c>
      <c r="W1231">
        <v>0</v>
      </c>
      <c r="X1231" s="1">
        <v>1000</v>
      </c>
      <c r="Y1231">
        <v>7</v>
      </c>
      <c r="Z1231">
        <v>0</v>
      </c>
      <c r="AA1231">
        <v>5</v>
      </c>
      <c r="AB1231">
        <v>3</v>
      </c>
      <c r="AC1231">
        <v>75</v>
      </c>
      <c r="AD1231" t="s">
        <v>134</v>
      </c>
      <c r="AE1231" t="s">
        <v>134</v>
      </c>
      <c r="AF1231" s="2">
        <v>45763</v>
      </c>
      <c r="AG1231" s="2">
        <v>46000</v>
      </c>
      <c r="AH1231">
        <v>237.75</v>
      </c>
      <c r="AI1231">
        <v>273.52999999999997</v>
      </c>
      <c r="AJ1231">
        <v>475.51</v>
      </c>
      <c r="AK1231">
        <v>0</v>
      </c>
      <c r="AL1231">
        <v>0</v>
      </c>
      <c r="AM1231">
        <v>0</v>
      </c>
      <c r="AN1231" t="s">
        <v>135</v>
      </c>
      <c r="AO1231" t="s">
        <v>135</v>
      </c>
      <c r="AP1231" t="s">
        <v>136</v>
      </c>
      <c r="AQ1231" t="s">
        <v>137</v>
      </c>
      <c r="AR1231" t="s">
        <v>138</v>
      </c>
      <c r="AS1231" t="s">
        <v>150</v>
      </c>
      <c r="AT1231" t="s">
        <v>140</v>
      </c>
      <c r="AU1231">
        <v>101</v>
      </c>
      <c r="AV1231">
        <v>10</v>
      </c>
      <c r="AW1231">
        <v>1</v>
      </c>
      <c r="AX1231" s="2">
        <v>45768</v>
      </c>
      <c r="AY1231" t="s">
        <v>141</v>
      </c>
      <c r="AZ1231" s="2">
        <v>46027</v>
      </c>
      <c r="BA1231">
        <v>0</v>
      </c>
      <c r="BB1231">
        <v>0</v>
      </c>
      <c r="BC1231">
        <v>0</v>
      </c>
      <c r="BD1231">
        <v>700</v>
      </c>
      <c r="BE1231">
        <v>70</v>
      </c>
      <c r="BF1231">
        <v>9</v>
      </c>
      <c r="BG1231" s="2">
        <v>45809</v>
      </c>
      <c r="BH1231" t="s">
        <v>142</v>
      </c>
      <c r="BI1231" s="2">
        <v>46026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273.52999999999997</v>
      </c>
      <c r="BW1231">
        <v>273.52999999999997</v>
      </c>
      <c r="BX1231">
        <v>0</v>
      </c>
      <c r="BY1231">
        <v>0</v>
      </c>
      <c r="BZ1231">
        <v>0</v>
      </c>
      <c r="CA1231">
        <v>0</v>
      </c>
      <c r="CB1231">
        <v>160.25</v>
      </c>
      <c r="CC1231" t="s">
        <v>339</v>
      </c>
    </row>
    <row r="1232" spans="1:81" x14ac:dyDescent="0.25">
      <c r="A1232">
        <v>345</v>
      </c>
      <c r="B1232">
        <v>2</v>
      </c>
      <c r="C1232">
        <v>3403</v>
      </c>
      <c r="D1232" t="s">
        <v>7025</v>
      </c>
      <c r="E1232" t="s">
        <v>121</v>
      </c>
      <c r="F1232" t="s">
        <v>7026</v>
      </c>
      <c r="G1232" t="s">
        <v>7027</v>
      </c>
      <c r="H1232" t="s">
        <v>7028</v>
      </c>
      <c r="I1232" t="s">
        <v>7029</v>
      </c>
      <c r="J1232" t="s">
        <v>5517</v>
      </c>
      <c r="K1232" t="s">
        <v>336</v>
      </c>
      <c r="L1232" t="s">
        <v>128</v>
      </c>
      <c r="M1232" t="s">
        <v>337</v>
      </c>
      <c r="N1232" t="s">
        <v>7030</v>
      </c>
      <c r="O1232" t="s">
        <v>201</v>
      </c>
      <c r="P1232">
        <v>0</v>
      </c>
      <c r="Q1232" t="s">
        <v>125</v>
      </c>
      <c r="R1232">
        <v>3</v>
      </c>
      <c r="S1232">
        <v>87</v>
      </c>
      <c r="T1232" t="s">
        <v>132</v>
      </c>
      <c r="U1232" t="s">
        <v>133</v>
      </c>
      <c r="V1232" s="1">
        <v>1000</v>
      </c>
      <c r="W1232">
        <v>0</v>
      </c>
      <c r="X1232" s="1">
        <v>1000</v>
      </c>
      <c r="Y1232">
        <v>7</v>
      </c>
      <c r="Z1232">
        <v>0</v>
      </c>
      <c r="AA1232">
        <v>7</v>
      </c>
      <c r="AB1232">
        <v>0</v>
      </c>
      <c r="AC1232">
        <v>0</v>
      </c>
      <c r="AD1232" t="s">
        <v>134</v>
      </c>
      <c r="AE1232" t="s">
        <v>134</v>
      </c>
      <c r="AF1232" s="2">
        <v>45763</v>
      </c>
      <c r="AG1232" s="2">
        <v>46014</v>
      </c>
      <c r="AH1232">
        <v>105.3</v>
      </c>
      <c r="AI1232">
        <v>125.07</v>
      </c>
      <c r="AJ1232">
        <v>842.43</v>
      </c>
      <c r="AK1232">
        <v>0</v>
      </c>
      <c r="AL1232">
        <v>0</v>
      </c>
      <c r="AM1232">
        <v>0</v>
      </c>
      <c r="AN1232" t="s">
        <v>135</v>
      </c>
      <c r="AO1232" t="s">
        <v>135</v>
      </c>
      <c r="AP1232" t="s">
        <v>136</v>
      </c>
      <c r="AQ1232" t="s">
        <v>137</v>
      </c>
      <c r="AR1232" t="s">
        <v>138</v>
      </c>
      <c r="AS1232" t="s">
        <v>139</v>
      </c>
      <c r="AT1232" t="s">
        <v>140</v>
      </c>
      <c r="AU1232">
        <v>101</v>
      </c>
      <c r="AV1232">
        <v>10</v>
      </c>
      <c r="AW1232">
        <v>1</v>
      </c>
      <c r="AX1232" s="2">
        <v>45859</v>
      </c>
      <c r="AY1232" t="s">
        <v>141</v>
      </c>
      <c r="AZ1232" s="2">
        <v>46027</v>
      </c>
      <c r="BA1232">
        <v>0</v>
      </c>
      <c r="BB1232">
        <v>0</v>
      </c>
      <c r="BC1232">
        <v>0</v>
      </c>
      <c r="BD1232">
        <v>700</v>
      </c>
      <c r="BE1232">
        <v>70</v>
      </c>
      <c r="BF1232">
        <v>9</v>
      </c>
      <c r="BG1232" s="2">
        <v>45809</v>
      </c>
      <c r="BH1232" t="s">
        <v>142</v>
      </c>
      <c r="BI1232" s="2">
        <v>46026</v>
      </c>
      <c r="BJ1232">
        <v>0</v>
      </c>
      <c r="BK1232">
        <v>0</v>
      </c>
      <c r="BL1232">
        <v>0</v>
      </c>
      <c r="BM1232">
        <v>3.48</v>
      </c>
      <c r="BN1232">
        <v>3.48</v>
      </c>
      <c r="BO1232">
        <v>270.72000000000003</v>
      </c>
      <c r="BP1232">
        <v>0</v>
      </c>
      <c r="BQ1232">
        <v>270.72000000000003</v>
      </c>
      <c r="BR1232">
        <v>0</v>
      </c>
      <c r="BS1232">
        <v>7</v>
      </c>
      <c r="BT1232">
        <v>7</v>
      </c>
      <c r="BU1232">
        <v>231.73</v>
      </c>
      <c r="BV1232">
        <v>0</v>
      </c>
      <c r="BW1232">
        <v>231.73</v>
      </c>
      <c r="BX1232">
        <v>0</v>
      </c>
      <c r="BY1232">
        <v>0</v>
      </c>
      <c r="BZ1232">
        <v>0</v>
      </c>
      <c r="CA1232">
        <v>0</v>
      </c>
      <c r="CB1232">
        <v>260.89999999999998</v>
      </c>
      <c r="CC1232" t="s">
        <v>161</v>
      </c>
    </row>
    <row r="1233" spans="1:81" x14ac:dyDescent="0.25">
      <c r="A1233">
        <v>345</v>
      </c>
      <c r="B1233">
        <v>2</v>
      </c>
      <c r="C1233">
        <v>3405</v>
      </c>
      <c r="D1233" t="s">
        <v>7031</v>
      </c>
      <c r="E1233" t="s">
        <v>121</v>
      </c>
      <c r="F1233" t="s">
        <v>7032</v>
      </c>
      <c r="G1233" t="s">
        <v>7033</v>
      </c>
      <c r="H1233" t="s">
        <v>7034</v>
      </c>
      <c r="I1233" t="s">
        <v>6905</v>
      </c>
      <c r="J1233" t="s">
        <v>459</v>
      </c>
      <c r="K1233" t="s">
        <v>336</v>
      </c>
      <c r="L1233" t="s">
        <v>128</v>
      </c>
      <c r="M1233" t="s">
        <v>7035</v>
      </c>
      <c r="N1233" t="s">
        <v>7036</v>
      </c>
      <c r="O1233" t="s">
        <v>201</v>
      </c>
      <c r="P1233">
        <v>0</v>
      </c>
      <c r="Q1233" t="s">
        <v>125</v>
      </c>
      <c r="R1233">
        <v>3</v>
      </c>
      <c r="S1233">
        <v>84</v>
      </c>
      <c r="T1233" t="s">
        <v>132</v>
      </c>
      <c r="U1233" t="s">
        <v>133</v>
      </c>
      <c r="V1233" s="1">
        <v>1000</v>
      </c>
      <c r="W1233">
        <v>157.08000000000001</v>
      </c>
      <c r="X1233">
        <v>842.92</v>
      </c>
      <c r="Y1233">
        <v>7</v>
      </c>
      <c r="Z1233">
        <v>0</v>
      </c>
      <c r="AA1233">
        <v>9</v>
      </c>
      <c r="AB1233">
        <v>0</v>
      </c>
      <c r="AC1233">
        <v>0</v>
      </c>
      <c r="AD1233" t="s">
        <v>134</v>
      </c>
      <c r="AE1233" t="s">
        <v>134</v>
      </c>
      <c r="AF1233" s="2">
        <v>45763</v>
      </c>
      <c r="AG1233" s="2">
        <v>46020</v>
      </c>
      <c r="AH1233">
        <v>393.16</v>
      </c>
      <c r="AI1233">
        <v>940.68</v>
      </c>
      <c r="AJ1233" s="1">
        <v>2358.9899999999998</v>
      </c>
      <c r="AK1233">
        <v>0</v>
      </c>
      <c r="AL1233">
        <v>157.08000000000001</v>
      </c>
      <c r="AM1233">
        <v>0</v>
      </c>
      <c r="AN1233" t="s">
        <v>135</v>
      </c>
      <c r="AO1233" t="s">
        <v>135</v>
      </c>
      <c r="AP1233" t="s">
        <v>136</v>
      </c>
      <c r="AQ1233" t="s">
        <v>137</v>
      </c>
      <c r="AR1233" t="s">
        <v>138</v>
      </c>
      <c r="AS1233" t="s">
        <v>139</v>
      </c>
      <c r="AT1233" t="s">
        <v>140</v>
      </c>
      <c r="AU1233">
        <v>100</v>
      </c>
      <c r="AV1233">
        <v>10</v>
      </c>
      <c r="AW1233">
        <v>1</v>
      </c>
      <c r="AX1233" s="2">
        <v>45814</v>
      </c>
      <c r="AY1233" t="s">
        <v>151</v>
      </c>
      <c r="AZ1233" s="2">
        <v>46024</v>
      </c>
      <c r="BA1233">
        <v>0</v>
      </c>
      <c r="BB1233">
        <v>0</v>
      </c>
      <c r="BC1233">
        <v>0</v>
      </c>
      <c r="BD1233">
        <v>700</v>
      </c>
      <c r="BE1233">
        <v>70</v>
      </c>
      <c r="BF1233">
        <v>9</v>
      </c>
      <c r="BG1233" s="2">
        <v>45809</v>
      </c>
      <c r="BH1233" t="s">
        <v>142</v>
      </c>
      <c r="BI1233" s="2">
        <v>46026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182.88</v>
      </c>
      <c r="BQ1233">
        <v>182.88</v>
      </c>
      <c r="BR1233">
        <v>0</v>
      </c>
      <c r="BS1233">
        <v>8.6300000000000008</v>
      </c>
      <c r="BT1233">
        <v>3.65</v>
      </c>
      <c r="BU1233">
        <v>841.89</v>
      </c>
      <c r="BV1233" s="1">
        <v>1148.8900000000001</v>
      </c>
      <c r="BW1233" s="1">
        <v>1990.78</v>
      </c>
      <c r="BX1233">
        <v>157.08000000000001</v>
      </c>
      <c r="BY1233">
        <v>18.66</v>
      </c>
      <c r="BZ1233">
        <v>0</v>
      </c>
      <c r="CA1233">
        <v>0</v>
      </c>
      <c r="CB1233">
        <v>339.26</v>
      </c>
      <c r="CC1233" t="s">
        <v>161</v>
      </c>
    </row>
    <row r="1234" spans="1:81" x14ac:dyDescent="0.25">
      <c r="A1234">
        <v>345</v>
      </c>
      <c r="B1234">
        <v>2</v>
      </c>
      <c r="C1234">
        <v>3410</v>
      </c>
      <c r="D1234" t="s">
        <v>7037</v>
      </c>
      <c r="E1234" t="s">
        <v>5780</v>
      </c>
      <c r="F1234" t="s">
        <v>7038</v>
      </c>
      <c r="G1234" t="s">
        <v>7039</v>
      </c>
      <c r="H1234" t="s">
        <v>7040</v>
      </c>
      <c r="I1234" t="s">
        <v>7041</v>
      </c>
      <c r="J1234" t="s">
        <v>126</v>
      </c>
      <c r="K1234" t="s">
        <v>1853</v>
      </c>
      <c r="L1234" t="s">
        <v>128</v>
      </c>
      <c r="M1234" t="s">
        <v>1854</v>
      </c>
      <c r="N1234" t="s">
        <v>7042</v>
      </c>
      <c r="O1234" t="s">
        <v>159</v>
      </c>
      <c r="P1234">
        <v>0</v>
      </c>
      <c r="Q1234" t="s">
        <v>125</v>
      </c>
      <c r="R1234">
        <v>4</v>
      </c>
      <c r="S1234">
        <v>79</v>
      </c>
      <c r="T1234" t="s">
        <v>132</v>
      </c>
      <c r="U1234" t="s">
        <v>133</v>
      </c>
      <c r="V1234" s="1">
        <v>1000</v>
      </c>
      <c r="W1234">
        <v>0</v>
      </c>
      <c r="X1234" s="1">
        <v>1000</v>
      </c>
      <c r="Y1234">
        <v>7</v>
      </c>
      <c r="Z1234">
        <v>0</v>
      </c>
      <c r="AA1234">
        <v>7</v>
      </c>
      <c r="AB1234">
        <v>1</v>
      </c>
      <c r="AC1234">
        <v>13</v>
      </c>
      <c r="AD1234" t="s">
        <v>134</v>
      </c>
      <c r="AE1234" t="s">
        <v>234</v>
      </c>
      <c r="AF1234" s="2">
        <v>45771</v>
      </c>
      <c r="AG1234" s="2">
        <v>46003</v>
      </c>
      <c r="AH1234">
        <v>392.63</v>
      </c>
      <c r="AI1234">
        <v>571.96</v>
      </c>
      <c r="AJ1234" s="1">
        <v>1963.16</v>
      </c>
      <c r="AK1234">
        <v>0</v>
      </c>
      <c r="AL1234">
        <v>0</v>
      </c>
      <c r="AM1234">
        <v>0</v>
      </c>
      <c r="AN1234" t="s">
        <v>135</v>
      </c>
      <c r="AO1234" t="s">
        <v>135</v>
      </c>
      <c r="AP1234" t="s">
        <v>136</v>
      </c>
      <c r="AQ1234" t="s">
        <v>137</v>
      </c>
      <c r="AR1234" t="s">
        <v>138</v>
      </c>
      <c r="AS1234" t="s">
        <v>150</v>
      </c>
      <c r="AT1234" t="s">
        <v>140</v>
      </c>
      <c r="AU1234">
        <v>103</v>
      </c>
      <c r="AV1234">
        <v>10</v>
      </c>
      <c r="AW1234">
        <v>1</v>
      </c>
      <c r="AX1234" s="2">
        <v>45813</v>
      </c>
      <c r="AY1234" t="s">
        <v>308</v>
      </c>
      <c r="AZ1234" s="2">
        <v>46023</v>
      </c>
      <c r="BA1234">
        <v>0</v>
      </c>
      <c r="BB1234">
        <v>0</v>
      </c>
      <c r="BC1234">
        <v>0</v>
      </c>
      <c r="BD1234">
        <v>700</v>
      </c>
      <c r="BE1234">
        <v>70</v>
      </c>
      <c r="BF1234">
        <v>9</v>
      </c>
      <c r="BG1234" s="2">
        <v>45809</v>
      </c>
      <c r="BH1234" t="s">
        <v>142</v>
      </c>
      <c r="BI1234" s="2">
        <v>46026</v>
      </c>
      <c r="BJ1234">
        <v>0</v>
      </c>
      <c r="BK1234">
        <v>0</v>
      </c>
      <c r="BL1234">
        <v>0</v>
      </c>
      <c r="BM1234">
        <v>7</v>
      </c>
      <c r="BN1234">
        <v>2.0499999999999998</v>
      </c>
      <c r="BO1234">
        <v>373.55</v>
      </c>
      <c r="BP1234">
        <v>902.96</v>
      </c>
      <c r="BQ1234" s="1">
        <v>1276.51</v>
      </c>
      <c r="BR1234">
        <v>0</v>
      </c>
      <c r="BS1234">
        <v>7</v>
      </c>
      <c r="BT1234">
        <v>7</v>
      </c>
      <c r="BU1234">
        <v>564.29999999999995</v>
      </c>
      <c r="BV1234">
        <v>0</v>
      </c>
      <c r="BW1234">
        <v>564.29999999999995</v>
      </c>
      <c r="BX1234">
        <v>0</v>
      </c>
      <c r="BY1234">
        <v>0</v>
      </c>
      <c r="BZ1234">
        <v>0</v>
      </c>
      <c r="CA1234">
        <v>0</v>
      </c>
      <c r="CB1234">
        <v>611.45000000000005</v>
      </c>
      <c r="CC1234" t="s">
        <v>161</v>
      </c>
    </row>
    <row r="1235" spans="1:81" x14ac:dyDescent="0.25">
      <c r="A1235">
        <v>345</v>
      </c>
      <c r="B1235">
        <v>2</v>
      </c>
      <c r="C1235">
        <v>3412</v>
      </c>
      <c r="D1235" t="s">
        <v>7043</v>
      </c>
      <c r="E1235" t="s">
        <v>121</v>
      </c>
      <c r="F1235" t="s">
        <v>7044</v>
      </c>
      <c r="G1235" t="s">
        <v>7045</v>
      </c>
      <c r="H1235" t="s">
        <v>7046</v>
      </c>
      <c r="I1235" t="s">
        <v>7047</v>
      </c>
      <c r="J1235" t="s">
        <v>126</v>
      </c>
      <c r="K1235" t="s">
        <v>1853</v>
      </c>
      <c r="L1235" t="s">
        <v>128</v>
      </c>
      <c r="M1235" t="s">
        <v>1854</v>
      </c>
      <c r="N1235" t="s">
        <v>7048</v>
      </c>
      <c r="O1235" t="s">
        <v>131</v>
      </c>
      <c r="P1235">
        <v>0</v>
      </c>
      <c r="Q1235" t="s">
        <v>125</v>
      </c>
      <c r="R1235">
        <v>5</v>
      </c>
      <c r="S1235">
        <v>58</v>
      </c>
      <c r="T1235" t="s">
        <v>132</v>
      </c>
      <c r="U1235" t="s">
        <v>133</v>
      </c>
      <c r="V1235" s="1">
        <v>1000</v>
      </c>
      <c r="W1235">
        <v>0</v>
      </c>
      <c r="X1235" s="1">
        <v>1000</v>
      </c>
      <c r="Y1235">
        <v>5</v>
      </c>
      <c r="Z1235">
        <v>0</v>
      </c>
      <c r="AA1235">
        <v>5</v>
      </c>
      <c r="AB1235">
        <v>5</v>
      </c>
      <c r="AC1235">
        <v>38</v>
      </c>
      <c r="AD1235" t="s">
        <v>134</v>
      </c>
      <c r="AE1235" t="s">
        <v>134</v>
      </c>
      <c r="AF1235" s="2">
        <v>45773</v>
      </c>
      <c r="AG1235" s="2">
        <v>46018</v>
      </c>
      <c r="AH1235">
        <v>349.92</v>
      </c>
      <c r="AI1235">
        <v>733.61</v>
      </c>
      <c r="AJ1235" s="1">
        <v>1049.78</v>
      </c>
      <c r="AK1235">
        <v>0</v>
      </c>
      <c r="AL1235">
        <v>0</v>
      </c>
      <c r="AM1235">
        <v>0</v>
      </c>
      <c r="AN1235" t="s">
        <v>135</v>
      </c>
      <c r="AO1235" t="s">
        <v>135</v>
      </c>
      <c r="AP1235" t="s">
        <v>136</v>
      </c>
      <c r="AQ1235" t="s">
        <v>137</v>
      </c>
      <c r="AR1235" t="s">
        <v>138</v>
      </c>
      <c r="AS1235" t="s">
        <v>150</v>
      </c>
      <c r="AT1235" t="s">
        <v>140</v>
      </c>
      <c r="AU1235">
        <v>103</v>
      </c>
      <c r="AV1235">
        <v>10</v>
      </c>
      <c r="AW1235">
        <v>1</v>
      </c>
      <c r="AX1235" s="2">
        <v>45813</v>
      </c>
      <c r="AY1235" t="s">
        <v>308</v>
      </c>
      <c r="AZ1235" s="2">
        <v>46023</v>
      </c>
      <c r="BA1235">
        <v>0</v>
      </c>
      <c r="BB1235">
        <v>0</v>
      </c>
      <c r="BC1235">
        <v>0</v>
      </c>
      <c r="BD1235">
        <v>700</v>
      </c>
      <c r="BE1235">
        <v>70</v>
      </c>
      <c r="BF1235">
        <v>9</v>
      </c>
      <c r="BG1235" s="2">
        <v>45809</v>
      </c>
      <c r="BH1235" t="s">
        <v>142</v>
      </c>
      <c r="BI1235" s="2">
        <v>46026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733.61</v>
      </c>
      <c r="BW1235">
        <v>733.61</v>
      </c>
      <c r="BX1235">
        <v>0</v>
      </c>
      <c r="BY1235">
        <v>0</v>
      </c>
      <c r="BZ1235">
        <v>0</v>
      </c>
      <c r="CA1235">
        <v>0</v>
      </c>
      <c r="CB1235">
        <v>333.89</v>
      </c>
      <c r="CC1235" t="s">
        <v>143</v>
      </c>
    </row>
    <row r="1236" spans="1:81" x14ac:dyDescent="0.25">
      <c r="A1236">
        <v>345</v>
      </c>
      <c r="B1236">
        <v>2</v>
      </c>
      <c r="C1236">
        <v>3413</v>
      </c>
      <c r="D1236" t="s">
        <v>7049</v>
      </c>
      <c r="E1236" t="s">
        <v>121</v>
      </c>
      <c r="F1236" t="s">
        <v>7050</v>
      </c>
      <c r="G1236" t="s">
        <v>7051</v>
      </c>
      <c r="H1236" t="s">
        <v>7052</v>
      </c>
      <c r="I1236" t="s">
        <v>7053</v>
      </c>
      <c r="J1236" t="s">
        <v>459</v>
      </c>
      <c r="K1236" t="s">
        <v>336</v>
      </c>
      <c r="L1236" t="s">
        <v>128</v>
      </c>
      <c r="M1236" t="s">
        <v>337</v>
      </c>
      <c r="N1236" t="s">
        <v>7054</v>
      </c>
      <c r="O1236" t="s">
        <v>167</v>
      </c>
      <c r="P1236">
        <v>0</v>
      </c>
      <c r="Q1236" t="s">
        <v>125</v>
      </c>
      <c r="R1236">
        <v>4</v>
      </c>
      <c r="S1236">
        <v>81</v>
      </c>
      <c r="T1236" t="s">
        <v>132</v>
      </c>
      <c r="U1236" t="s">
        <v>133</v>
      </c>
      <c r="V1236" s="1">
        <v>2100</v>
      </c>
      <c r="W1236">
        <v>0</v>
      </c>
      <c r="X1236" s="1">
        <v>2100</v>
      </c>
      <c r="Y1236">
        <v>7</v>
      </c>
      <c r="Z1236">
        <v>0</v>
      </c>
      <c r="AA1236">
        <v>6</v>
      </c>
      <c r="AB1236">
        <v>0</v>
      </c>
      <c r="AC1236">
        <v>0</v>
      </c>
      <c r="AD1236" t="s">
        <v>134</v>
      </c>
      <c r="AE1236" t="s">
        <v>134</v>
      </c>
      <c r="AF1236" s="2">
        <v>45773</v>
      </c>
      <c r="AG1236" s="2">
        <v>45973</v>
      </c>
      <c r="AH1236" s="1">
        <v>1117.21</v>
      </c>
      <c r="AI1236" s="1">
        <v>1947.93</v>
      </c>
      <c r="AJ1236" s="1">
        <v>2234.4299999999998</v>
      </c>
      <c r="AK1236">
        <v>0</v>
      </c>
      <c r="AL1236">
        <v>0</v>
      </c>
      <c r="AM1236">
        <v>0</v>
      </c>
      <c r="AN1236" t="s">
        <v>135</v>
      </c>
      <c r="AO1236" t="s">
        <v>135</v>
      </c>
      <c r="AP1236" t="s">
        <v>136</v>
      </c>
      <c r="AQ1236" t="s">
        <v>137</v>
      </c>
      <c r="AR1236" t="s">
        <v>138</v>
      </c>
      <c r="AS1236" t="s">
        <v>139</v>
      </c>
      <c r="AT1236" t="s">
        <v>140</v>
      </c>
      <c r="AU1236">
        <v>100</v>
      </c>
      <c r="AV1236">
        <v>10</v>
      </c>
      <c r="AW1236">
        <v>1</v>
      </c>
      <c r="AX1236" s="2">
        <v>45810</v>
      </c>
      <c r="AY1236" t="s">
        <v>141</v>
      </c>
      <c r="AZ1236" s="2">
        <v>46027</v>
      </c>
      <c r="BA1236">
        <v>0</v>
      </c>
      <c r="BB1236">
        <v>0</v>
      </c>
      <c r="BC1236">
        <v>0</v>
      </c>
      <c r="BD1236">
        <v>700</v>
      </c>
      <c r="BE1236">
        <v>70</v>
      </c>
      <c r="BF1236">
        <v>9</v>
      </c>
      <c r="BG1236" s="2">
        <v>45809</v>
      </c>
      <c r="BH1236" t="s">
        <v>142</v>
      </c>
      <c r="BI1236" s="2">
        <v>46026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286.5</v>
      </c>
      <c r="BQ1236">
        <v>286.5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 s="1">
        <v>1266.71</v>
      </c>
      <c r="CC1236" t="s">
        <v>161</v>
      </c>
    </row>
    <row r="1237" spans="1:81" x14ac:dyDescent="0.25">
      <c r="A1237">
        <v>345</v>
      </c>
      <c r="B1237">
        <v>2</v>
      </c>
      <c r="C1237">
        <v>3415</v>
      </c>
      <c r="D1237" t="s">
        <v>7055</v>
      </c>
      <c r="E1237" t="s">
        <v>121</v>
      </c>
      <c r="F1237" t="s">
        <v>7056</v>
      </c>
      <c r="G1237" t="s">
        <v>7057</v>
      </c>
      <c r="H1237" t="s">
        <v>7058</v>
      </c>
      <c r="I1237" t="s">
        <v>7059</v>
      </c>
      <c r="J1237" t="s">
        <v>4254</v>
      </c>
      <c r="K1237" t="s">
        <v>4248</v>
      </c>
      <c r="L1237" t="s">
        <v>128</v>
      </c>
      <c r="M1237" t="s">
        <v>1325</v>
      </c>
      <c r="N1237" t="s">
        <v>7060</v>
      </c>
      <c r="O1237" t="s">
        <v>159</v>
      </c>
      <c r="P1237">
        <v>0</v>
      </c>
      <c r="Q1237" t="s">
        <v>125</v>
      </c>
      <c r="R1237">
        <v>3</v>
      </c>
      <c r="S1237">
        <v>82</v>
      </c>
      <c r="T1237" t="s">
        <v>132</v>
      </c>
      <c r="U1237" t="s">
        <v>133</v>
      </c>
      <c r="V1237" s="1">
        <v>1000</v>
      </c>
      <c r="W1237">
        <v>976.73</v>
      </c>
      <c r="X1237">
        <v>23.27</v>
      </c>
      <c r="Y1237">
        <v>7</v>
      </c>
      <c r="Z1237">
        <v>0</v>
      </c>
      <c r="AA1237">
        <v>5</v>
      </c>
      <c r="AB1237">
        <v>0</v>
      </c>
      <c r="AC1237">
        <v>5</v>
      </c>
      <c r="AD1237" t="s">
        <v>134</v>
      </c>
      <c r="AE1237" t="s">
        <v>134</v>
      </c>
      <c r="AF1237" s="2">
        <v>45773</v>
      </c>
      <c r="AG1237" s="2">
        <v>46017</v>
      </c>
      <c r="AH1237">
        <v>477.95</v>
      </c>
      <c r="AI1237" s="1">
        <v>1135.33</v>
      </c>
      <c r="AJ1237" s="1">
        <v>4301.55</v>
      </c>
      <c r="AK1237">
        <v>0</v>
      </c>
      <c r="AL1237" s="1">
        <v>1135.33</v>
      </c>
      <c r="AM1237">
        <v>0</v>
      </c>
      <c r="AN1237" t="s">
        <v>135</v>
      </c>
      <c r="AO1237" t="s">
        <v>135</v>
      </c>
      <c r="AP1237" t="s">
        <v>136</v>
      </c>
      <c r="AQ1237" t="s">
        <v>137</v>
      </c>
      <c r="AR1237" t="s">
        <v>138</v>
      </c>
      <c r="AS1237" t="s">
        <v>139</v>
      </c>
      <c r="AT1237" t="s">
        <v>140</v>
      </c>
      <c r="AU1237">
        <v>104</v>
      </c>
      <c r="AV1237">
        <v>10</v>
      </c>
      <c r="AW1237">
        <v>1</v>
      </c>
      <c r="AX1237" s="2">
        <v>45776</v>
      </c>
      <c r="AY1237" t="s">
        <v>377</v>
      </c>
      <c r="AZ1237" s="2">
        <v>46028</v>
      </c>
      <c r="BA1237">
        <v>0</v>
      </c>
      <c r="BB1237">
        <v>0</v>
      </c>
      <c r="BC1237">
        <v>0</v>
      </c>
      <c r="BD1237">
        <v>700</v>
      </c>
      <c r="BE1237">
        <v>70</v>
      </c>
      <c r="BF1237">
        <v>9</v>
      </c>
      <c r="BG1237" s="2">
        <v>45809</v>
      </c>
      <c r="BH1237" t="s">
        <v>142</v>
      </c>
      <c r="BI1237" s="2">
        <v>46026</v>
      </c>
      <c r="BJ1237">
        <v>0</v>
      </c>
      <c r="BK1237">
        <v>0</v>
      </c>
      <c r="BL1237">
        <v>0</v>
      </c>
      <c r="BM1237">
        <v>5</v>
      </c>
      <c r="BN1237">
        <v>5</v>
      </c>
      <c r="BO1237">
        <v>359.86</v>
      </c>
      <c r="BP1237">
        <v>0</v>
      </c>
      <c r="BQ1237">
        <v>359.86</v>
      </c>
      <c r="BR1237">
        <v>0</v>
      </c>
      <c r="BS1237">
        <v>4.49</v>
      </c>
      <c r="BT1237">
        <v>4.16</v>
      </c>
      <c r="BU1237" s="1">
        <v>1951.2</v>
      </c>
      <c r="BV1237">
        <v>158.6</v>
      </c>
      <c r="BW1237" s="1">
        <v>2109.8000000000002</v>
      </c>
      <c r="BX1237">
        <v>976.73</v>
      </c>
      <c r="BY1237">
        <v>50.06</v>
      </c>
      <c r="BZ1237">
        <v>0</v>
      </c>
      <c r="CA1237">
        <v>0</v>
      </c>
      <c r="CB1237" s="1">
        <v>1202.1500000000001</v>
      </c>
      <c r="CC1237" t="s">
        <v>161</v>
      </c>
    </row>
    <row r="1238" spans="1:81" x14ac:dyDescent="0.25">
      <c r="A1238">
        <v>345</v>
      </c>
      <c r="B1238">
        <v>2</v>
      </c>
      <c r="C1238">
        <v>3416</v>
      </c>
      <c r="D1238" t="s">
        <v>7061</v>
      </c>
      <c r="E1238" t="s">
        <v>121</v>
      </c>
      <c r="F1238" t="s">
        <v>7062</v>
      </c>
      <c r="G1238" t="s">
        <v>7063</v>
      </c>
      <c r="H1238" t="s">
        <v>7064</v>
      </c>
      <c r="I1238" t="s">
        <v>7065</v>
      </c>
      <c r="J1238" t="s">
        <v>126</v>
      </c>
      <c r="K1238" t="s">
        <v>4248</v>
      </c>
      <c r="L1238" t="s">
        <v>128</v>
      </c>
      <c r="M1238" t="s">
        <v>1325</v>
      </c>
      <c r="N1238" t="s">
        <v>7066</v>
      </c>
      <c r="O1238" t="s">
        <v>159</v>
      </c>
      <c r="P1238">
        <v>0</v>
      </c>
      <c r="Q1238" t="s">
        <v>125</v>
      </c>
      <c r="R1238">
        <v>5</v>
      </c>
      <c r="S1238">
        <v>74</v>
      </c>
      <c r="T1238" t="s">
        <v>132</v>
      </c>
      <c r="U1238" t="s">
        <v>133</v>
      </c>
      <c r="V1238" s="1">
        <v>1000</v>
      </c>
      <c r="W1238">
        <v>518.16999999999996</v>
      </c>
      <c r="X1238">
        <v>481.83</v>
      </c>
      <c r="Y1238">
        <v>0</v>
      </c>
      <c r="Z1238">
        <v>0</v>
      </c>
      <c r="AA1238">
        <v>9</v>
      </c>
      <c r="AB1238">
        <v>1</v>
      </c>
      <c r="AC1238">
        <v>20</v>
      </c>
      <c r="AD1238" t="s">
        <v>134</v>
      </c>
      <c r="AE1238" t="s">
        <v>134</v>
      </c>
      <c r="AF1238" s="2">
        <v>45773</v>
      </c>
      <c r="AG1238" s="2">
        <v>46011</v>
      </c>
      <c r="AH1238">
        <v>394.03</v>
      </c>
      <c r="AI1238">
        <v>518.16999999999996</v>
      </c>
      <c r="AJ1238" s="1">
        <v>1182.0999999999999</v>
      </c>
      <c r="AK1238">
        <v>518.16999999999996</v>
      </c>
      <c r="AL1238">
        <v>0</v>
      </c>
      <c r="AM1238">
        <v>0</v>
      </c>
      <c r="AN1238" t="s">
        <v>135</v>
      </c>
      <c r="AO1238" t="s">
        <v>135</v>
      </c>
      <c r="AP1238" t="s">
        <v>136</v>
      </c>
      <c r="AQ1238" t="s">
        <v>137</v>
      </c>
      <c r="AR1238" t="s">
        <v>138</v>
      </c>
      <c r="AS1238" t="s">
        <v>139</v>
      </c>
      <c r="AT1238" t="s">
        <v>140</v>
      </c>
      <c r="AU1238">
        <v>104</v>
      </c>
      <c r="AV1238">
        <v>10</v>
      </c>
      <c r="AW1238">
        <v>1</v>
      </c>
      <c r="AX1238" s="2">
        <v>45814</v>
      </c>
      <c r="AY1238" t="s">
        <v>151</v>
      </c>
      <c r="AZ1238" s="2">
        <v>46024</v>
      </c>
      <c r="BA1238">
        <v>0</v>
      </c>
      <c r="BB1238">
        <v>0</v>
      </c>
      <c r="BC1238">
        <v>0</v>
      </c>
      <c r="BD1238">
        <v>700</v>
      </c>
      <c r="BE1238">
        <v>70</v>
      </c>
      <c r="BF1238">
        <v>9</v>
      </c>
      <c r="BG1238" s="2">
        <v>45809</v>
      </c>
      <c r="BH1238" t="s">
        <v>142</v>
      </c>
      <c r="BI1238" s="2">
        <v>46026</v>
      </c>
      <c r="BJ1238">
        <v>0</v>
      </c>
      <c r="BK1238">
        <v>0</v>
      </c>
      <c r="BL1238">
        <v>0</v>
      </c>
      <c r="BM1238">
        <v>7</v>
      </c>
      <c r="BN1238">
        <v>7</v>
      </c>
      <c r="BO1238">
        <v>366.13</v>
      </c>
      <c r="BP1238">
        <v>0</v>
      </c>
      <c r="BQ1238">
        <v>366.13</v>
      </c>
      <c r="BR1238">
        <v>366.13</v>
      </c>
      <c r="BS1238">
        <v>9</v>
      </c>
      <c r="BT1238">
        <v>9</v>
      </c>
      <c r="BU1238">
        <v>518.16999999999996</v>
      </c>
      <c r="BV1238">
        <v>0</v>
      </c>
      <c r="BW1238">
        <v>518.16999999999996</v>
      </c>
      <c r="BX1238">
        <v>0</v>
      </c>
      <c r="BY1238">
        <v>0</v>
      </c>
      <c r="BZ1238">
        <v>0</v>
      </c>
      <c r="CA1238">
        <v>0</v>
      </c>
      <c r="CB1238">
        <v>431.4</v>
      </c>
      <c r="CC1238" t="s">
        <v>161</v>
      </c>
    </row>
    <row r="1239" spans="1:81" x14ac:dyDescent="0.25">
      <c r="A1239">
        <v>345</v>
      </c>
      <c r="B1239">
        <v>2</v>
      </c>
      <c r="C1239">
        <v>3418</v>
      </c>
      <c r="D1239" t="s">
        <v>7067</v>
      </c>
      <c r="E1239" t="s">
        <v>121</v>
      </c>
      <c r="F1239" t="s">
        <v>7068</v>
      </c>
      <c r="G1239" t="s">
        <v>7069</v>
      </c>
      <c r="H1239" t="s">
        <v>7070</v>
      </c>
      <c r="I1239" t="s">
        <v>5253</v>
      </c>
      <c r="J1239" t="s">
        <v>1263</v>
      </c>
      <c r="K1239" t="s">
        <v>466</v>
      </c>
      <c r="L1239" t="s">
        <v>128</v>
      </c>
      <c r="M1239" t="s">
        <v>467</v>
      </c>
      <c r="N1239" t="s">
        <v>7071</v>
      </c>
      <c r="O1239" t="s">
        <v>201</v>
      </c>
      <c r="P1239">
        <v>0</v>
      </c>
      <c r="Q1239" t="s">
        <v>125</v>
      </c>
      <c r="R1239">
        <v>5</v>
      </c>
      <c r="S1239">
        <v>69</v>
      </c>
      <c r="T1239" t="s">
        <v>132</v>
      </c>
      <c r="U1239" t="s">
        <v>133</v>
      </c>
      <c r="V1239">
        <v>335</v>
      </c>
      <c r="W1239">
        <v>0</v>
      </c>
      <c r="X1239">
        <v>335</v>
      </c>
      <c r="Y1239">
        <v>0</v>
      </c>
      <c r="Z1239">
        <v>0</v>
      </c>
      <c r="AA1239">
        <v>5</v>
      </c>
      <c r="AB1239">
        <v>4</v>
      </c>
      <c r="AC1239">
        <v>50</v>
      </c>
      <c r="AD1239" t="s">
        <v>134</v>
      </c>
      <c r="AE1239" t="s">
        <v>134</v>
      </c>
      <c r="AF1239" s="2">
        <v>45773</v>
      </c>
      <c r="AG1239" s="2">
        <v>45987</v>
      </c>
      <c r="AH1239">
        <v>365.11</v>
      </c>
      <c r="AI1239">
        <v>601.12</v>
      </c>
      <c r="AJ1239" s="1">
        <v>1095.33</v>
      </c>
      <c r="AK1239">
        <v>0</v>
      </c>
      <c r="AL1239">
        <v>0</v>
      </c>
      <c r="AM1239">
        <v>0</v>
      </c>
      <c r="AN1239" t="s">
        <v>135</v>
      </c>
      <c r="AO1239" t="s">
        <v>135</v>
      </c>
      <c r="AP1239" t="s">
        <v>136</v>
      </c>
      <c r="AQ1239" t="s">
        <v>137</v>
      </c>
      <c r="AR1239" t="s">
        <v>138</v>
      </c>
      <c r="AS1239" t="s">
        <v>150</v>
      </c>
      <c r="AT1239" t="s">
        <v>140</v>
      </c>
      <c r="AU1239">
        <v>100</v>
      </c>
      <c r="AV1239">
        <v>10</v>
      </c>
      <c r="AW1239">
        <v>1</v>
      </c>
      <c r="AX1239" s="2">
        <v>45811</v>
      </c>
      <c r="AY1239" t="s">
        <v>377</v>
      </c>
      <c r="AZ1239" s="2">
        <v>46028</v>
      </c>
      <c r="BA1239">
        <v>0</v>
      </c>
      <c r="BB1239">
        <v>0</v>
      </c>
      <c r="BC1239">
        <v>0</v>
      </c>
      <c r="BD1239">
        <v>700</v>
      </c>
      <c r="BE1239">
        <v>70</v>
      </c>
      <c r="BF1239">
        <v>9</v>
      </c>
      <c r="BG1239" s="2">
        <v>45809</v>
      </c>
      <c r="BH1239" t="s">
        <v>142</v>
      </c>
      <c r="BI1239" s="2">
        <v>46026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494.21</v>
      </c>
      <c r="BQ1239">
        <v>494.21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621.13</v>
      </c>
      <c r="CC1239" t="s">
        <v>161</v>
      </c>
    </row>
    <row r="1240" spans="1:81" x14ac:dyDescent="0.25">
      <c r="A1240">
        <v>345</v>
      </c>
      <c r="B1240">
        <v>2</v>
      </c>
      <c r="C1240">
        <v>3420</v>
      </c>
      <c r="D1240" t="s">
        <v>7072</v>
      </c>
      <c r="E1240" t="s">
        <v>121</v>
      </c>
      <c r="F1240" t="s">
        <v>7073</v>
      </c>
      <c r="G1240" t="s">
        <v>7074</v>
      </c>
      <c r="H1240" t="s">
        <v>6754</v>
      </c>
      <c r="I1240" t="s">
        <v>7075</v>
      </c>
      <c r="J1240" t="s">
        <v>1263</v>
      </c>
      <c r="K1240" t="s">
        <v>466</v>
      </c>
      <c r="L1240" t="s">
        <v>128</v>
      </c>
      <c r="M1240" t="s">
        <v>467</v>
      </c>
      <c r="N1240" t="s">
        <v>7076</v>
      </c>
      <c r="O1240" t="s">
        <v>201</v>
      </c>
      <c r="P1240">
        <v>0</v>
      </c>
      <c r="Q1240" t="s">
        <v>125</v>
      </c>
      <c r="R1240">
        <v>3</v>
      </c>
      <c r="S1240">
        <v>84</v>
      </c>
      <c r="T1240" t="s">
        <v>132</v>
      </c>
      <c r="U1240" t="s">
        <v>133</v>
      </c>
      <c r="V1240" s="1">
        <v>1000</v>
      </c>
      <c r="W1240">
        <v>0</v>
      </c>
      <c r="X1240" s="1">
        <v>1000</v>
      </c>
      <c r="Y1240">
        <v>7</v>
      </c>
      <c r="Z1240">
        <v>0</v>
      </c>
      <c r="AA1240">
        <v>7</v>
      </c>
      <c r="AB1240">
        <v>0</v>
      </c>
      <c r="AC1240">
        <v>0</v>
      </c>
      <c r="AD1240" t="s">
        <v>134</v>
      </c>
      <c r="AE1240" t="s">
        <v>134</v>
      </c>
      <c r="AF1240" s="2">
        <v>45773</v>
      </c>
      <c r="AG1240" s="2">
        <v>46010</v>
      </c>
      <c r="AH1240">
        <v>328.84</v>
      </c>
      <c r="AI1240">
        <v>451.4</v>
      </c>
      <c r="AJ1240" s="1">
        <v>1644.22</v>
      </c>
      <c r="AK1240">
        <v>0</v>
      </c>
      <c r="AL1240">
        <v>0</v>
      </c>
      <c r="AM1240">
        <v>0</v>
      </c>
      <c r="AN1240" t="s">
        <v>135</v>
      </c>
      <c r="AO1240" t="s">
        <v>135</v>
      </c>
      <c r="AP1240" t="s">
        <v>136</v>
      </c>
      <c r="AQ1240" t="s">
        <v>137</v>
      </c>
      <c r="AR1240" t="s">
        <v>138</v>
      </c>
      <c r="AS1240" t="s">
        <v>139</v>
      </c>
      <c r="AT1240" t="s">
        <v>140</v>
      </c>
      <c r="AU1240">
        <v>106</v>
      </c>
      <c r="AV1240">
        <v>10</v>
      </c>
      <c r="AW1240">
        <v>1</v>
      </c>
      <c r="AX1240" s="2">
        <v>45778</v>
      </c>
      <c r="AY1240" t="s">
        <v>308</v>
      </c>
      <c r="AZ1240" s="2">
        <v>46023</v>
      </c>
      <c r="BA1240">
        <v>0</v>
      </c>
      <c r="BB1240">
        <v>0</v>
      </c>
      <c r="BC1240">
        <v>0</v>
      </c>
      <c r="BD1240">
        <v>700</v>
      </c>
      <c r="BE1240">
        <v>70</v>
      </c>
      <c r="BF1240">
        <v>9</v>
      </c>
      <c r="BG1240" s="2">
        <v>45809</v>
      </c>
      <c r="BH1240" t="s">
        <v>142</v>
      </c>
      <c r="BI1240" s="2">
        <v>46026</v>
      </c>
      <c r="BJ1240">
        <v>0</v>
      </c>
      <c r="BK1240">
        <v>0</v>
      </c>
      <c r="BL1240">
        <v>0</v>
      </c>
      <c r="BM1240">
        <v>7</v>
      </c>
      <c r="BN1240">
        <v>6.23</v>
      </c>
      <c r="BO1240">
        <v>400.79</v>
      </c>
      <c r="BP1240">
        <v>49.86</v>
      </c>
      <c r="BQ1240">
        <v>450.65</v>
      </c>
      <c r="BR1240">
        <v>400.79</v>
      </c>
      <c r="BS1240">
        <v>7</v>
      </c>
      <c r="BT1240">
        <v>7</v>
      </c>
      <c r="BU1240">
        <v>343.37</v>
      </c>
      <c r="BV1240">
        <v>0</v>
      </c>
      <c r="BW1240">
        <v>343.37</v>
      </c>
      <c r="BX1240">
        <v>0</v>
      </c>
      <c r="BY1240">
        <v>0</v>
      </c>
      <c r="BZ1240">
        <v>0</v>
      </c>
      <c r="CA1240">
        <v>0</v>
      </c>
      <c r="CB1240">
        <v>510.86</v>
      </c>
      <c r="CC1240" t="s">
        <v>161</v>
      </c>
    </row>
    <row r="1241" spans="1:81" x14ac:dyDescent="0.25">
      <c r="A1241">
        <v>345</v>
      </c>
      <c r="B1241">
        <v>2</v>
      </c>
      <c r="C1241">
        <v>3422</v>
      </c>
      <c r="D1241" t="s">
        <v>7077</v>
      </c>
      <c r="E1241" t="s">
        <v>121</v>
      </c>
      <c r="F1241" t="s">
        <v>7078</v>
      </c>
      <c r="G1241" t="s">
        <v>7079</v>
      </c>
      <c r="H1241" t="s">
        <v>7080</v>
      </c>
      <c r="I1241" t="s">
        <v>7081</v>
      </c>
      <c r="J1241" t="s">
        <v>126</v>
      </c>
      <c r="K1241" t="s">
        <v>466</v>
      </c>
      <c r="L1241" t="s">
        <v>128</v>
      </c>
      <c r="M1241" t="s">
        <v>467</v>
      </c>
      <c r="N1241" t="s">
        <v>7082</v>
      </c>
      <c r="O1241" t="s">
        <v>1146</v>
      </c>
      <c r="P1241">
        <v>0</v>
      </c>
      <c r="Q1241" t="s">
        <v>125</v>
      </c>
      <c r="R1241">
        <v>5</v>
      </c>
      <c r="S1241">
        <v>66</v>
      </c>
      <c r="T1241" t="s">
        <v>132</v>
      </c>
      <c r="U1241" t="s">
        <v>133</v>
      </c>
      <c r="V1241" s="1">
        <v>1000</v>
      </c>
      <c r="W1241">
        <v>935.01</v>
      </c>
      <c r="X1241">
        <v>64.989999999999995</v>
      </c>
      <c r="Y1241">
        <v>0</v>
      </c>
      <c r="Z1241">
        <v>0</v>
      </c>
      <c r="AA1241">
        <v>7</v>
      </c>
      <c r="AB1241">
        <v>7</v>
      </c>
      <c r="AC1241">
        <v>45</v>
      </c>
      <c r="AD1241" t="s">
        <v>134</v>
      </c>
      <c r="AE1241" t="s">
        <v>134</v>
      </c>
      <c r="AF1241" s="2">
        <v>45775</v>
      </c>
      <c r="AG1241" s="2">
        <v>45996</v>
      </c>
      <c r="AH1241" s="1">
        <v>1035.96</v>
      </c>
      <c r="AI1241" s="1">
        <v>1301.58</v>
      </c>
      <c r="AJ1241" s="1">
        <v>4143.8599999999997</v>
      </c>
      <c r="AK1241">
        <v>935.01</v>
      </c>
      <c r="AL1241">
        <v>0</v>
      </c>
      <c r="AM1241">
        <v>0</v>
      </c>
      <c r="AN1241" t="s">
        <v>135</v>
      </c>
      <c r="AO1241" t="s">
        <v>135</v>
      </c>
      <c r="AP1241" t="s">
        <v>136</v>
      </c>
      <c r="AQ1241" t="s">
        <v>137</v>
      </c>
      <c r="AR1241" t="s">
        <v>138</v>
      </c>
      <c r="AS1241" t="s">
        <v>139</v>
      </c>
      <c r="AT1241" t="s">
        <v>140</v>
      </c>
      <c r="AU1241">
        <v>105</v>
      </c>
      <c r="AV1241">
        <v>10</v>
      </c>
      <c r="AW1241">
        <v>1</v>
      </c>
      <c r="AX1241" s="2">
        <v>45785</v>
      </c>
      <c r="AY1241" t="s">
        <v>308</v>
      </c>
      <c r="AZ1241" s="2">
        <v>46023</v>
      </c>
      <c r="BA1241">
        <v>0</v>
      </c>
      <c r="BB1241">
        <v>0</v>
      </c>
      <c r="BC1241">
        <v>0</v>
      </c>
      <c r="BD1241">
        <v>700</v>
      </c>
      <c r="BE1241">
        <v>70</v>
      </c>
      <c r="BF1241">
        <v>9</v>
      </c>
      <c r="BG1241" s="2">
        <v>45809</v>
      </c>
      <c r="BH1241" t="s">
        <v>142</v>
      </c>
      <c r="BI1241" s="2">
        <v>46026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7</v>
      </c>
      <c r="BT1241">
        <v>7</v>
      </c>
      <c r="BU1241">
        <v>935.01</v>
      </c>
      <c r="BV1241">
        <v>0</v>
      </c>
      <c r="BW1241">
        <v>935.01</v>
      </c>
      <c r="BX1241">
        <v>0</v>
      </c>
      <c r="BY1241">
        <v>0</v>
      </c>
      <c r="BZ1241">
        <v>0</v>
      </c>
      <c r="CA1241">
        <v>0</v>
      </c>
      <c r="CB1241" s="1">
        <v>1731.03</v>
      </c>
      <c r="CC1241" t="s">
        <v>161</v>
      </c>
    </row>
    <row r="1242" spans="1:81" x14ac:dyDescent="0.25">
      <c r="A1242">
        <v>345</v>
      </c>
      <c r="B1242">
        <v>2</v>
      </c>
      <c r="C1242">
        <v>3425</v>
      </c>
      <c r="D1242" t="s">
        <v>7083</v>
      </c>
      <c r="E1242" t="s">
        <v>121</v>
      </c>
      <c r="F1242" t="s">
        <v>7084</v>
      </c>
      <c r="G1242" t="s">
        <v>7085</v>
      </c>
      <c r="H1242" t="s">
        <v>7086</v>
      </c>
      <c r="I1242" t="s">
        <v>7087</v>
      </c>
      <c r="J1242" t="s">
        <v>3074</v>
      </c>
      <c r="K1242" t="s">
        <v>1853</v>
      </c>
      <c r="L1242" t="s">
        <v>128</v>
      </c>
      <c r="M1242" t="s">
        <v>1854</v>
      </c>
      <c r="N1242" t="s">
        <v>7088</v>
      </c>
      <c r="O1242" t="s">
        <v>201</v>
      </c>
      <c r="P1242">
        <v>0</v>
      </c>
      <c r="Q1242" t="s">
        <v>125</v>
      </c>
      <c r="R1242">
        <v>5</v>
      </c>
      <c r="S1242">
        <v>64</v>
      </c>
      <c r="T1242" t="s">
        <v>132</v>
      </c>
      <c r="U1242" t="s">
        <v>133</v>
      </c>
      <c r="V1242">
        <v>335</v>
      </c>
      <c r="W1242">
        <v>0</v>
      </c>
      <c r="X1242">
        <v>335</v>
      </c>
      <c r="Y1242">
        <v>0</v>
      </c>
      <c r="Z1242">
        <v>0</v>
      </c>
      <c r="AA1242">
        <v>6</v>
      </c>
      <c r="AB1242">
        <v>30</v>
      </c>
      <c r="AC1242">
        <v>60</v>
      </c>
      <c r="AD1242" t="s">
        <v>134</v>
      </c>
      <c r="AE1242" t="s">
        <v>134</v>
      </c>
      <c r="AF1242" s="2">
        <v>45777</v>
      </c>
      <c r="AG1242" s="2">
        <v>45945</v>
      </c>
      <c r="AH1242">
        <v>200.33</v>
      </c>
      <c r="AI1242">
        <v>372.46</v>
      </c>
      <c r="AJ1242">
        <v>400.66</v>
      </c>
      <c r="AK1242">
        <v>0</v>
      </c>
      <c r="AL1242">
        <v>28.2</v>
      </c>
      <c r="AM1242">
        <v>0</v>
      </c>
      <c r="AN1242" t="s">
        <v>135</v>
      </c>
      <c r="AO1242" t="s">
        <v>135</v>
      </c>
      <c r="AP1242" t="s">
        <v>136</v>
      </c>
      <c r="AQ1242" t="s">
        <v>137</v>
      </c>
      <c r="AR1242" t="s">
        <v>138</v>
      </c>
      <c r="AS1242" t="s">
        <v>139</v>
      </c>
      <c r="AT1242" t="s">
        <v>140</v>
      </c>
      <c r="AU1242">
        <v>106</v>
      </c>
      <c r="AV1242">
        <v>10</v>
      </c>
      <c r="AW1242">
        <v>1</v>
      </c>
      <c r="AX1242" s="2">
        <v>45810</v>
      </c>
      <c r="AY1242" t="s">
        <v>141</v>
      </c>
      <c r="AZ1242" s="2">
        <v>46027</v>
      </c>
      <c r="BA1242">
        <v>0</v>
      </c>
      <c r="BB1242">
        <v>0</v>
      </c>
      <c r="BC1242">
        <v>0</v>
      </c>
      <c r="BD1242">
        <v>700</v>
      </c>
      <c r="BE1242">
        <v>70</v>
      </c>
      <c r="BF1242">
        <v>9</v>
      </c>
      <c r="BG1242" s="2">
        <v>45809</v>
      </c>
      <c r="BH1242" t="s">
        <v>142</v>
      </c>
      <c r="BI1242" s="2">
        <v>46026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28.2</v>
      </c>
      <c r="BW1242">
        <v>28.2</v>
      </c>
      <c r="BX1242">
        <v>0</v>
      </c>
      <c r="BY1242">
        <v>0</v>
      </c>
      <c r="BZ1242">
        <v>0</v>
      </c>
      <c r="CA1242">
        <v>0</v>
      </c>
      <c r="CB1242">
        <v>124.15</v>
      </c>
      <c r="CC1242" t="s">
        <v>161</v>
      </c>
    </row>
    <row r="1243" spans="1:81" x14ac:dyDescent="0.25">
      <c r="A1243">
        <v>345</v>
      </c>
      <c r="B1243">
        <v>2</v>
      </c>
      <c r="C1243">
        <v>3426</v>
      </c>
      <c r="D1243" t="s">
        <v>7089</v>
      </c>
      <c r="E1243" t="s">
        <v>121</v>
      </c>
      <c r="F1243" t="s">
        <v>7090</v>
      </c>
      <c r="G1243" t="s">
        <v>7091</v>
      </c>
      <c r="H1243" t="s">
        <v>3705</v>
      </c>
      <c r="I1243" t="s">
        <v>7092</v>
      </c>
      <c r="J1243" t="s">
        <v>3074</v>
      </c>
      <c r="K1243" t="s">
        <v>1853</v>
      </c>
      <c r="L1243" t="s">
        <v>128</v>
      </c>
      <c r="M1243" t="s">
        <v>1854</v>
      </c>
      <c r="N1243" t="s">
        <v>7093</v>
      </c>
      <c r="O1243" t="s">
        <v>3115</v>
      </c>
      <c r="P1243">
        <v>0</v>
      </c>
      <c r="Q1243" t="s">
        <v>125</v>
      </c>
      <c r="R1243">
        <v>5</v>
      </c>
      <c r="S1243">
        <v>66</v>
      </c>
      <c r="T1243" t="s">
        <v>132</v>
      </c>
      <c r="U1243" t="s">
        <v>133</v>
      </c>
      <c r="V1243" s="1">
        <v>10000</v>
      </c>
      <c r="W1243">
        <v>198.72</v>
      </c>
      <c r="X1243" s="1">
        <v>9801.2800000000007</v>
      </c>
      <c r="Y1243">
        <v>7</v>
      </c>
      <c r="Z1243">
        <v>0</v>
      </c>
      <c r="AA1243">
        <v>6</v>
      </c>
      <c r="AB1243">
        <v>3</v>
      </c>
      <c r="AC1243">
        <v>67</v>
      </c>
      <c r="AD1243" t="s">
        <v>134</v>
      </c>
      <c r="AE1243" t="s">
        <v>134</v>
      </c>
      <c r="AF1243" s="2">
        <v>45777</v>
      </c>
      <c r="AG1243" s="2">
        <v>45994</v>
      </c>
      <c r="AH1243">
        <v>235.92</v>
      </c>
      <c r="AI1243">
        <v>273.12</v>
      </c>
      <c r="AJ1243">
        <v>471.84</v>
      </c>
      <c r="AK1243">
        <v>0</v>
      </c>
      <c r="AL1243">
        <v>198.72</v>
      </c>
      <c r="AM1243">
        <v>0</v>
      </c>
      <c r="AN1243" t="s">
        <v>135</v>
      </c>
      <c r="AO1243" t="s">
        <v>135</v>
      </c>
      <c r="AP1243" t="s">
        <v>136</v>
      </c>
      <c r="AQ1243" t="s">
        <v>137</v>
      </c>
      <c r="AR1243" t="s">
        <v>138</v>
      </c>
      <c r="AS1243" t="s">
        <v>150</v>
      </c>
      <c r="AT1243" t="s">
        <v>140</v>
      </c>
      <c r="AU1243">
        <v>500</v>
      </c>
      <c r="AV1243">
        <v>10</v>
      </c>
      <c r="AW1243">
        <v>1</v>
      </c>
      <c r="AX1243" s="2">
        <v>45810</v>
      </c>
      <c r="AY1243" t="s">
        <v>141</v>
      </c>
      <c r="AZ1243" s="2">
        <v>46027</v>
      </c>
      <c r="BA1243">
        <v>0</v>
      </c>
      <c r="BB1243">
        <v>0</v>
      </c>
      <c r="BC1243">
        <v>0</v>
      </c>
      <c r="BD1243">
        <v>700</v>
      </c>
      <c r="BE1243">
        <v>70</v>
      </c>
      <c r="BF1243">
        <v>9</v>
      </c>
      <c r="BG1243" s="2">
        <v>45809</v>
      </c>
      <c r="BH1243" t="s">
        <v>142</v>
      </c>
      <c r="BI1243" s="2">
        <v>46026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5</v>
      </c>
      <c r="BT1243">
        <v>5</v>
      </c>
      <c r="BU1243">
        <v>471.84</v>
      </c>
      <c r="BV1243">
        <v>0</v>
      </c>
      <c r="BW1243">
        <v>471.84</v>
      </c>
      <c r="BX1243">
        <v>198.72</v>
      </c>
      <c r="BY1243">
        <v>42.12</v>
      </c>
      <c r="BZ1243">
        <v>0</v>
      </c>
      <c r="CA1243">
        <v>0</v>
      </c>
      <c r="CB1243">
        <v>68.28</v>
      </c>
      <c r="CC1243" t="s">
        <v>161</v>
      </c>
    </row>
    <row r="1244" spans="1:81" x14ac:dyDescent="0.25">
      <c r="A1244">
        <v>345</v>
      </c>
      <c r="B1244">
        <v>2</v>
      </c>
      <c r="C1244">
        <v>3430</v>
      </c>
      <c r="D1244" t="s">
        <v>7094</v>
      </c>
      <c r="E1244" t="s">
        <v>121</v>
      </c>
      <c r="F1244" t="s">
        <v>7095</v>
      </c>
      <c r="G1244" t="s">
        <v>7096</v>
      </c>
      <c r="H1244" t="s">
        <v>7097</v>
      </c>
      <c r="I1244" t="s">
        <v>7098</v>
      </c>
      <c r="J1244" t="s">
        <v>3074</v>
      </c>
      <c r="K1244" t="s">
        <v>1853</v>
      </c>
      <c r="L1244" t="s">
        <v>128</v>
      </c>
      <c r="M1244" t="s">
        <v>1854</v>
      </c>
      <c r="N1244" t="s">
        <v>7099</v>
      </c>
      <c r="O1244" t="s">
        <v>619</v>
      </c>
      <c r="P1244">
        <v>0</v>
      </c>
      <c r="Q1244" t="s">
        <v>125</v>
      </c>
      <c r="R1244">
        <v>4</v>
      </c>
      <c r="S1244">
        <v>79</v>
      </c>
      <c r="T1244" t="s">
        <v>132</v>
      </c>
      <c r="U1244" t="s">
        <v>133</v>
      </c>
      <c r="V1244" s="1">
        <v>1700</v>
      </c>
      <c r="W1244">
        <v>0</v>
      </c>
      <c r="X1244" s="1">
        <v>1700</v>
      </c>
      <c r="Y1244">
        <v>7</v>
      </c>
      <c r="Z1244">
        <v>0</v>
      </c>
      <c r="AA1244">
        <v>7</v>
      </c>
      <c r="AB1244">
        <v>1</v>
      </c>
      <c r="AC1244">
        <v>14</v>
      </c>
      <c r="AD1244" t="s">
        <v>134</v>
      </c>
      <c r="AE1244" t="s">
        <v>134</v>
      </c>
      <c r="AF1244" s="2">
        <v>45779</v>
      </c>
      <c r="AG1244" s="2">
        <v>46000</v>
      </c>
      <c r="AH1244">
        <v>482.42</v>
      </c>
      <c r="AI1244">
        <v>892.61</v>
      </c>
      <c r="AJ1244" s="1">
        <v>2894.54</v>
      </c>
      <c r="AK1244">
        <v>0</v>
      </c>
      <c r="AL1244">
        <v>843.76</v>
      </c>
      <c r="AM1244">
        <v>0</v>
      </c>
      <c r="AN1244" t="s">
        <v>135</v>
      </c>
      <c r="AO1244" t="s">
        <v>135</v>
      </c>
      <c r="AP1244" t="s">
        <v>136</v>
      </c>
      <c r="AQ1244" t="s">
        <v>137</v>
      </c>
      <c r="AR1244" t="s">
        <v>138</v>
      </c>
      <c r="AS1244" t="s">
        <v>139</v>
      </c>
      <c r="AT1244" t="s">
        <v>140</v>
      </c>
      <c r="AU1244">
        <v>106</v>
      </c>
      <c r="AV1244">
        <v>10</v>
      </c>
      <c r="AW1244">
        <v>1</v>
      </c>
      <c r="AX1244" s="2">
        <v>45810</v>
      </c>
      <c r="AY1244" t="s">
        <v>141</v>
      </c>
      <c r="AZ1244" s="2">
        <v>46027</v>
      </c>
      <c r="BA1244">
        <v>0</v>
      </c>
      <c r="BB1244">
        <v>0</v>
      </c>
      <c r="BC1244">
        <v>0</v>
      </c>
      <c r="BD1244">
        <v>700</v>
      </c>
      <c r="BE1244">
        <v>70</v>
      </c>
      <c r="BF1244">
        <v>9</v>
      </c>
      <c r="BG1244" s="2">
        <v>45809</v>
      </c>
      <c r="BH1244" t="s">
        <v>142</v>
      </c>
      <c r="BI1244" s="2">
        <v>46026</v>
      </c>
      <c r="BJ1244">
        <v>0</v>
      </c>
      <c r="BK1244">
        <v>0</v>
      </c>
      <c r="BL1244">
        <v>0</v>
      </c>
      <c r="BM1244">
        <v>7</v>
      </c>
      <c r="BN1244">
        <v>2.96</v>
      </c>
      <c r="BO1244">
        <v>378.07</v>
      </c>
      <c r="BP1244">
        <v>514.54</v>
      </c>
      <c r="BQ1244">
        <v>892.61</v>
      </c>
      <c r="BR1244">
        <v>0</v>
      </c>
      <c r="BS1244">
        <v>0</v>
      </c>
      <c r="BT1244">
        <v>0</v>
      </c>
      <c r="BU1244">
        <v>0</v>
      </c>
      <c r="BV1244" s="1">
        <v>1376.87</v>
      </c>
      <c r="BW1244" s="1">
        <v>1376.87</v>
      </c>
      <c r="BX1244">
        <v>0</v>
      </c>
      <c r="BY1244">
        <v>0</v>
      </c>
      <c r="BZ1244">
        <v>0</v>
      </c>
      <c r="CA1244">
        <v>0</v>
      </c>
      <c r="CB1244">
        <v>575.62</v>
      </c>
      <c r="CC1244" t="s">
        <v>161</v>
      </c>
    </row>
    <row r="1245" spans="1:81" x14ac:dyDescent="0.25">
      <c r="A1245">
        <v>345</v>
      </c>
      <c r="B1245">
        <v>2</v>
      </c>
      <c r="C1245">
        <v>3431</v>
      </c>
      <c r="D1245" t="s">
        <v>7100</v>
      </c>
      <c r="E1245" t="s">
        <v>121</v>
      </c>
      <c r="F1245" t="s">
        <v>7101</v>
      </c>
      <c r="G1245" t="s">
        <v>7102</v>
      </c>
      <c r="H1245" t="s">
        <v>7103</v>
      </c>
      <c r="I1245" t="s">
        <v>2028</v>
      </c>
      <c r="J1245" t="s">
        <v>4569</v>
      </c>
      <c r="K1245" t="s">
        <v>466</v>
      </c>
      <c r="L1245" t="s">
        <v>128</v>
      </c>
      <c r="M1245" t="s">
        <v>467</v>
      </c>
      <c r="N1245" t="s">
        <v>7104</v>
      </c>
      <c r="O1245" t="s">
        <v>167</v>
      </c>
      <c r="P1245">
        <v>0</v>
      </c>
      <c r="Q1245" t="s">
        <v>125</v>
      </c>
      <c r="R1245">
        <v>3</v>
      </c>
      <c r="S1245">
        <v>82</v>
      </c>
      <c r="T1245" t="s">
        <v>132</v>
      </c>
      <c r="U1245" t="s">
        <v>133</v>
      </c>
      <c r="V1245" s="1">
        <v>1500</v>
      </c>
      <c r="W1245">
        <v>0</v>
      </c>
      <c r="X1245" s="1">
        <v>1500</v>
      </c>
      <c r="Y1245">
        <v>7</v>
      </c>
      <c r="Z1245">
        <v>0</v>
      </c>
      <c r="AA1245">
        <v>0</v>
      </c>
      <c r="AB1245">
        <v>0</v>
      </c>
      <c r="AC1245">
        <v>0</v>
      </c>
      <c r="AD1245" t="s">
        <v>134</v>
      </c>
      <c r="AE1245" t="s">
        <v>134</v>
      </c>
      <c r="AF1245" s="2">
        <v>45779</v>
      </c>
      <c r="AG1245" s="2">
        <v>46010</v>
      </c>
      <c r="AH1245">
        <v>376.5</v>
      </c>
      <c r="AI1245">
        <v>535.82000000000005</v>
      </c>
      <c r="AJ1245" s="1">
        <v>2259.0300000000002</v>
      </c>
      <c r="AK1245">
        <v>0</v>
      </c>
      <c r="AL1245">
        <v>0</v>
      </c>
      <c r="AM1245">
        <v>0</v>
      </c>
      <c r="AN1245" t="s">
        <v>135</v>
      </c>
      <c r="AO1245" t="s">
        <v>135</v>
      </c>
      <c r="AP1245" t="s">
        <v>136</v>
      </c>
      <c r="AQ1245" t="s">
        <v>137</v>
      </c>
      <c r="AR1245" t="s">
        <v>138</v>
      </c>
      <c r="AS1245" t="s">
        <v>139</v>
      </c>
      <c r="AT1245" t="s">
        <v>140</v>
      </c>
      <c r="AU1245">
        <v>100</v>
      </c>
      <c r="AV1245">
        <v>10</v>
      </c>
      <c r="AW1245">
        <v>1</v>
      </c>
      <c r="AX1245" s="2">
        <v>45967</v>
      </c>
      <c r="AY1245" t="s">
        <v>308</v>
      </c>
      <c r="AZ1245" s="2">
        <v>46023</v>
      </c>
      <c r="BA1245">
        <v>0</v>
      </c>
      <c r="BB1245">
        <v>0</v>
      </c>
      <c r="BC1245">
        <v>0</v>
      </c>
      <c r="BD1245">
        <v>700</v>
      </c>
      <c r="BE1245">
        <v>70</v>
      </c>
      <c r="BF1245">
        <v>9</v>
      </c>
      <c r="BG1245" s="2">
        <v>45809</v>
      </c>
      <c r="BH1245" t="s">
        <v>142</v>
      </c>
      <c r="BI1245" s="2">
        <v>46026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800.71</v>
      </c>
      <c r="BQ1245">
        <v>800.71</v>
      </c>
      <c r="BR1245">
        <v>0</v>
      </c>
      <c r="BS1245">
        <v>0</v>
      </c>
      <c r="BT1245">
        <v>0</v>
      </c>
      <c r="BU1245">
        <v>0</v>
      </c>
      <c r="BV1245">
        <v>852.36</v>
      </c>
      <c r="BW1245">
        <v>852.36</v>
      </c>
      <c r="BX1245">
        <v>0</v>
      </c>
      <c r="BY1245">
        <v>0</v>
      </c>
      <c r="BZ1245">
        <v>0</v>
      </c>
      <c r="CA1245">
        <v>0</v>
      </c>
      <c r="CB1245">
        <v>801.52</v>
      </c>
      <c r="CC1245" t="s">
        <v>161</v>
      </c>
    </row>
    <row r="1246" spans="1:81" x14ac:dyDescent="0.25">
      <c r="A1246">
        <v>345</v>
      </c>
      <c r="B1246">
        <v>2</v>
      </c>
      <c r="C1246">
        <v>3433</v>
      </c>
      <c r="D1246" t="s">
        <v>7105</v>
      </c>
      <c r="E1246" t="s">
        <v>121</v>
      </c>
      <c r="F1246" t="s">
        <v>7106</v>
      </c>
      <c r="G1246" t="s">
        <v>7107</v>
      </c>
      <c r="H1246" t="s">
        <v>7108</v>
      </c>
      <c r="I1246" t="s">
        <v>7109</v>
      </c>
      <c r="J1246" t="s">
        <v>4569</v>
      </c>
      <c r="K1246" t="s">
        <v>1853</v>
      </c>
      <c r="L1246" t="s">
        <v>128</v>
      </c>
      <c r="M1246" t="s">
        <v>1854</v>
      </c>
      <c r="N1246" t="s">
        <v>7110</v>
      </c>
      <c r="O1246" t="s">
        <v>1650</v>
      </c>
      <c r="P1246">
        <v>0</v>
      </c>
      <c r="Q1246" t="s">
        <v>125</v>
      </c>
      <c r="R1246">
        <v>3</v>
      </c>
      <c r="S1246">
        <v>85</v>
      </c>
      <c r="T1246" t="s">
        <v>132</v>
      </c>
      <c r="U1246" t="s">
        <v>133</v>
      </c>
      <c r="V1246" s="1">
        <v>5900</v>
      </c>
      <c r="W1246">
        <v>0</v>
      </c>
      <c r="X1246" s="1">
        <v>5900</v>
      </c>
      <c r="Y1246">
        <v>7</v>
      </c>
      <c r="Z1246">
        <v>0</v>
      </c>
      <c r="AA1246">
        <v>0</v>
      </c>
      <c r="AB1246">
        <v>0</v>
      </c>
      <c r="AC1246">
        <v>0</v>
      </c>
      <c r="AD1246" t="s">
        <v>134</v>
      </c>
      <c r="AE1246" t="s">
        <v>134</v>
      </c>
      <c r="AF1246" s="2">
        <v>45779</v>
      </c>
      <c r="AG1246" s="2">
        <v>46018</v>
      </c>
      <c r="AH1246" s="1">
        <v>2549.56</v>
      </c>
      <c r="AI1246" s="1">
        <v>3356.68</v>
      </c>
      <c r="AJ1246" s="1">
        <v>22946.05</v>
      </c>
      <c r="AK1246">
        <v>0</v>
      </c>
      <c r="AL1246">
        <v>0</v>
      </c>
      <c r="AM1246">
        <v>0</v>
      </c>
      <c r="AN1246" t="s">
        <v>135</v>
      </c>
      <c r="AO1246" t="s">
        <v>135</v>
      </c>
      <c r="AP1246" t="s">
        <v>136</v>
      </c>
      <c r="AQ1246" t="s">
        <v>137</v>
      </c>
      <c r="AR1246" t="s">
        <v>138</v>
      </c>
      <c r="AS1246" t="s">
        <v>150</v>
      </c>
      <c r="AT1246" t="s">
        <v>140</v>
      </c>
      <c r="AU1246">
        <v>103</v>
      </c>
      <c r="AV1246">
        <v>10</v>
      </c>
      <c r="AW1246">
        <v>1</v>
      </c>
      <c r="AX1246" s="2">
        <v>45840</v>
      </c>
      <c r="AY1246" t="s">
        <v>168</v>
      </c>
      <c r="AZ1246" s="2">
        <v>46022</v>
      </c>
      <c r="BA1246">
        <v>0</v>
      </c>
      <c r="BB1246">
        <v>0</v>
      </c>
      <c r="BC1246">
        <v>0</v>
      </c>
      <c r="BD1246">
        <v>700</v>
      </c>
      <c r="BE1246">
        <v>70</v>
      </c>
      <c r="BF1246">
        <v>9</v>
      </c>
      <c r="BG1246" s="2">
        <v>45809</v>
      </c>
      <c r="BH1246" t="s">
        <v>142</v>
      </c>
      <c r="BI1246" s="2">
        <v>46026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 s="1">
        <v>7238.86</v>
      </c>
      <c r="BQ1246" s="1">
        <v>7238.86</v>
      </c>
      <c r="BR1246">
        <v>0</v>
      </c>
      <c r="BS1246">
        <v>0</v>
      </c>
      <c r="BT1246">
        <v>0</v>
      </c>
      <c r="BU1246">
        <v>0</v>
      </c>
      <c r="BV1246" s="1">
        <v>8713.5300000000007</v>
      </c>
      <c r="BW1246" s="1">
        <v>8713.5300000000007</v>
      </c>
      <c r="BX1246">
        <v>0</v>
      </c>
      <c r="BY1246">
        <v>0</v>
      </c>
      <c r="BZ1246">
        <v>0</v>
      </c>
      <c r="CA1246">
        <v>0</v>
      </c>
      <c r="CB1246" s="1">
        <v>6055.97</v>
      </c>
      <c r="CC1246" t="s">
        <v>143</v>
      </c>
    </row>
    <row r="1247" spans="1:81" x14ac:dyDescent="0.25">
      <c r="A1247">
        <v>345</v>
      </c>
      <c r="B1247">
        <v>2</v>
      </c>
      <c r="C1247">
        <v>3438</v>
      </c>
      <c r="D1247" t="s">
        <v>7111</v>
      </c>
      <c r="E1247" t="s">
        <v>121</v>
      </c>
      <c r="F1247" t="s">
        <v>7112</v>
      </c>
      <c r="G1247" t="s">
        <v>7113</v>
      </c>
      <c r="H1247" t="s">
        <v>7114</v>
      </c>
      <c r="I1247" t="s">
        <v>7115</v>
      </c>
      <c r="J1247" t="s">
        <v>4247</v>
      </c>
      <c r="K1247" t="s">
        <v>4248</v>
      </c>
      <c r="L1247" t="s">
        <v>128</v>
      </c>
      <c r="M1247" t="s">
        <v>7116</v>
      </c>
      <c r="N1247" t="s">
        <v>7117</v>
      </c>
      <c r="O1247" t="s">
        <v>201</v>
      </c>
      <c r="P1247">
        <v>0</v>
      </c>
      <c r="Q1247" t="s">
        <v>125</v>
      </c>
      <c r="R1247">
        <v>4</v>
      </c>
      <c r="S1247">
        <v>80</v>
      </c>
      <c r="T1247" t="s">
        <v>132</v>
      </c>
      <c r="U1247" t="s">
        <v>133</v>
      </c>
      <c r="V1247" s="1">
        <v>1000</v>
      </c>
      <c r="W1247">
        <v>382.49</v>
      </c>
      <c r="X1247">
        <v>617.51</v>
      </c>
      <c r="Y1247">
        <v>7</v>
      </c>
      <c r="Z1247">
        <v>0</v>
      </c>
      <c r="AA1247">
        <v>9</v>
      </c>
      <c r="AB1247">
        <v>1</v>
      </c>
      <c r="AC1247">
        <v>17</v>
      </c>
      <c r="AD1247" t="s">
        <v>134</v>
      </c>
      <c r="AE1247" t="s">
        <v>134</v>
      </c>
      <c r="AF1247" s="2">
        <v>45783</v>
      </c>
      <c r="AG1247" s="2">
        <v>46018</v>
      </c>
      <c r="AH1247">
        <v>294.68</v>
      </c>
      <c r="AI1247">
        <v>382.49</v>
      </c>
      <c r="AJ1247" s="1">
        <v>1178.73</v>
      </c>
      <c r="AK1247">
        <v>0</v>
      </c>
      <c r="AL1247">
        <v>382.49</v>
      </c>
      <c r="AM1247">
        <v>0</v>
      </c>
      <c r="AN1247" t="s">
        <v>135</v>
      </c>
      <c r="AO1247" t="s">
        <v>135</v>
      </c>
      <c r="AP1247" t="s">
        <v>136</v>
      </c>
      <c r="AQ1247" t="s">
        <v>137</v>
      </c>
      <c r="AR1247" t="s">
        <v>138</v>
      </c>
      <c r="AS1247" t="s">
        <v>139</v>
      </c>
      <c r="AT1247" t="s">
        <v>140</v>
      </c>
      <c r="AU1247">
        <v>104</v>
      </c>
      <c r="AV1247">
        <v>10</v>
      </c>
      <c r="AW1247">
        <v>1</v>
      </c>
      <c r="AX1247" s="2">
        <v>45813</v>
      </c>
      <c r="AY1247" t="s">
        <v>308</v>
      </c>
      <c r="AZ1247" s="2">
        <v>46023</v>
      </c>
      <c r="BA1247">
        <v>0</v>
      </c>
      <c r="BB1247">
        <v>0</v>
      </c>
      <c r="BC1247">
        <v>0</v>
      </c>
      <c r="BD1247">
        <v>700</v>
      </c>
      <c r="BE1247">
        <v>70</v>
      </c>
      <c r="BF1247">
        <v>9</v>
      </c>
      <c r="BG1247" s="2">
        <v>45809</v>
      </c>
      <c r="BH1247" t="s">
        <v>142</v>
      </c>
      <c r="BI1247" s="2">
        <v>46026</v>
      </c>
      <c r="BJ1247">
        <v>0</v>
      </c>
      <c r="BK1247">
        <v>0</v>
      </c>
      <c r="BL1247">
        <v>0</v>
      </c>
      <c r="BM1247">
        <v>3</v>
      </c>
      <c r="BN1247">
        <v>1.56</v>
      </c>
      <c r="BO1247">
        <v>303.58</v>
      </c>
      <c r="BP1247">
        <v>279.83999999999997</v>
      </c>
      <c r="BQ1247">
        <v>583.41999999999996</v>
      </c>
      <c r="BR1247">
        <v>0</v>
      </c>
      <c r="BS1247">
        <v>6.86</v>
      </c>
      <c r="BT1247">
        <v>6.86</v>
      </c>
      <c r="BU1247">
        <v>595.30999999999995</v>
      </c>
      <c r="BV1247">
        <v>0</v>
      </c>
      <c r="BW1247">
        <v>595.30999999999995</v>
      </c>
      <c r="BX1247">
        <v>382.49</v>
      </c>
      <c r="BY1247">
        <v>64.25</v>
      </c>
      <c r="BZ1247">
        <v>0</v>
      </c>
      <c r="CA1247">
        <v>0</v>
      </c>
      <c r="CB1247">
        <v>317.48</v>
      </c>
      <c r="CC1247" t="s">
        <v>161</v>
      </c>
    </row>
    <row r="1248" spans="1:81" x14ac:dyDescent="0.25">
      <c r="A1248">
        <v>345</v>
      </c>
      <c r="B1248">
        <v>2</v>
      </c>
      <c r="C1248">
        <v>3440</v>
      </c>
      <c r="D1248" t="s">
        <v>7118</v>
      </c>
      <c r="E1248" t="s">
        <v>121</v>
      </c>
      <c r="F1248" t="s">
        <v>7119</v>
      </c>
      <c r="G1248" t="s">
        <v>7120</v>
      </c>
      <c r="H1248" t="s">
        <v>7121</v>
      </c>
      <c r="I1248" t="s">
        <v>7122</v>
      </c>
      <c r="J1248" t="s">
        <v>3174</v>
      </c>
      <c r="K1248" t="s">
        <v>1853</v>
      </c>
      <c r="L1248" t="s">
        <v>128</v>
      </c>
      <c r="M1248" t="s">
        <v>1854</v>
      </c>
      <c r="N1248" t="s">
        <v>7123</v>
      </c>
      <c r="O1248" t="s">
        <v>159</v>
      </c>
      <c r="P1248">
        <v>0</v>
      </c>
      <c r="Q1248" t="s">
        <v>125</v>
      </c>
      <c r="R1248">
        <v>3</v>
      </c>
      <c r="S1248">
        <v>82</v>
      </c>
      <c r="T1248" t="s">
        <v>132</v>
      </c>
      <c r="U1248" t="s">
        <v>133</v>
      </c>
      <c r="V1248" s="1">
        <v>1300</v>
      </c>
      <c r="W1248">
        <v>787.76</v>
      </c>
      <c r="X1248">
        <v>512.24</v>
      </c>
      <c r="Y1248">
        <v>7</v>
      </c>
      <c r="Z1248">
        <v>0</v>
      </c>
      <c r="AA1248">
        <v>7</v>
      </c>
      <c r="AB1248">
        <v>0</v>
      </c>
      <c r="AC1248">
        <v>0</v>
      </c>
      <c r="AD1248" t="s">
        <v>134</v>
      </c>
      <c r="AE1248" t="s">
        <v>134</v>
      </c>
      <c r="AF1248" s="2">
        <v>45783</v>
      </c>
      <c r="AG1248" s="2">
        <v>46017</v>
      </c>
      <c r="AH1248">
        <v>370.44</v>
      </c>
      <c r="AI1248">
        <v>787.76</v>
      </c>
      <c r="AJ1248" s="1">
        <v>3334.02</v>
      </c>
      <c r="AK1248">
        <v>0</v>
      </c>
      <c r="AL1248">
        <v>787.76</v>
      </c>
      <c r="AM1248">
        <v>0</v>
      </c>
      <c r="AN1248" t="s">
        <v>135</v>
      </c>
      <c r="AO1248" t="s">
        <v>135</v>
      </c>
      <c r="AP1248" t="s">
        <v>136</v>
      </c>
      <c r="AQ1248" t="s">
        <v>137</v>
      </c>
      <c r="AR1248" t="s">
        <v>138</v>
      </c>
      <c r="AS1248" t="s">
        <v>150</v>
      </c>
      <c r="AT1248" t="s">
        <v>140</v>
      </c>
      <c r="AU1248">
        <v>106</v>
      </c>
      <c r="AV1248">
        <v>10</v>
      </c>
      <c r="AW1248">
        <v>1</v>
      </c>
      <c r="AX1248" s="2">
        <v>45813</v>
      </c>
      <c r="AY1248" t="s">
        <v>308</v>
      </c>
      <c r="AZ1248" s="2">
        <v>46023</v>
      </c>
      <c r="BA1248">
        <v>0</v>
      </c>
      <c r="BB1248">
        <v>0</v>
      </c>
      <c r="BC1248">
        <v>0</v>
      </c>
      <c r="BD1248">
        <v>700</v>
      </c>
      <c r="BE1248">
        <v>70</v>
      </c>
      <c r="BF1248">
        <v>9</v>
      </c>
      <c r="BG1248" s="2">
        <v>45809</v>
      </c>
      <c r="BH1248" t="s">
        <v>142</v>
      </c>
      <c r="BI1248" s="2">
        <v>46026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528.54999999999995</v>
      </c>
      <c r="BQ1248">
        <v>528.54999999999995</v>
      </c>
      <c r="BR1248">
        <v>0</v>
      </c>
      <c r="BS1248">
        <v>7</v>
      </c>
      <c r="BT1248">
        <v>6.23</v>
      </c>
      <c r="BU1248" s="1">
        <v>1424.74</v>
      </c>
      <c r="BV1248">
        <v>175.2</v>
      </c>
      <c r="BW1248" s="1">
        <v>1599.94</v>
      </c>
      <c r="BX1248">
        <v>787.76</v>
      </c>
      <c r="BY1248">
        <v>55.29</v>
      </c>
      <c r="BZ1248">
        <v>0</v>
      </c>
      <c r="CA1248">
        <v>0</v>
      </c>
      <c r="CB1248">
        <v>862.3</v>
      </c>
      <c r="CC1248" t="s">
        <v>161</v>
      </c>
    </row>
    <row r="1249" spans="1:81" x14ac:dyDescent="0.25">
      <c r="A1249">
        <v>345</v>
      </c>
      <c r="B1249">
        <v>2</v>
      </c>
      <c r="C1249">
        <v>3441</v>
      </c>
      <c r="D1249" t="s">
        <v>7124</v>
      </c>
      <c r="E1249" t="s">
        <v>121</v>
      </c>
      <c r="F1249" t="s">
        <v>7125</v>
      </c>
      <c r="G1249" t="s">
        <v>7126</v>
      </c>
      <c r="H1249" t="s">
        <v>7127</v>
      </c>
      <c r="I1249" t="s">
        <v>7128</v>
      </c>
      <c r="J1249" t="s">
        <v>3074</v>
      </c>
      <c r="K1249" t="s">
        <v>1853</v>
      </c>
      <c r="L1249" t="s">
        <v>128</v>
      </c>
      <c r="M1249" t="s">
        <v>1854</v>
      </c>
      <c r="N1249" t="s">
        <v>7129</v>
      </c>
      <c r="O1249" t="s">
        <v>159</v>
      </c>
      <c r="P1249">
        <v>0</v>
      </c>
      <c r="Q1249" t="s">
        <v>125</v>
      </c>
      <c r="R1249">
        <v>4</v>
      </c>
      <c r="S1249">
        <v>76</v>
      </c>
      <c r="T1249" t="s">
        <v>132</v>
      </c>
      <c r="U1249" t="s">
        <v>133</v>
      </c>
      <c r="V1249" s="1">
        <v>1500</v>
      </c>
      <c r="W1249" s="1">
        <v>1479.2</v>
      </c>
      <c r="X1249">
        <v>20.8</v>
      </c>
      <c r="Y1249">
        <v>7</v>
      </c>
      <c r="Z1249">
        <v>0</v>
      </c>
      <c r="AA1249">
        <v>7</v>
      </c>
      <c r="AB1249">
        <v>1</v>
      </c>
      <c r="AC1249">
        <v>21</v>
      </c>
      <c r="AD1249" t="s">
        <v>134</v>
      </c>
      <c r="AE1249" t="s">
        <v>134</v>
      </c>
      <c r="AF1249" s="2">
        <v>45783</v>
      </c>
      <c r="AG1249" s="2">
        <v>46000</v>
      </c>
      <c r="AH1249" s="1">
        <v>1114.9100000000001</v>
      </c>
      <c r="AI1249" s="1">
        <v>1494.04</v>
      </c>
      <c r="AJ1249" s="1">
        <v>8919.35</v>
      </c>
      <c r="AK1249">
        <v>0</v>
      </c>
      <c r="AL1249" s="1">
        <v>1479.2</v>
      </c>
      <c r="AM1249">
        <v>101</v>
      </c>
      <c r="AN1249" t="s">
        <v>135</v>
      </c>
      <c r="AO1249" t="s">
        <v>135</v>
      </c>
      <c r="AP1249" t="s">
        <v>136</v>
      </c>
      <c r="AQ1249" t="s">
        <v>137</v>
      </c>
      <c r="AR1249" t="s">
        <v>138</v>
      </c>
      <c r="AS1249" t="s">
        <v>150</v>
      </c>
      <c r="AT1249" t="s">
        <v>140</v>
      </c>
      <c r="AU1249">
        <v>106</v>
      </c>
      <c r="AV1249">
        <v>10</v>
      </c>
      <c r="AW1249">
        <v>1</v>
      </c>
      <c r="AX1249" s="2">
        <v>45810</v>
      </c>
      <c r="AY1249" t="s">
        <v>141</v>
      </c>
      <c r="AZ1249" s="2">
        <v>46027</v>
      </c>
      <c r="BA1249">
        <v>0</v>
      </c>
      <c r="BB1249">
        <v>0</v>
      </c>
      <c r="BC1249">
        <v>0</v>
      </c>
      <c r="BD1249">
        <v>700</v>
      </c>
      <c r="BE1249">
        <v>70</v>
      </c>
      <c r="BF1249">
        <v>9</v>
      </c>
      <c r="BG1249" s="2">
        <v>45809</v>
      </c>
      <c r="BH1249" t="s">
        <v>142</v>
      </c>
      <c r="BI1249" s="2">
        <v>46026</v>
      </c>
      <c r="BJ1249">
        <v>0</v>
      </c>
      <c r="BK1249">
        <v>0</v>
      </c>
      <c r="BL1249">
        <v>0</v>
      </c>
      <c r="BM1249">
        <v>7</v>
      </c>
      <c r="BN1249">
        <v>7</v>
      </c>
      <c r="BO1249" s="1">
        <v>4102.6000000000004</v>
      </c>
      <c r="BP1249">
        <v>0</v>
      </c>
      <c r="BQ1249" s="1">
        <v>4102.6000000000004</v>
      </c>
      <c r="BR1249" s="1">
        <v>1494.04</v>
      </c>
      <c r="BS1249">
        <v>7</v>
      </c>
      <c r="BT1249">
        <v>6.83</v>
      </c>
      <c r="BU1249" s="1">
        <v>2795.55</v>
      </c>
      <c r="BV1249">
        <v>70.650000000000006</v>
      </c>
      <c r="BW1249" s="1">
        <v>2866.2</v>
      </c>
      <c r="BX1249" s="1">
        <v>1479.2</v>
      </c>
      <c r="BY1249">
        <v>52.91</v>
      </c>
      <c r="BZ1249">
        <v>0</v>
      </c>
      <c r="CA1249">
        <v>0</v>
      </c>
      <c r="CB1249" s="1">
        <v>3057.34</v>
      </c>
      <c r="CC1249" t="s">
        <v>161</v>
      </c>
    </row>
    <row r="1250" spans="1:81" x14ac:dyDescent="0.25">
      <c r="A1250">
        <v>345</v>
      </c>
      <c r="B1250">
        <v>2</v>
      </c>
      <c r="C1250">
        <v>3442</v>
      </c>
      <c r="D1250" t="s">
        <v>7130</v>
      </c>
      <c r="E1250" t="s">
        <v>5780</v>
      </c>
      <c r="F1250" t="s">
        <v>7131</v>
      </c>
      <c r="G1250" t="s">
        <v>7132</v>
      </c>
      <c r="H1250" t="s">
        <v>7133</v>
      </c>
      <c r="I1250" t="s">
        <v>125</v>
      </c>
      <c r="J1250" t="s">
        <v>126</v>
      </c>
      <c r="K1250" t="s">
        <v>1853</v>
      </c>
      <c r="L1250" t="s">
        <v>128</v>
      </c>
      <c r="M1250" t="s">
        <v>1854</v>
      </c>
      <c r="N1250" t="s">
        <v>7134</v>
      </c>
      <c r="O1250" t="s">
        <v>2996</v>
      </c>
      <c r="P1250">
        <v>0</v>
      </c>
      <c r="Q1250" t="s">
        <v>125</v>
      </c>
      <c r="R1250">
        <v>3</v>
      </c>
      <c r="S1250">
        <v>83</v>
      </c>
      <c r="T1250" t="s">
        <v>132</v>
      </c>
      <c r="U1250" t="s">
        <v>133</v>
      </c>
      <c r="V1250" s="1">
        <v>1000</v>
      </c>
      <c r="W1250">
        <v>0</v>
      </c>
      <c r="X1250" s="1">
        <v>1000</v>
      </c>
      <c r="Y1250">
        <v>7</v>
      </c>
      <c r="Z1250">
        <v>0</v>
      </c>
      <c r="AA1250">
        <v>7</v>
      </c>
      <c r="AB1250">
        <v>0</v>
      </c>
      <c r="AC1250">
        <v>0</v>
      </c>
      <c r="AD1250" t="s">
        <v>134</v>
      </c>
      <c r="AE1250" t="s">
        <v>234</v>
      </c>
      <c r="AF1250" s="2">
        <v>45783</v>
      </c>
      <c r="AG1250" s="2">
        <v>46013</v>
      </c>
      <c r="AH1250">
        <v>394.99</v>
      </c>
      <c r="AI1250">
        <v>670.01</v>
      </c>
      <c r="AJ1250" s="1">
        <v>2369.96</v>
      </c>
      <c r="AK1250">
        <v>0</v>
      </c>
      <c r="AL1250">
        <v>0</v>
      </c>
      <c r="AM1250">
        <v>0</v>
      </c>
      <c r="AN1250" t="s">
        <v>135</v>
      </c>
      <c r="AO1250" t="s">
        <v>135</v>
      </c>
      <c r="AP1250" t="s">
        <v>136</v>
      </c>
      <c r="AQ1250" t="s">
        <v>137</v>
      </c>
      <c r="AR1250" t="s">
        <v>138</v>
      </c>
      <c r="AS1250" t="s">
        <v>150</v>
      </c>
      <c r="AT1250" t="s">
        <v>140</v>
      </c>
      <c r="AU1250">
        <v>103</v>
      </c>
      <c r="AV1250">
        <v>10</v>
      </c>
      <c r="AW1250">
        <v>1</v>
      </c>
      <c r="AX1250" s="2">
        <v>45815</v>
      </c>
      <c r="AY1250" t="s">
        <v>160</v>
      </c>
      <c r="AZ1250" s="2">
        <v>46025</v>
      </c>
      <c r="BA1250">
        <v>0</v>
      </c>
      <c r="BB1250">
        <v>0</v>
      </c>
      <c r="BC1250">
        <v>0</v>
      </c>
      <c r="BD1250">
        <v>700</v>
      </c>
      <c r="BE1250">
        <v>70</v>
      </c>
      <c r="BF1250">
        <v>9</v>
      </c>
      <c r="BG1250" s="2">
        <v>45809</v>
      </c>
      <c r="BH1250" t="s">
        <v>142</v>
      </c>
      <c r="BI1250" s="2">
        <v>46026</v>
      </c>
      <c r="BJ1250">
        <v>0</v>
      </c>
      <c r="BK1250">
        <v>0</v>
      </c>
      <c r="BL1250">
        <v>0</v>
      </c>
      <c r="BM1250">
        <v>7</v>
      </c>
      <c r="BN1250">
        <v>5.38</v>
      </c>
      <c r="BO1250">
        <v>597.11</v>
      </c>
      <c r="BP1250">
        <v>180.1</v>
      </c>
      <c r="BQ1250">
        <v>777.21</v>
      </c>
      <c r="BR1250">
        <v>0</v>
      </c>
      <c r="BS1250">
        <v>7</v>
      </c>
      <c r="BT1250">
        <v>7</v>
      </c>
      <c r="BU1250">
        <v>442.59</v>
      </c>
      <c r="BV1250">
        <v>0</v>
      </c>
      <c r="BW1250">
        <v>442.59</v>
      </c>
      <c r="BX1250">
        <v>0</v>
      </c>
      <c r="BY1250">
        <v>0</v>
      </c>
      <c r="BZ1250">
        <v>0</v>
      </c>
      <c r="CA1250">
        <v>0</v>
      </c>
      <c r="CB1250">
        <v>840.17</v>
      </c>
      <c r="CC1250" t="s">
        <v>161</v>
      </c>
    </row>
    <row r="1251" spans="1:81" x14ac:dyDescent="0.25">
      <c r="A1251">
        <v>345</v>
      </c>
      <c r="B1251">
        <v>2</v>
      </c>
      <c r="C1251">
        <v>3444</v>
      </c>
      <c r="D1251" t="s">
        <v>7135</v>
      </c>
      <c r="E1251" t="s">
        <v>121</v>
      </c>
      <c r="F1251" t="s">
        <v>7136</v>
      </c>
      <c r="G1251" t="s">
        <v>7137</v>
      </c>
      <c r="H1251" t="s">
        <v>7138</v>
      </c>
      <c r="I1251" t="s">
        <v>7139</v>
      </c>
      <c r="J1251" t="s">
        <v>126</v>
      </c>
      <c r="K1251" t="s">
        <v>1853</v>
      </c>
      <c r="L1251" t="s">
        <v>128</v>
      </c>
      <c r="M1251" t="s">
        <v>1854</v>
      </c>
      <c r="N1251" t="s">
        <v>7140</v>
      </c>
      <c r="O1251" t="s">
        <v>167</v>
      </c>
      <c r="P1251">
        <v>0</v>
      </c>
      <c r="Q1251" t="s">
        <v>125</v>
      </c>
      <c r="R1251">
        <v>4</v>
      </c>
      <c r="S1251">
        <v>81</v>
      </c>
      <c r="T1251" t="s">
        <v>132</v>
      </c>
      <c r="U1251" t="s">
        <v>133</v>
      </c>
      <c r="V1251" s="1">
        <v>1400</v>
      </c>
      <c r="W1251">
        <v>0</v>
      </c>
      <c r="X1251" s="1">
        <v>1400</v>
      </c>
      <c r="Y1251">
        <v>7</v>
      </c>
      <c r="Z1251">
        <v>0</v>
      </c>
      <c r="AA1251">
        <v>0</v>
      </c>
      <c r="AB1251">
        <v>0</v>
      </c>
      <c r="AC1251">
        <v>0</v>
      </c>
      <c r="AD1251" t="s">
        <v>134</v>
      </c>
      <c r="AE1251" t="s">
        <v>134</v>
      </c>
      <c r="AF1251" s="2">
        <v>45784</v>
      </c>
      <c r="AG1251" s="2">
        <v>46009</v>
      </c>
      <c r="AH1251">
        <v>298.49</v>
      </c>
      <c r="AI1251">
        <v>412.82</v>
      </c>
      <c r="AJ1251" s="1">
        <v>1492.47</v>
      </c>
      <c r="AK1251">
        <v>0</v>
      </c>
      <c r="AL1251">
        <v>0</v>
      </c>
      <c r="AM1251">
        <v>0</v>
      </c>
      <c r="AN1251" t="s">
        <v>135</v>
      </c>
      <c r="AO1251" t="s">
        <v>135</v>
      </c>
      <c r="AP1251" t="s">
        <v>136</v>
      </c>
      <c r="AQ1251" t="s">
        <v>137</v>
      </c>
      <c r="AR1251" t="s">
        <v>138</v>
      </c>
      <c r="AS1251" t="s">
        <v>139</v>
      </c>
      <c r="AT1251" t="s">
        <v>140</v>
      </c>
      <c r="AU1251">
        <v>103</v>
      </c>
      <c r="AV1251">
        <v>10</v>
      </c>
      <c r="AW1251">
        <v>1</v>
      </c>
      <c r="AX1251" s="2">
        <v>45840</v>
      </c>
      <c r="AY1251" t="s">
        <v>168</v>
      </c>
      <c r="AZ1251" s="2">
        <v>46022</v>
      </c>
      <c r="BA1251">
        <v>0</v>
      </c>
      <c r="BB1251">
        <v>0</v>
      </c>
      <c r="BC1251">
        <v>0</v>
      </c>
      <c r="BD1251">
        <v>700</v>
      </c>
      <c r="BE1251">
        <v>70</v>
      </c>
      <c r="BF1251">
        <v>9</v>
      </c>
      <c r="BG1251" s="2">
        <v>45809</v>
      </c>
      <c r="BH1251" t="s">
        <v>142</v>
      </c>
      <c r="BI1251" s="2">
        <v>46026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137.22999999999999</v>
      </c>
      <c r="BQ1251">
        <v>137.22999999999999</v>
      </c>
      <c r="BR1251">
        <v>0</v>
      </c>
      <c r="BS1251">
        <v>0</v>
      </c>
      <c r="BT1251">
        <v>0</v>
      </c>
      <c r="BU1251">
        <v>0</v>
      </c>
      <c r="BV1251">
        <v>563.58000000000004</v>
      </c>
      <c r="BW1251">
        <v>563.58000000000004</v>
      </c>
      <c r="BX1251">
        <v>0</v>
      </c>
      <c r="BY1251">
        <v>0</v>
      </c>
      <c r="BZ1251">
        <v>0</v>
      </c>
      <c r="CA1251">
        <v>0</v>
      </c>
      <c r="CB1251">
        <v>463.19</v>
      </c>
      <c r="CC1251" t="s">
        <v>161</v>
      </c>
    </row>
    <row r="1252" spans="1:81" x14ac:dyDescent="0.25">
      <c r="A1252">
        <v>345</v>
      </c>
      <c r="B1252">
        <v>2</v>
      </c>
      <c r="C1252">
        <v>3445</v>
      </c>
      <c r="D1252" t="s">
        <v>7141</v>
      </c>
      <c r="E1252" t="s">
        <v>121</v>
      </c>
      <c r="F1252" t="s">
        <v>7142</v>
      </c>
      <c r="G1252" t="s">
        <v>7143</v>
      </c>
      <c r="H1252" t="s">
        <v>7144</v>
      </c>
      <c r="I1252" t="s">
        <v>7145</v>
      </c>
      <c r="J1252" t="s">
        <v>126</v>
      </c>
      <c r="K1252" t="s">
        <v>1853</v>
      </c>
      <c r="L1252" t="s">
        <v>128</v>
      </c>
      <c r="M1252" t="s">
        <v>467</v>
      </c>
      <c r="N1252" t="s">
        <v>7146</v>
      </c>
      <c r="O1252" t="s">
        <v>195</v>
      </c>
      <c r="P1252">
        <v>0</v>
      </c>
      <c r="Q1252" t="s">
        <v>125</v>
      </c>
      <c r="R1252">
        <v>3</v>
      </c>
      <c r="S1252">
        <v>82</v>
      </c>
      <c r="T1252" t="s">
        <v>132</v>
      </c>
      <c r="U1252" t="s">
        <v>133</v>
      </c>
      <c r="V1252" s="1">
        <v>1000</v>
      </c>
      <c r="W1252">
        <v>0</v>
      </c>
      <c r="X1252" s="1">
        <v>1000</v>
      </c>
      <c r="Y1252">
        <v>7</v>
      </c>
      <c r="Z1252">
        <v>0</v>
      </c>
      <c r="AA1252">
        <v>0</v>
      </c>
      <c r="AB1252">
        <v>0</v>
      </c>
      <c r="AC1252">
        <v>0</v>
      </c>
      <c r="AD1252" t="s">
        <v>134</v>
      </c>
      <c r="AE1252" t="s">
        <v>134</v>
      </c>
      <c r="AF1252" s="2">
        <v>45784</v>
      </c>
      <c r="AG1252" s="2">
        <v>45958</v>
      </c>
      <c r="AH1252">
        <v>340.11</v>
      </c>
      <c r="AI1252">
        <v>340.11</v>
      </c>
      <c r="AJ1252">
        <v>340.11</v>
      </c>
      <c r="AK1252">
        <v>0</v>
      </c>
      <c r="AL1252">
        <v>0</v>
      </c>
      <c r="AM1252">
        <v>0</v>
      </c>
      <c r="AN1252" t="s">
        <v>135</v>
      </c>
      <c r="AO1252" t="s">
        <v>135</v>
      </c>
      <c r="AP1252" t="s">
        <v>136</v>
      </c>
      <c r="AQ1252" t="s">
        <v>137</v>
      </c>
      <c r="AR1252" t="s">
        <v>138</v>
      </c>
      <c r="AS1252" t="s">
        <v>139</v>
      </c>
      <c r="AT1252" t="s">
        <v>140</v>
      </c>
      <c r="AU1252">
        <v>103</v>
      </c>
      <c r="AV1252">
        <v>10</v>
      </c>
      <c r="AW1252">
        <v>1</v>
      </c>
      <c r="AX1252" s="2">
        <v>45845</v>
      </c>
      <c r="AY1252" t="s">
        <v>141</v>
      </c>
      <c r="AZ1252" s="2">
        <v>46027</v>
      </c>
      <c r="BA1252">
        <v>0</v>
      </c>
      <c r="BB1252">
        <v>0</v>
      </c>
      <c r="BC1252">
        <v>0</v>
      </c>
      <c r="BD1252">
        <v>700</v>
      </c>
      <c r="BE1252">
        <v>70</v>
      </c>
      <c r="BF1252">
        <v>9</v>
      </c>
      <c r="BG1252" s="2">
        <v>45809</v>
      </c>
      <c r="BH1252" t="s">
        <v>142</v>
      </c>
      <c r="BI1252" s="2">
        <v>46026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206.2</v>
      </c>
      <c r="CC1252" t="s">
        <v>161</v>
      </c>
    </row>
    <row r="1253" spans="1:81" x14ac:dyDescent="0.25">
      <c r="A1253">
        <v>345</v>
      </c>
      <c r="B1253">
        <v>2</v>
      </c>
      <c r="C1253">
        <v>3446</v>
      </c>
      <c r="D1253" t="s">
        <v>7147</v>
      </c>
      <c r="E1253" t="s">
        <v>121</v>
      </c>
      <c r="F1253" t="s">
        <v>7148</v>
      </c>
      <c r="G1253" t="s">
        <v>7149</v>
      </c>
      <c r="H1253" t="s">
        <v>7150</v>
      </c>
      <c r="I1253" t="s">
        <v>7151</v>
      </c>
      <c r="J1253" t="s">
        <v>1263</v>
      </c>
      <c r="K1253" t="s">
        <v>466</v>
      </c>
      <c r="L1253" t="s">
        <v>128</v>
      </c>
      <c r="M1253" t="s">
        <v>467</v>
      </c>
      <c r="N1253" t="s">
        <v>7152</v>
      </c>
      <c r="O1253" t="s">
        <v>159</v>
      </c>
      <c r="P1253">
        <v>0</v>
      </c>
      <c r="Q1253" t="s">
        <v>125</v>
      </c>
      <c r="R1253">
        <v>3</v>
      </c>
      <c r="S1253">
        <v>83</v>
      </c>
      <c r="T1253" t="s">
        <v>132</v>
      </c>
      <c r="U1253" t="s">
        <v>133</v>
      </c>
      <c r="V1253" s="1">
        <v>1530</v>
      </c>
      <c r="W1253" s="1">
        <v>1495.51</v>
      </c>
      <c r="X1253">
        <v>34.49</v>
      </c>
      <c r="Y1253">
        <v>0</v>
      </c>
      <c r="Z1253">
        <v>0</v>
      </c>
      <c r="AA1253">
        <v>7</v>
      </c>
      <c r="AB1253">
        <v>3</v>
      </c>
      <c r="AC1253">
        <v>6</v>
      </c>
      <c r="AD1253" t="s">
        <v>134</v>
      </c>
      <c r="AE1253" t="s">
        <v>134</v>
      </c>
      <c r="AF1253" s="2">
        <v>45784</v>
      </c>
      <c r="AG1253" s="2">
        <v>46013</v>
      </c>
      <c r="AH1253" s="1">
        <v>1143.8699999999999</v>
      </c>
      <c r="AI1253" s="1">
        <v>1972.67</v>
      </c>
      <c r="AJ1253" s="1">
        <v>4575.51</v>
      </c>
      <c r="AK1253" s="1">
        <v>1495.51</v>
      </c>
      <c r="AL1253">
        <v>0</v>
      </c>
      <c r="AM1253">
        <v>0</v>
      </c>
      <c r="AN1253" t="s">
        <v>135</v>
      </c>
      <c r="AO1253" t="s">
        <v>135</v>
      </c>
      <c r="AP1253" t="s">
        <v>136</v>
      </c>
      <c r="AQ1253" t="s">
        <v>137</v>
      </c>
      <c r="AR1253" t="s">
        <v>138</v>
      </c>
      <c r="AS1253" t="s">
        <v>139</v>
      </c>
      <c r="AT1253" t="s">
        <v>140</v>
      </c>
      <c r="AU1253">
        <v>106</v>
      </c>
      <c r="AV1253">
        <v>10</v>
      </c>
      <c r="AW1253">
        <v>1</v>
      </c>
      <c r="AX1253" s="2">
        <v>45920</v>
      </c>
      <c r="AY1253" t="s">
        <v>160</v>
      </c>
      <c r="AZ1253" s="2">
        <v>46025</v>
      </c>
      <c r="BA1253">
        <v>0</v>
      </c>
      <c r="BB1253">
        <v>0</v>
      </c>
      <c r="BC1253">
        <v>0</v>
      </c>
      <c r="BD1253">
        <v>700</v>
      </c>
      <c r="BE1253">
        <v>70</v>
      </c>
      <c r="BF1253">
        <v>9</v>
      </c>
      <c r="BG1253" s="2">
        <v>45809</v>
      </c>
      <c r="BH1253" t="s">
        <v>142</v>
      </c>
      <c r="BI1253" s="2">
        <v>46026</v>
      </c>
      <c r="BJ1253">
        <v>0</v>
      </c>
      <c r="BK1253">
        <v>0</v>
      </c>
      <c r="BL1253">
        <v>0</v>
      </c>
      <c r="BM1253">
        <v>7</v>
      </c>
      <c r="BN1253">
        <v>4.9800000000000004</v>
      </c>
      <c r="BO1253" s="1">
        <v>1494.84</v>
      </c>
      <c r="BP1253">
        <v>606.4</v>
      </c>
      <c r="BQ1253" s="1">
        <v>2101.2399999999998</v>
      </c>
      <c r="BR1253">
        <v>66.11</v>
      </c>
      <c r="BS1253">
        <v>7</v>
      </c>
      <c r="BT1253">
        <v>5.31</v>
      </c>
      <c r="BU1253" s="1">
        <v>1495.51</v>
      </c>
      <c r="BV1253">
        <v>477.16</v>
      </c>
      <c r="BW1253" s="1">
        <v>1972.67</v>
      </c>
      <c r="BX1253">
        <v>0</v>
      </c>
      <c r="BY1253">
        <v>0</v>
      </c>
      <c r="BZ1253">
        <v>0</v>
      </c>
      <c r="CA1253">
        <v>0</v>
      </c>
      <c r="CB1253" s="1">
        <v>1288.28</v>
      </c>
      <c r="CC1253" t="s">
        <v>161</v>
      </c>
    </row>
    <row r="1254" spans="1:81" x14ac:dyDescent="0.25">
      <c r="A1254">
        <v>345</v>
      </c>
      <c r="B1254">
        <v>2</v>
      </c>
      <c r="C1254">
        <v>3448</v>
      </c>
      <c r="D1254" t="s">
        <v>7153</v>
      </c>
      <c r="E1254" t="s">
        <v>121</v>
      </c>
      <c r="F1254" t="s">
        <v>7154</v>
      </c>
      <c r="G1254" t="s">
        <v>7155</v>
      </c>
      <c r="H1254" t="s">
        <v>7156</v>
      </c>
      <c r="I1254" t="s">
        <v>125</v>
      </c>
      <c r="J1254" t="s">
        <v>126</v>
      </c>
      <c r="K1254" t="s">
        <v>4248</v>
      </c>
      <c r="L1254" t="s">
        <v>128</v>
      </c>
      <c r="M1254" t="s">
        <v>1325</v>
      </c>
      <c r="N1254" t="s">
        <v>7157</v>
      </c>
      <c r="O1254" t="s">
        <v>159</v>
      </c>
      <c r="P1254">
        <v>0</v>
      </c>
      <c r="Q1254" t="s">
        <v>125</v>
      </c>
      <c r="R1254">
        <v>5</v>
      </c>
      <c r="S1254">
        <v>74</v>
      </c>
      <c r="T1254" t="s">
        <v>132</v>
      </c>
      <c r="U1254" t="s">
        <v>133</v>
      </c>
      <c r="V1254" s="1">
        <v>1000</v>
      </c>
      <c r="W1254">
        <v>979.06</v>
      </c>
      <c r="X1254">
        <v>20.94</v>
      </c>
      <c r="Y1254">
        <v>0</v>
      </c>
      <c r="Z1254">
        <v>0</v>
      </c>
      <c r="AA1254">
        <v>9</v>
      </c>
      <c r="AB1254">
        <v>5</v>
      </c>
      <c r="AC1254">
        <v>18</v>
      </c>
      <c r="AD1254" t="s">
        <v>134</v>
      </c>
      <c r="AE1254" t="s">
        <v>134</v>
      </c>
      <c r="AF1254" s="2">
        <v>45784</v>
      </c>
      <c r="AG1254" s="2">
        <v>45997</v>
      </c>
      <c r="AH1254">
        <v>466.62</v>
      </c>
      <c r="AI1254">
        <v>628.46</v>
      </c>
      <c r="AJ1254" s="1">
        <v>3266.35</v>
      </c>
      <c r="AK1254">
        <v>979.06</v>
      </c>
      <c r="AL1254">
        <v>0</v>
      </c>
      <c r="AM1254">
        <v>0</v>
      </c>
      <c r="AN1254" t="s">
        <v>135</v>
      </c>
      <c r="AO1254" t="s">
        <v>135</v>
      </c>
      <c r="AP1254" t="s">
        <v>136</v>
      </c>
      <c r="AQ1254" t="s">
        <v>137</v>
      </c>
      <c r="AR1254" t="s">
        <v>138</v>
      </c>
      <c r="AS1254" t="s">
        <v>150</v>
      </c>
      <c r="AT1254" t="s">
        <v>140</v>
      </c>
      <c r="AU1254">
        <v>104</v>
      </c>
      <c r="AV1254">
        <v>10</v>
      </c>
      <c r="AW1254">
        <v>1</v>
      </c>
      <c r="AX1254" s="2">
        <v>45814</v>
      </c>
      <c r="AY1254" t="s">
        <v>151</v>
      </c>
      <c r="AZ1254" s="2">
        <v>46024</v>
      </c>
      <c r="BA1254">
        <v>0</v>
      </c>
      <c r="BB1254">
        <v>0</v>
      </c>
      <c r="BC1254">
        <v>0</v>
      </c>
      <c r="BD1254">
        <v>700</v>
      </c>
      <c r="BE1254">
        <v>70</v>
      </c>
      <c r="BF1254">
        <v>9</v>
      </c>
      <c r="BG1254" s="2">
        <v>45809</v>
      </c>
      <c r="BH1254" t="s">
        <v>142</v>
      </c>
      <c r="BI1254" s="2">
        <v>46026</v>
      </c>
      <c r="BJ1254">
        <v>0</v>
      </c>
      <c r="BK1254">
        <v>0</v>
      </c>
      <c r="BL1254">
        <v>0</v>
      </c>
      <c r="BM1254">
        <v>7.77</v>
      </c>
      <c r="BN1254">
        <v>7.77</v>
      </c>
      <c r="BO1254" s="1">
        <v>1602.45</v>
      </c>
      <c r="BP1254">
        <v>0</v>
      </c>
      <c r="BQ1254" s="1">
        <v>1602.45</v>
      </c>
      <c r="BR1254">
        <v>620.64</v>
      </c>
      <c r="BS1254">
        <v>9</v>
      </c>
      <c r="BT1254">
        <v>9</v>
      </c>
      <c r="BU1254">
        <v>358.42</v>
      </c>
      <c r="BV1254">
        <v>0</v>
      </c>
      <c r="BW1254">
        <v>358.42</v>
      </c>
      <c r="BX1254">
        <v>0</v>
      </c>
      <c r="BY1254">
        <v>0</v>
      </c>
      <c r="BZ1254">
        <v>0</v>
      </c>
      <c r="CA1254">
        <v>0</v>
      </c>
      <c r="CB1254" s="1">
        <v>1143.55</v>
      </c>
      <c r="CC1254" t="s">
        <v>161</v>
      </c>
    </row>
    <row r="1255" spans="1:81" x14ac:dyDescent="0.25">
      <c r="A1255">
        <v>345</v>
      </c>
      <c r="B1255">
        <v>2</v>
      </c>
      <c r="C1255">
        <v>3449</v>
      </c>
      <c r="D1255" t="s">
        <v>7158</v>
      </c>
      <c r="E1255" t="s">
        <v>121</v>
      </c>
      <c r="F1255" t="s">
        <v>7159</v>
      </c>
      <c r="G1255" t="s">
        <v>7160</v>
      </c>
      <c r="H1255" t="s">
        <v>7161</v>
      </c>
      <c r="I1255" t="s">
        <v>7145</v>
      </c>
      <c r="J1255" t="s">
        <v>126</v>
      </c>
      <c r="K1255" t="s">
        <v>1853</v>
      </c>
      <c r="L1255" t="s">
        <v>128</v>
      </c>
      <c r="M1255" t="s">
        <v>1854</v>
      </c>
      <c r="N1255" t="s">
        <v>7162</v>
      </c>
      <c r="O1255" t="s">
        <v>159</v>
      </c>
      <c r="P1255">
        <v>0</v>
      </c>
      <c r="Q1255" t="s">
        <v>125</v>
      </c>
      <c r="R1255">
        <v>4</v>
      </c>
      <c r="S1255">
        <v>80</v>
      </c>
      <c r="T1255" t="s">
        <v>132</v>
      </c>
      <c r="U1255" t="s">
        <v>133</v>
      </c>
      <c r="V1255" s="1">
        <v>1300</v>
      </c>
      <c r="W1255">
        <v>0</v>
      </c>
      <c r="X1255" s="1">
        <v>1300</v>
      </c>
      <c r="Y1255">
        <v>7</v>
      </c>
      <c r="Z1255">
        <v>0</v>
      </c>
      <c r="AA1255">
        <v>0</v>
      </c>
      <c r="AB1255">
        <v>0</v>
      </c>
      <c r="AC1255">
        <v>0</v>
      </c>
      <c r="AD1255" t="s">
        <v>134</v>
      </c>
      <c r="AE1255" t="s">
        <v>134</v>
      </c>
      <c r="AF1255" s="2">
        <v>45786</v>
      </c>
      <c r="AG1255" s="2">
        <v>46021</v>
      </c>
      <c r="AH1255">
        <v>392.57</v>
      </c>
      <c r="AI1255">
        <v>548.70000000000005</v>
      </c>
      <c r="AJ1255" s="1">
        <v>3140.62</v>
      </c>
      <c r="AK1255">
        <v>0</v>
      </c>
      <c r="AL1255">
        <v>0</v>
      </c>
      <c r="AM1255">
        <v>0</v>
      </c>
      <c r="AN1255" t="s">
        <v>135</v>
      </c>
      <c r="AO1255" t="s">
        <v>135</v>
      </c>
      <c r="AP1255" t="s">
        <v>136</v>
      </c>
      <c r="AQ1255" t="s">
        <v>137</v>
      </c>
      <c r="AR1255" t="s">
        <v>138</v>
      </c>
      <c r="AS1255" t="s">
        <v>150</v>
      </c>
      <c r="AT1255" t="s">
        <v>140</v>
      </c>
      <c r="AU1255">
        <v>103</v>
      </c>
      <c r="AV1255">
        <v>10</v>
      </c>
      <c r="AW1255">
        <v>1</v>
      </c>
      <c r="AX1255" s="2">
        <v>45845</v>
      </c>
      <c r="AY1255" t="s">
        <v>141</v>
      </c>
      <c r="AZ1255" s="2">
        <v>46027</v>
      </c>
      <c r="BA1255">
        <v>0</v>
      </c>
      <c r="BB1255">
        <v>0</v>
      </c>
      <c r="BC1255">
        <v>0</v>
      </c>
      <c r="BD1255">
        <v>700</v>
      </c>
      <c r="BE1255">
        <v>70</v>
      </c>
      <c r="BF1255">
        <v>9</v>
      </c>
      <c r="BG1255" s="2">
        <v>45809</v>
      </c>
      <c r="BH1255" t="s">
        <v>142</v>
      </c>
      <c r="BI1255" s="2">
        <v>46026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626.46</v>
      </c>
      <c r="BQ1255">
        <v>626.46</v>
      </c>
      <c r="BR1255">
        <v>0</v>
      </c>
      <c r="BS1255">
        <v>0</v>
      </c>
      <c r="BT1255">
        <v>0</v>
      </c>
      <c r="BU1255">
        <v>0</v>
      </c>
      <c r="BV1255" s="1">
        <v>1596.14</v>
      </c>
      <c r="BW1255" s="1">
        <v>1596.14</v>
      </c>
      <c r="BX1255">
        <v>0</v>
      </c>
      <c r="BY1255">
        <v>0</v>
      </c>
      <c r="BZ1255">
        <v>0</v>
      </c>
      <c r="CA1255">
        <v>0</v>
      </c>
      <c r="CB1255">
        <v>738.98</v>
      </c>
      <c r="CC1255" t="s">
        <v>161</v>
      </c>
    </row>
    <row r="1256" spans="1:81" x14ac:dyDescent="0.25">
      <c r="A1256">
        <v>345</v>
      </c>
      <c r="B1256">
        <v>2</v>
      </c>
      <c r="C1256">
        <v>3450</v>
      </c>
      <c r="D1256" t="s">
        <v>7163</v>
      </c>
      <c r="E1256" t="s">
        <v>121</v>
      </c>
      <c r="F1256" t="s">
        <v>7164</v>
      </c>
      <c r="G1256" t="s">
        <v>7165</v>
      </c>
      <c r="H1256" t="s">
        <v>7166</v>
      </c>
      <c r="I1256" t="s">
        <v>7167</v>
      </c>
      <c r="J1256" t="s">
        <v>126</v>
      </c>
      <c r="K1256" t="s">
        <v>1853</v>
      </c>
      <c r="L1256" t="s">
        <v>128</v>
      </c>
      <c r="M1256" t="s">
        <v>1854</v>
      </c>
      <c r="N1256" t="s">
        <v>7168</v>
      </c>
      <c r="O1256" t="s">
        <v>159</v>
      </c>
      <c r="P1256">
        <v>0</v>
      </c>
      <c r="Q1256" t="s">
        <v>125</v>
      </c>
      <c r="R1256">
        <v>3</v>
      </c>
      <c r="S1256">
        <v>82</v>
      </c>
      <c r="T1256" t="s">
        <v>132</v>
      </c>
      <c r="U1256" t="s">
        <v>133</v>
      </c>
      <c r="V1256" s="1">
        <v>1300</v>
      </c>
      <c r="W1256">
        <v>0</v>
      </c>
      <c r="X1256" s="1">
        <v>1300</v>
      </c>
      <c r="Y1256">
        <v>7</v>
      </c>
      <c r="Z1256">
        <v>0</v>
      </c>
      <c r="AA1256">
        <v>0</v>
      </c>
      <c r="AB1256">
        <v>0</v>
      </c>
      <c r="AC1256">
        <v>0</v>
      </c>
      <c r="AD1256" t="s">
        <v>134</v>
      </c>
      <c r="AE1256" t="s">
        <v>134</v>
      </c>
      <c r="AF1256" s="2">
        <v>45786</v>
      </c>
      <c r="AG1256" s="2">
        <v>46010</v>
      </c>
      <c r="AH1256">
        <v>374.87</v>
      </c>
      <c r="AI1256">
        <v>516.29999999999995</v>
      </c>
      <c r="AJ1256" s="1">
        <v>2624.14</v>
      </c>
      <c r="AK1256">
        <v>0</v>
      </c>
      <c r="AL1256">
        <v>0</v>
      </c>
      <c r="AM1256">
        <v>0</v>
      </c>
      <c r="AN1256" t="s">
        <v>135</v>
      </c>
      <c r="AO1256" t="s">
        <v>135</v>
      </c>
      <c r="AP1256" t="s">
        <v>136</v>
      </c>
      <c r="AQ1256" t="s">
        <v>137</v>
      </c>
      <c r="AR1256" t="s">
        <v>138</v>
      </c>
      <c r="AS1256" t="s">
        <v>139</v>
      </c>
      <c r="AT1256" t="s">
        <v>140</v>
      </c>
      <c r="AU1256">
        <v>103</v>
      </c>
      <c r="AV1256">
        <v>10</v>
      </c>
      <c r="AW1256">
        <v>1</v>
      </c>
      <c r="AX1256" s="2">
        <v>45813</v>
      </c>
      <c r="AY1256" t="s">
        <v>308</v>
      </c>
      <c r="AZ1256" s="2">
        <v>46023</v>
      </c>
      <c r="BA1256">
        <v>0</v>
      </c>
      <c r="BB1256">
        <v>0</v>
      </c>
      <c r="BC1256">
        <v>0</v>
      </c>
      <c r="BD1256">
        <v>700</v>
      </c>
      <c r="BE1256">
        <v>70</v>
      </c>
      <c r="BF1256">
        <v>9</v>
      </c>
      <c r="BG1256" s="2">
        <v>45809</v>
      </c>
      <c r="BH1256" t="s">
        <v>142</v>
      </c>
      <c r="BI1256" s="2">
        <v>46026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479.65</v>
      </c>
      <c r="BQ1256">
        <v>479.65</v>
      </c>
      <c r="BR1256">
        <v>0</v>
      </c>
      <c r="BS1256">
        <v>0</v>
      </c>
      <c r="BT1256">
        <v>0</v>
      </c>
      <c r="BU1256">
        <v>0</v>
      </c>
      <c r="BV1256">
        <v>784.05</v>
      </c>
      <c r="BW1256">
        <v>784.05</v>
      </c>
      <c r="BX1256">
        <v>0</v>
      </c>
      <c r="BY1256">
        <v>0</v>
      </c>
      <c r="BZ1256">
        <v>0</v>
      </c>
      <c r="CA1256">
        <v>0</v>
      </c>
      <c r="CB1256">
        <v>903.02</v>
      </c>
      <c r="CC1256" t="s">
        <v>161</v>
      </c>
    </row>
    <row r="1257" spans="1:81" x14ac:dyDescent="0.25">
      <c r="A1257">
        <v>345</v>
      </c>
      <c r="B1257">
        <v>2</v>
      </c>
      <c r="C1257">
        <v>3452</v>
      </c>
      <c r="D1257" t="s">
        <v>7169</v>
      </c>
      <c r="E1257" t="s">
        <v>121</v>
      </c>
      <c r="F1257" t="s">
        <v>5838</v>
      </c>
      <c r="G1257" t="s">
        <v>7170</v>
      </c>
      <c r="H1257" t="s">
        <v>5840</v>
      </c>
      <c r="I1257" t="s">
        <v>7171</v>
      </c>
      <c r="J1257" t="s">
        <v>1263</v>
      </c>
      <c r="K1257" t="s">
        <v>466</v>
      </c>
      <c r="L1257" t="s">
        <v>128</v>
      </c>
      <c r="M1257" t="s">
        <v>467</v>
      </c>
      <c r="N1257" t="s">
        <v>7172</v>
      </c>
      <c r="O1257" t="s">
        <v>195</v>
      </c>
      <c r="P1257">
        <v>0</v>
      </c>
      <c r="Q1257" t="s">
        <v>125</v>
      </c>
      <c r="R1257">
        <v>3</v>
      </c>
      <c r="S1257">
        <v>83</v>
      </c>
      <c r="T1257" t="s">
        <v>132</v>
      </c>
      <c r="U1257" t="s">
        <v>133</v>
      </c>
      <c r="V1257" s="1">
        <v>1000</v>
      </c>
      <c r="W1257">
        <v>0</v>
      </c>
      <c r="X1257" s="1">
        <v>1000</v>
      </c>
      <c r="Y1257">
        <v>7</v>
      </c>
      <c r="Z1257">
        <v>0</v>
      </c>
      <c r="AA1257">
        <v>0</v>
      </c>
      <c r="AB1257">
        <v>0</v>
      </c>
      <c r="AC1257">
        <v>0</v>
      </c>
      <c r="AD1257" t="s">
        <v>134</v>
      </c>
      <c r="AE1257" t="s">
        <v>134</v>
      </c>
      <c r="AF1257" s="2">
        <v>45786</v>
      </c>
      <c r="AG1257" s="2">
        <v>46018</v>
      </c>
      <c r="AH1257">
        <v>239.2</v>
      </c>
      <c r="AI1257">
        <v>401.21</v>
      </c>
      <c r="AJ1257" s="1">
        <v>2631.3</v>
      </c>
      <c r="AK1257">
        <v>0</v>
      </c>
      <c r="AL1257">
        <v>0</v>
      </c>
      <c r="AM1257">
        <v>0</v>
      </c>
      <c r="AN1257" t="s">
        <v>135</v>
      </c>
      <c r="AO1257" t="s">
        <v>135</v>
      </c>
      <c r="AP1257" t="s">
        <v>136</v>
      </c>
      <c r="AQ1257" t="s">
        <v>137</v>
      </c>
      <c r="AR1257" t="s">
        <v>138</v>
      </c>
      <c r="AS1257" t="s">
        <v>139</v>
      </c>
      <c r="AT1257" t="s">
        <v>140</v>
      </c>
      <c r="AU1257">
        <v>106</v>
      </c>
      <c r="AV1257">
        <v>10</v>
      </c>
      <c r="AW1257">
        <v>1</v>
      </c>
      <c r="AX1257" s="2">
        <v>45814</v>
      </c>
      <c r="AY1257" t="s">
        <v>151</v>
      </c>
      <c r="AZ1257" s="2">
        <v>46024</v>
      </c>
      <c r="BA1257">
        <v>0</v>
      </c>
      <c r="BB1257">
        <v>0</v>
      </c>
      <c r="BC1257">
        <v>0</v>
      </c>
      <c r="BD1257">
        <v>700</v>
      </c>
      <c r="BE1257">
        <v>70</v>
      </c>
      <c r="BF1257">
        <v>9</v>
      </c>
      <c r="BG1257" s="2">
        <v>45809</v>
      </c>
      <c r="BH1257" t="s">
        <v>142</v>
      </c>
      <c r="BI1257" s="2">
        <v>46026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 s="1">
        <v>1072.42</v>
      </c>
      <c r="BQ1257" s="1">
        <v>1072.42</v>
      </c>
      <c r="BR1257">
        <v>0</v>
      </c>
      <c r="BS1257">
        <v>0</v>
      </c>
      <c r="BT1257">
        <v>0</v>
      </c>
      <c r="BU1257">
        <v>0</v>
      </c>
      <c r="BV1257" s="1">
        <v>1116.4000000000001</v>
      </c>
      <c r="BW1257" s="1">
        <v>1116.4000000000001</v>
      </c>
      <c r="BX1257">
        <v>0</v>
      </c>
      <c r="BY1257">
        <v>0</v>
      </c>
      <c r="BZ1257">
        <v>0</v>
      </c>
      <c r="CA1257">
        <v>0</v>
      </c>
      <c r="CB1257">
        <v>642.02</v>
      </c>
      <c r="CC1257" t="s">
        <v>161</v>
      </c>
    </row>
    <row r="1258" spans="1:81" x14ac:dyDescent="0.25">
      <c r="A1258">
        <v>345</v>
      </c>
      <c r="B1258">
        <v>2</v>
      </c>
      <c r="C1258">
        <v>3453</v>
      </c>
      <c r="D1258" t="s">
        <v>7173</v>
      </c>
      <c r="E1258" t="s">
        <v>121</v>
      </c>
      <c r="F1258" t="s">
        <v>7174</v>
      </c>
      <c r="G1258" t="s">
        <v>7175</v>
      </c>
      <c r="H1258" t="s">
        <v>4126</v>
      </c>
      <c r="I1258" t="s">
        <v>7176</v>
      </c>
      <c r="J1258" t="s">
        <v>1263</v>
      </c>
      <c r="K1258" t="s">
        <v>466</v>
      </c>
      <c r="L1258" t="s">
        <v>128</v>
      </c>
      <c r="M1258" t="s">
        <v>467</v>
      </c>
      <c r="N1258" t="s">
        <v>7177</v>
      </c>
      <c r="O1258" t="s">
        <v>159</v>
      </c>
      <c r="P1258">
        <v>0</v>
      </c>
      <c r="Q1258" t="s">
        <v>125</v>
      </c>
      <c r="R1258">
        <v>3</v>
      </c>
      <c r="S1258">
        <v>82</v>
      </c>
      <c r="T1258" t="s">
        <v>132</v>
      </c>
      <c r="U1258" t="s">
        <v>133</v>
      </c>
      <c r="V1258" s="1">
        <v>1700</v>
      </c>
      <c r="W1258" s="1">
        <v>1681.51</v>
      </c>
      <c r="X1258">
        <v>18.489999999999998</v>
      </c>
      <c r="Y1258">
        <v>7</v>
      </c>
      <c r="Z1258">
        <v>0</v>
      </c>
      <c r="AA1258">
        <v>7</v>
      </c>
      <c r="AB1258">
        <v>0</v>
      </c>
      <c r="AC1258">
        <v>9</v>
      </c>
      <c r="AD1258" t="s">
        <v>234</v>
      </c>
      <c r="AE1258" t="s">
        <v>134</v>
      </c>
      <c r="AF1258" s="2">
        <v>45786</v>
      </c>
      <c r="AG1258" s="2">
        <v>46015</v>
      </c>
      <c r="AH1258">
        <v>858.75</v>
      </c>
      <c r="AI1258" s="1">
        <v>1125.0999999999999</v>
      </c>
      <c r="AJ1258" s="1">
        <v>11163.79</v>
      </c>
      <c r="AK1258">
        <v>0</v>
      </c>
      <c r="AL1258" s="1">
        <v>1681.51</v>
      </c>
      <c r="AM1258">
        <v>0</v>
      </c>
      <c r="AN1258" t="s">
        <v>135</v>
      </c>
      <c r="AO1258" t="s">
        <v>135</v>
      </c>
      <c r="AP1258" t="s">
        <v>136</v>
      </c>
      <c r="AQ1258" t="s">
        <v>137</v>
      </c>
      <c r="AR1258" t="s">
        <v>138</v>
      </c>
      <c r="AS1258" t="s">
        <v>139</v>
      </c>
      <c r="AT1258" t="s">
        <v>140</v>
      </c>
      <c r="AU1258">
        <v>100</v>
      </c>
      <c r="AV1258">
        <v>10</v>
      </c>
      <c r="AW1258">
        <v>1</v>
      </c>
      <c r="AX1258" s="2">
        <v>45811</v>
      </c>
      <c r="AY1258" t="s">
        <v>377</v>
      </c>
      <c r="AZ1258" s="2">
        <v>46028</v>
      </c>
      <c r="BA1258">
        <v>0</v>
      </c>
      <c r="BB1258">
        <v>0</v>
      </c>
      <c r="BC1258">
        <v>0</v>
      </c>
      <c r="BD1258">
        <v>700</v>
      </c>
      <c r="BE1258">
        <v>70</v>
      </c>
      <c r="BF1258">
        <v>9</v>
      </c>
      <c r="BG1258" s="2">
        <v>45809</v>
      </c>
      <c r="BH1258" t="s">
        <v>142</v>
      </c>
      <c r="BI1258" s="2">
        <v>46026</v>
      </c>
      <c r="BJ1258">
        <v>0</v>
      </c>
      <c r="BK1258">
        <v>0</v>
      </c>
      <c r="BL1258">
        <v>0</v>
      </c>
      <c r="BM1258">
        <v>7</v>
      </c>
      <c r="BN1258">
        <v>5.22</v>
      </c>
      <c r="BO1258" s="1">
        <v>2880.47</v>
      </c>
      <c r="BP1258">
        <v>981.59</v>
      </c>
      <c r="BQ1258" s="1">
        <v>3862.06</v>
      </c>
      <c r="BR1258">
        <v>0</v>
      </c>
      <c r="BS1258">
        <v>7</v>
      </c>
      <c r="BT1258">
        <v>7</v>
      </c>
      <c r="BU1258" s="1">
        <v>4096.8100000000004</v>
      </c>
      <c r="BV1258">
        <v>0</v>
      </c>
      <c r="BW1258" s="1">
        <v>4096.8100000000004</v>
      </c>
      <c r="BX1258">
        <v>740.88</v>
      </c>
      <c r="BY1258">
        <v>18.079999999999998</v>
      </c>
      <c r="BZ1258">
        <v>0</v>
      </c>
      <c r="CA1258">
        <v>0</v>
      </c>
      <c r="CB1258" s="1">
        <v>3252.32</v>
      </c>
      <c r="CC1258" t="s">
        <v>161</v>
      </c>
    </row>
    <row r="1259" spans="1:81" x14ac:dyDescent="0.25">
      <c r="A1259">
        <v>345</v>
      </c>
      <c r="B1259">
        <v>2</v>
      </c>
      <c r="C1259">
        <v>3455</v>
      </c>
      <c r="D1259" t="s">
        <v>7178</v>
      </c>
      <c r="E1259" t="s">
        <v>121</v>
      </c>
      <c r="F1259" t="s">
        <v>7179</v>
      </c>
      <c r="G1259" t="s">
        <v>7180</v>
      </c>
      <c r="H1259" t="s">
        <v>2280</v>
      </c>
      <c r="I1259" t="s">
        <v>7181</v>
      </c>
      <c r="J1259" t="s">
        <v>459</v>
      </c>
      <c r="K1259" t="s">
        <v>336</v>
      </c>
      <c r="L1259" t="s">
        <v>128</v>
      </c>
      <c r="M1259" t="s">
        <v>337</v>
      </c>
      <c r="N1259" t="s">
        <v>7182</v>
      </c>
      <c r="O1259" t="s">
        <v>167</v>
      </c>
      <c r="P1259">
        <v>0</v>
      </c>
      <c r="Q1259" t="s">
        <v>125</v>
      </c>
      <c r="R1259">
        <v>3</v>
      </c>
      <c r="S1259">
        <v>82</v>
      </c>
      <c r="T1259" t="s">
        <v>132</v>
      </c>
      <c r="U1259" t="s">
        <v>133</v>
      </c>
      <c r="V1259" s="1">
        <v>1000</v>
      </c>
      <c r="W1259">
        <v>265.52999999999997</v>
      </c>
      <c r="X1259">
        <v>734.47</v>
      </c>
      <c r="Y1259">
        <v>7</v>
      </c>
      <c r="Z1259">
        <v>0</v>
      </c>
      <c r="AA1259">
        <v>7</v>
      </c>
      <c r="AB1259">
        <v>0</v>
      </c>
      <c r="AC1259">
        <v>5</v>
      </c>
      <c r="AD1259" t="s">
        <v>134</v>
      </c>
      <c r="AE1259" t="s">
        <v>134</v>
      </c>
      <c r="AF1259" s="2">
        <v>45786</v>
      </c>
      <c r="AG1259" s="2">
        <v>46007</v>
      </c>
      <c r="AH1259">
        <v>261.77</v>
      </c>
      <c r="AI1259">
        <v>371.75</v>
      </c>
      <c r="AJ1259" s="1">
        <v>1832.45</v>
      </c>
      <c r="AK1259">
        <v>0</v>
      </c>
      <c r="AL1259">
        <v>265.52999999999997</v>
      </c>
      <c r="AM1259">
        <v>0</v>
      </c>
      <c r="AN1259" t="s">
        <v>135</v>
      </c>
      <c r="AO1259" t="s">
        <v>135</v>
      </c>
      <c r="AP1259" t="s">
        <v>136</v>
      </c>
      <c r="AQ1259" t="s">
        <v>137</v>
      </c>
      <c r="AR1259" t="s">
        <v>138</v>
      </c>
      <c r="AS1259" t="s">
        <v>139</v>
      </c>
      <c r="AT1259" t="s">
        <v>140</v>
      </c>
      <c r="AU1259">
        <v>100</v>
      </c>
      <c r="AV1259">
        <v>10</v>
      </c>
      <c r="AW1259">
        <v>1</v>
      </c>
      <c r="AX1259" s="2">
        <v>45810</v>
      </c>
      <c r="AY1259" t="s">
        <v>141</v>
      </c>
      <c r="AZ1259" s="2">
        <v>46027</v>
      </c>
      <c r="BA1259">
        <v>0</v>
      </c>
      <c r="BB1259">
        <v>0</v>
      </c>
      <c r="BC1259">
        <v>0</v>
      </c>
      <c r="BD1259">
        <v>700</v>
      </c>
      <c r="BE1259">
        <v>70</v>
      </c>
      <c r="BF1259">
        <v>9</v>
      </c>
      <c r="BG1259" s="2">
        <v>45809</v>
      </c>
      <c r="BH1259" t="s">
        <v>142</v>
      </c>
      <c r="BI1259" s="2">
        <v>46026</v>
      </c>
      <c r="BJ1259">
        <v>0</v>
      </c>
      <c r="BK1259">
        <v>0</v>
      </c>
      <c r="BL1259">
        <v>0</v>
      </c>
      <c r="BM1259">
        <v>7</v>
      </c>
      <c r="BN1259">
        <v>7</v>
      </c>
      <c r="BO1259">
        <v>371.75</v>
      </c>
      <c r="BP1259">
        <v>0</v>
      </c>
      <c r="BQ1259">
        <v>371.75</v>
      </c>
      <c r="BR1259">
        <v>0</v>
      </c>
      <c r="BS1259">
        <v>7</v>
      </c>
      <c r="BT1259">
        <v>7</v>
      </c>
      <c r="BU1259">
        <v>780.87</v>
      </c>
      <c r="BV1259">
        <v>0</v>
      </c>
      <c r="BW1259">
        <v>780.87</v>
      </c>
      <c r="BX1259">
        <v>265.52999999999997</v>
      </c>
      <c r="BY1259">
        <v>34</v>
      </c>
      <c r="BZ1259">
        <v>0</v>
      </c>
      <c r="CA1259">
        <v>0</v>
      </c>
      <c r="CB1259">
        <v>806.79</v>
      </c>
      <c r="CC1259" t="s">
        <v>161</v>
      </c>
    </row>
    <row r="1260" spans="1:81" x14ac:dyDescent="0.25">
      <c r="A1260">
        <v>345</v>
      </c>
      <c r="B1260">
        <v>2</v>
      </c>
      <c r="C1260">
        <v>3458</v>
      </c>
      <c r="D1260" t="s">
        <v>7183</v>
      </c>
      <c r="E1260" t="s">
        <v>121</v>
      </c>
      <c r="F1260" t="s">
        <v>7184</v>
      </c>
      <c r="G1260" t="s">
        <v>7185</v>
      </c>
      <c r="H1260" t="s">
        <v>7186</v>
      </c>
      <c r="I1260" t="s">
        <v>7187</v>
      </c>
      <c r="J1260" t="s">
        <v>4569</v>
      </c>
      <c r="K1260" t="s">
        <v>1853</v>
      </c>
      <c r="L1260" t="s">
        <v>128</v>
      </c>
      <c r="M1260" t="s">
        <v>1854</v>
      </c>
      <c r="N1260" t="s">
        <v>7188</v>
      </c>
      <c r="O1260" t="s">
        <v>167</v>
      </c>
      <c r="P1260">
        <v>0</v>
      </c>
      <c r="Q1260" t="s">
        <v>125</v>
      </c>
      <c r="R1260">
        <v>4</v>
      </c>
      <c r="S1260">
        <v>81</v>
      </c>
      <c r="T1260" t="s">
        <v>132</v>
      </c>
      <c r="U1260" t="s">
        <v>133</v>
      </c>
      <c r="V1260" s="1">
        <v>1400</v>
      </c>
      <c r="W1260">
        <v>0</v>
      </c>
      <c r="X1260" s="1">
        <v>1400</v>
      </c>
      <c r="Y1260">
        <v>7</v>
      </c>
      <c r="Z1260">
        <v>0</v>
      </c>
      <c r="AA1260">
        <v>0</v>
      </c>
      <c r="AB1260">
        <v>0</v>
      </c>
      <c r="AC1260">
        <v>0</v>
      </c>
      <c r="AD1260" t="s">
        <v>134</v>
      </c>
      <c r="AE1260" t="s">
        <v>134</v>
      </c>
      <c r="AF1260" s="2">
        <v>45786</v>
      </c>
      <c r="AG1260" s="2">
        <v>45961</v>
      </c>
      <c r="AH1260">
        <v>16.52</v>
      </c>
      <c r="AI1260">
        <v>16.52</v>
      </c>
      <c r="AJ1260">
        <v>16.52</v>
      </c>
      <c r="AK1260">
        <v>0</v>
      </c>
      <c r="AL1260">
        <v>0</v>
      </c>
      <c r="AM1260">
        <v>0</v>
      </c>
      <c r="AN1260" t="s">
        <v>135</v>
      </c>
      <c r="AO1260" t="s">
        <v>135</v>
      </c>
      <c r="AP1260" t="s">
        <v>136</v>
      </c>
      <c r="AQ1260" t="s">
        <v>137</v>
      </c>
      <c r="AR1260" t="s">
        <v>138</v>
      </c>
      <c r="AS1260" t="s">
        <v>139</v>
      </c>
      <c r="AT1260" t="s">
        <v>140</v>
      </c>
      <c r="AU1260">
        <v>103</v>
      </c>
      <c r="AV1260">
        <v>10</v>
      </c>
      <c r="AW1260">
        <v>1</v>
      </c>
      <c r="AX1260" s="2">
        <v>45820</v>
      </c>
      <c r="AY1260" t="s">
        <v>308</v>
      </c>
      <c r="AZ1260" s="2">
        <v>46023</v>
      </c>
      <c r="BA1260">
        <v>0</v>
      </c>
      <c r="BB1260">
        <v>0</v>
      </c>
      <c r="BC1260">
        <v>0</v>
      </c>
      <c r="BD1260">
        <v>700</v>
      </c>
      <c r="BE1260">
        <v>70</v>
      </c>
      <c r="BF1260">
        <v>9</v>
      </c>
      <c r="BG1260" s="2">
        <v>45809</v>
      </c>
      <c r="BH1260" t="s">
        <v>142</v>
      </c>
      <c r="BI1260" s="2">
        <v>46026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118.03</v>
      </c>
      <c r="CC1260" t="s">
        <v>161</v>
      </c>
    </row>
    <row r="1261" spans="1:81" x14ac:dyDescent="0.25">
      <c r="A1261">
        <v>345</v>
      </c>
      <c r="B1261">
        <v>2</v>
      </c>
      <c r="C1261">
        <v>3459</v>
      </c>
      <c r="D1261" t="s">
        <v>7189</v>
      </c>
      <c r="E1261" t="s">
        <v>121</v>
      </c>
      <c r="F1261" t="s">
        <v>5015</v>
      </c>
      <c r="G1261" t="s">
        <v>7190</v>
      </c>
      <c r="H1261" t="s">
        <v>7191</v>
      </c>
      <c r="I1261" t="s">
        <v>7192</v>
      </c>
      <c r="J1261" t="s">
        <v>4424</v>
      </c>
      <c r="K1261" t="s">
        <v>4248</v>
      </c>
      <c r="L1261" t="s">
        <v>128</v>
      </c>
      <c r="M1261" t="s">
        <v>1325</v>
      </c>
      <c r="N1261" t="s">
        <v>7193</v>
      </c>
      <c r="O1261" t="s">
        <v>201</v>
      </c>
      <c r="P1261">
        <v>0</v>
      </c>
      <c r="Q1261" t="s">
        <v>125</v>
      </c>
      <c r="R1261">
        <v>4</v>
      </c>
      <c r="S1261">
        <v>76</v>
      </c>
      <c r="T1261" t="s">
        <v>132</v>
      </c>
      <c r="U1261" t="s">
        <v>133</v>
      </c>
      <c r="V1261" s="1">
        <v>1000</v>
      </c>
      <c r="W1261">
        <v>794.58</v>
      </c>
      <c r="X1261">
        <v>205.42</v>
      </c>
      <c r="Y1261">
        <v>0</v>
      </c>
      <c r="Z1261">
        <v>0</v>
      </c>
      <c r="AA1261">
        <v>9</v>
      </c>
      <c r="AB1261">
        <v>2</v>
      </c>
      <c r="AC1261">
        <v>38</v>
      </c>
      <c r="AD1261" t="s">
        <v>134</v>
      </c>
      <c r="AE1261" t="s">
        <v>134</v>
      </c>
      <c r="AF1261" s="2">
        <v>45786</v>
      </c>
      <c r="AG1261" s="2">
        <v>46011</v>
      </c>
      <c r="AH1261">
        <v>360.65</v>
      </c>
      <c r="AI1261">
        <v>452.28</v>
      </c>
      <c r="AJ1261" s="1">
        <v>2524.5500000000002</v>
      </c>
      <c r="AK1261">
        <v>794.58</v>
      </c>
      <c r="AL1261">
        <v>0</v>
      </c>
      <c r="AM1261">
        <v>0</v>
      </c>
      <c r="AN1261" t="s">
        <v>135</v>
      </c>
      <c r="AO1261" t="s">
        <v>135</v>
      </c>
      <c r="AP1261" t="s">
        <v>136</v>
      </c>
      <c r="AQ1261" t="s">
        <v>137</v>
      </c>
      <c r="AR1261" t="s">
        <v>138</v>
      </c>
      <c r="AS1261" t="s">
        <v>139</v>
      </c>
      <c r="AT1261" t="s">
        <v>140</v>
      </c>
      <c r="AU1261">
        <v>104</v>
      </c>
      <c r="AV1261">
        <v>10</v>
      </c>
      <c r="AW1261">
        <v>1</v>
      </c>
      <c r="AX1261" s="2">
        <v>45811</v>
      </c>
      <c r="AY1261" t="s">
        <v>377</v>
      </c>
      <c r="AZ1261" s="2">
        <v>46028</v>
      </c>
      <c r="BA1261">
        <v>0</v>
      </c>
      <c r="BB1261">
        <v>0</v>
      </c>
      <c r="BC1261">
        <v>0</v>
      </c>
      <c r="BD1261">
        <v>700</v>
      </c>
      <c r="BE1261">
        <v>70</v>
      </c>
      <c r="BF1261">
        <v>9</v>
      </c>
      <c r="BG1261" s="2">
        <v>45809</v>
      </c>
      <c r="BH1261" t="s">
        <v>142</v>
      </c>
      <c r="BI1261" s="2">
        <v>46026</v>
      </c>
      <c r="BJ1261">
        <v>0</v>
      </c>
      <c r="BK1261">
        <v>0</v>
      </c>
      <c r="BL1261">
        <v>0</v>
      </c>
      <c r="BM1261">
        <v>9</v>
      </c>
      <c r="BN1261">
        <v>9</v>
      </c>
      <c r="BO1261" s="1">
        <v>1022.23</v>
      </c>
      <c r="BP1261">
        <v>0</v>
      </c>
      <c r="BQ1261" s="1">
        <v>1022.23</v>
      </c>
      <c r="BR1261">
        <v>452.28</v>
      </c>
      <c r="BS1261">
        <v>8.02</v>
      </c>
      <c r="BT1261">
        <v>8.02</v>
      </c>
      <c r="BU1261">
        <v>794.58</v>
      </c>
      <c r="BV1261">
        <v>0</v>
      </c>
      <c r="BW1261">
        <v>794.58</v>
      </c>
      <c r="BX1261">
        <v>0</v>
      </c>
      <c r="BY1261">
        <v>0</v>
      </c>
      <c r="BZ1261">
        <v>0</v>
      </c>
      <c r="CA1261">
        <v>0</v>
      </c>
      <c r="CB1261">
        <v>884.02</v>
      </c>
      <c r="CC1261" t="s">
        <v>161</v>
      </c>
    </row>
    <row r="1262" spans="1:81" x14ac:dyDescent="0.25">
      <c r="A1262">
        <v>345</v>
      </c>
      <c r="B1262">
        <v>2</v>
      </c>
      <c r="C1262">
        <v>3460</v>
      </c>
      <c r="D1262" t="s">
        <v>7194</v>
      </c>
      <c r="E1262" t="s">
        <v>121</v>
      </c>
      <c r="F1262" t="s">
        <v>7195</v>
      </c>
      <c r="G1262" t="s">
        <v>7196</v>
      </c>
      <c r="H1262" t="s">
        <v>2188</v>
      </c>
      <c r="I1262" t="s">
        <v>7197</v>
      </c>
      <c r="J1262" t="s">
        <v>1369</v>
      </c>
      <c r="K1262" t="s">
        <v>336</v>
      </c>
      <c r="L1262" t="s">
        <v>128</v>
      </c>
      <c r="M1262" t="s">
        <v>337</v>
      </c>
      <c r="N1262" t="s">
        <v>7198</v>
      </c>
      <c r="O1262" t="s">
        <v>167</v>
      </c>
      <c r="P1262">
        <v>0</v>
      </c>
      <c r="Q1262" t="s">
        <v>125</v>
      </c>
      <c r="R1262">
        <v>3</v>
      </c>
      <c r="S1262">
        <v>82</v>
      </c>
      <c r="T1262" t="s">
        <v>132</v>
      </c>
      <c r="U1262" t="s">
        <v>133</v>
      </c>
      <c r="V1262" s="1">
        <v>2000</v>
      </c>
      <c r="W1262">
        <v>913.34</v>
      </c>
      <c r="X1262" s="1">
        <v>1086.6600000000001</v>
      </c>
      <c r="Y1262">
        <v>7</v>
      </c>
      <c r="Z1262">
        <v>0</v>
      </c>
      <c r="AA1262">
        <v>9</v>
      </c>
      <c r="AB1262">
        <v>0</v>
      </c>
      <c r="AC1262">
        <v>0</v>
      </c>
      <c r="AD1262" t="s">
        <v>134</v>
      </c>
      <c r="AE1262" t="s">
        <v>134</v>
      </c>
      <c r="AF1262" s="2">
        <v>45786</v>
      </c>
      <c r="AG1262" s="2">
        <v>46019</v>
      </c>
      <c r="AH1262" s="1">
        <v>1085.93</v>
      </c>
      <c r="AI1262" s="1">
        <v>1592.33</v>
      </c>
      <c r="AJ1262" s="1">
        <v>14117.17</v>
      </c>
      <c r="AK1262">
        <v>0</v>
      </c>
      <c r="AL1262">
        <v>913.34</v>
      </c>
      <c r="AM1262">
        <v>174.11</v>
      </c>
      <c r="AN1262" t="s">
        <v>135</v>
      </c>
      <c r="AO1262" t="s">
        <v>135</v>
      </c>
      <c r="AP1262" t="s">
        <v>136</v>
      </c>
      <c r="AQ1262" t="s">
        <v>137</v>
      </c>
      <c r="AR1262" t="s">
        <v>138</v>
      </c>
      <c r="AS1262" t="s">
        <v>139</v>
      </c>
      <c r="AT1262" t="s">
        <v>140</v>
      </c>
      <c r="AU1262">
        <v>102</v>
      </c>
      <c r="AV1262">
        <v>10</v>
      </c>
      <c r="AW1262">
        <v>1</v>
      </c>
      <c r="AX1262" s="2">
        <v>45814</v>
      </c>
      <c r="AY1262" t="s">
        <v>151</v>
      </c>
      <c r="AZ1262" s="2">
        <v>46024</v>
      </c>
      <c r="BA1262">
        <v>0</v>
      </c>
      <c r="BB1262">
        <v>0</v>
      </c>
      <c r="BC1262">
        <v>0</v>
      </c>
      <c r="BD1262">
        <v>700</v>
      </c>
      <c r="BE1262">
        <v>70</v>
      </c>
      <c r="BF1262">
        <v>9</v>
      </c>
      <c r="BG1262" s="2">
        <v>45809</v>
      </c>
      <c r="BH1262" t="s">
        <v>142</v>
      </c>
      <c r="BI1262" s="2">
        <v>46026</v>
      </c>
      <c r="BJ1262">
        <v>0</v>
      </c>
      <c r="BK1262">
        <v>0</v>
      </c>
      <c r="BL1262">
        <v>0</v>
      </c>
      <c r="BM1262">
        <v>8.4499999999999993</v>
      </c>
      <c r="BN1262">
        <v>7.89</v>
      </c>
      <c r="BO1262" s="1">
        <v>5621.72</v>
      </c>
      <c r="BP1262">
        <v>398.6</v>
      </c>
      <c r="BQ1262" s="1">
        <v>6020.32</v>
      </c>
      <c r="BR1262" s="1">
        <v>1590.18</v>
      </c>
      <c r="BS1262">
        <v>8.82</v>
      </c>
      <c r="BT1262">
        <v>8.82</v>
      </c>
      <c r="BU1262" s="1">
        <v>5012.25</v>
      </c>
      <c r="BV1262">
        <v>0</v>
      </c>
      <c r="BW1262" s="1">
        <v>5012.25</v>
      </c>
      <c r="BX1262">
        <v>913.34</v>
      </c>
      <c r="BY1262">
        <v>18.22</v>
      </c>
      <c r="BZ1262">
        <v>0</v>
      </c>
      <c r="CA1262">
        <v>0</v>
      </c>
      <c r="CB1262" s="1">
        <v>3215.22</v>
      </c>
      <c r="CC1262" t="s">
        <v>161</v>
      </c>
    </row>
    <row r="1263" spans="1:81" x14ac:dyDescent="0.25">
      <c r="A1263">
        <v>345</v>
      </c>
      <c r="B1263">
        <v>2</v>
      </c>
      <c r="C1263">
        <v>3464</v>
      </c>
      <c r="D1263" t="s">
        <v>7199</v>
      </c>
      <c r="E1263" t="s">
        <v>121</v>
      </c>
      <c r="F1263" t="s">
        <v>7200</v>
      </c>
      <c r="G1263" t="s">
        <v>7201</v>
      </c>
      <c r="H1263" t="s">
        <v>7202</v>
      </c>
      <c r="I1263" t="s">
        <v>7203</v>
      </c>
      <c r="J1263" t="s">
        <v>3174</v>
      </c>
      <c r="K1263" t="s">
        <v>1853</v>
      </c>
      <c r="L1263" t="s">
        <v>128</v>
      </c>
      <c r="M1263" t="s">
        <v>1854</v>
      </c>
      <c r="N1263" t="s">
        <v>7204</v>
      </c>
      <c r="O1263" t="s">
        <v>159</v>
      </c>
      <c r="P1263">
        <v>0</v>
      </c>
      <c r="Q1263" t="s">
        <v>125</v>
      </c>
      <c r="R1263">
        <v>5</v>
      </c>
      <c r="S1263">
        <v>72</v>
      </c>
      <c r="T1263" t="s">
        <v>132</v>
      </c>
      <c r="U1263" t="s">
        <v>133</v>
      </c>
      <c r="V1263" s="1">
        <v>3700</v>
      </c>
      <c r="W1263">
        <v>0</v>
      </c>
      <c r="X1263" s="1">
        <v>3700</v>
      </c>
      <c r="Y1263">
        <v>7</v>
      </c>
      <c r="Z1263">
        <v>0</v>
      </c>
      <c r="AA1263">
        <v>7</v>
      </c>
      <c r="AB1263">
        <v>0</v>
      </c>
      <c r="AC1263">
        <v>20</v>
      </c>
      <c r="AD1263" t="s">
        <v>134</v>
      </c>
      <c r="AE1263" t="s">
        <v>134</v>
      </c>
      <c r="AF1263" s="2">
        <v>45789</v>
      </c>
      <c r="AG1263" s="2">
        <v>45974</v>
      </c>
      <c r="AH1263" s="1">
        <v>1511.44</v>
      </c>
      <c r="AI1263" s="1">
        <v>1511.44</v>
      </c>
      <c r="AJ1263" s="1">
        <v>1511.44</v>
      </c>
      <c r="AK1263">
        <v>0</v>
      </c>
      <c r="AL1263">
        <v>0</v>
      </c>
      <c r="AM1263">
        <v>0</v>
      </c>
      <c r="AN1263" t="s">
        <v>135</v>
      </c>
      <c r="AO1263" t="s">
        <v>135</v>
      </c>
      <c r="AP1263" t="s">
        <v>136</v>
      </c>
      <c r="AQ1263" t="s">
        <v>137</v>
      </c>
      <c r="AR1263" t="s">
        <v>138</v>
      </c>
      <c r="AS1263" t="s">
        <v>150</v>
      </c>
      <c r="AT1263" t="s">
        <v>140</v>
      </c>
      <c r="AU1263">
        <v>106</v>
      </c>
      <c r="AV1263">
        <v>10</v>
      </c>
      <c r="AW1263">
        <v>1</v>
      </c>
      <c r="AX1263" s="2">
        <v>45973</v>
      </c>
      <c r="AY1263" t="s">
        <v>168</v>
      </c>
      <c r="AZ1263" s="2">
        <v>46022</v>
      </c>
      <c r="BA1263">
        <v>0</v>
      </c>
      <c r="BB1263">
        <v>0</v>
      </c>
      <c r="BC1263">
        <v>0</v>
      </c>
      <c r="BD1263">
        <v>700</v>
      </c>
      <c r="BE1263">
        <v>70</v>
      </c>
      <c r="BF1263">
        <v>9</v>
      </c>
      <c r="BG1263" s="2">
        <v>45809</v>
      </c>
      <c r="BH1263" t="s">
        <v>142</v>
      </c>
      <c r="BI1263" s="2">
        <v>46026</v>
      </c>
      <c r="BJ1263">
        <v>0</v>
      </c>
      <c r="BK1263">
        <v>0</v>
      </c>
      <c r="BL1263">
        <v>0</v>
      </c>
      <c r="BM1263">
        <v>7</v>
      </c>
      <c r="BN1263">
        <v>7</v>
      </c>
      <c r="BO1263" s="1">
        <v>1511.44</v>
      </c>
      <c r="BP1263">
        <v>0</v>
      </c>
      <c r="BQ1263" s="1">
        <v>1511.44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613.80999999999995</v>
      </c>
      <c r="CC1263" t="s">
        <v>161</v>
      </c>
    </row>
    <row r="1264" spans="1:81" x14ac:dyDescent="0.25">
      <c r="A1264">
        <v>345</v>
      </c>
      <c r="B1264">
        <v>2</v>
      </c>
      <c r="C1264">
        <v>3467</v>
      </c>
      <c r="D1264" t="s">
        <v>7205</v>
      </c>
      <c r="E1264" t="s">
        <v>121</v>
      </c>
      <c r="F1264" t="s">
        <v>7206</v>
      </c>
      <c r="G1264" t="s">
        <v>7207</v>
      </c>
      <c r="H1264" t="s">
        <v>7202</v>
      </c>
      <c r="I1264" t="s">
        <v>7208</v>
      </c>
      <c r="J1264" t="s">
        <v>3174</v>
      </c>
      <c r="K1264" t="s">
        <v>1853</v>
      </c>
      <c r="L1264" t="s">
        <v>128</v>
      </c>
      <c r="M1264" t="s">
        <v>1854</v>
      </c>
      <c r="N1264" t="s">
        <v>7209</v>
      </c>
      <c r="O1264" t="s">
        <v>159</v>
      </c>
      <c r="P1264">
        <v>0</v>
      </c>
      <c r="Q1264" t="s">
        <v>125</v>
      </c>
      <c r="R1264">
        <v>5</v>
      </c>
      <c r="S1264">
        <v>73</v>
      </c>
      <c r="T1264" t="s">
        <v>132</v>
      </c>
      <c r="U1264" t="s">
        <v>133</v>
      </c>
      <c r="V1264" s="1">
        <v>1300</v>
      </c>
      <c r="W1264">
        <v>566.53</v>
      </c>
      <c r="X1264">
        <v>733.47</v>
      </c>
      <c r="Y1264">
        <v>0</v>
      </c>
      <c r="Z1264">
        <v>0</v>
      </c>
      <c r="AA1264">
        <v>7</v>
      </c>
      <c r="AB1264">
        <v>6</v>
      </c>
      <c r="AC1264">
        <v>0</v>
      </c>
      <c r="AD1264" t="s">
        <v>134</v>
      </c>
      <c r="AE1264" t="s">
        <v>134</v>
      </c>
      <c r="AF1264" s="2">
        <v>45789</v>
      </c>
      <c r="AG1264" s="2">
        <v>45989</v>
      </c>
      <c r="AH1264">
        <v>278.05</v>
      </c>
      <c r="AI1264">
        <v>566.53</v>
      </c>
      <c r="AJ1264" s="1">
        <v>1112.23</v>
      </c>
      <c r="AK1264">
        <v>566.53</v>
      </c>
      <c r="AL1264">
        <v>0</v>
      </c>
      <c r="AM1264">
        <v>0</v>
      </c>
      <c r="AN1264" t="s">
        <v>135</v>
      </c>
      <c r="AO1264" t="s">
        <v>135</v>
      </c>
      <c r="AP1264" t="s">
        <v>136</v>
      </c>
      <c r="AQ1264" t="s">
        <v>137</v>
      </c>
      <c r="AR1264" t="s">
        <v>138</v>
      </c>
      <c r="AS1264" t="s">
        <v>150</v>
      </c>
      <c r="AT1264" t="s">
        <v>140</v>
      </c>
      <c r="AU1264">
        <v>106</v>
      </c>
      <c r="AV1264">
        <v>10</v>
      </c>
      <c r="AW1264">
        <v>1</v>
      </c>
      <c r="AX1264" s="2">
        <v>45811</v>
      </c>
      <c r="AY1264" t="s">
        <v>377</v>
      </c>
      <c r="AZ1264" s="2">
        <v>46028</v>
      </c>
      <c r="BA1264">
        <v>0</v>
      </c>
      <c r="BB1264">
        <v>0</v>
      </c>
      <c r="BC1264">
        <v>0</v>
      </c>
      <c r="BD1264">
        <v>700</v>
      </c>
      <c r="BE1264">
        <v>70</v>
      </c>
      <c r="BF1264">
        <v>9</v>
      </c>
      <c r="BG1264" s="2">
        <v>45809</v>
      </c>
      <c r="BH1264" t="s">
        <v>142</v>
      </c>
      <c r="BI1264" s="2">
        <v>46026</v>
      </c>
      <c r="BJ1264">
        <v>0</v>
      </c>
      <c r="BK1264">
        <v>0</v>
      </c>
      <c r="BL1264">
        <v>0</v>
      </c>
      <c r="BM1264">
        <v>7</v>
      </c>
      <c r="BN1264">
        <v>5.3</v>
      </c>
      <c r="BO1264">
        <v>566.53</v>
      </c>
      <c r="BP1264">
        <v>181.9</v>
      </c>
      <c r="BQ1264">
        <v>748.43</v>
      </c>
      <c r="BR1264">
        <v>566.53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370.74</v>
      </c>
      <c r="CC1264" t="s">
        <v>161</v>
      </c>
    </row>
    <row r="1265" spans="1:81" x14ac:dyDescent="0.25">
      <c r="A1265">
        <v>345</v>
      </c>
      <c r="B1265">
        <v>2</v>
      </c>
      <c r="C1265">
        <v>3469</v>
      </c>
      <c r="D1265" t="s">
        <v>7210</v>
      </c>
      <c r="E1265" t="s">
        <v>121</v>
      </c>
      <c r="F1265" t="s">
        <v>7211</v>
      </c>
      <c r="G1265" t="s">
        <v>7212</v>
      </c>
      <c r="H1265" t="s">
        <v>7213</v>
      </c>
      <c r="I1265" t="s">
        <v>7214</v>
      </c>
      <c r="J1265" t="s">
        <v>126</v>
      </c>
      <c r="K1265" t="s">
        <v>466</v>
      </c>
      <c r="L1265" t="s">
        <v>128</v>
      </c>
      <c r="M1265" t="s">
        <v>467</v>
      </c>
      <c r="N1265" t="s">
        <v>7215</v>
      </c>
      <c r="O1265" t="s">
        <v>201</v>
      </c>
      <c r="P1265">
        <v>0</v>
      </c>
      <c r="Q1265" t="s">
        <v>125</v>
      </c>
      <c r="R1265">
        <v>3</v>
      </c>
      <c r="S1265">
        <v>84</v>
      </c>
      <c r="T1265" t="s">
        <v>132</v>
      </c>
      <c r="U1265" t="s">
        <v>133</v>
      </c>
      <c r="V1265" s="1">
        <v>1000</v>
      </c>
      <c r="W1265">
        <v>0</v>
      </c>
      <c r="X1265" s="1">
        <v>1000</v>
      </c>
      <c r="Y1265">
        <v>7</v>
      </c>
      <c r="Z1265">
        <v>0</v>
      </c>
      <c r="AA1265">
        <v>0</v>
      </c>
      <c r="AB1265">
        <v>0</v>
      </c>
      <c r="AC1265">
        <v>0</v>
      </c>
      <c r="AD1265" t="s">
        <v>134</v>
      </c>
      <c r="AE1265" t="s">
        <v>134</v>
      </c>
      <c r="AF1265" s="2">
        <v>45789</v>
      </c>
      <c r="AG1265" s="2">
        <v>45982</v>
      </c>
      <c r="AH1265">
        <v>114.04</v>
      </c>
      <c r="AI1265">
        <v>143.43</v>
      </c>
      <c r="AJ1265">
        <v>342.13</v>
      </c>
      <c r="AK1265">
        <v>0</v>
      </c>
      <c r="AL1265">
        <v>0</v>
      </c>
      <c r="AM1265">
        <v>0</v>
      </c>
      <c r="AN1265" t="s">
        <v>135</v>
      </c>
      <c r="AO1265" t="s">
        <v>135</v>
      </c>
      <c r="AP1265" t="s">
        <v>136</v>
      </c>
      <c r="AQ1265" t="s">
        <v>137</v>
      </c>
      <c r="AR1265" t="s">
        <v>138</v>
      </c>
      <c r="AS1265" t="s">
        <v>150</v>
      </c>
      <c r="AT1265" t="s">
        <v>140</v>
      </c>
      <c r="AU1265">
        <v>105</v>
      </c>
      <c r="AV1265">
        <v>10</v>
      </c>
      <c r="AW1265">
        <v>1</v>
      </c>
      <c r="AX1265" s="2">
        <v>45813</v>
      </c>
      <c r="AY1265" t="s">
        <v>308</v>
      </c>
      <c r="AZ1265" s="2">
        <v>46023</v>
      </c>
      <c r="BA1265">
        <v>0</v>
      </c>
      <c r="BB1265">
        <v>0</v>
      </c>
      <c r="BC1265">
        <v>0</v>
      </c>
      <c r="BD1265">
        <v>700</v>
      </c>
      <c r="BE1265">
        <v>70</v>
      </c>
      <c r="BF1265">
        <v>9</v>
      </c>
      <c r="BG1265" s="2">
        <v>45809</v>
      </c>
      <c r="BH1265" t="s">
        <v>142</v>
      </c>
      <c r="BI1265" s="2">
        <v>46026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222.85</v>
      </c>
      <c r="BQ1265">
        <v>222.85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131.08000000000001</v>
      </c>
      <c r="CC1265" t="s">
        <v>161</v>
      </c>
    </row>
    <row r="1266" spans="1:81" x14ac:dyDescent="0.25">
      <c r="A1266">
        <v>345</v>
      </c>
      <c r="B1266">
        <v>2</v>
      </c>
      <c r="C1266">
        <v>3471</v>
      </c>
      <c r="D1266" t="s">
        <v>7216</v>
      </c>
      <c r="E1266" t="s">
        <v>121</v>
      </c>
      <c r="F1266" t="s">
        <v>7217</v>
      </c>
      <c r="G1266" t="s">
        <v>7218</v>
      </c>
      <c r="H1266" t="s">
        <v>7219</v>
      </c>
      <c r="I1266" t="s">
        <v>7220</v>
      </c>
      <c r="J1266" t="s">
        <v>4569</v>
      </c>
      <c r="K1266" t="s">
        <v>466</v>
      </c>
      <c r="L1266" t="s">
        <v>128</v>
      </c>
      <c r="M1266" t="s">
        <v>467</v>
      </c>
      <c r="N1266" t="s">
        <v>7221</v>
      </c>
      <c r="O1266" t="s">
        <v>167</v>
      </c>
      <c r="P1266">
        <v>0</v>
      </c>
      <c r="Q1266" t="s">
        <v>125</v>
      </c>
      <c r="R1266">
        <v>3</v>
      </c>
      <c r="S1266">
        <v>83</v>
      </c>
      <c r="T1266" t="s">
        <v>132</v>
      </c>
      <c r="U1266" t="s">
        <v>133</v>
      </c>
      <c r="V1266" s="1">
        <v>1400</v>
      </c>
      <c r="W1266">
        <v>0</v>
      </c>
      <c r="X1266" s="1">
        <v>1400</v>
      </c>
      <c r="Y1266">
        <v>7</v>
      </c>
      <c r="Z1266">
        <v>0</v>
      </c>
      <c r="AA1266">
        <v>0</v>
      </c>
      <c r="AB1266">
        <v>0</v>
      </c>
      <c r="AC1266">
        <v>0</v>
      </c>
      <c r="AD1266" t="s">
        <v>134</v>
      </c>
      <c r="AE1266" t="s">
        <v>134</v>
      </c>
      <c r="AF1266" s="2">
        <v>45789</v>
      </c>
      <c r="AG1266" s="2">
        <v>45947</v>
      </c>
      <c r="AH1266">
        <v>12.62</v>
      </c>
      <c r="AI1266">
        <v>12.62</v>
      </c>
      <c r="AJ1266">
        <v>12.62</v>
      </c>
      <c r="AK1266">
        <v>0</v>
      </c>
      <c r="AL1266">
        <v>0</v>
      </c>
      <c r="AM1266">
        <v>0</v>
      </c>
      <c r="AN1266" t="s">
        <v>135</v>
      </c>
      <c r="AO1266" t="s">
        <v>135</v>
      </c>
      <c r="AP1266" t="s">
        <v>136</v>
      </c>
      <c r="AQ1266" t="s">
        <v>137</v>
      </c>
      <c r="AR1266" t="s">
        <v>138</v>
      </c>
      <c r="AS1266" t="s">
        <v>139</v>
      </c>
      <c r="AT1266" t="s">
        <v>140</v>
      </c>
      <c r="AU1266">
        <v>100</v>
      </c>
      <c r="AV1266">
        <v>10</v>
      </c>
      <c r="AW1266">
        <v>1</v>
      </c>
      <c r="AX1266" s="2">
        <v>45890</v>
      </c>
      <c r="AY1266" t="s">
        <v>308</v>
      </c>
      <c r="AZ1266" s="2">
        <v>46023</v>
      </c>
      <c r="BA1266">
        <v>0</v>
      </c>
      <c r="BB1266">
        <v>0</v>
      </c>
      <c r="BC1266">
        <v>0</v>
      </c>
      <c r="BD1266">
        <v>999</v>
      </c>
      <c r="BE1266">
        <v>99</v>
      </c>
      <c r="BF1266">
        <v>9</v>
      </c>
      <c r="BG1266" t="s">
        <v>135</v>
      </c>
      <c r="BH1266" t="s">
        <v>250</v>
      </c>
      <c r="BI1266" t="s">
        <v>135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4.2</v>
      </c>
      <c r="CC1266" t="s">
        <v>161</v>
      </c>
    </row>
    <row r="1267" spans="1:81" x14ac:dyDescent="0.25">
      <c r="A1267">
        <v>345</v>
      </c>
      <c r="B1267">
        <v>2</v>
      </c>
      <c r="C1267">
        <v>3474</v>
      </c>
      <c r="D1267" t="s">
        <v>7222</v>
      </c>
      <c r="E1267" t="s">
        <v>121</v>
      </c>
      <c r="F1267" t="s">
        <v>7223</v>
      </c>
      <c r="G1267" t="s">
        <v>7224</v>
      </c>
      <c r="H1267" t="s">
        <v>7225</v>
      </c>
      <c r="I1267" t="s">
        <v>7226</v>
      </c>
      <c r="J1267" t="s">
        <v>1263</v>
      </c>
      <c r="K1267" t="s">
        <v>466</v>
      </c>
      <c r="L1267" t="s">
        <v>128</v>
      </c>
      <c r="M1267" t="s">
        <v>467</v>
      </c>
      <c r="N1267" t="s">
        <v>7227</v>
      </c>
      <c r="O1267" t="s">
        <v>201</v>
      </c>
      <c r="P1267">
        <v>0</v>
      </c>
      <c r="Q1267" t="s">
        <v>125</v>
      </c>
      <c r="R1267">
        <v>3</v>
      </c>
      <c r="S1267">
        <v>82</v>
      </c>
      <c r="T1267" t="s">
        <v>132</v>
      </c>
      <c r="U1267" t="s">
        <v>133</v>
      </c>
      <c r="V1267" s="1">
        <v>1000</v>
      </c>
      <c r="W1267">
        <v>0</v>
      </c>
      <c r="X1267" s="1">
        <v>1000</v>
      </c>
      <c r="Y1267">
        <v>7</v>
      </c>
      <c r="Z1267">
        <v>0</v>
      </c>
      <c r="AA1267">
        <v>0</v>
      </c>
      <c r="AB1267">
        <v>0</v>
      </c>
      <c r="AC1267">
        <v>0</v>
      </c>
      <c r="AD1267" t="s">
        <v>134</v>
      </c>
      <c r="AE1267" t="s">
        <v>134</v>
      </c>
      <c r="AF1267" s="2">
        <v>45790</v>
      </c>
      <c r="AG1267" s="2">
        <v>46003</v>
      </c>
      <c r="AH1267">
        <v>295.51</v>
      </c>
      <c r="AI1267">
        <v>370.88</v>
      </c>
      <c r="AJ1267" s="1">
        <v>1182.07</v>
      </c>
      <c r="AK1267">
        <v>0</v>
      </c>
      <c r="AL1267">
        <v>0</v>
      </c>
      <c r="AM1267">
        <v>0</v>
      </c>
      <c r="AN1267" t="s">
        <v>135</v>
      </c>
      <c r="AO1267" t="s">
        <v>135</v>
      </c>
      <c r="AP1267" t="s">
        <v>136</v>
      </c>
      <c r="AQ1267" t="s">
        <v>137</v>
      </c>
      <c r="AR1267" t="s">
        <v>138</v>
      </c>
      <c r="AS1267" t="s">
        <v>150</v>
      </c>
      <c r="AT1267" t="s">
        <v>140</v>
      </c>
      <c r="AU1267">
        <v>106</v>
      </c>
      <c r="AV1267">
        <v>10</v>
      </c>
      <c r="AW1267">
        <v>1</v>
      </c>
      <c r="AX1267" s="2">
        <v>45967</v>
      </c>
      <c r="AY1267" t="s">
        <v>308</v>
      </c>
      <c r="AZ1267" s="2">
        <v>46023</v>
      </c>
      <c r="BA1267">
        <v>0</v>
      </c>
      <c r="BB1267">
        <v>0</v>
      </c>
      <c r="BC1267">
        <v>0</v>
      </c>
      <c r="BD1267">
        <v>700</v>
      </c>
      <c r="BE1267">
        <v>70</v>
      </c>
      <c r="BF1267">
        <v>9</v>
      </c>
      <c r="BG1267" s="2">
        <v>45809</v>
      </c>
      <c r="BH1267" t="s">
        <v>142</v>
      </c>
      <c r="BI1267" s="2">
        <v>46026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610.58000000000004</v>
      </c>
      <c r="BQ1267">
        <v>610.58000000000004</v>
      </c>
      <c r="BR1267">
        <v>0</v>
      </c>
      <c r="BS1267">
        <v>0</v>
      </c>
      <c r="BT1267">
        <v>0</v>
      </c>
      <c r="BU1267">
        <v>0</v>
      </c>
      <c r="BV1267">
        <v>237.52</v>
      </c>
      <c r="BW1267">
        <v>237.52</v>
      </c>
      <c r="BX1267">
        <v>0</v>
      </c>
      <c r="BY1267">
        <v>0</v>
      </c>
      <c r="BZ1267">
        <v>0</v>
      </c>
      <c r="CA1267">
        <v>0</v>
      </c>
      <c r="CB1267">
        <v>425.61</v>
      </c>
      <c r="CC1267" t="s">
        <v>161</v>
      </c>
    </row>
    <row r="1268" spans="1:81" x14ac:dyDescent="0.25">
      <c r="A1268">
        <v>345</v>
      </c>
      <c r="B1268">
        <v>2</v>
      </c>
      <c r="C1268">
        <v>3475</v>
      </c>
      <c r="D1268" t="s">
        <v>7228</v>
      </c>
      <c r="E1268" t="s">
        <v>121</v>
      </c>
      <c r="F1268" t="s">
        <v>7229</v>
      </c>
      <c r="G1268" t="s">
        <v>7230</v>
      </c>
      <c r="H1268" t="s">
        <v>7231</v>
      </c>
      <c r="I1268" t="s">
        <v>7232</v>
      </c>
      <c r="J1268" t="s">
        <v>1556</v>
      </c>
      <c r="K1268" t="s">
        <v>473</v>
      </c>
      <c r="L1268" t="s">
        <v>128</v>
      </c>
      <c r="M1268" t="s">
        <v>474</v>
      </c>
      <c r="N1268" t="s">
        <v>7233</v>
      </c>
      <c r="O1268" t="s">
        <v>201</v>
      </c>
      <c r="P1268">
        <v>0</v>
      </c>
      <c r="Q1268" t="s">
        <v>125</v>
      </c>
      <c r="R1268">
        <v>3</v>
      </c>
      <c r="S1268">
        <v>82</v>
      </c>
      <c r="T1268" t="s">
        <v>132</v>
      </c>
      <c r="U1268" t="s">
        <v>133</v>
      </c>
      <c r="V1268" s="1">
        <v>1300</v>
      </c>
      <c r="W1268">
        <v>0</v>
      </c>
      <c r="X1268" s="1">
        <v>1300</v>
      </c>
      <c r="Y1268">
        <v>7</v>
      </c>
      <c r="Z1268">
        <v>0</v>
      </c>
      <c r="AA1268">
        <v>0</v>
      </c>
      <c r="AB1268">
        <v>0</v>
      </c>
      <c r="AC1268">
        <v>0</v>
      </c>
      <c r="AD1268" t="s">
        <v>134</v>
      </c>
      <c r="AE1268" t="s">
        <v>134</v>
      </c>
      <c r="AF1268" s="2">
        <v>45791</v>
      </c>
      <c r="AG1268" s="2">
        <v>46003</v>
      </c>
      <c r="AH1268">
        <v>663.63</v>
      </c>
      <c r="AI1268">
        <v>932.28</v>
      </c>
      <c r="AJ1268" s="1">
        <v>1990.9</v>
      </c>
      <c r="AK1268">
        <v>0</v>
      </c>
      <c r="AL1268">
        <v>0</v>
      </c>
      <c r="AM1268">
        <v>0</v>
      </c>
      <c r="AN1268" t="s">
        <v>135</v>
      </c>
      <c r="AO1268" t="s">
        <v>135</v>
      </c>
      <c r="AP1268" t="s">
        <v>136</v>
      </c>
      <c r="AQ1268" t="s">
        <v>137</v>
      </c>
      <c r="AR1268" t="s">
        <v>138</v>
      </c>
      <c r="AS1268" t="s">
        <v>150</v>
      </c>
      <c r="AT1268" t="s">
        <v>140</v>
      </c>
      <c r="AU1268">
        <v>102</v>
      </c>
      <c r="AV1268">
        <v>10</v>
      </c>
      <c r="AW1268">
        <v>1</v>
      </c>
      <c r="AX1268" s="2">
        <v>45848</v>
      </c>
      <c r="AY1268" t="s">
        <v>308</v>
      </c>
      <c r="AZ1268" s="2">
        <v>46023</v>
      </c>
      <c r="BA1268">
        <v>0</v>
      </c>
      <c r="BB1268">
        <v>0</v>
      </c>
      <c r="BC1268">
        <v>0</v>
      </c>
      <c r="BD1268">
        <v>700</v>
      </c>
      <c r="BE1268">
        <v>70</v>
      </c>
      <c r="BF1268">
        <v>9</v>
      </c>
      <c r="BG1268" s="2">
        <v>45809</v>
      </c>
      <c r="BH1268" t="s">
        <v>142</v>
      </c>
      <c r="BI1268" s="2">
        <v>46026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932.28</v>
      </c>
      <c r="BQ1268">
        <v>932.28</v>
      </c>
      <c r="BR1268">
        <v>0</v>
      </c>
      <c r="BS1268">
        <v>0</v>
      </c>
      <c r="BT1268">
        <v>0</v>
      </c>
      <c r="BU1268">
        <v>0</v>
      </c>
      <c r="BV1268">
        <v>235.97</v>
      </c>
      <c r="BW1268">
        <v>235.97</v>
      </c>
      <c r="BX1268">
        <v>0</v>
      </c>
      <c r="BY1268">
        <v>0</v>
      </c>
      <c r="BZ1268">
        <v>0</v>
      </c>
      <c r="CA1268">
        <v>0</v>
      </c>
      <c r="CB1268">
        <v>630.71</v>
      </c>
      <c r="CC1268" t="s">
        <v>161</v>
      </c>
    </row>
    <row r="1269" spans="1:81" x14ac:dyDescent="0.25">
      <c r="A1269">
        <v>345</v>
      </c>
      <c r="B1269">
        <v>2</v>
      </c>
      <c r="C1269">
        <v>3477</v>
      </c>
      <c r="D1269" t="s">
        <v>7234</v>
      </c>
      <c r="E1269" t="s">
        <v>121</v>
      </c>
      <c r="F1269" t="s">
        <v>7235</v>
      </c>
      <c r="G1269" t="s">
        <v>7236</v>
      </c>
      <c r="H1269" t="s">
        <v>7237</v>
      </c>
      <c r="I1269" t="s">
        <v>7238</v>
      </c>
      <c r="J1269" t="s">
        <v>4569</v>
      </c>
      <c r="K1269" t="s">
        <v>466</v>
      </c>
      <c r="L1269" t="s">
        <v>128</v>
      </c>
      <c r="M1269" t="s">
        <v>467</v>
      </c>
      <c r="N1269" t="s">
        <v>7239</v>
      </c>
      <c r="O1269" t="s">
        <v>195</v>
      </c>
      <c r="P1269">
        <v>0</v>
      </c>
      <c r="Q1269" t="s">
        <v>125</v>
      </c>
      <c r="R1269">
        <v>3</v>
      </c>
      <c r="S1269">
        <v>83</v>
      </c>
      <c r="T1269" t="s">
        <v>132</v>
      </c>
      <c r="U1269" t="s">
        <v>133</v>
      </c>
      <c r="V1269" s="1">
        <v>1700</v>
      </c>
      <c r="W1269">
        <v>0</v>
      </c>
      <c r="X1269" s="1">
        <v>1700</v>
      </c>
      <c r="Y1269">
        <v>7</v>
      </c>
      <c r="Z1269">
        <v>0</v>
      </c>
      <c r="AA1269">
        <v>0</v>
      </c>
      <c r="AB1269">
        <v>0</v>
      </c>
      <c r="AC1269">
        <v>0</v>
      </c>
      <c r="AD1269" t="s">
        <v>134</v>
      </c>
      <c r="AE1269" t="s">
        <v>134</v>
      </c>
      <c r="AF1269" s="2">
        <v>45791</v>
      </c>
      <c r="AG1269" s="2">
        <v>46018</v>
      </c>
      <c r="AH1269">
        <v>998.99</v>
      </c>
      <c r="AI1269" s="1">
        <v>1678.33</v>
      </c>
      <c r="AJ1269" s="1">
        <v>11987.92</v>
      </c>
      <c r="AK1269">
        <v>0</v>
      </c>
      <c r="AL1269">
        <v>0</v>
      </c>
      <c r="AM1269">
        <v>0</v>
      </c>
      <c r="AN1269" t="s">
        <v>135</v>
      </c>
      <c r="AO1269" t="s">
        <v>135</v>
      </c>
      <c r="AP1269" t="s">
        <v>136</v>
      </c>
      <c r="AQ1269" t="s">
        <v>137</v>
      </c>
      <c r="AR1269" t="s">
        <v>138</v>
      </c>
      <c r="AS1269" t="s">
        <v>139</v>
      </c>
      <c r="AT1269" t="s">
        <v>140</v>
      </c>
      <c r="AU1269">
        <v>500</v>
      </c>
      <c r="AV1269">
        <v>10</v>
      </c>
      <c r="AW1269">
        <v>1</v>
      </c>
      <c r="AX1269" s="2">
        <v>45875</v>
      </c>
      <c r="AY1269" t="s">
        <v>168</v>
      </c>
      <c r="AZ1269" s="2">
        <v>46022</v>
      </c>
      <c r="BA1269">
        <v>0</v>
      </c>
      <c r="BB1269">
        <v>0</v>
      </c>
      <c r="BC1269">
        <v>0</v>
      </c>
      <c r="BD1269">
        <v>700</v>
      </c>
      <c r="BE1269">
        <v>70</v>
      </c>
      <c r="BF1269">
        <v>9</v>
      </c>
      <c r="BG1269" s="2">
        <v>45809</v>
      </c>
      <c r="BH1269" t="s">
        <v>142</v>
      </c>
      <c r="BI1269" s="2">
        <v>46026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 s="1">
        <v>4130.26</v>
      </c>
      <c r="BQ1269" s="1">
        <v>4130.26</v>
      </c>
      <c r="BR1269">
        <v>0</v>
      </c>
      <c r="BS1269">
        <v>0</v>
      </c>
      <c r="BT1269">
        <v>0</v>
      </c>
      <c r="BU1269">
        <v>0</v>
      </c>
      <c r="BV1269" s="1">
        <v>4227.6499999999996</v>
      </c>
      <c r="BW1269" s="1">
        <v>4227.6499999999996</v>
      </c>
      <c r="BX1269">
        <v>0</v>
      </c>
      <c r="BY1269">
        <v>0</v>
      </c>
      <c r="BZ1269">
        <v>0</v>
      </c>
      <c r="CA1269">
        <v>0</v>
      </c>
      <c r="CB1269" s="1">
        <v>3385.6</v>
      </c>
      <c r="CC1269" t="s">
        <v>161</v>
      </c>
    </row>
    <row r="1270" spans="1:81" x14ac:dyDescent="0.25">
      <c r="A1270">
        <v>345</v>
      </c>
      <c r="B1270">
        <v>2</v>
      </c>
      <c r="C1270">
        <v>3478</v>
      </c>
      <c r="D1270" t="s">
        <v>7240</v>
      </c>
      <c r="E1270" t="s">
        <v>121</v>
      </c>
      <c r="F1270" t="s">
        <v>7241</v>
      </c>
      <c r="G1270" t="s">
        <v>7242</v>
      </c>
      <c r="H1270" t="s">
        <v>7243</v>
      </c>
      <c r="I1270" t="s">
        <v>7244</v>
      </c>
      <c r="J1270" t="s">
        <v>606</v>
      </c>
      <c r="K1270" t="s">
        <v>336</v>
      </c>
      <c r="L1270" t="s">
        <v>128</v>
      </c>
      <c r="M1270" t="s">
        <v>337</v>
      </c>
      <c r="N1270" t="s">
        <v>7245</v>
      </c>
      <c r="O1270" t="s">
        <v>159</v>
      </c>
      <c r="P1270">
        <v>0</v>
      </c>
      <c r="Q1270" t="s">
        <v>125</v>
      </c>
      <c r="R1270">
        <v>3</v>
      </c>
      <c r="S1270">
        <v>83</v>
      </c>
      <c r="T1270" t="s">
        <v>132</v>
      </c>
      <c r="U1270" t="s">
        <v>133</v>
      </c>
      <c r="V1270" s="1">
        <v>1300</v>
      </c>
      <c r="W1270">
        <v>0</v>
      </c>
      <c r="X1270" s="1">
        <v>1300</v>
      </c>
      <c r="Y1270">
        <v>7</v>
      </c>
      <c r="Z1270">
        <v>0</v>
      </c>
      <c r="AA1270">
        <v>0</v>
      </c>
      <c r="AB1270">
        <v>0</v>
      </c>
      <c r="AC1270">
        <v>0</v>
      </c>
      <c r="AD1270" t="s">
        <v>134</v>
      </c>
      <c r="AE1270" t="s">
        <v>134</v>
      </c>
      <c r="AF1270" s="2">
        <v>45791</v>
      </c>
      <c r="AG1270" s="2">
        <v>46001</v>
      </c>
      <c r="AH1270">
        <v>82.44</v>
      </c>
      <c r="AI1270">
        <v>117.79</v>
      </c>
      <c r="AJ1270">
        <v>329.79</v>
      </c>
      <c r="AK1270">
        <v>0</v>
      </c>
      <c r="AL1270">
        <v>0</v>
      </c>
      <c r="AM1270">
        <v>0</v>
      </c>
      <c r="AN1270" t="s">
        <v>135</v>
      </c>
      <c r="AO1270" t="s">
        <v>135</v>
      </c>
      <c r="AP1270" t="s">
        <v>136</v>
      </c>
      <c r="AQ1270" t="s">
        <v>137</v>
      </c>
      <c r="AR1270" t="s">
        <v>138</v>
      </c>
      <c r="AS1270" t="s">
        <v>139</v>
      </c>
      <c r="AT1270" t="s">
        <v>140</v>
      </c>
      <c r="AU1270">
        <v>101</v>
      </c>
      <c r="AV1270">
        <v>10</v>
      </c>
      <c r="AW1270">
        <v>1</v>
      </c>
      <c r="AX1270" s="2">
        <v>45811</v>
      </c>
      <c r="AY1270" t="s">
        <v>377</v>
      </c>
      <c r="AZ1270" s="2">
        <v>46028</v>
      </c>
      <c r="BA1270">
        <v>0</v>
      </c>
      <c r="BB1270">
        <v>0</v>
      </c>
      <c r="BC1270">
        <v>0</v>
      </c>
      <c r="BD1270">
        <v>700</v>
      </c>
      <c r="BE1270">
        <v>70</v>
      </c>
      <c r="BF1270">
        <v>9</v>
      </c>
      <c r="BG1270" s="2">
        <v>45809</v>
      </c>
      <c r="BH1270" t="s">
        <v>142</v>
      </c>
      <c r="BI1270" s="2">
        <v>46026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68.540000000000006</v>
      </c>
      <c r="BQ1270">
        <v>68.540000000000006</v>
      </c>
      <c r="BR1270">
        <v>0</v>
      </c>
      <c r="BS1270">
        <v>0</v>
      </c>
      <c r="BT1270">
        <v>0</v>
      </c>
      <c r="BU1270">
        <v>0</v>
      </c>
      <c r="BV1270">
        <v>163.1</v>
      </c>
      <c r="BW1270">
        <v>163.1</v>
      </c>
      <c r="BX1270">
        <v>0</v>
      </c>
      <c r="BY1270">
        <v>0</v>
      </c>
      <c r="BZ1270">
        <v>0</v>
      </c>
      <c r="CA1270">
        <v>0</v>
      </c>
      <c r="CB1270">
        <v>87.7</v>
      </c>
      <c r="CC1270" t="s">
        <v>161</v>
      </c>
    </row>
    <row r="1271" spans="1:81" x14ac:dyDescent="0.25">
      <c r="A1271">
        <v>345</v>
      </c>
      <c r="B1271">
        <v>2</v>
      </c>
      <c r="C1271">
        <v>3485</v>
      </c>
      <c r="D1271" t="s">
        <v>7246</v>
      </c>
      <c r="E1271" t="s">
        <v>121</v>
      </c>
      <c r="F1271" t="s">
        <v>7247</v>
      </c>
      <c r="G1271" t="s">
        <v>7248</v>
      </c>
      <c r="H1271" t="s">
        <v>7249</v>
      </c>
      <c r="I1271" t="s">
        <v>7250</v>
      </c>
      <c r="J1271" t="s">
        <v>459</v>
      </c>
      <c r="K1271" t="s">
        <v>336</v>
      </c>
      <c r="L1271" t="s">
        <v>128</v>
      </c>
      <c r="M1271" t="s">
        <v>337</v>
      </c>
      <c r="N1271" t="s">
        <v>7251</v>
      </c>
      <c r="O1271" t="s">
        <v>167</v>
      </c>
      <c r="P1271">
        <v>0</v>
      </c>
      <c r="Q1271" t="s">
        <v>125</v>
      </c>
      <c r="R1271">
        <v>3</v>
      </c>
      <c r="S1271">
        <v>83</v>
      </c>
      <c r="T1271" t="s">
        <v>132</v>
      </c>
      <c r="U1271" t="s">
        <v>133</v>
      </c>
      <c r="V1271" s="1">
        <v>1400</v>
      </c>
      <c r="W1271">
        <v>0</v>
      </c>
      <c r="X1271" s="1">
        <v>1400</v>
      </c>
      <c r="Y1271">
        <v>7</v>
      </c>
      <c r="Z1271">
        <v>0</v>
      </c>
      <c r="AA1271">
        <v>0</v>
      </c>
      <c r="AB1271">
        <v>0</v>
      </c>
      <c r="AC1271">
        <v>0</v>
      </c>
      <c r="AD1271" t="s">
        <v>134</v>
      </c>
      <c r="AE1271" t="s">
        <v>134</v>
      </c>
      <c r="AF1271" s="2">
        <v>45797</v>
      </c>
      <c r="AG1271" s="2">
        <v>46014</v>
      </c>
      <c r="AH1271">
        <v>78.03</v>
      </c>
      <c r="AI1271">
        <v>114.6</v>
      </c>
      <c r="AJ1271">
        <v>234.1</v>
      </c>
      <c r="AK1271">
        <v>0</v>
      </c>
      <c r="AL1271">
        <v>0</v>
      </c>
      <c r="AM1271">
        <v>0</v>
      </c>
      <c r="AN1271" t="s">
        <v>135</v>
      </c>
      <c r="AO1271" t="s">
        <v>135</v>
      </c>
      <c r="AP1271" t="s">
        <v>136</v>
      </c>
      <c r="AQ1271" t="s">
        <v>137</v>
      </c>
      <c r="AR1271" t="s">
        <v>138</v>
      </c>
      <c r="AS1271" t="s">
        <v>139</v>
      </c>
      <c r="AT1271" t="s">
        <v>140</v>
      </c>
      <c r="AU1271">
        <v>100</v>
      </c>
      <c r="AV1271">
        <v>10</v>
      </c>
      <c r="AW1271">
        <v>1</v>
      </c>
      <c r="AX1271" s="2">
        <v>45859</v>
      </c>
      <c r="AY1271" t="s">
        <v>141</v>
      </c>
      <c r="AZ1271" s="2">
        <v>46027</v>
      </c>
      <c r="BA1271">
        <v>0</v>
      </c>
      <c r="BB1271">
        <v>0</v>
      </c>
      <c r="BC1271">
        <v>0</v>
      </c>
      <c r="BD1271">
        <v>700</v>
      </c>
      <c r="BE1271">
        <v>70</v>
      </c>
      <c r="BF1271">
        <v>9</v>
      </c>
      <c r="BG1271" s="2">
        <v>45866</v>
      </c>
      <c r="BH1271" t="s">
        <v>141</v>
      </c>
      <c r="BI1271" s="2">
        <v>46034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114.6</v>
      </c>
      <c r="BQ1271">
        <v>114.6</v>
      </c>
      <c r="BR1271">
        <v>0</v>
      </c>
      <c r="BS1271">
        <v>0</v>
      </c>
      <c r="BT1271">
        <v>0</v>
      </c>
      <c r="BU1271">
        <v>0</v>
      </c>
      <c r="BV1271">
        <v>119.5</v>
      </c>
      <c r="BW1271">
        <v>119.5</v>
      </c>
      <c r="BX1271">
        <v>0</v>
      </c>
      <c r="BY1271">
        <v>0</v>
      </c>
      <c r="BZ1271">
        <v>0</v>
      </c>
      <c r="CA1271">
        <v>0</v>
      </c>
      <c r="CB1271">
        <v>38.200000000000003</v>
      </c>
      <c r="CC1271" t="s">
        <v>161</v>
      </c>
    </row>
    <row r="1272" spans="1:81" x14ac:dyDescent="0.25">
      <c r="A1272">
        <v>345</v>
      </c>
      <c r="B1272">
        <v>2</v>
      </c>
      <c r="C1272">
        <v>3486</v>
      </c>
      <c r="D1272" t="s">
        <v>7252</v>
      </c>
      <c r="E1272" t="s">
        <v>121</v>
      </c>
      <c r="F1272" t="s">
        <v>7253</v>
      </c>
      <c r="G1272" t="s">
        <v>7254</v>
      </c>
      <c r="H1272" t="s">
        <v>6754</v>
      </c>
      <c r="I1272" t="s">
        <v>7255</v>
      </c>
      <c r="J1272" t="s">
        <v>1263</v>
      </c>
      <c r="K1272" t="s">
        <v>466</v>
      </c>
      <c r="L1272" t="s">
        <v>128</v>
      </c>
      <c r="M1272" t="s">
        <v>467</v>
      </c>
      <c r="N1272" t="s">
        <v>7256</v>
      </c>
      <c r="O1272" t="s">
        <v>201</v>
      </c>
      <c r="P1272">
        <v>0</v>
      </c>
      <c r="Q1272" t="s">
        <v>125</v>
      </c>
      <c r="R1272">
        <v>3</v>
      </c>
      <c r="S1272">
        <v>84</v>
      </c>
      <c r="T1272" t="s">
        <v>132</v>
      </c>
      <c r="U1272" t="s">
        <v>133</v>
      </c>
      <c r="V1272" s="1">
        <v>1000</v>
      </c>
      <c r="W1272">
        <v>0</v>
      </c>
      <c r="X1272" s="1">
        <v>1000</v>
      </c>
      <c r="Y1272">
        <v>7</v>
      </c>
      <c r="Z1272">
        <v>0</v>
      </c>
      <c r="AA1272">
        <v>0</v>
      </c>
      <c r="AB1272">
        <v>0</v>
      </c>
      <c r="AC1272">
        <v>0</v>
      </c>
      <c r="AD1272" t="s">
        <v>134</v>
      </c>
      <c r="AE1272" t="s">
        <v>134</v>
      </c>
      <c r="AF1272" s="2">
        <v>45797</v>
      </c>
      <c r="AG1272" s="2">
        <v>45996</v>
      </c>
      <c r="AH1272">
        <v>389.39</v>
      </c>
      <c r="AI1272">
        <v>802.75</v>
      </c>
      <c r="AJ1272" s="1">
        <v>1557.58</v>
      </c>
      <c r="AK1272">
        <v>0</v>
      </c>
      <c r="AL1272">
        <v>0</v>
      </c>
      <c r="AM1272">
        <v>0</v>
      </c>
      <c r="AN1272" t="s">
        <v>135</v>
      </c>
      <c r="AO1272" t="s">
        <v>135</v>
      </c>
      <c r="AP1272" t="s">
        <v>136</v>
      </c>
      <c r="AQ1272" t="s">
        <v>137</v>
      </c>
      <c r="AR1272" t="s">
        <v>138</v>
      </c>
      <c r="AS1272" t="s">
        <v>139</v>
      </c>
      <c r="AT1272" t="s">
        <v>140</v>
      </c>
      <c r="AU1272">
        <v>106</v>
      </c>
      <c r="AV1272">
        <v>10</v>
      </c>
      <c r="AW1272">
        <v>1</v>
      </c>
      <c r="AX1272" s="2">
        <v>45813</v>
      </c>
      <c r="AY1272" t="s">
        <v>308</v>
      </c>
      <c r="AZ1272" s="2">
        <v>46023</v>
      </c>
      <c r="BA1272">
        <v>0</v>
      </c>
      <c r="BB1272">
        <v>0</v>
      </c>
      <c r="BC1272">
        <v>0</v>
      </c>
      <c r="BD1272">
        <v>700</v>
      </c>
      <c r="BE1272">
        <v>70</v>
      </c>
      <c r="BF1272">
        <v>9</v>
      </c>
      <c r="BG1272" s="2">
        <v>45809</v>
      </c>
      <c r="BH1272" t="s">
        <v>142</v>
      </c>
      <c r="BI1272" s="2">
        <v>46026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 s="1">
        <v>1035.1600000000001</v>
      </c>
      <c r="BQ1272" s="1">
        <v>1035.1600000000001</v>
      </c>
      <c r="BR1272">
        <v>0</v>
      </c>
      <c r="BS1272">
        <v>0</v>
      </c>
      <c r="BT1272">
        <v>0</v>
      </c>
      <c r="BU1272">
        <v>0</v>
      </c>
      <c r="BV1272">
        <v>411.3</v>
      </c>
      <c r="BW1272">
        <v>411.3</v>
      </c>
      <c r="BX1272">
        <v>0</v>
      </c>
      <c r="BY1272">
        <v>0</v>
      </c>
      <c r="BZ1272">
        <v>0</v>
      </c>
      <c r="CA1272">
        <v>0</v>
      </c>
      <c r="CB1272">
        <v>392.09</v>
      </c>
      <c r="CC1272" t="s">
        <v>161</v>
      </c>
    </row>
    <row r="1273" spans="1:81" x14ac:dyDescent="0.25">
      <c r="A1273">
        <v>345</v>
      </c>
      <c r="B1273">
        <v>2</v>
      </c>
      <c r="C1273">
        <v>3489</v>
      </c>
      <c r="D1273" t="s">
        <v>7257</v>
      </c>
      <c r="E1273" t="s">
        <v>121</v>
      </c>
      <c r="F1273" t="s">
        <v>7258</v>
      </c>
      <c r="G1273" t="s">
        <v>7259</v>
      </c>
      <c r="H1273" t="s">
        <v>7260</v>
      </c>
      <c r="I1273" t="s">
        <v>7261</v>
      </c>
      <c r="J1273" t="s">
        <v>459</v>
      </c>
      <c r="K1273" t="s">
        <v>336</v>
      </c>
      <c r="L1273" t="s">
        <v>128</v>
      </c>
      <c r="M1273" t="s">
        <v>337</v>
      </c>
      <c r="N1273" t="s">
        <v>7262</v>
      </c>
      <c r="O1273" t="s">
        <v>167</v>
      </c>
      <c r="P1273">
        <v>0</v>
      </c>
      <c r="Q1273" t="s">
        <v>125</v>
      </c>
      <c r="R1273">
        <v>3</v>
      </c>
      <c r="S1273">
        <v>83</v>
      </c>
      <c r="T1273" t="s">
        <v>132</v>
      </c>
      <c r="U1273" t="s">
        <v>133</v>
      </c>
      <c r="V1273" s="1">
        <v>1400</v>
      </c>
      <c r="W1273">
        <v>0</v>
      </c>
      <c r="X1273" s="1">
        <v>1400</v>
      </c>
      <c r="Y1273">
        <v>7</v>
      </c>
      <c r="Z1273">
        <v>0</v>
      </c>
      <c r="AA1273">
        <v>0</v>
      </c>
      <c r="AB1273">
        <v>0</v>
      </c>
      <c r="AC1273">
        <v>0</v>
      </c>
      <c r="AD1273" t="s">
        <v>134</v>
      </c>
      <c r="AE1273" t="s">
        <v>134</v>
      </c>
      <c r="AF1273" s="2">
        <v>45797</v>
      </c>
      <c r="AG1273" s="2">
        <v>46004</v>
      </c>
      <c r="AH1273">
        <v>152.97</v>
      </c>
      <c r="AI1273">
        <v>171.9</v>
      </c>
      <c r="AJ1273">
        <v>305.94</v>
      </c>
      <c r="AK1273">
        <v>0</v>
      </c>
      <c r="AL1273">
        <v>0</v>
      </c>
      <c r="AM1273">
        <v>0</v>
      </c>
      <c r="AN1273" t="s">
        <v>135</v>
      </c>
      <c r="AO1273" t="s">
        <v>135</v>
      </c>
      <c r="AP1273" t="s">
        <v>136</v>
      </c>
      <c r="AQ1273" t="s">
        <v>137</v>
      </c>
      <c r="AR1273" t="s">
        <v>138</v>
      </c>
      <c r="AS1273" t="s">
        <v>139</v>
      </c>
      <c r="AT1273" t="s">
        <v>140</v>
      </c>
      <c r="AU1273">
        <v>100</v>
      </c>
      <c r="AV1273">
        <v>10</v>
      </c>
      <c r="AW1273">
        <v>1</v>
      </c>
      <c r="AX1273" s="2">
        <v>45814</v>
      </c>
      <c r="AY1273" t="s">
        <v>151</v>
      </c>
      <c r="AZ1273" s="2">
        <v>46024</v>
      </c>
      <c r="BA1273">
        <v>0</v>
      </c>
      <c r="BB1273">
        <v>0</v>
      </c>
      <c r="BC1273">
        <v>0</v>
      </c>
      <c r="BD1273">
        <v>700</v>
      </c>
      <c r="BE1273">
        <v>70</v>
      </c>
      <c r="BF1273">
        <v>9</v>
      </c>
      <c r="BG1273" s="2">
        <v>45809</v>
      </c>
      <c r="BH1273" t="s">
        <v>142</v>
      </c>
      <c r="BI1273" s="2">
        <v>46026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171.9</v>
      </c>
      <c r="BQ1273">
        <v>171.9</v>
      </c>
      <c r="BR1273">
        <v>0</v>
      </c>
      <c r="BS1273">
        <v>0</v>
      </c>
      <c r="BT1273">
        <v>0</v>
      </c>
      <c r="BU1273">
        <v>0</v>
      </c>
      <c r="BV1273">
        <v>134.04</v>
      </c>
      <c r="BW1273">
        <v>134.04</v>
      </c>
      <c r="BX1273">
        <v>0</v>
      </c>
      <c r="BY1273">
        <v>0</v>
      </c>
      <c r="BZ1273">
        <v>0</v>
      </c>
      <c r="CA1273">
        <v>0</v>
      </c>
      <c r="CB1273">
        <v>93.65</v>
      </c>
      <c r="CC1273" t="s">
        <v>161</v>
      </c>
    </row>
    <row r="1274" spans="1:81" x14ac:dyDescent="0.25">
      <c r="A1274">
        <v>345</v>
      </c>
      <c r="B1274">
        <v>2</v>
      </c>
      <c r="C1274">
        <v>3490</v>
      </c>
      <c r="D1274" t="s">
        <v>7263</v>
      </c>
      <c r="E1274" t="s">
        <v>121</v>
      </c>
      <c r="F1274" t="s">
        <v>3882</v>
      </c>
      <c r="G1274" t="s">
        <v>7264</v>
      </c>
      <c r="H1274" t="s">
        <v>7265</v>
      </c>
      <c r="I1274" t="s">
        <v>7266</v>
      </c>
      <c r="J1274" t="s">
        <v>6899</v>
      </c>
      <c r="K1274" t="s">
        <v>473</v>
      </c>
      <c r="L1274" t="s">
        <v>128</v>
      </c>
      <c r="M1274" t="s">
        <v>474</v>
      </c>
      <c r="N1274" t="s">
        <v>7267</v>
      </c>
      <c r="O1274" t="s">
        <v>201</v>
      </c>
      <c r="P1274">
        <v>0</v>
      </c>
      <c r="Q1274" t="s">
        <v>125</v>
      </c>
      <c r="R1274">
        <v>3</v>
      </c>
      <c r="S1274">
        <v>88</v>
      </c>
      <c r="T1274" t="s">
        <v>132</v>
      </c>
      <c r="U1274" t="s">
        <v>133</v>
      </c>
      <c r="V1274" s="1">
        <v>1000</v>
      </c>
      <c r="W1274">
        <v>0</v>
      </c>
      <c r="X1274" s="1">
        <v>1000</v>
      </c>
      <c r="Y1274">
        <v>7</v>
      </c>
      <c r="Z1274">
        <v>0</v>
      </c>
      <c r="AA1274">
        <v>7</v>
      </c>
      <c r="AB1274">
        <v>0</v>
      </c>
      <c r="AC1274">
        <v>0</v>
      </c>
      <c r="AD1274" t="s">
        <v>134</v>
      </c>
      <c r="AE1274" t="s">
        <v>134</v>
      </c>
      <c r="AF1274" s="2">
        <v>45797</v>
      </c>
      <c r="AG1274" s="2">
        <v>46013</v>
      </c>
      <c r="AH1274">
        <v>80.78</v>
      </c>
      <c r="AI1274">
        <v>100.31</v>
      </c>
      <c r="AJ1274">
        <v>242.35</v>
      </c>
      <c r="AK1274">
        <v>0</v>
      </c>
      <c r="AL1274">
        <v>0</v>
      </c>
      <c r="AM1274">
        <v>0</v>
      </c>
      <c r="AN1274" t="s">
        <v>135</v>
      </c>
      <c r="AO1274" t="s">
        <v>135</v>
      </c>
      <c r="AP1274" t="s">
        <v>136</v>
      </c>
      <c r="AQ1274" t="s">
        <v>137</v>
      </c>
      <c r="AR1274" t="s">
        <v>138</v>
      </c>
      <c r="AS1274" t="s">
        <v>139</v>
      </c>
      <c r="AT1274" t="s">
        <v>140</v>
      </c>
      <c r="AU1274">
        <v>105</v>
      </c>
      <c r="AV1274">
        <v>10</v>
      </c>
      <c r="AW1274">
        <v>1</v>
      </c>
      <c r="AX1274" s="2">
        <v>45815</v>
      </c>
      <c r="AY1274" t="s">
        <v>160</v>
      </c>
      <c r="AZ1274" s="2">
        <v>46025</v>
      </c>
      <c r="BA1274">
        <v>0</v>
      </c>
      <c r="BB1274">
        <v>0</v>
      </c>
      <c r="BC1274">
        <v>0</v>
      </c>
      <c r="BD1274">
        <v>700</v>
      </c>
      <c r="BE1274">
        <v>70</v>
      </c>
      <c r="BF1274">
        <v>9</v>
      </c>
      <c r="BG1274" s="2">
        <v>45809</v>
      </c>
      <c r="BH1274" t="s">
        <v>142</v>
      </c>
      <c r="BI1274" s="2">
        <v>46026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52.08</v>
      </c>
      <c r="BQ1274">
        <v>52.08</v>
      </c>
      <c r="BR1274">
        <v>0</v>
      </c>
      <c r="BS1274">
        <v>7</v>
      </c>
      <c r="BT1274">
        <v>7</v>
      </c>
      <c r="BU1274">
        <v>190.27</v>
      </c>
      <c r="BV1274">
        <v>0</v>
      </c>
      <c r="BW1274">
        <v>190.27</v>
      </c>
      <c r="BX1274">
        <v>0</v>
      </c>
      <c r="BY1274">
        <v>0</v>
      </c>
      <c r="BZ1274">
        <v>0</v>
      </c>
      <c r="CA1274">
        <v>0</v>
      </c>
      <c r="CB1274">
        <v>76.77</v>
      </c>
      <c r="CC1274" t="s">
        <v>143</v>
      </c>
    </row>
    <row r="1275" spans="1:81" x14ac:dyDescent="0.25">
      <c r="A1275">
        <v>345</v>
      </c>
      <c r="B1275">
        <v>2</v>
      </c>
      <c r="C1275">
        <v>3495</v>
      </c>
      <c r="D1275" t="s">
        <v>7268</v>
      </c>
      <c r="E1275" t="s">
        <v>121</v>
      </c>
      <c r="F1275" t="s">
        <v>7269</v>
      </c>
      <c r="G1275" t="s">
        <v>7270</v>
      </c>
      <c r="H1275" t="s">
        <v>7271</v>
      </c>
      <c r="I1275" t="s">
        <v>7272</v>
      </c>
      <c r="J1275" t="s">
        <v>126</v>
      </c>
      <c r="K1275" t="s">
        <v>336</v>
      </c>
      <c r="L1275" t="s">
        <v>128</v>
      </c>
      <c r="M1275" t="s">
        <v>337</v>
      </c>
      <c r="N1275" t="s">
        <v>7273</v>
      </c>
      <c r="O1275" t="s">
        <v>159</v>
      </c>
      <c r="P1275">
        <v>0</v>
      </c>
      <c r="Q1275" t="s">
        <v>125</v>
      </c>
      <c r="R1275">
        <v>5</v>
      </c>
      <c r="S1275">
        <v>70</v>
      </c>
      <c r="T1275" t="s">
        <v>132</v>
      </c>
      <c r="U1275" t="s">
        <v>133</v>
      </c>
      <c r="V1275" s="1">
        <v>1000</v>
      </c>
      <c r="W1275">
        <v>0</v>
      </c>
      <c r="X1275" s="1">
        <v>1000</v>
      </c>
      <c r="Y1275">
        <v>7</v>
      </c>
      <c r="Z1275">
        <v>0</v>
      </c>
      <c r="AA1275">
        <v>7</v>
      </c>
      <c r="AB1275">
        <v>0</v>
      </c>
      <c r="AC1275">
        <v>10</v>
      </c>
      <c r="AD1275" t="s">
        <v>134</v>
      </c>
      <c r="AE1275" t="s">
        <v>134</v>
      </c>
      <c r="AF1275" s="2">
        <v>45797</v>
      </c>
      <c r="AG1275" s="2">
        <v>46015</v>
      </c>
      <c r="AH1275">
        <v>332.84</v>
      </c>
      <c r="AI1275">
        <v>598.22</v>
      </c>
      <c r="AJ1275" s="1">
        <v>1997.08</v>
      </c>
      <c r="AK1275">
        <v>0</v>
      </c>
      <c r="AL1275">
        <v>0</v>
      </c>
      <c r="AM1275">
        <v>0</v>
      </c>
      <c r="AN1275" t="s">
        <v>135</v>
      </c>
      <c r="AO1275" t="s">
        <v>135</v>
      </c>
      <c r="AP1275" t="s">
        <v>136</v>
      </c>
      <c r="AQ1275" t="s">
        <v>137</v>
      </c>
      <c r="AR1275" t="s">
        <v>138</v>
      </c>
      <c r="AS1275" t="s">
        <v>139</v>
      </c>
      <c r="AT1275" t="s">
        <v>140</v>
      </c>
      <c r="AU1275">
        <v>101</v>
      </c>
      <c r="AV1275">
        <v>10</v>
      </c>
      <c r="AW1275">
        <v>1</v>
      </c>
      <c r="AX1275" s="2">
        <v>45874</v>
      </c>
      <c r="AY1275" t="s">
        <v>377</v>
      </c>
      <c r="AZ1275" s="2">
        <v>46028</v>
      </c>
      <c r="BA1275">
        <v>0</v>
      </c>
      <c r="BB1275">
        <v>0</v>
      </c>
      <c r="BC1275">
        <v>0</v>
      </c>
      <c r="BD1275">
        <v>700</v>
      </c>
      <c r="BE1275">
        <v>70</v>
      </c>
      <c r="BF1275">
        <v>9</v>
      </c>
      <c r="BG1275" s="2">
        <v>45809</v>
      </c>
      <c r="BH1275" t="s">
        <v>142</v>
      </c>
      <c r="BI1275" s="2">
        <v>46026</v>
      </c>
      <c r="BJ1275">
        <v>0</v>
      </c>
      <c r="BK1275">
        <v>0</v>
      </c>
      <c r="BL1275">
        <v>0</v>
      </c>
      <c r="BM1275">
        <v>4</v>
      </c>
      <c r="BN1275">
        <v>4</v>
      </c>
      <c r="BO1275">
        <v>307.13</v>
      </c>
      <c r="BP1275">
        <v>0</v>
      </c>
      <c r="BQ1275">
        <v>307.13</v>
      </c>
      <c r="BR1275">
        <v>0</v>
      </c>
      <c r="BS1275">
        <v>5.72</v>
      </c>
      <c r="BT1275">
        <v>5.72</v>
      </c>
      <c r="BU1275" s="1">
        <v>1391.2</v>
      </c>
      <c r="BV1275">
        <v>0</v>
      </c>
      <c r="BW1275" s="1">
        <v>1391.2</v>
      </c>
      <c r="BX1275">
        <v>0</v>
      </c>
      <c r="BY1275">
        <v>0</v>
      </c>
      <c r="BZ1275">
        <v>0</v>
      </c>
      <c r="CA1275">
        <v>0</v>
      </c>
      <c r="CB1275">
        <v>300.79000000000002</v>
      </c>
      <c r="CC1275" t="s">
        <v>161</v>
      </c>
    </row>
    <row r="1276" spans="1:81" x14ac:dyDescent="0.25">
      <c r="A1276">
        <v>345</v>
      </c>
      <c r="B1276">
        <v>2</v>
      </c>
      <c r="C1276">
        <v>3497</v>
      </c>
      <c r="D1276" t="s">
        <v>7274</v>
      </c>
      <c r="E1276" t="s">
        <v>121</v>
      </c>
      <c r="F1276" t="s">
        <v>7275</v>
      </c>
      <c r="G1276" t="s">
        <v>4608</v>
      </c>
      <c r="H1276" t="s">
        <v>7276</v>
      </c>
      <c r="I1276" t="s">
        <v>7277</v>
      </c>
      <c r="J1276" t="s">
        <v>375</v>
      </c>
      <c r="K1276" t="s">
        <v>336</v>
      </c>
      <c r="L1276" t="s">
        <v>128</v>
      </c>
      <c r="M1276" t="s">
        <v>337</v>
      </c>
      <c r="N1276" t="s">
        <v>7278</v>
      </c>
      <c r="O1276" t="s">
        <v>195</v>
      </c>
      <c r="P1276">
        <v>0</v>
      </c>
      <c r="Q1276" t="s">
        <v>125</v>
      </c>
      <c r="R1276">
        <v>4</v>
      </c>
      <c r="S1276">
        <v>80</v>
      </c>
      <c r="T1276" t="s">
        <v>132</v>
      </c>
      <c r="U1276" t="s">
        <v>133</v>
      </c>
      <c r="V1276" s="1">
        <v>1000</v>
      </c>
      <c r="W1276">
        <v>0</v>
      </c>
      <c r="X1276" s="1">
        <v>1000</v>
      </c>
      <c r="Y1276">
        <v>7</v>
      </c>
      <c r="Z1276">
        <v>0</v>
      </c>
      <c r="AA1276">
        <v>7</v>
      </c>
      <c r="AB1276">
        <v>0</v>
      </c>
      <c r="AC1276">
        <v>11</v>
      </c>
      <c r="AD1276" t="s">
        <v>134</v>
      </c>
      <c r="AE1276" t="s">
        <v>134</v>
      </c>
      <c r="AF1276" s="2">
        <v>45797</v>
      </c>
      <c r="AG1276" s="2">
        <v>45980</v>
      </c>
      <c r="AH1276">
        <v>138.15</v>
      </c>
      <c r="AI1276">
        <v>208.43</v>
      </c>
      <c r="AJ1276">
        <v>414.47</v>
      </c>
      <c r="AK1276">
        <v>0</v>
      </c>
      <c r="AL1276">
        <v>0</v>
      </c>
      <c r="AM1276">
        <v>0</v>
      </c>
      <c r="AN1276" t="s">
        <v>135</v>
      </c>
      <c r="AO1276" t="s">
        <v>135</v>
      </c>
      <c r="AP1276" t="s">
        <v>136</v>
      </c>
      <c r="AQ1276" t="s">
        <v>137</v>
      </c>
      <c r="AR1276" t="s">
        <v>138</v>
      </c>
      <c r="AS1276" t="s">
        <v>139</v>
      </c>
      <c r="AT1276" t="s">
        <v>140</v>
      </c>
      <c r="AU1276">
        <v>101</v>
      </c>
      <c r="AV1276">
        <v>10</v>
      </c>
      <c r="AW1276">
        <v>1</v>
      </c>
      <c r="AX1276" s="2">
        <v>45874</v>
      </c>
      <c r="AY1276" t="s">
        <v>377</v>
      </c>
      <c r="AZ1276" s="2">
        <v>46028</v>
      </c>
      <c r="BA1276">
        <v>0</v>
      </c>
      <c r="BB1276">
        <v>0</v>
      </c>
      <c r="BC1276">
        <v>0</v>
      </c>
      <c r="BD1276">
        <v>700</v>
      </c>
      <c r="BE1276">
        <v>70</v>
      </c>
      <c r="BF1276">
        <v>9</v>
      </c>
      <c r="BG1276" s="2">
        <v>45809</v>
      </c>
      <c r="BH1276" t="s">
        <v>142</v>
      </c>
      <c r="BI1276" s="2">
        <v>46026</v>
      </c>
      <c r="BJ1276">
        <v>0</v>
      </c>
      <c r="BK1276">
        <v>0</v>
      </c>
      <c r="BL1276">
        <v>0</v>
      </c>
      <c r="BM1276">
        <v>7</v>
      </c>
      <c r="BN1276">
        <v>5.37</v>
      </c>
      <c r="BO1276">
        <v>208.43</v>
      </c>
      <c r="BP1276">
        <v>63.36</v>
      </c>
      <c r="BQ1276">
        <v>271.79000000000002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216.09</v>
      </c>
      <c r="CC1276" t="s">
        <v>161</v>
      </c>
    </row>
    <row r="1277" spans="1:81" x14ac:dyDescent="0.25">
      <c r="A1277">
        <v>345</v>
      </c>
      <c r="B1277">
        <v>2</v>
      </c>
      <c r="C1277">
        <v>3498</v>
      </c>
      <c r="D1277" t="s">
        <v>7279</v>
      </c>
      <c r="E1277" t="s">
        <v>121</v>
      </c>
      <c r="F1277" t="s">
        <v>7280</v>
      </c>
      <c r="G1277" t="s">
        <v>7281</v>
      </c>
      <c r="H1277" t="s">
        <v>7282</v>
      </c>
      <c r="I1277" t="s">
        <v>7283</v>
      </c>
      <c r="J1277" t="s">
        <v>126</v>
      </c>
      <c r="K1277" t="s">
        <v>1853</v>
      </c>
      <c r="L1277" t="s">
        <v>128</v>
      </c>
      <c r="M1277" t="s">
        <v>467</v>
      </c>
      <c r="N1277" t="s">
        <v>7284</v>
      </c>
      <c r="O1277" t="s">
        <v>201</v>
      </c>
      <c r="P1277">
        <v>0</v>
      </c>
      <c r="Q1277" t="s">
        <v>125</v>
      </c>
      <c r="R1277">
        <v>3</v>
      </c>
      <c r="S1277">
        <v>89</v>
      </c>
      <c r="T1277" t="s">
        <v>132</v>
      </c>
      <c r="U1277" t="s">
        <v>133</v>
      </c>
      <c r="V1277" s="1">
        <v>1000</v>
      </c>
      <c r="W1277">
        <v>0</v>
      </c>
      <c r="X1277" s="1">
        <v>1000</v>
      </c>
      <c r="Y1277">
        <v>7</v>
      </c>
      <c r="Z1277">
        <v>0</v>
      </c>
      <c r="AA1277">
        <v>0</v>
      </c>
      <c r="AB1277">
        <v>0</v>
      </c>
      <c r="AC1277">
        <v>0</v>
      </c>
      <c r="AD1277" t="s">
        <v>134</v>
      </c>
      <c r="AE1277" t="s">
        <v>134</v>
      </c>
      <c r="AF1277" s="2">
        <v>45797</v>
      </c>
      <c r="AG1277" s="2">
        <v>46020</v>
      </c>
      <c r="AH1277">
        <v>150.77000000000001</v>
      </c>
      <c r="AI1277">
        <v>191.83</v>
      </c>
      <c r="AJ1277" s="1">
        <v>1357</v>
      </c>
      <c r="AK1277">
        <v>0</v>
      </c>
      <c r="AL1277">
        <v>0</v>
      </c>
      <c r="AM1277">
        <v>0</v>
      </c>
      <c r="AN1277" t="s">
        <v>135</v>
      </c>
      <c r="AO1277" t="s">
        <v>135</v>
      </c>
      <c r="AP1277" t="s">
        <v>136</v>
      </c>
      <c r="AQ1277" t="s">
        <v>137</v>
      </c>
      <c r="AR1277" t="s">
        <v>138</v>
      </c>
      <c r="AS1277" t="s">
        <v>139</v>
      </c>
      <c r="AT1277" t="s">
        <v>140</v>
      </c>
      <c r="AU1277">
        <v>103</v>
      </c>
      <c r="AV1277">
        <v>10</v>
      </c>
      <c r="AW1277">
        <v>1</v>
      </c>
      <c r="AX1277" s="2">
        <v>45815</v>
      </c>
      <c r="AY1277" t="s">
        <v>160</v>
      </c>
      <c r="AZ1277" s="2">
        <v>46025</v>
      </c>
      <c r="BA1277">
        <v>0</v>
      </c>
      <c r="BB1277">
        <v>0</v>
      </c>
      <c r="BC1277">
        <v>0</v>
      </c>
      <c r="BD1277">
        <v>700</v>
      </c>
      <c r="BE1277">
        <v>70</v>
      </c>
      <c r="BF1277">
        <v>9</v>
      </c>
      <c r="BG1277" s="2">
        <v>45809</v>
      </c>
      <c r="BH1277" t="s">
        <v>142</v>
      </c>
      <c r="BI1277" s="2">
        <v>46026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404.16</v>
      </c>
      <c r="BQ1277">
        <v>404.16</v>
      </c>
      <c r="BR1277">
        <v>0</v>
      </c>
      <c r="BS1277">
        <v>0</v>
      </c>
      <c r="BT1277">
        <v>0</v>
      </c>
      <c r="BU1277">
        <v>0</v>
      </c>
      <c r="BV1277">
        <v>528.5</v>
      </c>
      <c r="BW1277">
        <v>528.5</v>
      </c>
      <c r="BX1277">
        <v>0</v>
      </c>
      <c r="BY1277">
        <v>0</v>
      </c>
      <c r="BZ1277">
        <v>0</v>
      </c>
      <c r="CA1277">
        <v>0</v>
      </c>
      <c r="CB1277">
        <v>452.5</v>
      </c>
      <c r="CC1277" t="s">
        <v>161</v>
      </c>
    </row>
    <row r="1278" spans="1:81" x14ac:dyDescent="0.25">
      <c r="A1278">
        <v>345</v>
      </c>
      <c r="B1278">
        <v>2</v>
      </c>
      <c r="C1278">
        <v>3499</v>
      </c>
      <c r="D1278" t="s">
        <v>7285</v>
      </c>
      <c r="E1278" t="s">
        <v>5427</v>
      </c>
      <c r="F1278" t="s">
        <v>7286</v>
      </c>
      <c r="G1278" t="s">
        <v>7287</v>
      </c>
      <c r="H1278" t="s">
        <v>7288</v>
      </c>
      <c r="I1278" t="s">
        <v>125</v>
      </c>
      <c r="J1278" t="s">
        <v>126</v>
      </c>
      <c r="K1278" t="s">
        <v>466</v>
      </c>
      <c r="L1278" t="s">
        <v>128</v>
      </c>
      <c r="M1278" t="s">
        <v>467</v>
      </c>
      <c r="N1278" t="s">
        <v>7289</v>
      </c>
      <c r="O1278" t="s">
        <v>167</v>
      </c>
      <c r="P1278">
        <v>0</v>
      </c>
      <c r="Q1278" t="s">
        <v>125</v>
      </c>
      <c r="R1278">
        <v>3</v>
      </c>
      <c r="S1278">
        <v>85</v>
      </c>
      <c r="T1278" t="s">
        <v>132</v>
      </c>
      <c r="U1278" t="s">
        <v>133</v>
      </c>
      <c r="V1278" s="1">
        <v>2300</v>
      </c>
      <c r="W1278">
        <v>0</v>
      </c>
      <c r="X1278" s="1">
        <v>2300</v>
      </c>
      <c r="Y1278">
        <v>7</v>
      </c>
      <c r="Z1278">
        <v>0</v>
      </c>
      <c r="AA1278">
        <v>0</v>
      </c>
      <c r="AB1278">
        <v>0</v>
      </c>
      <c r="AC1278">
        <v>0</v>
      </c>
      <c r="AD1278" t="s">
        <v>134</v>
      </c>
      <c r="AE1278" t="s">
        <v>134</v>
      </c>
      <c r="AF1278" s="2">
        <v>45797</v>
      </c>
      <c r="AG1278" s="2">
        <v>46018</v>
      </c>
      <c r="AH1278" s="1">
        <v>1315.55</v>
      </c>
      <c r="AI1278" s="1">
        <v>3461.97</v>
      </c>
      <c r="AJ1278" s="1">
        <v>11839.95</v>
      </c>
      <c r="AK1278">
        <v>0</v>
      </c>
      <c r="AL1278">
        <v>0</v>
      </c>
      <c r="AM1278">
        <v>0</v>
      </c>
      <c r="AN1278" t="s">
        <v>135</v>
      </c>
      <c r="AO1278" t="s">
        <v>135</v>
      </c>
      <c r="AP1278" t="s">
        <v>136</v>
      </c>
      <c r="AQ1278" t="s">
        <v>137</v>
      </c>
      <c r="AR1278" t="s">
        <v>138</v>
      </c>
      <c r="AS1278" t="s">
        <v>139</v>
      </c>
      <c r="AT1278" t="s">
        <v>140</v>
      </c>
      <c r="AU1278">
        <v>500</v>
      </c>
      <c r="AV1278">
        <v>10</v>
      </c>
      <c r="AW1278">
        <v>1</v>
      </c>
      <c r="AX1278" s="2">
        <v>45826</v>
      </c>
      <c r="AY1278" t="s">
        <v>168</v>
      </c>
      <c r="AZ1278" s="2">
        <v>46022</v>
      </c>
      <c r="BA1278">
        <v>0</v>
      </c>
      <c r="BB1278">
        <v>0</v>
      </c>
      <c r="BC1278">
        <v>0</v>
      </c>
      <c r="BD1278">
        <v>700</v>
      </c>
      <c r="BE1278">
        <v>70</v>
      </c>
      <c r="BF1278">
        <v>9</v>
      </c>
      <c r="BG1278" s="2">
        <v>45809</v>
      </c>
      <c r="BH1278" t="s">
        <v>142</v>
      </c>
      <c r="BI1278" s="2">
        <v>46026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 s="1">
        <v>5135.62</v>
      </c>
      <c r="BQ1278" s="1">
        <v>5135.62</v>
      </c>
      <c r="BR1278">
        <v>0</v>
      </c>
      <c r="BS1278">
        <v>0</v>
      </c>
      <c r="BT1278">
        <v>0</v>
      </c>
      <c r="BU1278">
        <v>0</v>
      </c>
      <c r="BV1278" s="1">
        <v>4279.3599999999997</v>
      </c>
      <c r="BW1278" s="1">
        <v>4279.3599999999997</v>
      </c>
      <c r="BX1278">
        <v>0</v>
      </c>
      <c r="BY1278">
        <v>0</v>
      </c>
      <c r="BZ1278">
        <v>0</v>
      </c>
      <c r="CA1278">
        <v>0</v>
      </c>
      <c r="CB1278" s="1">
        <v>3338.25</v>
      </c>
      <c r="CC1278" t="s">
        <v>161</v>
      </c>
    </row>
    <row r="1279" spans="1:81" x14ac:dyDescent="0.25">
      <c r="A1279">
        <v>345</v>
      </c>
      <c r="B1279">
        <v>2</v>
      </c>
      <c r="C1279">
        <v>3501</v>
      </c>
      <c r="D1279" t="s">
        <v>7290</v>
      </c>
      <c r="E1279" t="s">
        <v>121</v>
      </c>
      <c r="F1279" t="s">
        <v>7291</v>
      </c>
      <c r="G1279" t="s">
        <v>7292</v>
      </c>
      <c r="H1279" t="s">
        <v>7293</v>
      </c>
      <c r="I1279" t="s">
        <v>7294</v>
      </c>
      <c r="J1279" t="s">
        <v>5134</v>
      </c>
      <c r="K1279" t="s">
        <v>1853</v>
      </c>
      <c r="L1279" t="s">
        <v>128</v>
      </c>
      <c r="M1279" t="s">
        <v>1854</v>
      </c>
      <c r="N1279" t="s">
        <v>7295</v>
      </c>
      <c r="O1279" t="s">
        <v>201</v>
      </c>
      <c r="P1279">
        <v>0</v>
      </c>
      <c r="Q1279" t="s">
        <v>125</v>
      </c>
      <c r="R1279">
        <v>3</v>
      </c>
      <c r="S1279">
        <v>84</v>
      </c>
      <c r="T1279" t="s">
        <v>132</v>
      </c>
      <c r="U1279" t="s">
        <v>133</v>
      </c>
      <c r="V1279" s="1">
        <v>1000</v>
      </c>
      <c r="W1279">
        <v>0</v>
      </c>
      <c r="X1279" s="1">
        <v>1000</v>
      </c>
      <c r="Y1279">
        <v>7</v>
      </c>
      <c r="Z1279">
        <v>0</v>
      </c>
      <c r="AA1279">
        <v>0</v>
      </c>
      <c r="AB1279">
        <v>0</v>
      </c>
      <c r="AC1279">
        <v>0</v>
      </c>
      <c r="AD1279" t="s">
        <v>134</v>
      </c>
      <c r="AE1279" t="s">
        <v>134</v>
      </c>
      <c r="AF1279" s="2">
        <v>45800</v>
      </c>
      <c r="AG1279" s="2">
        <v>46020</v>
      </c>
      <c r="AH1279">
        <v>277.18</v>
      </c>
      <c r="AI1279">
        <v>341.2</v>
      </c>
      <c r="AJ1279" s="1">
        <v>1385.92</v>
      </c>
      <c r="AK1279">
        <v>0</v>
      </c>
      <c r="AL1279">
        <v>0</v>
      </c>
      <c r="AM1279">
        <v>0</v>
      </c>
      <c r="AN1279" t="s">
        <v>135</v>
      </c>
      <c r="AO1279" t="s">
        <v>135</v>
      </c>
      <c r="AP1279" t="s">
        <v>136</v>
      </c>
      <c r="AQ1279" t="s">
        <v>137</v>
      </c>
      <c r="AR1279" t="s">
        <v>138</v>
      </c>
      <c r="AS1279" t="s">
        <v>139</v>
      </c>
      <c r="AT1279" t="s">
        <v>140</v>
      </c>
      <c r="AU1279">
        <v>103</v>
      </c>
      <c r="AV1279">
        <v>10</v>
      </c>
      <c r="AW1279">
        <v>1</v>
      </c>
      <c r="AX1279" s="2">
        <v>45856</v>
      </c>
      <c r="AY1279" t="s">
        <v>151</v>
      </c>
      <c r="AZ1279" s="2">
        <v>46024</v>
      </c>
      <c r="BA1279">
        <v>0</v>
      </c>
      <c r="BB1279">
        <v>0</v>
      </c>
      <c r="BC1279">
        <v>0</v>
      </c>
      <c r="BD1279">
        <v>700</v>
      </c>
      <c r="BE1279">
        <v>70</v>
      </c>
      <c r="BF1279">
        <v>9</v>
      </c>
      <c r="BG1279" s="2">
        <v>45809</v>
      </c>
      <c r="BH1279" t="s">
        <v>142</v>
      </c>
      <c r="BI1279" s="2">
        <v>46026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207.96</v>
      </c>
      <c r="BQ1279">
        <v>207.96</v>
      </c>
      <c r="BR1279">
        <v>0</v>
      </c>
      <c r="BS1279">
        <v>0</v>
      </c>
      <c r="BT1279">
        <v>0</v>
      </c>
      <c r="BU1279">
        <v>0</v>
      </c>
      <c r="BV1279">
        <v>950.75</v>
      </c>
      <c r="BW1279">
        <v>950.75</v>
      </c>
      <c r="BX1279">
        <v>0</v>
      </c>
      <c r="BY1279">
        <v>0</v>
      </c>
      <c r="BZ1279">
        <v>0</v>
      </c>
      <c r="CA1279">
        <v>0</v>
      </c>
      <c r="CB1279">
        <v>466.08</v>
      </c>
      <c r="CC1279" t="s">
        <v>161</v>
      </c>
    </row>
    <row r="1280" spans="1:81" x14ac:dyDescent="0.25">
      <c r="A1280">
        <v>345</v>
      </c>
      <c r="B1280">
        <v>2</v>
      </c>
      <c r="C1280">
        <v>3502</v>
      </c>
      <c r="D1280" t="s">
        <v>7296</v>
      </c>
      <c r="E1280" t="s">
        <v>121</v>
      </c>
      <c r="F1280" t="s">
        <v>7297</v>
      </c>
      <c r="G1280" t="s">
        <v>7298</v>
      </c>
      <c r="H1280" t="s">
        <v>7293</v>
      </c>
      <c r="I1280" t="s">
        <v>7299</v>
      </c>
      <c r="J1280" t="s">
        <v>4939</v>
      </c>
      <c r="K1280" t="s">
        <v>1853</v>
      </c>
      <c r="L1280" t="s">
        <v>128</v>
      </c>
      <c r="M1280" t="s">
        <v>1854</v>
      </c>
      <c r="N1280" t="s">
        <v>7300</v>
      </c>
      <c r="O1280" t="s">
        <v>201</v>
      </c>
      <c r="P1280">
        <v>0</v>
      </c>
      <c r="Q1280" t="s">
        <v>125</v>
      </c>
      <c r="R1280">
        <v>3</v>
      </c>
      <c r="S1280">
        <v>84</v>
      </c>
      <c r="T1280" t="s">
        <v>132</v>
      </c>
      <c r="U1280" t="s">
        <v>133</v>
      </c>
      <c r="V1280" s="1">
        <v>1000</v>
      </c>
      <c r="W1280">
        <v>0</v>
      </c>
      <c r="X1280" s="1">
        <v>1000</v>
      </c>
      <c r="Y1280">
        <v>7</v>
      </c>
      <c r="Z1280">
        <v>0</v>
      </c>
      <c r="AA1280">
        <v>0</v>
      </c>
      <c r="AB1280">
        <v>0</v>
      </c>
      <c r="AC1280">
        <v>0</v>
      </c>
      <c r="AD1280" t="s">
        <v>134</v>
      </c>
      <c r="AE1280" t="s">
        <v>134</v>
      </c>
      <c r="AF1280" s="2">
        <v>45800</v>
      </c>
      <c r="AG1280" s="2">
        <v>46020</v>
      </c>
      <c r="AH1280">
        <v>182.15</v>
      </c>
      <c r="AI1280">
        <v>391.73</v>
      </c>
      <c r="AJ1280">
        <v>728.62</v>
      </c>
      <c r="AK1280">
        <v>0</v>
      </c>
      <c r="AL1280">
        <v>0</v>
      </c>
      <c r="AM1280">
        <v>0</v>
      </c>
      <c r="AN1280" t="s">
        <v>135</v>
      </c>
      <c r="AO1280" t="s">
        <v>135</v>
      </c>
      <c r="AP1280" t="s">
        <v>136</v>
      </c>
      <c r="AQ1280" t="s">
        <v>137</v>
      </c>
      <c r="AR1280" t="s">
        <v>138</v>
      </c>
      <c r="AS1280" t="s">
        <v>139</v>
      </c>
      <c r="AT1280" t="s">
        <v>140</v>
      </c>
      <c r="AU1280">
        <v>103</v>
      </c>
      <c r="AV1280">
        <v>10</v>
      </c>
      <c r="AW1280">
        <v>1</v>
      </c>
      <c r="AX1280" s="2">
        <v>45856</v>
      </c>
      <c r="AY1280" t="s">
        <v>151</v>
      </c>
      <c r="AZ1280" s="2">
        <v>46024</v>
      </c>
      <c r="BA1280">
        <v>0</v>
      </c>
      <c r="BB1280">
        <v>0</v>
      </c>
      <c r="BC1280">
        <v>0</v>
      </c>
      <c r="BD1280">
        <v>700</v>
      </c>
      <c r="BE1280">
        <v>70</v>
      </c>
      <c r="BF1280">
        <v>9</v>
      </c>
      <c r="BG1280" s="2">
        <v>45809</v>
      </c>
      <c r="BH1280" t="s">
        <v>142</v>
      </c>
      <c r="BI1280" s="2">
        <v>46026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391.73</v>
      </c>
      <c r="BQ1280">
        <v>391.73</v>
      </c>
      <c r="BR1280">
        <v>0</v>
      </c>
      <c r="BS1280">
        <v>0</v>
      </c>
      <c r="BT1280">
        <v>0</v>
      </c>
      <c r="BU1280">
        <v>0</v>
      </c>
      <c r="BV1280">
        <v>336.89</v>
      </c>
      <c r="BW1280">
        <v>336.89</v>
      </c>
      <c r="BX1280">
        <v>0</v>
      </c>
      <c r="BY1280">
        <v>0</v>
      </c>
      <c r="BZ1280">
        <v>0</v>
      </c>
      <c r="CA1280">
        <v>0</v>
      </c>
      <c r="CB1280">
        <v>181.17</v>
      </c>
      <c r="CC1280" t="s">
        <v>161</v>
      </c>
    </row>
    <row r="1281" spans="1:81" x14ac:dyDescent="0.25">
      <c r="A1281">
        <v>345</v>
      </c>
      <c r="B1281">
        <v>2</v>
      </c>
      <c r="C1281">
        <v>3503</v>
      </c>
      <c r="D1281" t="s">
        <v>7301</v>
      </c>
      <c r="E1281" t="s">
        <v>121</v>
      </c>
      <c r="F1281" t="s">
        <v>7302</v>
      </c>
      <c r="G1281" t="s">
        <v>7303</v>
      </c>
      <c r="H1281" t="s">
        <v>7304</v>
      </c>
      <c r="I1281" t="s">
        <v>7305</v>
      </c>
      <c r="J1281" t="s">
        <v>4939</v>
      </c>
      <c r="K1281" t="s">
        <v>1853</v>
      </c>
      <c r="L1281" t="s">
        <v>128</v>
      </c>
      <c r="M1281" t="s">
        <v>1854</v>
      </c>
      <c r="N1281" t="s">
        <v>7306</v>
      </c>
      <c r="O1281" t="s">
        <v>201</v>
      </c>
      <c r="P1281">
        <v>0</v>
      </c>
      <c r="Q1281" t="s">
        <v>125</v>
      </c>
      <c r="R1281">
        <v>3</v>
      </c>
      <c r="S1281">
        <v>82</v>
      </c>
      <c r="T1281" t="s">
        <v>132</v>
      </c>
      <c r="U1281" t="s">
        <v>133</v>
      </c>
      <c r="V1281" s="1">
        <v>1000</v>
      </c>
      <c r="W1281">
        <v>0</v>
      </c>
      <c r="X1281" s="1">
        <v>1000</v>
      </c>
      <c r="Y1281">
        <v>7</v>
      </c>
      <c r="Z1281">
        <v>0</v>
      </c>
      <c r="AA1281">
        <v>2</v>
      </c>
      <c r="AB1281">
        <v>0</v>
      </c>
      <c r="AC1281">
        <v>0</v>
      </c>
      <c r="AD1281" t="s">
        <v>134</v>
      </c>
      <c r="AE1281" t="s">
        <v>134</v>
      </c>
      <c r="AF1281" s="2">
        <v>45800</v>
      </c>
      <c r="AG1281" s="2">
        <v>46004</v>
      </c>
      <c r="AH1281">
        <v>326.68</v>
      </c>
      <c r="AI1281">
        <v>402.09</v>
      </c>
      <c r="AJ1281" s="1">
        <v>1306.74</v>
      </c>
      <c r="AK1281">
        <v>0</v>
      </c>
      <c r="AL1281">
        <v>0</v>
      </c>
      <c r="AM1281">
        <v>0</v>
      </c>
      <c r="AN1281" t="s">
        <v>135</v>
      </c>
      <c r="AO1281" t="s">
        <v>135</v>
      </c>
      <c r="AP1281" t="s">
        <v>136</v>
      </c>
      <c r="AQ1281" t="s">
        <v>137</v>
      </c>
      <c r="AR1281" t="s">
        <v>138</v>
      </c>
      <c r="AS1281" t="s">
        <v>150</v>
      </c>
      <c r="AT1281" t="s">
        <v>140</v>
      </c>
      <c r="AU1281">
        <v>103</v>
      </c>
      <c r="AV1281">
        <v>10</v>
      </c>
      <c r="AW1281">
        <v>1</v>
      </c>
      <c r="AX1281" s="2">
        <v>45842</v>
      </c>
      <c r="AY1281" t="s">
        <v>151</v>
      </c>
      <c r="AZ1281" s="2">
        <v>46024</v>
      </c>
      <c r="BA1281">
        <v>0</v>
      </c>
      <c r="BB1281">
        <v>0</v>
      </c>
      <c r="BC1281">
        <v>0</v>
      </c>
      <c r="BD1281">
        <v>700</v>
      </c>
      <c r="BE1281">
        <v>70</v>
      </c>
      <c r="BF1281">
        <v>9</v>
      </c>
      <c r="BG1281" s="2">
        <v>45809</v>
      </c>
      <c r="BH1281" t="s">
        <v>142</v>
      </c>
      <c r="BI1281" s="2">
        <v>46026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323.77</v>
      </c>
      <c r="BQ1281">
        <v>323.77</v>
      </c>
      <c r="BR1281">
        <v>0</v>
      </c>
      <c r="BS1281">
        <v>2</v>
      </c>
      <c r="BT1281">
        <v>2</v>
      </c>
      <c r="BU1281">
        <v>731.31</v>
      </c>
      <c r="BV1281">
        <v>0</v>
      </c>
      <c r="BW1281">
        <v>731.31</v>
      </c>
      <c r="BX1281">
        <v>0</v>
      </c>
      <c r="BY1281">
        <v>0</v>
      </c>
      <c r="BZ1281">
        <v>0</v>
      </c>
      <c r="CA1281">
        <v>0</v>
      </c>
      <c r="CB1281">
        <v>260.87</v>
      </c>
      <c r="CC1281" t="s">
        <v>161</v>
      </c>
    </row>
    <row r="1282" spans="1:81" x14ac:dyDescent="0.25">
      <c r="A1282">
        <v>345</v>
      </c>
      <c r="B1282">
        <v>2</v>
      </c>
      <c r="C1282">
        <v>3504</v>
      </c>
      <c r="D1282" t="s">
        <v>7307</v>
      </c>
      <c r="E1282" t="s">
        <v>121</v>
      </c>
      <c r="F1282" t="s">
        <v>7308</v>
      </c>
      <c r="G1282" t="s">
        <v>7309</v>
      </c>
      <c r="H1282" t="s">
        <v>7293</v>
      </c>
      <c r="I1282" t="s">
        <v>7310</v>
      </c>
      <c r="J1282" t="s">
        <v>5134</v>
      </c>
      <c r="K1282" t="s">
        <v>1853</v>
      </c>
      <c r="L1282" t="s">
        <v>128</v>
      </c>
      <c r="M1282" t="s">
        <v>1854</v>
      </c>
      <c r="N1282" t="s">
        <v>7311</v>
      </c>
      <c r="O1282" t="s">
        <v>201</v>
      </c>
      <c r="P1282">
        <v>0</v>
      </c>
      <c r="Q1282" t="s">
        <v>125</v>
      </c>
      <c r="R1282">
        <v>3</v>
      </c>
      <c r="S1282">
        <v>85</v>
      </c>
      <c r="T1282" t="s">
        <v>132</v>
      </c>
      <c r="U1282" t="s">
        <v>133</v>
      </c>
      <c r="V1282" s="1">
        <v>2100</v>
      </c>
      <c r="W1282">
        <v>0</v>
      </c>
      <c r="X1282" s="1">
        <v>2100</v>
      </c>
      <c r="Y1282">
        <v>7</v>
      </c>
      <c r="Z1282">
        <v>0</v>
      </c>
      <c r="AA1282">
        <v>0</v>
      </c>
      <c r="AB1282">
        <v>0</v>
      </c>
      <c r="AC1282">
        <v>0</v>
      </c>
      <c r="AD1282" t="s">
        <v>134</v>
      </c>
      <c r="AE1282" t="s">
        <v>134</v>
      </c>
      <c r="AF1282" s="2">
        <v>45800</v>
      </c>
      <c r="AG1282" s="2">
        <v>46004</v>
      </c>
      <c r="AH1282" s="1">
        <v>1132.28</v>
      </c>
      <c r="AI1282" s="1">
        <v>3928.64</v>
      </c>
      <c r="AJ1282" s="1">
        <v>4529.12</v>
      </c>
      <c r="AK1282">
        <v>0</v>
      </c>
      <c r="AL1282">
        <v>0</v>
      </c>
      <c r="AM1282">
        <v>0</v>
      </c>
      <c r="AN1282" t="s">
        <v>135</v>
      </c>
      <c r="AO1282" t="s">
        <v>135</v>
      </c>
      <c r="AP1282" t="s">
        <v>136</v>
      </c>
      <c r="AQ1282" t="s">
        <v>137</v>
      </c>
      <c r="AR1282" t="s">
        <v>138</v>
      </c>
      <c r="AS1282" t="s">
        <v>139</v>
      </c>
      <c r="AT1282" t="s">
        <v>140</v>
      </c>
      <c r="AU1282">
        <v>103</v>
      </c>
      <c r="AV1282">
        <v>10</v>
      </c>
      <c r="AW1282">
        <v>1</v>
      </c>
      <c r="AX1282" s="2">
        <v>45856</v>
      </c>
      <c r="AY1282" t="s">
        <v>151</v>
      </c>
      <c r="AZ1282" s="2">
        <v>46024</v>
      </c>
      <c r="BA1282">
        <v>0</v>
      </c>
      <c r="BB1282">
        <v>0</v>
      </c>
      <c r="BC1282">
        <v>0</v>
      </c>
      <c r="BD1282">
        <v>700</v>
      </c>
      <c r="BE1282">
        <v>70</v>
      </c>
      <c r="BF1282">
        <v>9</v>
      </c>
      <c r="BG1282" s="2">
        <v>45809</v>
      </c>
      <c r="BH1282" t="s">
        <v>142</v>
      </c>
      <c r="BI1282" s="2">
        <v>46026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217.85</v>
      </c>
      <c r="BQ1282">
        <v>217.85</v>
      </c>
      <c r="BR1282">
        <v>0</v>
      </c>
      <c r="BS1282">
        <v>0</v>
      </c>
      <c r="BT1282">
        <v>0</v>
      </c>
      <c r="BU1282">
        <v>0</v>
      </c>
      <c r="BV1282">
        <v>171.21</v>
      </c>
      <c r="BW1282">
        <v>171.21</v>
      </c>
      <c r="BX1282">
        <v>0</v>
      </c>
      <c r="BY1282">
        <v>0</v>
      </c>
      <c r="BZ1282">
        <v>0</v>
      </c>
      <c r="CA1282">
        <v>0</v>
      </c>
      <c r="CB1282" s="1">
        <v>1566.39</v>
      </c>
      <c r="CC1282" t="s">
        <v>161</v>
      </c>
    </row>
    <row r="1283" spans="1:81" x14ac:dyDescent="0.25">
      <c r="A1283">
        <v>345</v>
      </c>
      <c r="B1283">
        <v>2</v>
      </c>
      <c r="C1283">
        <v>3506</v>
      </c>
      <c r="D1283" t="s">
        <v>7312</v>
      </c>
      <c r="E1283" t="s">
        <v>121</v>
      </c>
      <c r="F1283" t="s">
        <v>7313</v>
      </c>
      <c r="G1283" t="s">
        <v>7314</v>
      </c>
      <c r="H1283" t="s">
        <v>7315</v>
      </c>
      <c r="I1283" t="s">
        <v>7316</v>
      </c>
      <c r="J1283" t="s">
        <v>126</v>
      </c>
      <c r="K1283" t="s">
        <v>1853</v>
      </c>
      <c r="L1283" t="s">
        <v>128</v>
      </c>
      <c r="M1283" t="s">
        <v>1854</v>
      </c>
      <c r="N1283" t="s">
        <v>7317</v>
      </c>
      <c r="O1283" t="s">
        <v>195</v>
      </c>
      <c r="P1283">
        <v>0</v>
      </c>
      <c r="Q1283" t="s">
        <v>125</v>
      </c>
      <c r="R1283">
        <v>3</v>
      </c>
      <c r="S1283">
        <v>82</v>
      </c>
      <c r="T1283" t="s">
        <v>132</v>
      </c>
      <c r="U1283" t="s">
        <v>133</v>
      </c>
      <c r="V1283" s="1">
        <v>1000</v>
      </c>
      <c r="W1283">
        <v>0</v>
      </c>
      <c r="X1283" s="1">
        <v>1000</v>
      </c>
      <c r="Y1283">
        <v>7</v>
      </c>
      <c r="Z1283">
        <v>0</v>
      </c>
      <c r="AA1283">
        <v>0</v>
      </c>
      <c r="AB1283">
        <v>0</v>
      </c>
      <c r="AC1283">
        <v>0</v>
      </c>
      <c r="AD1283" t="s">
        <v>134</v>
      </c>
      <c r="AE1283" t="s">
        <v>134</v>
      </c>
      <c r="AF1283" s="2">
        <v>45800</v>
      </c>
      <c r="AG1283" s="2">
        <v>45982</v>
      </c>
      <c r="AH1283">
        <v>135.96</v>
      </c>
      <c r="AI1283">
        <v>171.84</v>
      </c>
      <c r="AJ1283">
        <v>407.89</v>
      </c>
      <c r="AK1283">
        <v>0</v>
      </c>
      <c r="AL1283">
        <v>158.19</v>
      </c>
      <c r="AM1283">
        <v>0</v>
      </c>
      <c r="AN1283" t="s">
        <v>135</v>
      </c>
      <c r="AO1283" t="s">
        <v>135</v>
      </c>
      <c r="AP1283" t="s">
        <v>136</v>
      </c>
      <c r="AQ1283" t="s">
        <v>137</v>
      </c>
      <c r="AR1283" t="s">
        <v>138</v>
      </c>
      <c r="AS1283" t="s">
        <v>139</v>
      </c>
      <c r="AT1283" t="s">
        <v>140</v>
      </c>
      <c r="AU1283">
        <v>103</v>
      </c>
      <c r="AV1283">
        <v>10</v>
      </c>
      <c r="AW1283">
        <v>1</v>
      </c>
      <c r="AX1283" s="2">
        <v>45813</v>
      </c>
      <c r="AY1283" t="s">
        <v>308</v>
      </c>
      <c r="AZ1283" s="2">
        <v>46023</v>
      </c>
      <c r="BA1283">
        <v>0</v>
      </c>
      <c r="BB1283">
        <v>0</v>
      </c>
      <c r="BC1283">
        <v>0</v>
      </c>
      <c r="BD1283">
        <v>700</v>
      </c>
      <c r="BE1283">
        <v>70</v>
      </c>
      <c r="BF1283">
        <v>9</v>
      </c>
      <c r="BG1283" s="2">
        <v>45809</v>
      </c>
      <c r="BH1283" t="s">
        <v>142</v>
      </c>
      <c r="BI1283" s="2">
        <v>46026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171.84</v>
      </c>
      <c r="BQ1283">
        <v>171.84</v>
      </c>
      <c r="BR1283">
        <v>0</v>
      </c>
      <c r="BS1283">
        <v>0</v>
      </c>
      <c r="BT1283">
        <v>0</v>
      </c>
      <c r="BU1283">
        <v>0</v>
      </c>
      <c r="BV1283">
        <v>158.19</v>
      </c>
      <c r="BW1283">
        <v>158.19</v>
      </c>
      <c r="BX1283">
        <v>0</v>
      </c>
      <c r="BY1283">
        <v>0</v>
      </c>
      <c r="BZ1283">
        <v>0</v>
      </c>
      <c r="CA1283">
        <v>0</v>
      </c>
      <c r="CB1283">
        <v>203.65</v>
      </c>
      <c r="CC1283" t="s">
        <v>161</v>
      </c>
    </row>
    <row r="1284" spans="1:81" x14ac:dyDescent="0.25">
      <c r="A1284">
        <v>345</v>
      </c>
      <c r="B1284">
        <v>2</v>
      </c>
      <c r="C1284">
        <v>3507</v>
      </c>
      <c r="D1284" t="s">
        <v>7318</v>
      </c>
      <c r="E1284" t="s">
        <v>121</v>
      </c>
      <c r="F1284" t="s">
        <v>7319</v>
      </c>
      <c r="G1284" t="s">
        <v>7320</v>
      </c>
      <c r="H1284" t="s">
        <v>7321</v>
      </c>
      <c r="I1284" t="s">
        <v>7322</v>
      </c>
      <c r="J1284" t="s">
        <v>126</v>
      </c>
      <c r="K1284" t="s">
        <v>1853</v>
      </c>
      <c r="L1284" t="s">
        <v>128</v>
      </c>
      <c r="M1284" t="s">
        <v>1854</v>
      </c>
      <c r="N1284" t="s">
        <v>7323</v>
      </c>
      <c r="O1284" t="s">
        <v>159</v>
      </c>
      <c r="P1284">
        <v>0</v>
      </c>
      <c r="Q1284" t="s">
        <v>125</v>
      </c>
      <c r="R1284">
        <v>4</v>
      </c>
      <c r="S1284">
        <v>79</v>
      </c>
      <c r="T1284" t="s">
        <v>132</v>
      </c>
      <c r="U1284" t="s">
        <v>133</v>
      </c>
      <c r="V1284" s="1">
        <v>1300</v>
      </c>
      <c r="W1284">
        <v>0</v>
      </c>
      <c r="X1284" s="1">
        <v>1300</v>
      </c>
      <c r="Y1284">
        <v>7</v>
      </c>
      <c r="Z1284">
        <v>0</v>
      </c>
      <c r="AA1284">
        <v>0</v>
      </c>
      <c r="AB1284">
        <v>0</v>
      </c>
      <c r="AC1284">
        <v>0</v>
      </c>
      <c r="AD1284" t="s">
        <v>134</v>
      </c>
      <c r="AE1284" t="s">
        <v>134</v>
      </c>
      <c r="AF1284" s="2">
        <v>45800</v>
      </c>
      <c r="AG1284" s="2">
        <v>45997</v>
      </c>
      <c r="AH1284">
        <v>578.54</v>
      </c>
      <c r="AI1284">
        <v>964.12</v>
      </c>
      <c r="AJ1284" s="1">
        <v>1735.64</v>
      </c>
      <c r="AK1284">
        <v>0</v>
      </c>
      <c r="AL1284">
        <v>0</v>
      </c>
      <c r="AM1284">
        <v>0</v>
      </c>
      <c r="AN1284" t="s">
        <v>135</v>
      </c>
      <c r="AO1284" t="s">
        <v>135</v>
      </c>
      <c r="AP1284" t="s">
        <v>136</v>
      </c>
      <c r="AQ1284" t="s">
        <v>137</v>
      </c>
      <c r="AR1284" t="s">
        <v>138</v>
      </c>
      <c r="AS1284" t="s">
        <v>150</v>
      </c>
      <c r="AT1284" t="s">
        <v>140</v>
      </c>
      <c r="AU1284">
        <v>103</v>
      </c>
      <c r="AV1284">
        <v>10</v>
      </c>
      <c r="AW1284">
        <v>1</v>
      </c>
      <c r="AX1284" s="2">
        <v>45814</v>
      </c>
      <c r="AY1284" t="s">
        <v>151</v>
      </c>
      <c r="AZ1284" s="2">
        <v>46024</v>
      </c>
      <c r="BA1284">
        <v>0</v>
      </c>
      <c r="BB1284">
        <v>0</v>
      </c>
      <c r="BC1284">
        <v>0</v>
      </c>
      <c r="BD1284">
        <v>700</v>
      </c>
      <c r="BE1284">
        <v>70</v>
      </c>
      <c r="BF1284">
        <v>9</v>
      </c>
      <c r="BG1284" s="2">
        <v>45809</v>
      </c>
      <c r="BH1284" t="s">
        <v>142</v>
      </c>
      <c r="BI1284" s="2">
        <v>46026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964.12</v>
      </c>
      <c r="BQ1284">
        <v>964.12</v>
      </c>
      <c r="BR1284">
        <v>0</v>
      </c>
      <c r="BS1284">
        <v>0</v>
      </c>
      <c r="BT1284">
        <v>0</v>
      </c>
      <c r="BU1284">
        <v>0</v>
      </c>
      <c r="BV1284">
        <v>537.96</v>
      </c>
      <c r="BW1284">
        <v>537.96</v>
      </c>
      <c r="BX1284">
        <v>0</v>
      </c>
      <c r="BY1284">
        <v>0</v>
      </c>
      <c r="BZ1284">
        <v>0</v>
      </c>
      <c r="CA1284">
        <v>0</v>
      </c>
      <c r="CB1284">
        <v>518.20000000000005</v>
      </c>
      <c r="CC1284" t="s">
        <v>161</v>
      </c>
    </row>
    <row r="1285" spans="1:81" x14ac:dyDescent="0.25">
      <c r="A1285">
        <v>345</v>
      </c>
      <c r="B1285">
        <v>2</v>
      </c>
      <c r="C1285">
        <v>3510</v>
      </c>
      <c r="D1285" t="s">
        <v>7324</v>
      </c>
      <c r="E1285" t="s">
        <v>121</v>
      </c>
      <c r="F1285" t="s">
        <v>7325</v>
      </c>
      <c r="G1285" t="s">
        <v>7326</v>
      </c>
      <c r="H1285" t="s">
        <v>7327</v>
      </c>
      <c r="I1285" t="s">
        <v>7328</v>
      </c>
      <c r="J1285" t="s">
        <v>126</v>
      </c>
      <c r="K1285" t="s">
        <v>1853</v>
      </c>
      <c r="L1285" t="s">
        <v>128</v>
      </c>
      <c r="M1285" t="s">
        <v>1854</v>
      </c>
      <c r="N1285" t="s">
        <v>7329</v>
      </c>
      <c r="O1285" t="s">
        <v>159</v>
      </c>
      <c r="P1285">
        <v>0</v>
      </c>
      <c r="Q1285" t="s">
        <v>125</v>
      </c>
      <c r="R1285">
        <v>4</v>
      </c>
      <c r="S1285">
        <v>81</v>
      </c>
      <c r="T1285" t="s">
        <v>132</v>
      </c>
      <c r="U1285" t="s">
        <v>133</v>
      </c>
      <c r="V1285" s="1">
        <v>1300</v>
      </c>
      <c r="W1285">
        <v>0</v>
      </c>
      <c r="X1285" s="1">
        <v>1300</v>
      </c>
      <c r="Y1285">
        <v>7</v>
      </c>
      <c r="Z1285">
        <v>0</v>
      </c>
      <c r="AA1285">
        <v>0</v>
      </c>
      <c r="AB1285">
        <v>0</v>
      </c>
      <c r="AC1285">
        <v>0</v>
      </c>
      <c r="AD1285" t="s">
        <v>134</v>
      </c>
      <c r="AE1285" t="s">
        <v>134</v>
      </c>
      <c r="AF1285" s="2">
        <v>45800</v>
      </c>
      <c r="AG1285" s="2">
        <v>46009</v>
      </c>
      <c r="AH1285">
        <v>284.99</v>
      </c>
      <c r="AI1285">
        <v>748.21</v>
      </c>
      <c r="AJ1285" s="1">
        <v>1994.98</v>
      </c>
      <c r="AK1285">
        <v>0</v>
      </c>
      <c r="AL1285">
        <v>0</v>
      </c>
      <c r="AM1285">
        <v>0</v>
      </c>
      <c r="AN1285" t="s">
        <v>135</v>
      </c>
      <c r="AO1285" t="s">
        <v>135</v>
      </c>
      <c r="AP1285" t="s">
        <v>136</v>
      </c>
      <c r="AQ1285" t="s">
        <v>137</v>
      </c>
      <c r="AR1285" t="s">
        <v>138</v>
      </c>
      <c r="AS1285" t="s">
        <v>139</v>
      </c>
      <c r="AT1285" t="s">
        <v>140</v>
      </c>
      <c r="AU1285">
        <v>103</v>
      </c>
      <c r="AV1285">
        <v>10</v>
      </c>
      <c r="AW1285">
        <v>1</v>
      </c>
      <c r="AX1285" s="2">
        <v>45840</v>
      </c>
      <c r="AY1285" t="s">
        <v>168</v>
      </c>
      <c r="AZ1285" s="2">
        <v>46022</v>
      </c>
      <c r="BA1285">
        <v>0</v>
      </c>
      <c r="BB1285">
        <v>0</v>
      </c>
      <c r="BC1285">
        <v>0</v>
      </c>
      <c r="BD1285">
        <v>700</v>
      </c>
      <c r="BE1285">
        <v>70</v>
      </c>
      <c r="BF1285">
        <v>9</v>
      </c>
      <c r="BG1285" s="2">
        <v>45809</v>
      </c>
      <c r="BH1285" t="s">
        <v>142</v>
      </c>
      <c r="BI1285" s="2">
        <v>46026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362.68</v>
      </c>
      <c r="BQ1285">
        <v>362.68</v>
      </c>
      <c r="BR1285">
        <v>0</v>
      </c>
      <c r="BS1285">
        <v>0</v>
      </c>
      <c r="BT1285">
        <v>0</v>
      </c>
      <c r="BU1285">
        <v>0</v>
      </c>
      <c r="BV1285" s="1">
        <v>1020.31</v>
      </c>
      <c r="BW1285" s="1">
        <v>1020.31</v>
      </c>
      <c r="BX1285">
        <v>0</v>
      </c>
      <c r="BY1285">
        <v>0</v>
      </c>
      <c r="BZ1285">
        <v>0</v>
      </c>
      <c r="CA1285">
        <v>0</v>
      </c>
      <c r="CB1285">
        <v>561.13</v>
      </c>
      <c r="CC1285" t="s">
        <v>161</v>
      </c>
    </row>
    <row r="1286" spans="1:81" x14ac:dyDescent="0.25">
      <c r="A1286">
        <v>345</v>
      </c>
      <c r="B1286">
        <v>2</v>
      </c>
      <c r="C1286">
        <v>3513</v>
      </c>
      <c r="D1286" t="s">
        <v>7330</v>
      </c>
      <c r="E1286" t="s">
        <v>121</v>
      </c>
      <c r="F1286" t="s">
        <v>7331</v>
      </c>
      <c r="G1286" t="s">
        <v>7332</v>
      </c>
      <c r="H1286" t="s">
        <v>7333</v>
      </c>
      <c r="I1286" t="s">
        <v>5253</v>
      </c>
      <c r="J1286" t="s">
        <v>4569</v>
      </c>
      <c r="K1286" t="s">
        <v>473</v>
      </c>
      <c r="L1286" t="s">
        <v>128</v>
      </c>
      <c r="M1286" t="s">
        <v>474</v>
      </c>
      <c r="N1286" t="s">
        <v>7334</v>
      </c>
      <c r="O1286" t="s">
        <v>201</v>
      </c>
      <c r="P1286">
        <v>0</v>
      </c>
      <c r="Q1286" t="s">
        <v>125</v>
      </c>
      <c r="R1286">
        <v>3</v>
      </c>
      <c r="S1286">
        <v>87</v>
      </c>
      <c r="T1286" t="s">
        <v>132</v>
      </c>
      <c r="U1286" t="s">
        <v>133</v>
      </c>
      <c r="V1286" s="1">
        <v>1000</v>
      </c>
      <c r="W1286">
        <v>0</v>
      </c>
      <c r="X1286" s="1">
        <v>1000</v>
      </c>
      <c r="Y1286">
        <v>7</v>
      </c>
      <c r="Z1286">
        <v>0</v>
      </c>
      <c r="AA1286">
        <v>0</v>
      </c>
      <c r="AB1286">
        <v>0</v>
      </c>
      <c r="AC1286">
        <v>0</v>
      </c>
      <c r="AD1286" t="s">
        <v>134</v>
      </c>
      <c r="AE1286" t="s">
        <v>134</v>
      </c>
      <c r="AF1286" s="2">
        <v>45800</v>
      </c>
      <c r="AG1286" s="2">
        <v>46018</v>
      </c>
      <c r="AH1286">
        <v>189.07</v>
      </c>
      <c r="AI1286">
        <v>232.02</v>
      </c>
      <c r="AJ1286" s="1">
        <v>1512.61</v>
      </c>
      <c r="AK1286">
        <v>0</v>
      </c>
      <c r="AL1286">
        <v>0</v>
      </c>
      <c r="AM1286">
        <v>0</v>
      </c>
      <c r="AN1286" t="s">
        <v>135</v>
      </c>
      <c r="AO1286" t="s">
        <v>135</v>
      </c>
      <c r="AP1286" t="s">
        <v>136</v>
      </c>
      <c r="AQ1286" t="s">
        <v>137</v>
      </c>
      <c r="AR1286" t="s">
        <v>138</v>
      </c>
      <c r="AS1286" t="s">
        <v>139</v>
      </c>
      <c r="AT1286" t="s">
        <v>140</v>
      </c>
      <c r="AU1286">
        <v>105</v>
      </c>
      <c r="AV1286">
        <v>10</v>
      </c>
      <c r="AW1286">
        <v>1</v>
      </c>
      <c r="AX1286" s="2">
        <v>45826</v>
      </c>
      <c r="AY1286" t="s">
        <v>168</v>
      </c>
      <c r="AZ1286" s="2">
        <v>46022</v>
      </c>
      <c r="BA1286">
        <v>0</v>
      </c>
      <c r="BB1286">
        <v>0</v>
      </c>
      <c r="BC1286">
        <v>0</v>
      </c>
      <c r="BD1286">
        <v>700</v>
      </c>
      <c r="BE1286">
        <v>70</v>
      </c>
      <c r="BF1286">
        <v>9</v>
      </c>
      <c r="BG1286" s="2">
        <v>45809</v>
      </c>
      <c r="BH1286" t="s">
        <v>142</v>
      </c>
      <c r="BI1286" s="2">
        <v>46026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356.04</v>
      </c>
      <c r="BQ1286">
        <v>356.04</v>
      </c>
      <c r="BR1286">
        <v>0</v>
      </c>
      <c r="BS1286">
        <v>0</v>
      </c>
      <c r="BT1286">
        <v>0</v>
      </c>
      <c r="BU1286">
        <v>0</v>
      </c>
      <c r="BV1286">
        <v>794.7</v>
      </c>
      <c r="BW1286">
        <v>794.7</v>
      </c>
      <c r="BX1286">
        <v>0</v>
      </c>
      <c r="BY1286">
        <v>0</v>
      </c>
      <c r="BZ1286">
        <v>0</v>
      </c>
      <c r="CA1286">
        <v>0</v>
      </c>
      <c r="CB1286">
        <v>467.73</v>
      </c>
      <c r="CC1286" t="s">
        <v>161</v>
      </c>
    </row>
    <row r="1287" spans="1:81" x14ac:dyDescent="0.25">
      <c r="A1287">
        <v>345</v>
      </c>
      <c r="B1287">
        <v>2</v>
      </c>
      <c r="C1287">
        <v>3514</v>
      </c>
      <c r="D1287" t="s">
        <v>7335</v>
      </c>
      <c r="E1287" t="s">
        <v>121</v>
      </c>
      <c r="F1287" t="s">
        <v>7336</v>
      </c>
      <c r="G1287" t="s">
        <v>7337</v>
      </c>
      <c r="H1287" t="s">
        <v>7338</v>
      </c>
      <c r="I1287" t="s">
        <v>7339</v>
      </c>
      <c r="J1287" t="s">
        <v>4569</v>
      </c>
      <c r="K1287" t="s">
        <v>473</v>
      </c>
      <c r="L1287" t="s">
        <v>128</v>
      </c>
      <c r="M1287" t="s">
        <v>474</v>
      </c>
      <c r="N1287" t="s">
        <v>7340</v>
      </c>
      <c r="O1287" t="s">
        <v>167</v>
      </c>
      <c r="P1287">
        <v>0</v>
      </c>
      <c r="Q1287" t="s">
        <v>125</v>
      </c>
      <c r="R1287">
        <v>4</v>
      </c>
      <c r="S1287">
        <v>81</v>
      </c>
      <c r="T1287" t="s">
        <v>132</v>
      </c>
      <c r="U1287" t="s">
        <v>133</v>
      </c>
      <c r="V1287" s="1">
        <v>1600</v>
      </c>
      <c r="W1287">
        <v>0</v>
      </c>
      <c r="X1287" s="1">
        <v>1600</v>
      </c>
      <c r="Y1287">
        <v>7</v>
      </c>
      <c r="Z1287">
        <v>0</v>
      </c>
      <c r="AA1287">
        <v>0</v>
      </c>
      <c r="AB1287">
        <v>0</v>
      </c>
      <c r="AC1287">
        <v>0</v>
      </c>
      <c r="AD1287" t="s">
        <v>134</v>
      </c>
      <c r="AE1287" t="s">
        <v>134</v>
      </c>
      <c r="AF1287" s="2">
        <v>45800</v>
      </c>
      <c r="AG1287" s="2">
        <v>45968</v>
      </c>
      <c r="AH1287" s="1">
        <v>1025.3</v>
      </c>
      <c r="AI1287" s="1">
        <v>1089.8</v>
      </c>
      <c r="AJ1287" s="1">
        <v>2050.6</v>
      </c>
      <c r="AK1287">
        <v>0</v>
      </c>
      <c r="AL1287">
        <v>0</v>
      </c>
      <c r="AM1287">
        <v>0</v>
      </c>
      <c r="AN1287" t="s">
        <v>135</v>
      </c>
      <c r="AO1287" t="s">
        <v>135</v>
      </c>
      <c r="AP1287" t="s">
        <v>136</v>
      </c>
      <c r="AQ1287" t="s">
        <v>137</v>
      </c>
      <c r="AR1287" t="s">
        <v>138</v>
      </c>
      <c r="AS1287" t="s">
        <v>139</v>
      </c>
      <c r="AT1287" t="s">
        <v>140</v>
      </c>
      <c r="AU1287">
        <v>105</v>
      </c>
      <c r="AV1287">
        <v>10</v>
      </c>
      <c r="AW1287">
        <v>1</v>
      </c>
      <c r="AX1287" s="2">
        <v>45854</v>
      </c>
      <c r="AY1287" t="s">
        <v>168</v>
      </c>
      <c r="AZ1287" s="2">
        <v>46022</v>
      </c>
      <c r="BA1287">
        <v>0</v>
      </c>
      <c r="BB1287">
        <v>0</v>
      </c>
      <c r="BC1287">
        <v>0</v>
      </c>
      <c r="BD1287">
        <v>700</v>
      </c>
      <c r="BE1287">
        <v>70</v>
      </c>
      <c r="BF1287">
        <v>9</v>
      </c>
      <c r="BG1287" s="2">
        <v>45809</v>
      </c>
      <c r="BH1287" t="s">
        <v>142</v>
      </c>
      <c r="BI1287" s="2">
        <v>46026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 s="1">
        <v>1089.8</v>
      </c>
      <c r="BQ1287" s="1">
        <v>1089.8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 s="1">
        <v>1123.01</v>
      </c>
      <c r="CC1287" t="s">
        <v>161</v>
      </c>
    </row>
    <row r="1288" spans="1:81" x14ac:dyDescent="0.25">
      <c r="A1288">
        <v>345</v>
      </c>
      <c r="B1288">
        <v>2</v>
      </c>
      <c r="C1288">
        <v>3515</v>
      </c>
      <c r="D1288" t="s">
        <v>7341</v>
      </c>
      <c r="E1288" t="s">
        <v>121</v>
      </c>
      <c r="F1288" t="s">
        <v>7342</v>
      </c>
      <c r="G1288" t="s">
        <v>7343</v>
      </c>
      <c r="H1288" t="s">
        <v>7333</v>
      </c>
      <c r="I1288" t="s">
        <v>7344</v>
      </c>
      <c r="J1288" t="s">
        <v>4569</v>
      </c>
      <c r="K1288" t="s">
        <v>473</v>
      </c>
      <c r="L1288" t="s">
        <v>128</v>
      </c>
      <c r="M1288" t="s">
        <v>474</v>
      </c>
      <c r="N1288" t="s">
        <v>7345</v>
      </c>
      <c r="O1288" t="s">
        <v>201</v>
      </c>
      <c r="P1288">
        <v>0</v>
      </c>
      <c r="Q1288" t="s">
        <v>125</v>
      </c>
      <c r="R1288">
        <v>3</v>
      </c>
      <c r="S1288">
        <v>84</v>
      </c>
      <c r="T1288" t="s">
        <v>132</v>
      </c>
      <c r="U1288" t="s">
        <v>133</v>
      </c>
      <c r="V1288" s="1">
        <v>2300</v>
      </c>
      <c r="W1288">
        <v>0</v>
      </c>
      <c r="X1288" s="1">
        <v>2300</v>
      </c>
      <c r="Y1288">
        <v>7</v>
      </c>
      <c r="Z1288">
        <v>0</v>
      </c>
      <c r="AA1288">
        <v>0</v>
      </c>
      <c r="AB1288">
        <v>0</v>
      </c>
      <c r="AC1288">
        <v>0</v>
      </c>
      <c r="AD1288" t="s">
        <v>134</v>
      </c>
      <c r="AE1288" t="s">
        <v>134</v>
      </c>
      <c r="AF1288" s="2">
        <v>45800</v>
      </c>
      <c r="AG1288" s="2">
        <v>46018</v>
      </c>
      <c r="AH1288" s="1">
        <v>1208.3900000000001</v>
      </c>
      <c r="AI1288" s="1">
        <v>1736.88</v>
      </c>
      <c r="AJ1288" s="1">
        <v>15709.1</v>
      </c>
      <c r="AK1288">
        <v>0</v>
      </c>
      <c r="AL1288" s="1">
        <v>1413.4</v>
      </c>
      <c r="AM1288">
        <v>0</v>
      </c>
      <c r="AN1288" t="s">
        <v>135</v>
      </c>
      <c r="AO1288" t="s">
        <v>135</v>
      </c>
      <c r="AP1288" t="s">
        <v>136</v>
      </c>
      <c r="AQ1288" t="s">
        <v>137</v>
      </c>
      <c r="AR1288" t="s">
        <v>138</v>
      </c>
      <c r="AS1288" t="s">
        <v>150</v>
      </c>
      <c r="AT1288" t="s">
        <v>140</v>
      </c>
      <c r="AU1288">
        <v>105</v>
      </c>
      <c r="AV1288">
        <v>10</v>
      </c>
      <c r="AW1288">
        <v>1</v>
      </c>
      <c r="AX1288" s="2">
        <v>45854</v>
      </c>
      <c r="AY1288" t="s">
        <v>168</v>
      </c>
      <c r="AZ1288" s="2">
        <v>46022</v>
      </c>
      <c r="BA1288">
        <v>0</v>
      </c>
      <c r="BB1288">
        <v>0</v>
      </c>
      <c r="BC1288">
        <v>0</v>
      </c>
      <c r="BD1288">
        <v>700</v>
      </c>
      <c r="BE1288">
        <v>70</v>
      </c>
      <c r="BF1288">
        <v>9</v>
      </c>
      <c r="BG1288" s="2">
        <v>45809</v>
      </c>
      <c r="BH1288" t="s">
        <v>142</v>
      </c>
      <c r="BI1288" s="2">
        <v>46026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 s="1">
        <v>4913.1000000000004</v>
      </c>
      <c r="BQ1288" s="1">
        <v>4913.1000000000004</v>
      </c>
      <c r="BR1288">
        <v>0</v>
      </c>
      <c r="BS1288">
        <v>0</v>
      </c>
      <c r="BT1288">
        <v>0</v>
      </c>
      <c r="BU1288">
        <v>0</v>
      </c>
      <c r="BV1288" s="1">
        <v>5770.42</v>
      </c>
      <c r="BW1288" s="1">
        <v>5770.42</v>
      </c>
      <c r="BX1288">
        <v>0</v>
      </c>
      <c r="BY1288">
        <v>0</v>
      </c>
      <c r="BZ1288">
        <v>0</v>
      </c>
      <c r="CA1288">
        <v>0</v>
      </c>
      <c r="CB1288" s="1">
        <v>4497.53</v>
      </c>
      <c r="CC1288" t="s">
        <v>161</v>
      </c>
    </row>
    <row r="1289" spans="1:81" x14ac:dyDescent="0.25">
      <c r="A1289">
        <v>345</v>
      </c>
      <c r="B1289">
        <v>2</v>
      </c>
      <c r="C1289">
        <v>3516</v>
      </c>
      <c r="D1289" t="s">
        <v>7346</v>
      </c>
      <c r="E1289" t="s">
        <v>121</v>
      </c>
      <c r="F1289" t="s">
        <v>7347</v>
      </c>
      <c r="G1289" t="s">
        <v>7348</v>
      </c>
      <c r="H1289" t="s">
        <v>7338</v>
      </c>
      <c r="I1289" t="s">
        <v>7349</v>
      </c>
      <c r="J1289" t="s">
        <v>126</v>
      </c>
      <c r="K1289" t="s">
        <v>473</v>
      </c>
      <c r="L1289" t="s">
        <v>128</v>
      </c>
      <c r="M1289" t="s">
        <v>474</v>
      </c>
      <c r="N1289" t="s">
        <v>7350</v>
      </c>
      <c r="O1289" t="s">
        <v>167</v>
      </c>
      <c r="P1289">
        <v>0</v>
      </c>
      <c r="Q1289" t="s">
        <v>125</v>
      </c>
      <c r="R1289">
        <v>3</v>
      </c>
      <c r="S1289">
        <v>82</v>
      </c>
      <c r="T1289" t="s">
        <v>132</v>
      </c>
      <c r="U1289" t="s">
        <v>133</v>
      </c>
      <c r="V1289" s="1">
        <v>1400</v>
      </c>
      <c r="W1289">
        <v>783.74</v>
      </c>
      <c r="X1289">
        <v>616.26</v>
      </c>
      <c r="Y1289">
        <v>7</v>
      </c>
      <c r="Z1289">
        <v>0</v>
      </c>
      <c r="AA1289">
        <v>9</v>
      </c>
      <c r="AB1289">
        <v>0</v>
      </c>
      <c r="AC1289">
        <v>0</v>
      </c>
      <c r="AD1289" t="s">
        <v>134</v>
      </c>
      <c r="AE1289" t="s">
        <v>134</v>
      </c>
      <c r="AF1289" s="2">
        <v>45800</v>
      </c>
      <c r="AG1289" s="2">
        <v>46018</v>
      </c>
      <c r="AH1289">
        <v>571.01</v>
      </c>
      <c r="AI1289">
        <v>808.53</v>
      </c>
      <c r="AJ1289" s="1">
        <v>5710.18</v>
      </c>
      <c r="AK1289">
        <v>0</v>
      </c>
      <c r="AL1289">
        <v>783.74</v>
      </c>
      <c r="AM1289">
        <v>70.97</v>
      </c>
      <c r="AN1289" t="s">
        <v>135</v>
      </c>
      <c r="AO1289" t="s">
        <v>135</v>
      </c>
      <c r="AP1289" t="s">
        <v>136</v>
      </c>
      <c r="AQ1289" t="s">
        <v>137</v>
      </c>
      <c r="AR1289" t="s">
        <v>138</v>
      </c>
      <c r="AS1289" t="s">
        <v>139</v>
      </c>
      <c r="AT1289" t="s">
        <v>140</v>
      </c>
      <c r="AU1289">
        <v>105</v>
      </c>
      <c r="AV1289">
        <v>10</v>
      </c>
      <c r="AW1289">
        <v>1</v>
      </c>
      <c r="AX1289" s="2">
        <v>45882</v>
      </c>
      <c r="AY1289" t="s">
        <v>168</v>
      </c>
      <c r="AZ1289" s="2">
        <v>46022</v>
      </c>
      <c r="BA1289">
        <v>0</v>
      </c>
      <c r="BB1289">
        <v>0</v>
      </c>
      <c r="BC1289">
        <v>0</v>
      </c>
      <c r="BD1289">
        <v>700</v>
      </c>
      <c r="BE1289">
        <v>70</v>
      </c>
      <c r="BF1289">
        <v>9</v>
      </c>
      <c r="BG1289" s="2">
        <v>45809</v>
      </c>
      <c r="BH1289" t="s">
        <v>142</v>
      </c>
      <c r="BI1289" s="2">
        <v>46026</v>
      </c>
      <c r="BJ1289">
        <v>0</v>
      </c>
      <c r="BK1289">
        <v>0</v>
      </c>
      <c r="BL1289">
        <v>0</v>
      </c>
      <c r="BM1289">
        <v>5</v>
      </c>
      <c r="BN1289">
        <v>3.95</v>
      </c>
      <c r="BO1289" s="1">
        <v>1263.3399999999999</v>
      </c>
      <c r="BP1289">
        <v>336.31</v>
      </c>
      <c r="BQ1289" s="1">
        <v>1599.65</v>
      </c>
      <c r="BR1289">
        <v>556.23</v>
      </c>
      <c r="BS1289">
        <v>7.93</v>
      </c>
      <c r="BT1289">
        <v>7.93</v>
      </c>
      <c r="BU1289" s="1">
        <v>2557.98</v>
      </c>
      <c r="BV1289">
        <v>0</v>
      </c>
      <c r="BW1289" s="1">
        <v>2557.98</v>
      </c>
      <c r="BX1289">
        <v>783.74</v>
      </c>
      <c r="BY1289">
        <v>30.64</v>
      </c>
      <c r="BZ1289">
        <v>0</v>
      </c>
      <c r="CA1289">
        <v>0</v>
      </c>
      <c r="CB1289" s="1">
        <v>1483.97</v>
      </c>
      <c r="CC1289" t="s">
        <v>161</v>
      </c>
    </row>
    <row r="1290" spans="1:81" x14ac:dyDescent="0.25">
      <c r="A1290">
        <v>345</v>
      </c>
      <c r="B1290">
        <v>2</v>
      </c>
      <c r="C1290">
        <v>3517</v>
      </c>
      <c r="D1290" t="s">
        <v>7351</v>
      </c>
      <c r="E1290" t="s">
        <v>121</v>
      </c>
      <c r="F1290" t="s">
        <v>7352</v>
      </c>
      <c r="G1290" t="s">
        <v>7353</v>
      </c>
      <c r="H1290" t="s">
        <v>7354</v>
      </c>
      <c r="I1290" t="s">
        <v>7355</v>
      </c>
      <c r="J1290" t="s">
        <v>126</v>
      </c>
      <c r="K1290" t="s">
        <v>1853</v>
      </c>
      <c r="L1290" t="s">
        <v>128</v>
      </c>
      <c r="M1290" t="s">
        <v>1854</v>
      </c>
      <c r="N1290" t="s">
        <v>7356</v>
      </c>
      <c r="O1290" t="s">
        <v>201</v>
      </c>
      <c r="P1290">
        <v>0</v>
      </c>
      <c r="Q1290" t="s">
        <v>125</v>
      </c>
      <c r="R1290">
        <v>3</v>
      </c>
      <c r="S1290">
        <v>84</v>
      </c>
      <c r="T1290" t="s">
        <v>132</v>
      </c>
      <c r="U1290" t="s">
        <v>133</v>
      </c>
      <c r="V1290" s="1">
        <v>1000</v>
      </c>
      <c r="W1290">
        <v>0</v>
      </c>
      <c r="X1290" s="1">
        <v>1000</v>
      </c>
      <c r="Y1290">
        <v>7</v>
      </c>
      <c r="Z1290">
        <v>0</v>
      </c>
      <c r="AA1290">
        <v>0</v>
      </c>
      <c r="AB1290">
        <v>0</v>
      </c>
      <c r="AC1290">
        <v>0</v>
      </c>
      <c r="AD1290" t="s">
        <v>134</v>
      </c>
      <c r="AE1290" t="s">
        <v>134</v>
      </c>
      <c r="AF1290" s="2">
        <v>45800</v>
      </c>
      <c r="AG1290" s="2">
        <v>46013</v>
      </c>
      <c r="AH1290">
        <v>158.81</v>
      </c>
      <c r="AI1290">
        <v>234.14</v>
      </c>
      <c r="AJ1290">
        <v>794.09</v>
      </c>
      <c r="AK1290">
        <v>0</v>
      </c>
      <c r="AL1290">
        <v>0</v>
      </c>
      <c r="AM1290">
        <v>0</v>
      </c>
      <c r="AN1290" t="s">
        <v>135</v>
      </c>
      <c r="AO1290" t="s">
        <v>135</v>
      </c>
      <c r="AP1290" t="s">
        <v>136</v>
      </c>
      <c r="AQ1290" t="s">
        <v>137</v>
      </c>
      <c r="AR1290" t="s">
        <v>138</v>
      </c>
      <c r="AS1290" t="s">
        <v>139</v>
      </c>
      <c r="AT1290" t="s">
        <v>140</v>
      </c>
      <c r="AU1290">
        <v>103</v>
      </c>
      <c r="AV1290">
        <v>10</v>
      </c>
      <c r="AW1290">
        <v>1</v>
      </c>
      <c r="AX1290" s="2">
        <v>45815</v>
      </c>
      <c r="AY1290" t="s">
        <v>160</v>
      </c>
      <c r="AZ1290" s="2">
        <v>46025</v>
      </c>
      <c r="BA1290">
        <v>0</v>
      </c>
      <c r="BB1290">
        <v>0</v>
      </c>
      <c r="BC1290">
        <v>0</v>
      </c>
      <c r="BD1290">
        <v>700</v>
      </c>
      <c r="BE1290">
        <v>70</v>
      </c>
      <c r="BF1290">
        <v>9</v>
      </c>
      <c r="BG1290" s="2">
        <v>45809</v>
      </c>
      <c r="BH1290" t="s">
        <v>142</v>
      </c>
      <c r="BI1290" s="2">
        <v>46026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280.63</v>
      </c>
      <c r="BQ1290">
        <v>280.63</v>
      </c>
      <c r="BR1290">
        <v>0</v>
      </c>
      <c r="BS1290">
        <v>0</v>
      </c>
      <c r="BT1290">
        <v>0</v>
      </c>
      <c r="BU1290">
        <v>0</v>
      </c>
      <c r="BV1290">
        <v>374.44</v>
      </c>
      <c r="BW1290">
        <v>374.44</v>
      </c>
      <c r="BX1290">
        <v>0</v>
      </c>
      <c r="BY1290">
        <v>0</v>
      </c>
      <c r="BZ1290">
        <v>0</v>
      </c>
      <c r="CA1290">
        <v>0</v>
      </c>
      <c r="CB1290">
        <v>200.75</v>
      </c>
      <c r="CC1290" t="s">
        <v>161</v>
      </c>
    </row>
    <row r="1291" spans="1:81" x14ac:dyDescent="0.25">
      <c r="A1291">
        <v>345</v>
      </c>
      <c r="B1291">
        <v>2</v>
      </c>
      <c r="C1291">
        <v>3518</v>
      </c>
      <c r="D1291" t="s">
        <v>7357</v>
      </c>
      <c r="E1291" t="s">
        <v>121</v>
      </c>
      <c r="F1291" t="s">
        <v>7358</v>
      </c>
      <c r="G1291" t="s">
        <v>7359</v>
      </c>
      <c r="H1291" t="s">
        <v>7360</v>
      </c>
      <c r="I1291" t="s">
        <v>7361</v>
      </c>
      <c r="J1291" t="s">
        <v>126</v>
      </c>
      <c r="K1291" t="s">
        <v>1853</v>
      </c>
      <c r="L1291" t="s">
        <v>128</v>
      </c>
      <c r="M1291" t="s">
        <v>1854</v>
      </c>
      <c r="N1291" t="s">
        <v>7362</v>
      </c>
      <c r="O1291" t="s">
        <v>3269</v>
      </c>
      <c r="P1291">
        <v>0</v>
      </c>
      <c r="Q1291" t="s">
        <v>125</v>
      </c>
      <c r="R1291">
        <v>3</v>
      </c>
      <c r="S1291">
        <v>84</v>
      </c>
      <c r="T1291" t="s">
        <v>132</v>
      </c>
      <c r="U1291" t="s">
        <v>133</v>
      </c>
      <c r="V1291" s="1">
        <v>1900</v>
      </c>
      <c r="W1291">
        <v>0</v>
      </c>
      <c r="X1291" s="1">
        <v>1900</v>
      </c>
      <c r="Y1291">
        <v>7</v>
      </c>
      <c r="Z1291">
        <v>0</v>
      </c>
      <c r="AA1291">
        <v>0</v>
      </c>
      <c r="AB1291">
        <v>0</v>
      </c>
      <c r="AC1291">
        <v>0</v>
      </c>
      <c r="AD1291" t="s">
        <v>134</v>
      </c>
      <c r="AE1291" t="s">
        <v>134</v>
      </c>
      <c r="AF1291" s="2">
        <v>45800</v>
      </c>
      <c r="AG1291" s="2">
        <v>46006</v>
      </c>
      <c r="AH1291">
        <v>610.29999999999995</v>
      </c>
      <c r="AI1291">
        <v>774.67</v>
      </c>
      <c r="AJ1291" s="1">
        <v>2441.1999999999998</v>
      </c>
      <c r="AK1291">
        <v>0</v>
      </c>
      <c r="AL1291">
        <v>0</v>
      </c>
      <c r="AM1291">
        <v>0</v>
      </c>
      <c r="AN1291" t="s">
        <v>135</v>
      </c>
      <c r="AO1291" t="s">
        <v>135</v>
      </c>
      <c r="AP1291" t="s">
        <v>136</v>
      </c>
      <c r="AQ1291" t="s">
        <v>137</v>
      </c>
      <c r="AR1291" t="s">
        <v>138</v>
      </c>
      <c r="AS1291" t="s">
        <v>150</v>
      </c>
      <c r="AT1291" t="s">
        <v>140</v>
      </c>
      <c r="AU1291">
        <v>103</v>
      </c>
      <c r="AV1291">
        <v>10</v>
      </c>
      <c r="AW1291">
        <v>1</v>
      </c>
      <c r="AX1291" s="2">
        <v>45815</v>
      </c>
      <c r="AY1291" t="s">
        <v>160</v>
      </c>
      <c r="AZ1291" s="2">
        <v>46025</v>
      </c>
      <c r="BA1291">
        <v>0</v>
      </c>
      <c r="BB1291">
        <v>0</v>
      </c>
      <c r="BC1291">
        <v>0</v>
      </c>
      <c r="BD1291">
        <v>700</v>
      </c>
      <c r="BE1291">
        <v>70</v>
      </c>
      <c r="BF1291">
        <v>9</v>
      </c>
      <c r="BG1291" s="2">
        <v>45809</v>
      </c>
      <c r="BH1291" t="s">
        <v>142</v>
      </c>
      <c r="BI1291" s="2">
        <v>46026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 s="1">
        <v>1032.9100000000001</v>
      </c>
      <c r="BQ1291" s="1">
        <v>1032.9100000000001</v>
      </c>
      <c r="BR1291">
        <v>0</v>
      </c>
      <c r="BS1291">
        <v>0</v>
      </c>
      <c r="BT1291">
        <v>0</v>
      </c>
      <c r="BU1291">
        <v>0</v>
      </c>
      <c r="BV1291">
        <v>774.67</v>
      </c>
      <c r="BW1291">
        <v>774.67</v>
      </c>
      <c r="BX1291">
        <v>0</v>
      </c>
      <c r="BY1291">
        <v>0</v>
      </c>
      <c r="BZ1291">
        <v>0</v>
      </c>
      <c r="CA1291">
        <v>0</v>
      </c>
      <c r="CB1291" s="1">
        <v>1881.65</v>
      </c>
      <c r="CC1291" t="s">
        <v>152</v>
      </c>
    </row>
    <row r="1292" spans="1:81" x14ac:dyDescent="0.25">
      <c r="A1292">
        <v>345</v>
      </c>
      <c r="B1292">
        <v>2</v>
      </c>
      <c r="C1292">
        <v>3519</v>
      </c>
      <c r="D1292" t="s">
        <v>7363</v>
      </c>
      <c r="E1292" t="s">
        <v>121</v>
      </c>
      <c r="F1292" t="s">
        <v>7364</v>
      </c>
      <c r="G1292" t="s">
        <v>7365</v>
      </c>
      <c r="H1292" t="s">
        <v>7366</v>
      </c>
      <c r="I1292" t="s">
        <v>7367</v>
      </c>
      <c r="J1292" t="s">
        <v>126</v>
      </c>
      <c r="K1292" t="s">
        <v>1853</v>
      </c>
      <c r="L1292" t="s">
        <v>128</v>
      </c>
      <c r="M1292" t="s">
        <v>1854</v>
      </c>
      <c r="N1292" t="s">
        <v>7368</v>
      </c>
      <c r="O1292" t="s">
        <v>201</v>
      </c>
      <c r="P1292">
        <v>0</v>
      </c>
      <c r="Q1292" t="s">
        <v>125</v>
      </c>
      <c r="R1292">
        <v>3</v>
      </c>
      <c r="S1292">
        <v>86</v>
      </c>
      <c r="T1292" t="s">
        <v>132</v>
      </c>
      <c r="U1292" t="s">
        <v>133</v>
      </c>
      <c r="V1292" s="1">
        <v>1000</v>
      </c>
      <c r="W1292">
        <v>0</v>
      </c>
      <c r="X1292" s="1">
        <v>1000</v>
      </c>
      <c r="Y1292">
        <v>7</v>
      </c>
      <c r="Z1292">
        <v>0</v>
      </c>
      <c r="AA1292">
        <v>0</v>
      </c>
      <c r="AB1292">
        <v>0</v>
      </c>
      <c r="AC1292">
        <v>0</v>
      </c>
      <c r="AD1292" t="s">
        <v>134</v>
      </c>
      <c r="AE1292" t="s">
        <v>134</v>
      </c>
      <c r="AF1292" s="2">
        <v>45800</v>
      </c>
      <c r="AG1292" s="2">
        <v>46020</v>
      </c>
      <c r="AH1292">
        <v>106.35</v>
      </c>
      <c r="AI1292">
        <v>125.85</v>
      </c>
      <c r="AJ1292">
        <v>212.71</v>
      </c>
      <c r="AK1292">
        <v>0</v>
      </c>
      <c r="AL1292">
        <v>0</v>
      </c>
      <c r="AM1292">
        <v>0</v>
      </c>
      <c r="AN1292" t="s">
        <v>135</v>
      </c>
      <c r="AO1292" t="s">
        <v>135</v>
      </c>
      <c r="AP1292" t="s">
        <v>136</v>
      </c>
      <c r="AQ1292" t="s">
        <v>137</v>
      </c>
      <c r="AR1292" t="s">
        <v>138</v>
      </c>
      <c r="AS1292" t="s">
        <v>139</v>
      </c>
      <c r="AT1292" t="s">
        <v>140</v>
      </c>
      <c r="AU1292">
        <v>103</v>
      </c>
      <c r="AV1292">
        <v>10</v>
      </c>
      <c r="AW1292">
        <v>1</v>
      </c>
      <c r="AX1292" s="2">
        <v>45815</v>
      </c>
      <c r="AY1292" t="s">
        <v>160</v>
      </c>
      <c r="AZ1292" s="2">
        <v>46025</v>
      </c>
      <c r="BA1292">
        <v>0</v>
      </c>
      <c r="BB1292">
        <v>0</v>
      </c>
      <c r="BC1292">
        <v>0</v>
      </c>
      <c r="BD1292">
        <v>700</v>
      </c>
      <c r="BE1292">
        <v>70</v>
      </c>
      <c r="BF1292">
        <v>9</v>
      </c>
      <c r="BG1292" s="2">
        <v>45809</v>
      </c>
      <c r="BH1292" t="s">
        <v>142</v>
      </c>
      <c r="BI1292" s="2">
        <v>46026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125.85</v>
      </c>
      <c r="BQ1292">
        <v>125.85</v>
      </c>
      <c r="BR1292">
        <v>0</v>
      </c>
      <c r="BS1292">
        <v>0</v>
      </c>
      <c r="BT1292">
        <v>0</v>
      </c>
      <c r="BU1292">
        <v>0</v>
      </c>
      <c r="BV1292">
        <v>86.86</v>
      </c>
      <c r="BW1292">
        <v>86.86</v>
      </c>
      <c r="BX1292">
        <v>0</v>
      </c>
      <c r="BY1292">
        <v>0</v>
      </c>
      <c r="BZ1292">
        <v>0</v>
      </c>
      <c r="CA1292">
        <v>0</v>
      </c>
      <c r="CB1292">
        <v>60.41</v>
      </c>
      <c r="CC1292" t="s">
        <v>161</v>
      </c>
    </row>
    <row r="1293" spans="1:81" x14ac:dyDescent="0.25">
      <c r="A1293">
        <v>345</v>
      </c>
      <c r="B1293">
        <v>2</v>
      </c>
      <c r="C1293">
        <v>3520</v>
      </c>
      <c r="D1293" t="s">
        <v>7369</v>
      </c>
      <c r="E1293" t="s">
        <v>121</v>
      </c>
      <c r="F1293" t="s">
        <v>7370</v>
      </c>
      <c r="G1293" t="s">
        <v>7371</v>
      </c>
      <c r="H1293" t="s">
        <v>7372</v>
      </c>
      <c r="I1293" t="s">
        <v>7373</v>
      </c>
      <c r="J1293" t="s">
        <v>126</v>
      </c>
      <c r="K1293" t="s">
        <v>1853</v>
      </c>
      <c r="L1293" t="s">
        <v>128</v>
      </c>
      <c r="M1293" t="s">
        <v>1854</v>
      </c>
      <c r="N1293" t="s">
        <v>7374</v>
      </c>
      <c r="O1293" t="s">
        <v>201</v>
      </c>
      <c r="P1293">
        <v>0</v>
      </c>
      <c r="Q1293" t="s">
        <v>125</v>
      </c>
      <c r="R1293">
        <v>3</v>
      </c>
      <c r="S1293">
        <v>82</v>
      </c>
      <c r="T1293" t="s">
        <v>132</v>
      </c>
      <c r="U1293" t="s">
        <v>133</v>
      </c>
      <c r="V1293" s="1">
        <v>1000</v>
      </c>
      <c r="W1293">
        <v>0</v>
      </c>
      <c r="X1293" s="1">
        <v>1000</v>
      </c>
      <c r="Y1293">
        <v>7</v>
      </c>
      <c r="Z1293">
        <v>0</v>
      </c>
      <c r="AA1293">
        <v>0</v>
      </c>
      <c r="AB1293">
        <v>0</v>
      </c>
      <c r="AC1293">
        <v>0</v>
      </c>
      <c r="AD1293" t="s">
        <v>134</v>
      </c>
      <c r="AE1293" t="s">
        <v>134</v>
      </c>
      <c r="AF1293" s="2">
        <v>45800</v>
      </c>
      <c r="AG1293" s="2">
        <v>45978</v>
      </c>
      <c r="AH1293">
        <v>248.06</v>
      </c>
      <c r="AI1293">
        <v>248.06</v>
      </c>
      <c r="AJ1293">
        <v>248.06</v>
      </c>
      <c r="AK1293">
        <v>0</v>
      </c>
      <c r="AL1293">
        <v>0</v>
      </c>
      <c r="AM1293">
        <v>0</v>
      </c>
      <c r="AN1293" t="s">
        <v>135</v>
      </c>
      <c r="AO1293" t="s">
        <v>135</v>
      </c>
      <c r="AP1293" t="s">
        <v>136</v>
      </c>
      <c r="AQ1293" t="s">
        <v>137</v>
      </c>
      <c r="AR1293" t="s">
        <v>138</v>
      </c>
      <c r="AS1293" t="s">
        <v>150</v>
      </c>
      <c r="AT1293" t="s">
        <v>140</v>
      </c>
      <c r="AU1293">
        <v>103</v>
      </c>
      <c r="AV1293">
        <v>10</v>
      </c>
      <c r="AW1293">
        <v>1</v>
      </c>
      <c r="AX1293" s="2">
        <v>45814</v>
      </c>
      <c r="AY1293" t="s">
        <v>151</v>
      </c>
      <c r="AZ1293" s="2">
        <v>46024</v>
      </c>
      <c r="BA1293">
        <v>0</v>
      </c>
      <c r="BB1293">
        <v>0</v>
      </c>
      <c r="BC1293">
        <v>0</v>
      </c>
      <c r="BD1293">
        <v>700</v>
      </c>
      <c r="BE1293">
        <v>70</v>
      </c>
      <c r="BF1293">
        <v>9</v>
      </c>
      <c r="BG1293" s="2">
        <v>45809</v>
      </c>
      <c r="BH1293" t="s">
        <v>142</v>
      </c>
      <c r="BI1293" s="2">
        <v>46026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248.06</v>
      </c>
      <c r="BQ1293">
        <v>248.06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211.97</v>
      </c>
      <c r="CC1293" t="s">
        <v>143</v>
      </c>
    </row>
    <row r="1294" spans="1:81" x14ac:dyDescent="0.25">
      <c r="A1294">
        <v>345</v>
      </c>
      <c r="B1294">
        <v>2</v>
      </c>
      <c r="C1294">
        <v>3521</v>
      </c>
      <c r="D1294" t="s">
        <v>7375</v>
      </c>
      <c r="E1294" t="s">
        <v>121</v>
      </c>
      <c r="F1294" t="s">
        <v>7376</v>
      </c>
      <c r="G1294" t="s">
        <v>7377</v>
      </c>
      <c r="H1294" t="s">
        <v>7378</v>
      </c>
      <c r="I1294" t="s">
        <v>7379</v>
      </c>
      <c r="J1294" t="s">
        <v>459</v>
      </c>
      <c r="K1294" t="s">
        <v>336</v>
      </c>
      <c r="L1294" t="s">
        <v>128</v>
      </c>
      <c r="M1294" t="s">
        <v>337</v>
      </c>
      <c r="N1294" t="s">
        <v>7380</v>
      </c>
      <c r="O1294" t="s">
        <v>167</v>
      </c>
      <c r="P1294">
        <v>0</v>
      </c>
      <c r="Q1294" t="s">
        <v>125</v>
      </c>
      <c r="R1294">
        <v>3</v>
      </c>
      <c r="S1294">
        <v>82</v>
      </c>
      <c r="T1294" t="s">
        <v>132</v>
      </c>
      <c r="U1294" t="s">
        <v>133</v>
      </c>
      <c r="V1294" s="1">
        <v>1000</v>
      </c>
      <c r="W1294">
        <v>0</v>
      </c>
      <c r="X1294" s="1">
        <v>1000</v>
      </c>
      <c r="Y1294">
        <v>7</v>
      </c>
      <c r="Z1294">
        <v>0</v>
      </c>
      <c r="AA1294">
        <v>9</v>
      </c>
      <c r="AB1294">
        <v>0</v>
      </c>
      <c r="AC1294">
        <v>0</v>
      </c>
      <c r="AD1294" t="s">
        <v>134</v>
      </c>
      <c r="AE1294" t="s">
        <v>134</v>
      </c>
      <c r="AF1294" s="2">
        <v>45800</v>
      </c>
      <c r="AG1294" s="2">
        <v>46011</v>
      </c>
      <c r="AH1294">
        <v>323.72000000000003</v>
      </c>
      <c r="AI1294">
        <v>480.98</v>
      </c>
      <c r="AJ1294" s="1">
        <v>2266.04</v>
      </c>
      <c r="AK1294">
        <v>0</v>
      </c>
      <c r="AL1294">
        <v>0</v>
      </c>
      <c r="AM1294">
        <v>0</v>
      </c>
      <c r="AN1294" t="s">
        <v>135</v>
      </c>
      <c r="AO1294" t="s">
        <v>135</v>
      </c>
      <c r="AP1294" t="s">
        <v>136</v>
      </c>
      <c r="AQ1294" t="s">
        <v>137</v>
      </c>
      <c r="AR1294" t="s">
        <v>138</v>
      </c>
      <c r="AS1294" t="s">
        <v>139</v>
      </c>
      <c r="AT1294" t="s">
        <v>140</v>
      </c>
      <c r="AU1294">
        <v>100</v>
      </c>
      <c r="AV1294">
        <v>10</v>
      </c>
      <c r="AW1294">
        <v>1</v>
      </c>
      <c r="AX1294" s="2">
        <v>45814</v>
      </c>
      <c r="AY1294" t="s">
        <v>151</v>
      </c>
      <c r="AZ1294" s="2">
        <v>46024</v>
      </c>
      <c r="BA1294">
        <v>0</v>
      </c>
      <c r="BB1294">
        <v>0</v>
      </c>
      <c r="BC1294">
        <v>0</v>
      </c>
      <c r="BD1294">
        <v>700</v>
      </c>
      <c r="BE1294">
        <v>70</v>
      </c>
      <c r="BF1294">
        <v>9</v>
      </c>
      <c r="BG1294" s="2">
        <v>45809</v>
      </c>
      <c r="BH1294" t="s">
        <v>142</v>
      </c>
      <c r="BI1294" s="2">
        <v>46026</v>
      </c>
      <c r="BJ1294">
        <v>0</v>
      </c>
      <c r="BK1294">
        <v>0</v>
      </c>
      <c r="BL1294">
        <v>0</v>
      </c>
      <c r="BM1294">
        <v>8.24</v>
      </c>
      <c r="BN1294">
        <v>5.14</v>
      </c>
      <c r="BO1294">
        <v>380</v>
      </c>
      <c r="BP1294">
        <v>229.1</v>
      </c>
      <c r="BQ1294">
        <v>609.1</v>
      </c>
      <c r="BR1294">
        <v>234.93</v>
      </c>
      <c r="BS1294">
        <v>9</v>
      </c>
      <c r="BT1294">
        <v>9</v>
      </c>
      <c r="BU1294" s="1">
        <v>1030.73</v>
      </c>
      <c r="BV1294">
        <v>0</v>
      </c>
      <c r="BW1294" s="1">
        <v>1030.73</v>
      </c>
      <c r="BX1294">
        <v>0</v>
      </c>
      <c r="BY1294">
        <v>0</v>
      </c>
      <c r="BZ1294">
        <v>0</v>
      </c>
      <c r="CA1294">
        <v>0</v>
      </c>
      <c r="CB1294">
        <v>585.5</v>
      </c>
      <c r="CC1294" t="s">
        <v>161</v>
      </c>
    </row>
    <row r="1295" spans="1:81" x14ac:dyDescent="0.25">
      <c r="A1295">
        <v>345</v>
      </c>
      <c r="B1295">
        <v>2</v>
      </c>
      <c r="C1295">
        <v>3522</v>
      </c>
      <c r="D1295" t="s">
        <v>7381</v>
      </c>
      <c r="E1295" t="s">
        <v>121</v>
      </c>
      <c r="F1295" t="s">
        <v>7382</v>
      </c>
      <c r="G1295" t="s">
        <v>7383</v>
      </c>
      <c r="H1295" t="s">
        <v>7384</v>
      </c>
      <c r="I1295" t="s">
        <v>7385</v>
      </c>
      <c r="J1295" t="s">
        <v>126</v>
      </c>
      <c r="K1295" t="s">
        <v>4248</v>
      </c>
      <c r="L1295" t="s">
        <v>128</v>
      </c>
      <c r="M1295" t="s">
        <v>1325</v>
      </c>
      <c r="N1295" t="s">
        <v>7060</v>
      </c>
      <c r="O1295" t="s">
        <v>149</v>
      </c>
      <c r="P1295">
        <v>0</v>
      </c>
      <c r="Q1295" t="s">
        <v>125</v>
      </c>
      <c r="R1295">
        <v>3</v>
      </c>
      <c r="S1295">
        <v>87</v>
      </c>
      <c r="T1295" t="s">
        <v>132</v>
      </c>
      <c r="U1295" t="s">
        <v>133</v>
      </c>
      <c r="V1295" s="1">
        <v>2600</v>
      </c>
      <c r="W1295">
        <v>0</v>
      </c>
      <c r="X1295" s="1">
        <v>2600</v>
      </c>
      <c r="Y1295">
        <v>7</v>
      </c>
      <c r="Z1295">
        <v>0</v>
      </c>
      <c r="AA1295">
        <v>5</v>
      </c>
      <c r="AB1295">
        <v>0</v>
      </c>
      <c r="AC1295">
        <v>0</v>
      </c>
      <c r="AD1295" t="s">
        <v>134</v>
      </c>
      <c r="AE1295" t="s">
        <v>134</v>
      </c>
      <c r="AF1295" s="2">
        <v>45803</v>
      </c>
      <c r="AG1295" s="2">
        <v>46011</v>
      </c>
      <c r="AH1295" s="1">
        <v>1400.86</v>
      </c>
      <c r="AI1295" s="1">
        <v>2636.5</v>
      </c>
      <c r="AJ1295" s="1">
        <v>15409.47</v>
      </c>
      <c r="AK1295">
        <v>0</v>
      </c>
      <c r="AL1295">
        <v>0</v>
      </c>
      <c r="AM1295">
        <v>0</v>
      </c>
      <c r="AN1295" t="s">
        <v>135</v>
      </c>
      <c r="AO1295" t="s">
        <v>135</v>
      </c>
      <c r="AP1295" t="s">
        <v>136</v>
      </c>
      <c r="AQ1295" t="s">
        <v>137</v>
      </c>
      <c r="AR1295" t="s">
        <v>138</v>
      </c>
      <c r="AS1295" t="s">
        <v>139</v>
      </c>
      <c r="AT1295" t="s">
        <v>140</v>
      </c>
      <c r="AU1295">
        <v>501</v>
      </c>
      <c r="AV1295">
        <v>10</v>
      </c>
      <c r="AW1295">
        <v>1</v>
      </c>
      <c r="AX1295" s="2">
        <v>45855</v>
      </c>
      <c r="AY1295" t="s">
        <v>308</v>
      </c>
      <c r="AZ1295" s="2">
        <v>46023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 t="s">
        <v>135</v>
      </c>
      <c r="BH1295" t="s">
        <v>250</v>
      </c>
      <c r="BI1295" t="s">
        <v>135</v>
      </c>
      <c r="BJ1295">
        <v>0</v>
      </c>
      <c r="BK1295">
        <v>0</v>
      </c>
      <c r="BL1295">
        <v>0</v>
      </c>
      <c r="BM1295">
        <v>2.63</v>
      </c>
      <c r="BN1295">
        <v>2.41</v>
      </c>
      <c r="BO1295" s="1">
        <v>6262</v>
      </c>
      <c r="BP1295">
        <v>575.41</v>
      </c>
      <c r="BQ1295" s="1">
        <v>6837.41</v>
      </c>
      <c r="BR1295" s="1">
        <v>2113.8000000000002</v>
      </c>
      <c r="BS1295">
        <v>2.66</v>
      </c>
      <c r="BT1295">
        <v>2.66</v>
      </c>
      <c r="BU1295" s="1">
        <v>5209.5</v>
      </c>
      <c r="BV1295">
        <v>0</v>
      </c>
      <c r="BW1295" s="1">
        <v>5209.5</v>
      </c>
      <c r="BX1295">
        <v>0</v>
      </c>
      <c r="BY1295">
        <v>0</v>
      </c>
      <c r="BZ1295">
        <v>0</v>
      </c>
      <c r="CA1295">
        <v>0</v>
      </c>
      <c r="CB1295" s="1">
        <v>5101.1000000000004</v>
      </c>
      <c r="CC1295" t="s">
        <v>161</v>
      </c>
    </row>
    <row r="1296" spans="1:81" x14ac:dyDescent="0.25">
      <c r="A1296">
        <v>345</v>
      </c>
      <c r="B1296">
        <v>2</v>
      </c>
      <c r="C1296">
        <v>3523</v>
      </c>
      <c r="D1296" t="s">
        <v>7386</v>
      </c>
      <c r="E1296" t="s">
        <v>121</v>
      </c>
      <c r="F1296" t="s">
        <v>7387</v>
      </c>
      <c r="G1296" t="s">
        <v>7388</v>
      </c>
      <c r="H1296" t="s">
        <v>7389</v>
      </c>
      <c r="I1296" t="s">
        <v>7390</v>
      </c>
      <c r="J1296" t="s">
        <v>126</v>
      </c>
      <c r="K1296" t="s">
        <v>127</v>
      </c>
      <c r="L1296" t="s">
        <v>128</v>
      </c>
      <c r="M1296" t="s">
        <v>129</v>
      </c>
      <c r="N1296" t="s">
        <v>7391</v>
      </c>
      <c r="O1296" t="s">
        <v>149</v>
      </c>
      <c r="P1296">
        <v>0</v>
      </c>
      <c r="Q1296" t="s">
        <v>125</v>
      </c>
      <c r="R1296">
        <v>3</v>
      </c>
      <c r="S1296">
        <v>86</v>
      </c>
      <c r="T1296" t="s">
        <v>132</v>
      </c>
      <c r="U1296" t="s">
        <v>133</v>
      </c>
      <c r="V1296" s="1">
        <v>2000</v>
      </c>
      <c r="W1296">
        <v>800.9</v>
      </c>
      <c r="X1296" s="1">
        <v>1199.0999999999999</v>
      </c>
      <c r="Y1296">
        <v>7</v>
      </c>
      <c r="Z1296">
        <v>0</v>
      </c>
      <c r="AA1296">
        <v>7</v>
      </c>
      <c r="AB1296">
        <v>0</v>
      </c>
      <c r="AC1296">
        <v>0</v>
      </c>
      <c r="AD1296" t="s">
        <v>134</v>
      </c>
      <c r="AE1296" t="s">
        <v>134</v>
      </c>
      <c r="AF1296" s="2">
        <v>45803</v>
      </c>
      <c r="AG1296" s="2">
        <v>46021</v>
      </c>
      <c r="AH1296">
        <v>995.92</v>
      </c>
      <c r="AI1296" s="1">
        <v>1412.74</v>
      </c>
      <c r="AJ1296" s="1">
        <v>8963.33</v>
      </c>
      <c r="AK1296">
        <v>0</v>
      </c>
      <c r="AL1296">
        <v>800.9</v>
      </c>
      <c r="AM1296">
        <v>0</v>
      </c>
      <c r="AN1296" t="s">
        <v>135</v>
      </c>
      <c r="AO1296" t="s">
        <v>135</v>
      </c>
      <c r="AP1296" t="s">
        <v>136</v>
      </c>
      <c r="AQ1296" t="s">
        <v>137</v>
      </c>
      <c r="AR1296" t="s">
        <v>138</v>
      </c>
      <c r="AS1296" t="s">
        <v>139</v>
      </c>
      <c r="AT1296" t="s">
        <v>140</v>
      </c>
      <c r="AU1296">
        <v>102</v>
      </c>
      <c r="AV1296">
        <v>10</v>
      </c>
      <c r="AW1296">
        <v>1</v>
      </c>
      <c r="AX1296" s="2">
        <v>45817</v>
      </c>
      <c r="AY1296" t="s">
        <v>141</v>
      </c>
      <c r="AZ1296" s="2">
        <v>46027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 t="s">
        <v>135</v>
      </c>
      <c r="BH1296" t="s">
        <v>250</v>
      </c>
      <c r="BI1296" t="s">
        <v>135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 s="1">
        <v>1864.52</v>
      </c>
      <c r="BQ1296" s="1">
        <v>1864.52</v>
      </c>
      <c r="BR1296">
        <v>0</v>
      </c>
      <c r="BS1296">
        <v>7</v>
      </c>
      <c r="BT1296">
        <v>2.19</v>
      </c>
      <c r="BU1296">
        <v>800.9</v>
      </c>
      <c r="BV1296" s="1">
        <v>1763.47</v>
      </c>
      <c r="BW1296" s="1">
        <v>2564.37</v>
      </c>
      <c r="BX1296">
        <v>800.9</v>
      </c>
      <c r="BY1296">
        <v>100</v>
      </c>
      <c r="BZ1296">
        <v>0</v>
      </c>
      <c r="CA1296">
        <v>0</v>
      </c>
      <c r="CB1296" s="1">
        <v>2971.14</v>
      </c>
      <c r="CC1296" t="s">
        <v>161</v>
      </c>
    </row>
    <row r="1297" spans="1:81" x14ac:dyDescent="0.25">
      <c r="A1297">
        <v>345</v>
      </c>
      <c r="B1297">
        <v>2</v>
      </c>
      <c r="C1297">
        <v>3524</v>
      </c>
      <c r="D1297" t="s">
        <v>7392</v>
      </c>
      <c r="E1297" t="s">
        <v>121</v>
      </c>
      <c r="F1297" t="s">
        <v>7393</v>
      </c>
      <c r="G1297" t="s">
        <v>7394</v>
      </c>
      <c r="H1297" t="s">
        <v>7395</v>
      </c>
      <c r="I1297" t="s">
        <v>7396</v>
      </c>
      <c r="J1297" t="s">
        <v>606</v>
      </c>
      <c r="K1297" t="s">
        <v>336</v>
      </c>
      <c r="L1297" t="s">
        <v>128</v>
      </c>
      <c r="M1297" t="s">
        <v>337</v>
      </c>
      <c r="N1297" t="s">
        <v>7397</v>
      </c>
      <c r="O1297" t="s">
        <v>167</v>
      </c>
      <c r="P1297">
        <v>0</v>
      </c>
      <c r="Q1297" t="s">
        <v>125</v>
      </c>
      <c r="R1297">
        <v>5</v>
      </c>
      <c r="S1297">
        <v>66</v>
      </c>
      <c r="T1297" t="s">
        <v>132</v>
      </c>
      <c r="U1297" t="s">
        <v>133</v>
      </c>
      <c r="V1297" s="1">
        <v>1400</v>
      </c>
      <c r="W1297" s="1">
        <v>1432.55</v>
      </c>
      <c r="X1297">
        <v>-32.549999999999997</v>
      </c>
      <c r="Y1297">
        <v>0</v>
      </c>
      <c r="Z1297">
        <v>0</v>
      </c>
      <c r="AA1297">
        <v>9</v>
      </c>
      <c r="AB1297">
        <v>10</v>
      </c>
      <c r="AC1297">
        <v>60</v>
      </c>
      <c r="AD1297" t="s">
        <v>134</v>
      </c>
      <c r="AE1297" t="s">
        <v>134</v>
      </c>
      <c r="AF1297" s="2">
        <v>45804</v>
      </c>
      <c r="AG1297" s="2">
        <v>45994</v>
      </c>
      <c r="AH1297">
        <v>962.44</v>
      </c>
      <c r="AI1297" s="1">
        <v>1432.55</v>
      </c>
      <c r="AJ1297" s="1">
        <v>3849.79</v>
      </c>
      <c r="AK1297" s="1">
        <v>1432.55</v>
      </c>
      <c r="AL1297">
        <v>0</v>
      </c>
      <c r="AM1297">
        <v>0</v>
      </c>
      <c r="AN1297" t="s">
        <v>135</v>
      </c>
      <c r="AO1297" t="s">
        <v>135</v>
      </c>
      <c r="AP1297" t="s">
        <v>136</v>
      </c>
      <c r="AQ1297" t="s">
        <v>137</v>
      </c>
      <c r="AR1297" t="s">
        <v>138</v>
      </c>
      <c r="AS1297" t="s">
        <v>139</v>
      </c>
      <c r="AT1297" t="s">
        <v>140</v>
      </c>
      <c r="AU1297">
        <v>101</v>
      </c>
      <c r="AV1297">
        <v>10</v>
      </c>
      <c r="AW1297">
        <v>1</v>
      </c>
      <c r="AX1297" s="2">
        <v>45825</v>
      </c>
      <c r="AY1297" t="s">
        <v>377</v>
      </c>
      <c r="AZ1297" s="2">
        <v>46028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 t="s">
        <v>135</v>
      </c>
      <c r="BH1297" t="s">
        <v>250</v>
      </c>
      <c r="BI1297" t="s">
        <v>135</v>
      </c>
      <c r="BJ1297">
        <v>0</v>
      </c>
      <c r="BK1297">
        <v>0</v>
      </c>
      <c r="BL1297">
        <v>0</v>
      </c>
      <c r="BM1297">
        <v>9</v>
      </c>
      <c r="BN1297">
        <v>5.85</v>
      </c>
      <c r="BO1297" s="1">
        <v>1103.5999999999999</v>
      </c>
      <c r="BP1297">
        <v>593</v>
      </c>
      <c r="BQ1297" s="1">
        <v>1696.6</v>
      </c>
      <c r="BR1297">
        <v>0</v>
      </c>
      <c r="BS1297">
        <v>5</v>
      </c>
      <c r="BT1297">
        <v>5</v>
      </c>
      <c r="BU1297" s="1">
        <v>1432.55</v>
      </c>
      <c r="BV1297">
        <v>0</v>
      </c>
      <c r="BW1297" s="1">
        <v>1432.55</v>
      </c>
      <c r="BX1297">
        <v>0</v>
      </c>
      <c r="BY1297">
        <v>0</v>
      </c>
      <c r="BZ1297">
        <v>0</v>
      </c>
      <c r="CA1297">
        <v>0</v>
      </c>
      <c r="CB1297">
        <v>805.74</v>
      </c>
      <c r="CC1297" t="s">
        <v>161</v>
      </c>
    </row>
    <row r="1298" spans="1:81" x14ac:dyDescent="0.25">
      <c r="A1298">
        <v>345</v>
      </c>
      <c r="B1298">
        <v>2</v>
      </c>
      <c r="C1298">
        <v>3525</v>
      </c>
      <c r="D1298" t="s">
        <v>7398</v>
      </c>
      <c r="E1298" t="s">
        <v>121</v>
      </c>
      <c r="F1298" t="s">
        <v>7399</v>
      </c>
      <c r="G1298" t="s">
        <v>7400</v>
      </c>
      <c r="H1298" t="s">
        <v>7401</v>
      </c>
      <c r="I1298" t="s">
        <v>7402</v>
      </c>
      <c r="J1298" t="s">
        <v>3074</v>
      </c>
      <c r="K1298" t="s">
        <v>1853</v>
      </c>
      <c r="L1298" t="s">
        <v>128</v>
      </c>
      <c r="M1298" t="s">
        <v>1854</v>
      </c>
      <c r="N1298" t="s">
        <v>7403</v>
      </c>
      <c r="O1298" t="s">
        <v>159</v>
      </c>
      <c r="P1298">
        <v>0</v>
      </c>
      <c r="Q1298" t="s">
        <v>125</v>
      </c>
      <c r="R1298">
        <v>4</v>
      </c>
      <c r="S1298">
        <v>76</v>
      </c>
      <c r="T1298" t="s">
        <v>132</v>
      </c>
      <c r="U1298" t="s">
        <v>133</v>
      </c>
      <c r="V1298">
        <v>620</v>
      </c>
      <c r="W1298">
        <v>158.02000000000001</v>
      </c>
      <c r="X1298">
        <v>461.98</v>
      </c>
      <c r="Y1298">
        <v>7</v>
      </c>
      <c r="Z1298">
        <v>0</v>
      </c>
      <c r="AA1298">
        <v>7</v>
      </c>
      <c r="AB1298">
        <v>0</v>
      </c>
      <c r="AC1298">
        <v>6</v>
      </c>
      <c r="AD1298" t="s">
        <v>134</v>
      </c>
      <c r="AE1298" t="s">
        <v>134</v>
      </c>
      <c r="AF1298" s="2">
        <v>45804</v>
      </c>
      <c r="AG1298" s="2">
        <v>46017</v>
      </c>
      <c r="AH1298">
        <v>317.5</v>
      </c>
      <c r="AI1298">
        <v>685.94</v>
      </c>
      <c r="AJ1298" s="1">
        <v>3175.06</v>
      </c>
      <c r="AK1298">
        <v>0</v>
      </c>
      <c r="AL1298">
        <v>158.02000000000001</v>
      </c>
      <c r="AM1298">
        <v>0</v>
      </c>
      <c r="AN1298" t="s">
        <v>135</v>
      </c>
      <c r="AO1298" t="s">
        <v>135</v>
      </c>
      <c r="AP1298" t="s">
        <v>136</v>
      </c>
      <c r="AQ1298" t="s">
        <v>137</v>
      </c>
      <c r="AR1298" t="s">
        <v>138</v>
      </c>
      <c r="AS1298" t="s">
        <v>150</v>
      </c>
      <c r="AT1298" t="s">
        <v>140</v>
      </c>
      <c r="AU1298">
        <v>106</v>
      </c>
      <c r="AV1298">
        <v>10</v>
      </c>
      <c r="AW1298">
        <v>1</v>
      </c>
      <c r="AX1298" s="2">
        <v>45826</v>
      </c>
      <c r="AY1298" t="s">
        <v>168</v>
      </c>
      <c r="AZ1298" s="2">
        <v>46022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 t="s">
        <v>135</v>
      </c>
      <c r="BH1298" t="s">
        <v>250</v>
      </c>
      <c r="BI1298" t="s">
        <v>135</v>
      </c>
      <c r="BJ1298">
        <v>0</v>
      </c>
      <c r="BK1298">
        <v>0</v>
      </c>
      <c r="BL1298">
        <v>0</v>
      </c>
      <c r="BM1298">
        <v>7</v>
      </c>
      <c r="BN1298">
        <v>2.1</v>
      </c>
      <c r="BO1298">
        <v>293.56</v>
      </c>
      <c r="BP1298">
        <v>685.94</v>
      </c>
      <c r="BQ1298">
        <v>979.5</v>
      </c>
      <c r="BR1298">
        <v>0</v>
      </c>
      <c r="BS1298">
        <v>7</v>
      </c>
      <c r="BT1298">
        <v>7</v>
      </c>
      <c r="BU1298">
        <v>956.02</v>
      </c>
      <c r="BV1298">
        <v>0</v>
      </c>
      <c r="BW1298">
        <v>956.02</v>
      </c>
      <c r="BX1298">
        <v>158.02000000000001</v>
      </c>
      <c r="BY1298">
        <v>16.53</v>
      </c>
      <c r="BZ1298">
        <v>0</v>
      </c>
      <c r="CA1298">
        <v>0</v>
      </c>
      <c r="CB1298" s="1">
        <v>1034.33</v>
      </c>
      <c r="CC1298" t="s">
        <v>161</v>
      </c>
    </row>
    <row r="1299" spans="1:81" x14ac:dyDescent="0.25">
      <c r="A1299">
        <v>345</v>
      </c>
      <c r="B1299">
        <v>2</v>
      </c>
      <c r="C1299">
        <v>3526</v>
      </c>
      <c r="D1299" t="s">
        <v>7404</v>
      </c>
      <c r="E1299" t="s">
        <v>121</v>
      </c>
      <c r="F1299" t="s">
        <v>7405</v>
      </c>
      <c r="G1299" t="s">
        <v>7406</v>
      </c>
      <c r="H1299" t="s">
        <v>5763</v>
      </c>
      <c r="I1299" t="s">
        <v>7407</v>
      </c>
      <c r="J1299" t="s">
        <v>3174</v>
      </c>
      <c r="K1299" t="s">
        <v>1853</v>
      </c>
      <c r="L1299" t="s">
        <v>128</v>
      </c>
      <c r="M1299" t="s">
        <v>1854</v>
      </c>
      <c r="N1299" t="s">
        <v>7408</v>
      </c>
      <c r="O1299" t="s">
        <v>201</v>
      </c>
      <c r="P1299">
        <v>0</v>
      </c>
      <c r="Q1299" t="s">
        <v>125</v>
      </c>
      <c r="R1299">
        <v>4</v>
      </c>
      <c r="S1299">
        <v>78</v>
      </c>
      <c r="T1299" t="s">
        <v>132</v>
      </c>
      <c r="U1299" t="s">
        <v>133</v>
      </c>
      <c r="V1299" s="1">
        <v>1600</v>
      </c>
      <c r="W1299" s="1">
        <v>1436.73</v>
      </c>
      <c r="X1299">
        <v>163.27000000000001</v>
      </c>
      <c r="Y1299">
        <v>7</v>
      </c>
      <c r="Z1299">
        <v>0</v>
      </c>
      <c r="AA1299">
        <v>7</v>
      </c>
      <c r="AB1299">
        <v>0</v>
      </c>
      <c r="AC1299">
        <v>0</v>
      </c>
      <c r="AD1299" t="s">
        <v>134</v>
      </c>
      <c r="AE1299" t="s">
        <v>134</v>
      </c>
      <c r="AF1299" s="2">
        <v>45804</v>
      </c>
      <c r="AG1299" s="2">
        <v>46017</v>
      </c>
      <c r="AH1299">
        <v>900.56</v>
      </c>
      <c r="AI1299" s="1">
        <v>2205.73</v>
      </c>
      <c r="AJ1299" s="1">
        <v>8105.11</v>
      </c>
      <c r="AK1299">
        <v>0</v>
      </c>
      <c r="AL1299" s="1">
        <v>1436.73</v>
      </c>
      <c r="AM1299">
        <v>0</v>
      </c>
      <c r="AN1299" t="s">
        <v>135</v>
      </c>
      <c r="AO1299" t="s">
        <v>135</v>
      </c>
      <c r="AP1299" t="s">
        <v>136</v>
      </c>
      <c r="AQ1299" t="s">
        <v>137</v>
      </c>
      <c r="AR1299" t="s">
        <v>138</v>
      </c>
      <c r="AS1299" t="s">
        <v>139</v>
      </c>
      <c r="AT1299" t="s">
        <v>140</v>
      </c>
      <c r="AU1299">
        <v>106</v>
      </c>
      <c r="AV1299">
        <v>10</v>
      </c>
      <c r="AW1299">
        <v>1</v>
      </c>
      <c r="AX1299" s="2">
        <v>45826</v>
      </c>
      <c r="AY1299" t="s">
        <v>168</v>
      </c>
      <c r="AZ1299" s="2">
        <v>46022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 t="s">
        <v>135</v>
      </c>
      <c r="BH1299" t="s">
        <v>250</v>
      </c>
      <c r="BI1299" t="s">
        <v>135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 s="1">
        <v>2929.93</v>
      </c>
      <c r="BQ1299" s="1">
        <v>2929.93</v>
      </c>
      <c r="BR1299">
        <v>0</v>
      </c>
      <c r="BS1299">
        <v>7</v>
      </c>
      <c r="BT1299">
        <v>3.04</v>
      </c>
      <c r="BU1299" s="1">
        <v>1436.73</v>
      </c>
      <c r="BV1299" s="1">
        <v>1872.68</v>
      </c>
      <c r="BW1299" s="1">
        <v>3309.41</v>
      </c>
      <c r="BX1299" s="1">
        <v>1436.73</v>
      </c>
      <c r="BY1299">
        <v>100</v>
      </c>
      <c r="BZ1299">
        <v>0</v>
      </c>
      <c r="CA1299">
        <v>0</v>
      </c>
      <c r="CB1299" s="1">
        <v>2045.92</v>
      </c>
      <c r="CC1299" t="s">
        <v>161</v>
      </c>
    </row>
    <row r="1300" spans="1:81" x14ac:dyDescent="0.25">
      <c r="A1300">
        <v>345</v>
      </c>
      <c r="B1300">
        <v>2</v>
      </c>
      <c r="C1300">
        <v>3531</v>
      </c>
      <c r="D1300" t="s">
        <v>7409</v>
      </c>
      <c r="E1300" t="s">
        <v>121</v>
      </c>
      <c r="F1300" t="s">
        <v>7410</v>
      </c>
      <c r="G1300" t="s">
        <v>7411</v>
      </c>
      <c r="H1300" t="s">
        <v>7412</v>
      </c>
      <c r="I1300" t="s">
        <v>7413</v>
      </c>
      <c r="J1300" t="s">
        <v>126</v>
      </c>
      <c r="K1300" t="s">
        <v>1853</v>
      </c>
      <c r="L1300" t="s">
        <v>128</v>
      </c>
      <c r="M1300" t="s">
        <v>1854</v>
      </c>
      <c r="N1300" t="s">
        <v>7414</v>
      </c>
      <c r="O1300" t="s">
        <v>5475</v>
      </c>
      <c r="P1300">
        <v>0</v>
      </c>
      <c r="Q1300" t="s">
        <v>125</v>
      </c>
      <c r="R1300">
        <v>3</v>
      </c>
      <c r="S1300">
        <v>87</v>
      </c>
      <c r="T1300" t="s">
        <v>132</v>
      </c>
      <c r="U1300" t="s">
        <v>133</v>
      </c>
      <c r="V1300" s="1">
        <v>26400</v>
      </c>
      <c r="W1300">
        <v>0</v>
      </c>
      <c r="X1300" s="1">
        <v>26400</v>
      </c>
      <c r="Y1300">
        <v>7</v>
      </c>
      <c r="Z1300">
        <v>0</v>
      </c>
      <c r="AA1300">
        <v>3</v>
      </c>
      <c r="AB1300">
        <v>0</v>
      </c>
      <c r="AC1300">
        <v>0</v>
      </c>
      <c r="AD1300" t="s">
        <v>134</v>
      </c>
      <c r="AE1300" t="s">
        <v>134</v>
      </c>
      <c r="AF1300" s="2">
        <v>45804</v>
      </c>
      <c r="AG1300" s="2">
        <v>46009</v>
      </c>
      <c r="AH1300" s="1">
        <v>7730.06</v>
      </c>
      <c r="AI1300" s="1">
        <v>18685</v>
      </c>
      <c r="AJ1300" s="1">
        <v>54110.42</v>
      </c>
      <c r="AK1300">
        <v>0</v>
      </c>
      <c r="AL1300">
        <v>0</v>
      </c>
      <c r="AM1300">
        <v>0</v>
      </c>
      <c r="AN1300" t="s">
        <v>135</v>
      </c>
      <c r="AO1300" t="s">
        <v>135</v>
      </c>
      <c r="AP1300" t="s">
        <v>136</v>
      </c>
      <c r="AQ1300" t="s">
        <v>137</v>
      </c>
      <c r="AR1300" t="s">
        <v>138</v>
      </c>
      <c r="AS1300" t="s">
        <v>139</v>
      </c>
      <c r="AT1300" t="s">
        <v>140</v>
      </c>
      <c r="AU1300">
        <v>103</v>
      </c>
      <c r="AV1300">
        <v>10</v>
      </c>
      <c r="AW1300">
        <v>1</v>
      </c>
      <c r="AX1300" s="2">
        <v>45819</v>
      </c>
      <c r="AY1300" t="s">
        <v>168</v>
      </c>
      <c r="AZ1300" s="2">
        <v>46022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 t="s">
        <v>135</v>
      </c>
      <c r="BH1300" t="s">
        <v>250</v>
      </c>
      <c r="BI1300" t="s">
        <v>135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 s="1">
        <v>9409.89</v>
      </c>
      <c r="BW1300" s="1">
        <v>9409.89</v>
      </c>
      <c r="BX1300">
        <v>0</v>
      </c>
      <c r="BY1300">
        <v>0</v>
      </c>
      <c r="BZ1300">
        <v>0</v>
      </c>
      <c r="CA1300">
        <v>0</v>
      </c>
      <c r="CB1300" s="1">
        <v>24380.57</v>
      </c>
      <c r="CC1300" t="s">
        <v>161</v>
      </c>
    </row>
    <row r="1301" spans="1:81" x14ac:dyDescent="0.25">
      <c r="A1301">
        <v>345</v>
      </c>
      <c r="B1301">
        <v>2</v>
      </c>
      <c r="C1301">
        <v>3532</v>
      </c>
      <c r="D1301" t="s">
        <v>7415</v>
      </c>
      <c r="E1301" t="s">
        <v>121</v>
      </c>
      <c r="F1301" t="s">
        <v>7416</v>
      </c>
      <c r="G1301" t="s">
        <v>7417</v>
      </c>
      <c r="H1301" t="s">
        <v>7418</v>
      </c>
      <c r="I1301" t="s">
        <v>7419</v>
      </c>
      <c r="J1301" t="s">
        <v>4569</v>
      </c>
      <c r="K1301" t="s">
        <v>466</v>
      </c>
      <c r="L1301" t="s">
        <v>128</v>
      </c>
      <c r="M1301" t="s">
        <v>467</v>
      </c>
      <c r="N1301" t="s">
        <v>7420</v>
      </c>
      <c r="O1301" t="s">
        <v>159</v>
      </c>
      <c r="P1301">
        <v>0</v>
      </c>
      <c r="Q1301" t="s">
        <v>125</v>
      </c>
      <c r="R1301">
        <v>4</v>
      </c>
      <c r="S1301">
        <v>80</v>
      </c>
      <c r="T1301" t="s">
        <v>132</v>
      </c>
      <c r="U1301" t="s">
        <v>133</v>
      </c>
      <c r="V1301" s="1">
        <v>1300</v>
      </c>
      <c r="W1301">
        <v>0</v>
      </c>
      <c r="X1301" s="1">
        <v>1300</v>
      </c>
      <c r="Y1301">
        <v>7</v>
      </c>
      <c r="Z1301">
        <v>0</v>
      </c>
      <c r="AA1301">
        <v>0</v>
      </c>
      <c r="AB1301">
        <v>0</v>
      </c>
      <c r="AC1301">
        <v>0</v>
      </c>
      <c r="AD1301" t="s">
        <v>134</v>
      </c>
      <c r="AE1301" t="s">
        <v>134</v>
      </c>
      <c r="AF1301" s="2">
        <v>45804</v>
      </c>
      <c r="AG1301" s="2">
        <v>46009</v>
      </c>
      <c r="AH1301">
        <v>527.45000000000005</v>
      </c>
      <c r="AI1301" s="1">
        <v>1118.5999999999999</v>
      </c>
      <c r="AJ1301" s="1">
        <v>5274.52</v>
      </c>
      <c r="AK1301">
        <v>0</v>
      </c>
      <c r="AL1301">
        <v>0</v>
      </c>
      <c r="AM1301">
        <v>0</v>
      </c>
      <c r="AN1301" t="s">
        <v>135</v>
      </c>
      <c r="AO1301" t="s">
        <v>135</v>
      </c>
      <c r="AP1301" t="s">
        <v>136</v>
      </c>
      <c r="AQ1301" t="s">
        <v>137</v>
      </c>
      <c r="AR1301" t="s">
        <v>138</v>
      </c>
      <c r="AS1301" t="s">
        <v>150</v>
      </c>
      <c r="AT1301" t="s">
        <v>140</v>
      </c>
      <c r="AU1301">
        <v>500</v>
      </c>
      <c r="AV1301">
        <v>10</v>
      </c>
      <c r="AW1301">
        <v>1</v>
      </c>
      <c r="AX1301" s="2">
        <v>45875</v>
      </c>
      <c r="AY1301" t="s">
        <v>168</v>
      </c>
      <c r="AZ1301" s="2">
        <v>46022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 t="s">
        <v>135</v>
      </c>
      <c r="BH1301" t="s">
        <v>250</v>
      </c>
      <c r="BI1301" t="s">
        <v>135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 s="1">
        <v>1257.72</v>
      </c>
      <c r="BQ1301" s="1">
        <v>1257.72</v>
      </c>
      <c r="BR1301">
        <v>0</v>
      </c>
      <c r="BS1301">
        <v>0</v>
      </c>
      <c r="BT1301">
        <v>0</v>
      </c>
      <c r="BU1301">
        <v>0</v>
      </c>
      <c r="BV1301" s="1">
        <v>2026.93</v>
      </c>
      <c r="BW1301" s="1">
        <v>2026.93</v>
      </c>
      <c r="BX1301">
        <v>0</v>
      </c>
      <c r="BY1301">
        <v>0</v>
      </c>
      <c r="BZ1301">
        <v>0</v>
      </c>
      <c r="CA1301">
        <v>0</v>
      </c>
      <c r="CB1301" s="1">
        <v>1418.06</v>
      </c>
      <c r="CC1301" t="s">
        <v>161</v>
      </c>
    </row>
    <row r="1302" spans="1:81" x14ac:dyDescent="0.25">
      <c r="A1302">
        <v>345</v>
      </c>
      <c r="B1302">
        <v>2</v>
      </c>
      <c r="C1302">
        <v>3537</v>
      </c>
      <c r="D1302" t="s">
        <v>7421</v>
      </c>
      <c r="E1302" t="s">
        <v>121</v>
      </c>
      <c r="F1302" t="s">
        <v>7422</v>
      </c>
      <c r="G1302" t="s">
        <v>7423</v>
      </c>
      <c r="H1302" t="s">
        <v>7424</v>
      </c>
      <c r="I1302" t="s">
        <v>7425</v>
      </c>
      <c r="J1302" t="s">
        <v>126</v>
      </c>
      <c r="K1302" t="s">
        <v>1853</v>
      </c>
      <c r="L1302" t="s">
        <v>128</v>
      </c>
      <c r="M1302" t="s">
        <v>1854</v>
      </c>
      <c r="N1302" t="s">
        <v>7426</v>
      </c>
      <c r="O1302" t="s">
        <v>167</v>
      </c>
      <c r="P1302">
        <v>0</v>
      </c>
      <c r="Q1302" t="s">
        <v>125</v>
      </c>
      <c r="R1302">
        <v>4</v>
      </c>
      <c r="S1302">
        <v>81</v>
      </c>
      <c r="T1302" t="s">
        <v>132</v>
      </c>
      <c r="U1302" t="s">
        <v>133</v>
      </c>
      <c r="V1302" s="1">
        <v>1700</v>
      </c>
      <c r="W1302">
        <v>0</v>
      </c>
      <c r="X1302" s="1">
        <v>1700</v>
      </c>
      <c r="Y1302">
        <v>7</v>
      </c>
      <c r="Z1302">
        <v>0</v>
      </c>
      <c r="AA1302">
        <v>7</v>
      </c>
      <c r="AB1302">
        <v>0</v>
      </c>
      <c r="AC1302">
        <v>0</v>
      </c>
      <c r="AD1302" t="s">
        <v>134</v>
      </c>
      <c r="AE1302" t="s">
        <v>134</v>
      </c>
      <c r="AF1302" s="2">
        <v>45805</v>
      </c>
      <c r="AG1302" s="2">
        <v>46011</v>
      </c>
      <c r="AH1302">
        <v>760.23</v>
      </c>
      <c r="AI1302" s="1">
        <v>1270.8</v>
      </c>
      <c r="AJ1302" s="1">
        <v>3801.16</v>
      </c>
      <c r="AK1302">
        <v>0</v>
      </c>
      <c r="AL1302">
        <v>0</v>
      </c>
      <c r="AM1302">
        <v>0</v>
      </c>
      <c r="AN1302" t="s">
        <v>135</v>
      </c>
      <c r="AO1302" t="s">
        <v>135</v>
      </c>
      <c r="AP1302" t="s">
        <v>136</v>
      </c>
      <c r="AQ1302" t="s">
        <v>137</v>
      </c>
      <c r="AR1302" t="s">
        <v>138</v>
      </c>
      <c r="AS1302" t="s">
        <v>139</v>
      </c>
      <c r="AT1302" t="s">
        <v>140</v>
      </c>
      <c r="AU1302">
        <v>103</v>
      </c>
      <c r="AV1302">
        <v>10</v>
      </c>
      <c r="AW1302">
        <v>1</v>
      </c>
      <c r="AX1302" s="2">
        <v>45828</v>
      </c>
      <c r="AY1302" t="s">
        <v>151</v>
      </c>
      <c r="AZ1302" s="2">
        <v>46024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 t="s">
        <v>135</v>
      </c>
      <c r="BH1302" t="s">
        <v>250</v>
      </c>
      <c r="BI1302" t="s">
        <v>135</v>
      </c>
      <c r="BJ1302">
        <v>0</v>
      </c>
      <c r="BK1302">
        <v>0</v>
      </c>
      <c r="BL1302">
        <v>0</v>
      </c>
      <c r="BM1302">
        <v>7</v>
      </c>
      <c r="BN1302">
        <v>6.09</v>
      </c>
      <c r="BO1302" s="1">
        <v>1083.71</v>
      </c>
      <c r="BP1302">
        <v>161.15</v>
      </c>
      <c r="BQ1302" s="1">
        <v>1244.8599999999999</v>
      </c>
      <c r="BR1302">
        <v>0</v>
      </c>
      <c r="BS1302">
        <v>5.61</v>
      </c>
      <c r="BT1302">
        <v>5.61</v>
      </c>
      <c r="BU1302" s="1">
        <v>2092.66</v>
      </c>
      <c r="BV1302">
        <v>0</v>
      </c>
      <c r="BW1302" s="1">
        <v>2092.66</v>
      </c>
      <c r="BX1302">
        <v>0</v>
      </c>
      <c r="BY1302">
        <v>0</v>
      </c>
      <c r="BZ1302">
        <v>0</v>
      </c>
      <c r="CA1302">
        <v>0</v>
      </c>
      <c r="CB1302" s="1">
        <v>1143.5</v>
      </c>
      <c r="CC1302" t="s">
        <v>161</v>
      </c>
    </row>
    <row r="1303" spans="1:81" x14ac:dyDescent="0.25">
      <c r="A1303">
        <v>345</v>
      </c>
      <c r="B1303">
        <v>2</v>
      </c>
      <c r="C1303">
        <v>3538</v>
      </c>
      <c r="D1303" t="s">
        <v>7427</v>
      </c>
      <c r="E1303" t="s">
        <v>121</v>
      </c>
      <c r="F1303" t="s">
        <v>7428</v>
      </c>
      <c r="G1303" t="s">
        <v>7429</v>
      </c>
      <c r="H1303" t="s">
        <v>7430</v>
      </c>
      <c r="I1303" t="s">
        <v>7431</v>
      </c>
      <c r="J1303" t="s">
        <v>126</v>
      </c>
      <c r="K1303" t="s">
        <v>336</v>
      </c>
      <c r="L1303" t="s">
        <v>128</v>
      </c>
      <c r="M1303" t="s">
        <v>337</v>
      </c>
      <c r="N1303" t="s">
        <v>7432</v>
      </c>
      <c r="O1303" t="s">
        <v>201</v>
      </c>
      <c r="P1303">
        <v>0</v>
      </c>
      <c r="Q1303" t="s">
        <v>125</v>
      </c>
      <c r="R1303">
        <v>3</v>
      </c>
      <c r="S1303">
        <v>85</v>
      </c>
      <c r="T1303" t="s">
        <v>132</v>
      </c>
      <c r="U1303" t="s">
        <v>133</v>
      </c>
      <c r="V1303" s="1">
        <v>4100</v>
      </c>
      <c r="W1303">
        <v>0</v>
      </c>
      <c r="X1303" s="1">
        <v>4100</v>
      </c>
      <c r="Y1303">
        <v>7</v>
      </c>
      <c r="Z1303">
        <v>0</v>
      </c>
      <c r="AA1303">
        <v>0</v>
      </c>
      <c r="AB1303">
        <v>0</v>
      </c>
      <c r="AC1303">
        <v>0</v>
      </c>
      <c r="AD1303" t="s">
        <v>134</v>
      </c>
      <c r="AE1303" t="s">
        <v>134</v>
      </c>
      <c r="AF1303" s="2">
        <v>45805</v>
      </c>
      <c r="AG1303" s="2">
        <v>46013</v>
      </c>
      <c r="AH1303" s="1">
        <v>2474.84</v>
      </c>
      <c r="AI1303" s="1">
        <v>6496.88</v>
      </c>
      <c r="AJ1303" s="1">
        <v>12374.23</v>
      </c>
      <c r="AK1303">
        <v>0</v>
      </c>
      <c r="AL1303">
        <v>0</v>
      </c>
      <c r="AM1303">
        <v>0</v>
      </c>
      <c r="AN1303" t="s">
        <v>135</v>
      </c>
      <c r="AO1303" t="s">
        <v>135</v>
      </c>
      <c r="AP1303" t="s">
        <v>136</v>
      </c>
      <c r="AQ1303" t="s">
        <v>137</v>
      </c>
      <c r="AR1303" t="s">
        <v>138</v>
      </c>
      <c r="AS1303" t="s">
        <v>139</v>
      </c>
      <c r="AT1303" t="s">
        <v>140</v>
      </c>
      <c r="AU1303">
        <v>104</v>
      </c>
      <c r="AV1303">
        <v>10</v>
      </c>
      <c r="AW1303">
        <v>1</v>
      </c>
      <c r="AX1303" s="2">
        <v>45857</v>
      </c>
      <c r="AY1303" t="s">
        <v>160</v>
      </c>
      <c r="AZ1303" s="2">
        <v>46025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 t="s">
        <v>135</v>
      </c>
      <c r="BH1303" t="s">
        <v>250</v>
      </c>
      <c r="BI1303" t="s">
        <v>135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 s="1">
        <v>7448.97</v>
      </c>
      <c r="BQ1303" s="1">
        <v>7448.97</v>
      </c>
      <c r="BR1303">
        <v>0</v>
      </c>
      <c r="BS1303">
        <v>0</v>
      </c>
      <c r="BT1303">
        <v>0</v>
      </c>
      <c r="BU1303">
        <v>0</v>
      </c>
      <c r="BV1303" s="1">
        <v>4925.26</v>
      </c>
      <c r="BW1303" s="1">
        <v>4925.26</v>
      </c>
      <c r="BX1303">
        <v>0</v>
      </c>
      <c r="BY1303">
        <v>0</v>
      </c>
      <c r="BZ1303">
        <v>0</v>
      </c>
      <c r="CA1303">
        <v>0</v>
      </c>
      <c r="CB1303" s="1">
        <v>2717.21</v>
      </c>
      <c r="CC1303" t="s">
        <v>161</v>
      </c>
    </row>
    <row r="1304" spans="1:81" x14ac:dyDescent="0.25">
      <c r="A1304">
        <v>345</v>
      </c>
      <c r="B1304">
        <v>2</v>
      </c>
      <c r="C1304">
        <v>3540</v>
      </c>
      <c r="D1304" t="s">
        <v>7433</v>
      </c>
      <c r="E1304" t="s">
        <v>121</v>
      </c>
      <c r="F1304" t="s">
        <v>7434</v>
      </c>
      <c r="G1304" t="s">
        <v>7435</v>
      </c>
      <c r="H1304" t="s">
        <v>7436</v>
      </c>
      <c r="I1304" t="s">
        <v>7437</v>
      </c>
      <c r="J1304" t="s">
        <v>126</v>
      </c>
      <c r="K1304" t="s">
        <v>1853</v>
      </c>
      <c r="L1304" t="s">
        <v>128</v>
      </c>
      <c r="M1304" t="s">
        <v>1854</v>
      </c>
      <c r="N1304" t="s">
        <v>7438</v>
      </c>
      <c r="O1304" t="s">
        <v>149</v>
      </c>
      <c r="P1304">
        <v>0</v>
      </c>
      <c r="Q1304" t="s">
        <v>125</v>
      </c>
      <c r="R1304">
        <v>3</v>
      </c>
      <c r="S1304">
        <v>87</v>
      </c>
      <c r="T1304" t="s">
        <v>132</v>
      </c>
      <c r="U1304" t="s">
        <v>133</v>
      </c>
      <c r="V1304" s="1">
        <v>1000</v>
      </c>
      <c r="W1304">
        <v>117.86</v>
      </c>
      <c r="X1304">
        <v>882.14</v>
      </c>
      <c r="Y1304">
        <v>7</v>
      </c>
      <c r="Z1304">
        <v>0</v>
      </c>
      <c r="AA1304">
        <v>9</v>
      </c>
      <c r="AB1304">
        <v>0</v>
      </c>
      <c r="AC1304">
        <v>0</v>
      </c>
      <c r="AD1304" t="s">
        <v>134</v>
      </c>
      <c r="AE1304" t="s">
        <v>134</v>
      </c>
      <c r="AF1304" s="2">
        <v>45805</v>
      </c>
      <c r="AG1304" s="2">
        <v>46020</v>
      </c>
      <c r="AH1304">
        <v>224.91</v>
      </c>
      <c r="AI1304">
        <v>519.26</v>
      </c>
      <c r="AJ1304">
        <v>674.75</v>
      </c>
      <c r="AK1304">
        <v>0</v>
      </c>
      <c r="AL1304">
        <v>117.86</v>
      </c>
      <c r="AM1304">
        <v>80.38</v>
      </c>
      <c r="AN1304" t="s">
        <v>135</v>
      </c>
      <c r="AO1304" t="s">
        <v>135</v>
      </c>
      <c r="AP1304" t="s">
        <v>136</v>
      </c>
      <c r="AQ1304" t="s">
        <v>137</v>
      </c>
      <c r="AR1304" t="s">
        <v>138</v>
      </c>
      <c r="AS1304" t="s">
        <v>139</v>
      </c>
      <c r="AT1304" t="s">
        <v>140</v>
      </c>
      <c r="AU1304">
        <v>103</v>
      </c>
      <c r="AV1304">
        <v>10</v>
      </c>
      <c r="AW1304">
        <v>1</v>
      </c>
      <c r="AX1304" s="2">
        <v>45828</v>
      </c>
      <c r="AY1304" t="s">
        <v>151</v>
      </c>
      <c r="AZ1304" s="2">
        <v>46024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 t="s">
        <v>135</v>
      </c>
      <c r="BH1304" t="s">
        <v>250</v>
      </c>
      <c r="BI1304" t="s">
        <v>135</v>
      </c>
      <c r="BJ1304">
        <v>0</v>
      </c>
      <c r="BK1304">
        <v>0</v>
      </c>
      <c r="BL1304">
        <v>0</v>
      </c>
      <c r="BM1304">
        <v>9</v>
      </c>
      <c r="BN1304">
        <v>9</v>
      </c>
      <c r="BO1304">
        <v>94.73</v>
      </c>
      <c r="BP1304">
        <v>0</v>
      </c>
      <c r="BQ1304">
        <v>94.73</v>
      </c>
      <c r="BR1304">
        <v>94.73</v>
      </c>
      <c r="BS1304">
        <v>7</v>
      </c>
      <c r="BT1304">
        <v>1.59</v>
      </c>
      <c r="BU1304">
        <v>117.86</v>
      </c>
      <c r="BV1304">
        <v>401.4</v>
      </c>
      <c r="BW1304">
        <v>519.26</v>
      </c>
      <c r="BX1304">
        <v>117.86</v>
      </c>
      <c r="BY1304">
        <v>100</v>
      </c>
      <c r="BZ1304">
        <v>0</v>
      </c>
      <c r="CA1304">
        <v>0</v>
      </c>
      <c r="CB1304">
        <v>79.8</v>
      </c>
      <c r="CC1304" t="s">
        <v>161</v>
      </c>
    </row>
    <row r="1305" spans="1:81" x14ac:dyDescent="0.25">
      <c r="A1305">
        <v>345</v>
      </c>
      <c r="B1305">
        <v>2</v>
      </c>
      <c r="C1305">
        <v>3541</v>
      </c>
      <c r="D1305" t="s">
        <v>7439</v>
      </c>
      <c r="E1305" t="s">
        <v>121</v>
      </c>
      <c r="F1305" t="s">
        <v>7440</v>
      </c>
      <c r="G1305" t="s">
        <v>7441</v>
      </c>
      <c r="H1305" t="s">
        <v>7442</v>
      </c>
      <c r="I1305" t="s">
        <v>7443</v>
      </c>
      <c r="J1305" t="s">
        <v>831</v>
      </c>
      <c r="K1305" t="s">
        <v>336</v>
      </c>
      <c r="L1305" t="s">
        <v>128</v>
      </c>
      <c r="M1305" t="s">
        <v>337</v>
      </c>
      <c r="N1305" t="s">
        <v>1258</v>
      </c>
      <c r="O1305" t="s">
        <v>131</v>
      </c>
      <c r="P1305">
        <v>0</v>
      </c>
      <c r="Q1305" t="s">
        <v>125</v>
      </c>
      <c r="R1305">
        <v>3</v>
      </c>
      <c r="S1305">
        <v>86</v>
      </c>
      <c r="T1305" t="s">
        <v>132</v>
      </c>
      <c r="U1305" t="s">
        <v>133</v>
      </c>
      <c r="V1305" s="1">
        <v>1300</v>
      </c>
      <c r="W1305">
        <v>0</v>
      </c>
      <c r="X1305" s="1">
        <v>1300</v>
      </c>
      <c r="Y1305">
        <v>7</v>
      </c>
      <c r="Z1305">
        <v>0</v>
      </c>
      <c r="AA1305">
        <v>0</v>
      </c>
      <c r="AB1305">
        <v>0</v>
      </c>
      <c r="AC1305">
        <v>0</v>
      </c>
      <c r="AD1305" t="s">
        <v>134</v>
      </c>
      <c r="AE1305" t="s">
        <v>134</v>
      </c>
      <c r="AF1305" s="2">
        <v>45805</v>
      </c>
      <c r="AG1305" s="2">
        <v>46014</v>
      </c>
      <c r="AH1305">
        <v>649.24</v>
      </c>
      <c r="AI1305">
        <v>829.75</v>
      </c>
      <c r="AJ1305" s="1">
        <v>6492.4</v>
      </c>
      <c r="AK1305">
        <v>0</v>
      </c>
      <c r="AL1305">
        <v>714.21</v>
      </c>
      <c r="AM1305">
        <v>0</v>
      </c>
      <c r="AN1305" t="s">
        <v>135</v>
      </c>
      <c r="AO1305" t="s">
        <v>135</v>
      </c>
      <c r="AP1305" t="s">
        <v>136</v>
      </c>
      <c r="AQ1305" t="s">
        <v>137</v>
      </c>
      <c r="AR1305" t="s">
        <v>138</v>
      </c>
      <c r="AS1305" t="s">
        <v>139</v>
      </c>
      <c r="AT1305" t="s">
        <v>140</v>
      </c>
      <c r="AU1305">
        <v>104</v>
      </c>
      <c r="AV1305">
        <v>10</v>
      </c>
      <c r="AW1305">
        <v>1</v>
      </c>
      <c r="AX1305" s="2">
        <v>45810</v>
      </c>
      <c r="AY1305" t="s">
        <v>141</v>
      </c>
      <c r="AZ1305" s="2">
        <v>46027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 t="s">
        <v>135</v>
      </c>
      <c r="BH1305" t="s">
        <v>250</v>
      </c>
      <c r="BI1305" t="s">
        <v>135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720.46</v>
      </c>
      <c r="BQ1305">
        <v>720.46</v>
      </c>
      <c r="BR1305">
        <v>0</v>
      </c>
      <c r="BS1305">
        <v>0</v>
      </c>
      <c r="BT1305">
        <v>0</v>
      </c>
      <c r="BU1305">
        <v>0</v>
      </c>
      <c r="BV1305" s="1">
        <v>3544.14</v>
      </c>
      <c r="BW1305" s="1">
        <v>3544.14</v>
      </c>
      <c r="BX1305">
        <v>0</v>
      </c>
      <c r="BY1305">
        <v>0</v>
      </c>
      <c r="BZ1305">
        <v>0</v>
      </c>
      <c r="CA1305">
        <v>0</v>
      </c>
      <c r="CB1305" s="1">
        <v>2078.37</v>
      </c>
      <c r="CC1305" t="s">
        <v>161</v>
      </c>
    </row>
    <row r="1306" spans="1:81" x14ac:dyDescent="0.25">
      <c r="A1306">
        <v>345</v>
      </c>
      <c r="B1306">
        <v>2</v>
      </c>
      <c r="C1306">
        <v>3542</v>
      </c>
      <c r="D1306" t="s">
        <v>7444</v>
      </c>
      <c r="E1306" t="s">
        <v>121</v>
      </c>
      <c r="F1306" t="s">
        <v>7445</v>
      </c>
      <c r="G1306" t="s">
        <v>7446</v>
      </c>
      <c r="H1306" t="s">
        <v>7447</v>
      </c>
      <c r="I1306" t="s">
        <v>7448</v>
      </c>
      <c r="J1306" t="s">
        <v>3074</v>
      </c>
      <c r="K1306" t="s">
        <v>1853</v>
      </c>
      <c r="L1306" t="s">
        <v>128</v>
      </c>
      <c r="M1306" t="s">
        <v>1854</v>
      </c>
      <c r="N1306" t="s">
        <v>7449</v>
      </c>
      <c r="O1306" t="s">
        <v>159</v>
      </c>
      <c r="P1306">
        <v>0</v>
      </c>
      <c r="Q1306" t="s">
        <v>125</v>
      </c>
      <c r="R1306">
        <v>4</v>
      </c>
      <c r="S1306">
        <v>80</v>
      </c>
      <c r="T1306" t="s">
        <v>132</v>
      </c>
      <c r="U1306" t="s">
        <v>133</v>
      </c>
      <c r="V1306" s="1">
        <v>1300</v>
      </c>
      <c r="W1306">
        <v>0</v>
      </c>
      <c r="X1306" s="1">
        <v>1300</v>
      </c>
      <c r="Y1306">
        <v>7</v>
      </c>
      <c r="Z1306">
        <v>0</v>
      </c>
      <c r="AA1306">
        <v>7</v>
      </c>
      <c r="AB1306">
        <v>0</v>
      </c>
      <c r="AC1306">
        <v>0</v>
      </c>
      <c r="AD1306" t="s">
        <v>134</v>
      </c>
      <c r="AE1306" t="s">
        <v>134</v>
      </c>
      <c r="AF1306" s="2">
        <v>45805</v>
      </c>
      <c r="AG1306" s="2">
        <v>46015</v>
      </c>
      <c r="AH1306">
        <v>715.03</v>
      </c>
      <c r="AI1306" s="1">
        <v>1228.8699999999999</v>
      </c>
      <c r="AJ1306" s="1">
        <v>7150.32</v>
      </c>
      <c r="AK1306">
        <v>0</v>
      </c>
      <c r="AL1306" s="1">
        <v>1196.8</v>
      </c>
      <c r="AM1306">
        <v>0</v>
      </c>
      <c r="AN1306" t="s">
        <v>135</v>
      </c>
      <c r="AO1306" t="s">
        <v>135</v>
      </c>
      <c r="AP1306" t="s">
        <v>136</v>
      </c>
      <c r="AQ1306" t="s">
        <v>137</v>
      </c>
      <c r="AR1306" t="s">
        <v>138</v>
      </c>
      <c r="AS1306" t="s">
        <v>150</v>
      </c>
      <c r="AT1306" t="s">
        <v>140</v>
      </c>
      <c r="AU1306">
        <v>106</v>
      </c>
      <c r="AV1306">
        <v>10</v>
      </c>
      <c r="AW1306">
        <v>1</v>
      </c>
      <c r="AX1306" s="2">
        <v>45810</v>
      </c>
      <c r="AY1306" t="s">
        <v>141</v>
      </c>
      <c r="AZ1306" s="2">
        <v>46027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 t="s">
        <v>135</v>
      </c>
      <c r="BH1306" t="s">
        <v>250</v>
      </c>
      <c r="BI1306" t="s">
        <v>135</v>
      </c>
      <c r="BJ1306">
        <v>0</v>
      </c>
      <c r="BK1306">
        <v>0</v>
      </c>
      <c r="BL1306">
        <v>0</v>
      </c>
      <c r="BM1306">
        <v>7</v>
      </c>
      <c r="BN1306">
        <v>5.48</v>
      </c>
      <c r="BO1306" s="1">
        <v>2150.52</v>
      </c>
      <c r="BP1306">
        <v>598.4</v>
      </c>
      <c r="BQ1306" s="1">
        <v>2748.92</v>
      </c>
      <c r="BR1306">
        <v>0</v>
      </c>
      <c r="BS1306">
        <v>0</v>
      </c>
      <c r="BT1306">
        <v>0</v>
      </c>
      <c r="BU1306">
        <v>0</v>
      </c>
      <c r="BV1306" s="1">
        <v>3028</v>
      </c>
      <c r="BW1306" s="1">
        <v>3028</v>
      </c>
      <c r="BX1306">
        <v>0</v>
      </c>
      <c r="BY1306">
        <v>0</v>
      </c>
      <c r="BZ1306">
        <v>0</v>
      </c>
      <c r="CA1306">
        <v>0</v>
      </c>
      <c r="CB1306" s="1">
        <v>1819.9</v>
      </c>
      <c r="CC1306" t="s">
        <v>161</v>
      </c>
    </row>
    <row r="1307" spans="1:81" x14ac:dyDescent="0.25">
      <c r="A1307">
        <v>345</v>
      </c>
      <c r="B1307">
        <v>2</v>
      </c>
      <c r="C1307">
        <v>3543</v>
      </c>
      <c r="D1307" t="s">
        <v>7450</v>
      </c>
      <c r="E1307" t="s">
        <v>121</v>
      </c>
      <c r="F1307" t="s">
        <v>7451</v>
      </c>
      <c r="G1307" t="s">
        <v>7446</v>
      </c>
      <c r="H1307" t="s">
        <v>5799</v>
      </c>
      <c r="I1307" t="s">
        <v>7452</v>
      </c>
      <c r="J1307" t="s">
        <v>3074</v>
      </c>
      <c r="K1307" t="s">
        <v>1853</v>
      </c>
      <c r="L1307" t="s">
        <v>128</v>
      </c>
      <c r="M1307" t="s">
        <v>1854</v>
      </c>
      <c r="N1307" t="s">
        <v>7453</v>
      </c>
      <c r="O1307" t="s">
        <v>159</v>
      </c>
      <c r="P1307">
        <v>0</v>
      </c>
      <c r="Q1307" t="s">
        <v>125</v>
      </c>
      <c r="R1307">
        <v>4</v>
      </c>
      <c r="S1307">
        <v>79</v>
      </c>
      <c r="T1307" t="s">
        <v>132</v>
      </c>
      <c r="U1307" t="s">
        <v>133</v>
      </c>
      <c r="V1307" s="1">
        <v>1300</v>
      </c>
      <c r="W1307">
        <v>0</v>
      </c>
      <c r="X1307" s="1">
        <v>1300</v>
      </c>
      <c r="Y1307">
        <v>7</v>
      </c>
      <c r="Z1307">
        <v>0</v>
      </c>
      <c r="AA1307">
        <v>0</v>
      </c>
      <c r="AB1307">
        <v>0</v>
      </c>
      <c r="AC1307">
        <v>0</v>
      </c>
      <c r="AD1307" t="s">
        <v>134</v>
      </c>
      <c r="AE1307" t="s">
        <v>134</v>
      </c>
      <c r="AF1307" s="2">
        <v>45806</v>
      </c>
      <c r="AG1307" s="2">
        <v>45988</v>
      </c>
      <c r="AH1307">
        <v>443.4</v>
      </c>
      <c r="AI1307">
        <v>443.4</v>
      </c>
      <c r="AJ1307">
        <v>443.4</v>
      </c>
      <c r="AK1307">
        <v>0</v>
      </c>
      <c r="AL1307">
        <v>0</v>
      </c>
      <c r="AM1307">
        <v>0</v>
      </c>
      <c r="AN1307" t="s">
        <v>135</v>
      </c>
      <c r="AO1307" t="s">
        <v>135</v>
      </c>
      <c r="AP1307" t="s">
        <v>136</v>
      </c>
      <c r="AQ1307" t="s">
        <v>137</v>
      </c>
      <c r="AR1307" t="s">
        <v>138</v>
      </c>
      <c r="AS1307" t="s">
        <v>150</v>
      </c>
      <c r="AT1307" t="s">
        <v>140</v>
      </c>
      <c r="AU1307">
        <v>106</v>
      </c>
      <c r="AV1307">
        <v>10</v>
      </c>
      <c r="AW1307">
        <v>1</v>
      </c>
      <c r="AX1307" s="2">
        <v>46010</v>
      </c>
      <c r="AY1307" t="s">
        <v>151</v>
      </c>
      <c r="AZ1307" s="2">
        <v>46024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 t="s">
        <v>135</v>
      </c>
      <c r="BH1307" t="s">
        <v>250</v>
      </c>
      <c r="BI1307" t="s">
        <v>135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443.4</v>
      </c>
      <c r="BQ1307">
        <v>443.4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241.66</v>
      </c>
      <c r="CC1307" t="s">
        <v>161</v>
      </c>
    </row>
    <row r="1308" spans="1:81" x14ac:dyDescent="0.25">
      <c r="A1308">
        <v>345</v>
      </c>
      <c r="B1308">
        <v>2</v>
      </c>
      <c r="C1308">
        <v>3544</v>
      </c>
      <c r="D1308" t="s">
        <v>7454</v>
      </c>
      <c r="E1308" t="s">
        <v>121</v>
      </c>
      <c r="F1308" t="s">
        <v>7455</v>
      </c>
      <c r="G1308" t="s">
        <v>7456</v>
      </c>
      <c r="H1308" t="s">
        <v>7457</v>
      </c>
      <c r="I1308" t="s">
        <v>7458</v>
      </c>
      <c r="J1308" t="s">
        <v>4932</v>
      </c>
      <c r="K1308" t="s">
        <v>1853</v>
      </c>
      <c r="L1308" t="s">
        <v>128</v>
      </c>
      <c r="M1308" t="s">
        <v>1854</v>
      </c>
      <c r="N1308" t="s">
        <v>7459</v>
      </c>
      <c r="O1308" t="s">
        <v>159</v>
      </c>
      <c r="P1308">
        <v>0</v>
      </c>
      <c r="Q1308" t="s">
        <v>125</v>
      </c>
      <c r="R1308">
        <v>4</v>
      </c>
      <c r="S1308">
        <v>81</v>
      </c>
      <c r="T1308" t="s">
        <v>132</v>
      </c>
      <c r="U1308" t="s">
        <v>133</v>
      </c>
      <c r="V1308">
        <v>360</v>
      </c>
      <c r="W1308">
        <v>299.64999999999998</v>
      </c>
      <c r="X1308">
        <v>60.35</v>
      </c>
      <c r="Y1308">
        <v>0</v>
      </c>
      <c r="Z1308">
        <v>0</v>
      </c>
      <c r="AA1308">
        <v>7</v>
      </c>
      <c r="AB1308">
        <v>6</v>
      </c>
      <c r="AC1308">
        <v>6</v>
      </c>
      <c r="AD1308" t="s">
        <v>134</v>
      </c>
      <c r="AE1308" t="s">
        <v>134</v>
      </c>
      <c r="AF1308" s="2">
        <v>45807</v>
      </c>
      <c r="AG1308" s="2">
        <v>45975</v>
      </c>
      <c r="AH1308">
        <v>234.41</v>
      </c>
      <c r="AI1308">
        <v>299.64999999999998</v>
      </c>
      <c r="AJ1308">
        <v>703.23</v>
      </c>
      <c r="AK1308">
        <v>299.64999999999998</v>
      </c>
      <c r="AL1308">
        <v>0</v>
      </c>
      <c r="AM1308">
        <v>0</v>
      </c>
      <c r="AN1308" t="s">
        <v>135</v>
      </c>
      <c r="AO1308" t="s">
        <v>135</v>
      </c>
      <c r="AP1308" t="s">
        <v>136</v>
      </c>
      <c r="AQ1308" t="s">
        <v>137</v>
      </c>
      <c r="AR1308" t="s">
        <v>138</v>
      </c>
      <c r="AS1308" t="s">
        <v>150</v>
      </c>
      <c r="AT1308" t="s">
        <v>140</v>
      </c>
      <c r="AU1308">
        <v>103</v>
      </c>
      <c r="AV1308">
        <v>10</v>
      </c>
      <c r="AW1308">
        <v>1</v>
      </c>
      <c r="AX1308" s="2">
        <v>45820</v>
      </c>
      <c r="AY1308" t="s">
        <v>308</v>
      </c>
      <c r="AZ1308" s="2">
        <v>46023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 t="s">
        <v>135</v>
      </c>
      <c r="BH1308" t="s">
        <v>250</v>
      </c>
      <c r="BI1308" t="s">
        <v>135</v>
      </c>
      <c r="BJ1308">
        <v>0</v>
      </c>
      <c r="BK1308">
        <v>0</v>
      </c>
      <c r="BL1308">
        <v>0</v>
      </c>
      <c r="BM1308">
        <v>5.92</v>
      </c>
      <c r="BN1308">
        <v>5.92</v>
      </c>
      <c r="BO1308">
        <v>554.66999999999996</v>
      </c>
      <c r="BP1308">
        <v>0</v>
      </c>
      <c r="BQ1308">
        <v>554.66999999999996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360.64</v>
      </c>
      <c r="CC1308" t="s">
        <v>161</v>
      </c>
    </row>
    <row r="1309" spans="1:81" x14ac:dyDescent="0.25">
      <c r="A1309">
        <v>345</v>
      </c>
      <c r="B1309">
        <v>2</v>
      </c>
      <c r="C1309">
        <v>3546</v>
      </c>
      <c r="D1309" t="s">
        <v>7460</v>
      </c>
      <c r="E1309" t="s">
        <v>121</v>
      </c>
      <c r="F1309" t="s">
        <v>7461</v>
      </c>
      <c r="G1309" t="s">
        <v>7462</v>
      </c>
      <c r="H1309" t="s">
        <v>7463</v>
      </c>
      <c r="I1309" t="s">
        <v>7464</v>
      </c>
      <c r="J1309" t="s">
        <v>4932</v>
      </c>
      <c r="K1309" t="s">
        <v>1853</v>
      </c>
      <c r="L1309" t="s">
        <v>128</v>
      </c>
      <c r="M1309" t="s">
        <v>1854</v>
      </c>
      <c r="N1309" t="s">
        <v>7465</v>
      </c>
      <c r="O1309" t="s">
        <v>167</v>
      </c>
      <c r="P1309">
        <v>0</v>
      </c>
      <c r="Q1309" t="s">
        <v>125</v>
      </c>
      <c r="R1309">
        <v>3</v>
      </c>
      <c r="S1309">
        <v>82</v>
      </c>
      <c r="T1309" t="s">
        <v>132</v>
      </c>
      <c r="U1309" t="s">
        <v>133</v>
      </c>
      <c r="V1309" s="1">
        <v>1300</v>
      </c>
      <c r="W1309">
        <v>0</v>
      </c>
      <c r="X1309" s="1">
        <v>1300</v>
      </c>
      <c r="Y1309">
        <v>7</v>
      </c>
      <c r="Z1309">
        <v>0</v>
      </c>
      <c r="AA1309">
        <v>5</v>
      </c>
      <c r="AB1309">
        <v>0</v>
      </c>
      <c r="AC1309">
        <v>0</v>
      </c>
      <c r="AD1309" t="s">
        <v>134</v>
      </c>
      <c r="AE1309" t="s">
        <v>134</v>
      </c>
      <c r="AF1309" s="2">
        <v>45807</v>
      </c>
      <c r="AG1309" s="2">
        <v>46010</v>
      </c>
      <c r="AH1309">
        <v>582.19000000000005</v>
      </c>
      <c r="AI1309" s="1">
        <v>1299.0899999999999</v>
      </c>
      <c r="AJ1309" s="1">
        <v>5239.76</v>
      </c>
      <c r="AK1309">
        <v>0</v>
      </c>
      <c r="AL1309">
        <v>0</v>
      </c>
      <c r="AM1309">
        <v>0</v>
      </c>
      <c r="AN1309" t="s">
        <v>135</v>
      </c>
      <c r="AO1309" t="s">
        <v>135</v>
      </c>
      <c r="AP1309" t="s">
        <v>136</v>
      </c>
      <c r="AQ1309" t="s">
        <v>137</v>
      </c>
      <c r="AR1309" t="s">
        <v>138</v>
      </c>
      <c r="AS1309" t="s">
        <v>139</v>
      </c>
      <c r="AT1309" t="s">
        <v>140</v>
      </c>
      <c r="AU1309">
        <v>103</v>
      </c>
      <c r="AV1309">
        <v>10</v>
      </c>
      <c r="AW1309">
        <v>1</v>
      </c>
      <c r="AX1309" s="2">
        <v>45827</v>
      </c>
      <c r="AY1309" t="s">
        <v>308</v>
      </c>
      <c r="AZ1309" s="2">
        <v>46023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 t="s">
        <v>135</v>
      </c>
      <c r="BH1309" t="s">
        <v>250</v>
      </c>
      <c r="BI1309" t="s">
        <v>135</v>
      </c>
      <c r="BJ1309">
        <v>0</v>
      </c>
      <c r="BK1309">
        <v>0</v>
      </c>
      <c r="BL1309">
        <v>0</v>
      </c>
      <c r="BM1309">
        <v>5</v>
      </c>
      <c r="BN1309">
        <v>4.28</v>
      </c>
      <c r="BO1309" s="1">
        <v>2018.9</v>
      </c>
      <c r="BP1309">
        <v>340.16</v>
      </c>
      <c r="BQ1309" s="1">
        <v>2359.06</v>
      </c>
      <c r="BR1309">
        <v>340.68</v>
      </c>
      <c r="BS1309">
        <v>5</v>
      </c>
      <c r="BT1309">
        <v>5</v>
      </c>
      <c r="BU1309" s="1">
        <v>1081.6099999999999</v>
      </c>
      <c r="BV1309">
        <v>0</v>
      </c>
      <c r="BW1309" s="1">
        <v>1081.6099999999999</v>
      </c>
      <c r="BX1309">
        <v>0</v>
      </c>
      <c r="BY1309">
        <v>0</v>
      </c>
      <c r="BZ1309">
        <v>0</v>
      </c>
      <c r="CA1309">
        <v>0</v>
      </c>
      <c r="CB1309" s="1">
        <v>1626.82</v>
      </c>
      <c r="CC1309" t="s">
        <v>161</v>
      </c>
    </row>
    <row r="1310" spans="1:81" x14ac:dyDescent="0.25">
      <c r="A1310">
        <v>345</v>
      </c>
      <c r="B1310">
        <v>2</v>
      </c>
      <c r="C1310">
        <v>3547</v>
      </c>
      <c r="D1310" t="s">
        <v>7466</v>
      </c>
      <c r="E1310" t="s">
        <v>121</v>
      </c>
      <c r="F1310" t="s">
        <v>7467</v>
      </c>
      <c r="G1310" t="s">
        <v>7468</v>
      </c>
      <c r="H1310" t="s">
        <v>7469</v>
      </c>
      <c r="I1310" t="s">
        <v>7470</v>
      </c>
      <c r="J1310" t="s">
        <v>6756</v>
      </c>
      <c r="K1310" t="s">
        <v>1853</v>
      </c>
      <c r="L1310" t="s">
        <v>128</v>
      </c>
      <c r="M1310" t="s">
        <v>1854</v>
      </c>
      <c r="N1310" t="s">
        <v>7471</v>
      </c>
      <c r="O1310" t="s">
        <v>201</v>
      </c>
      <c r="P1310">
        <v>0</v>
      </c>
      <c r="Q1310" t="s">
        <v>125</v>
      </c>
      <c r="R1310">
        <v>3</v>
      </c>
      <c r="S1310">
        <v>84</v>
      </c>
      <c r="T1310" t="s">
        <v>132</v>
      </c>
      <c r="U1310" t="s">
        <v>133</v>
      </c>
      <c r="V1310" s="1">
        <v>1800</v>
      </c>
      <c r="W1310">
        <v>0</v>
      </c>
      <c r="X1310" s="1">
        <v>1800</v>
      </c>
      <c r="Y1310">
        <v>7</v>
      </c>
      <c r="Z1310">
        <v>0</v>
      </c>
      <c r="AA1310">
        <v>3</v>
      </c>
      <c r="AB1310">
        <v>0</v>
      </c>
      <c r="AC1310">
        <v>0</v>
      </c>
      <c r="AD1310" t="s">
        <v>134</v>
      </c>
      <c r="AE1310" t="s">
        <v>134</v>
      </c>
      <c r="AF1310" s="2">
        <v>45807</v>
      </c>
      <c r="AG1310" s="2">
        <v>46010</v>
      </c>
      <c r="AH1310">
        <v>136.83000000000001</v>
      </c>
      <c r="AI1310">
        <v>177.39</v>
      </c>
      <c r="AJ1310">
        <v>273.67</v>
      </c>
      <c r="AK1310">
        <v>0</v>
      </c>
      <c r="AL1310">
        <v>0</v>
      </c>
      <c r="AM1310">
        <v>0</v>
      </c>
      <c r="AN1310" t="s">
        <v>135</v>
      </c>
      <c r="AO1310" t="s">
        <v>135</v>
      </c>
      <c r="AP1310" t="s">
        <v>136</v>
      </c>
      <c r="AQ1310" t="s">
        <v>137</v>
      </c>
      <c r="AR1310" t="s">
        <v>138</v>
      </c>
      <c r="AS1310" t="s">
        <v>139</v>
      </c>
      <c r="AT1310" t="s">
        <v>140</v>
      </c>
      <c r="AU1310">
        <v>103</v>
      </c>
      <c r="AV1310">
        <v>10</v>
      </c>
      <c r="AW1310">
        <v>1</v>
      </c>
      <c r="AX1310" s="2">
        <v>45820</v>
      </c>
      <c r="AY1310" t="s">
        <v>308</v>
      </c>
      <c r="AZ1310" s="2">
        <v>46023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 t="s">
        <v>135</v>
      </c>
      <c r="BH1310" t="s">
        <v>250</v>
      </c>
      <c r="BI1310" t="s">
        <v>135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3</v>
      </c>
      <c r="BT1310">
        <v>3</v>
      </c>
      <c r="BU1310">
        <v>177.39</v>
      </c>
      <c r="BV1310">
        <v>0</v>
      </c>
      <c r="BW1310">
        <v>177.39</v>
      </c>
      <c r="BX1310">
        <v>0</v>
      </c>
      <c r="BY1310">
        <v>0</v>
      </c>
      <c r="BZ1310">
        <v>0</v>
      </c>
      <c r="CA1310">
        <v>0</v>
      </c>
      <c r="CB1310" s="1">
        <v>1136.54</v>
      </c>
      <c r="CC1310" t="s">
        <v>161</v>
      </c>
    </row>
    <row r="1311" spans="1:81" x14ac:dyDescent="0.25">
      <c r="A1311">
        <v>345</v>
      </c>
      <c r="B1311">
        <v>2</v>
      </c>
      <c r="C1311">
        <v>3548</v>
      </c>
      <c r="D1311" t="s">
        <v>7472</v>
      </c>
      <c r="E1311" t="s">
        <v>121</v>
      </c>
      <c r="F1311" t="s">
        <v>7473</v>
      </c>
      <c r="G1311" t="s">
        <v>7474</v>
      </c>
      <c r="H1311" t="s">
        <v>7475</v>
      </c>
      <c r="I1311" t="s">
        <v>7476</v>
      </c>
      <c r="J1311" t="s">
        <v>126</v>
      </c>
      <c r="K1311" t="s">
        <v>1853</v>
      </c>
      <c r="L1311" t="s">
        <v>128</v>
      </c>
      <c r="M1311" t="s">
        <v>1854</v>
      </c>
      <c r="N1311" t="s">
        <v>7477</v>
      </c>
      <c r="O1311" t="s">
        <v>159</v>
      </c>
      <c r="P1311">
        <v>0</v>
      </c>
      <c r="Q1311" t="s">
        <v>125</v>
      </c>
      <c r="R1311">
        <v>4</v>
      </c>
      <c r="S1311">
        <v>79</v>
      </c>
      <c r="T1311" t="s">
        <v>132</v>
      </c>
      <c r="U1311" t="s">
        <v>133</v>
      </c>
      <c r="V1311" s="1">
        <v>1300</v>
      </c>
      <c r="W1311">
        <v>0</v>
      </c>
      <c r="X1311" s="1">
        <v>1300</v>
      </c>
      <c r="Y1311">
        <v>7</v>
      </c>
      <c r="Z1311">
        <v>0</v>
      </c>
      <c r="AA1311">
        <v>0</v>
      </c>
      <c r="AB1311">
        <v>0</v>
      </c>
      <c r="AC1311">
        <v>0</v>
      </c>
      <c r="AD1311" t="s">
        <v>134</v>
      </c>
      <c r="AE1311" t="s">
        <v>134</v>
      </c>
      <c r="AF1311" s="2">
        <v>45807</v>
      </c>
      <c r="AG1311" s="2">
        <v>46017</v>
      </c>
      <c r="AH1311">
        <v>204.55</v>
      </c>
      <c r="AI1311">
        <v>315.58</v>
      </c>
      <c r="AJ1311" s="1">
        <v>1022.78</v>
      </c>
      <c r="AK1311">
        <v>0</v>
      </c>
      <c r="AL1311">
        <v>0</v>
      </c>
      <c r="AM1311">
        <v>0</v>
      </c>
      <c r="AN1311" t="s">
        <v>135</v>
      </c>
      <c r="AO1311" t="s">
        <v>135</v>
      </c>
      <c r="AP1311" t="s">
        <v>136</v>
      </c>
      <c r="AQ1311" t="s">
        <v>137</v>
      </c>
      <c r="AR1311" t="s">
        <v>138</v>
      </c>
      <c r="AS1311" t="s">
        <v>150</v>
      </c>
      <c r="AT1311" t="s">
        <v>140</v>
      </c>
      <c r="AU1311">
        <v>103</v>
      </c>
      <c r="AV1311">
        <v>10</v>
      </c>
      <c r="AW1311">
        <v>1</v>
      </c>
      <c r="AX1311" s="2">
        <v>45853</v>
      </c>
      <c r="AY1311" t="s">
        <v>377</v>
      </c>
      <c r="AZ1311" s="2">
        <v>46028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 t="s">
        <v>135</v>
      </c>
      <c r="BH1311" t="s">
        <v>250</v>
      </c>
      <c r="BI1311" t="s">
        <v>135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181.82</v>
      </c>
      <c r="BQ1311">
        <v>181.82</v>
      </c>
      <c r="BR1311">
        <v>0</v>
      </c>
      <c r="BS1311">
        <v>0</v>
      </c>
      <c r="BT1311">
        <v>0</v>
      </c>
      <c r="BU1311">
        <v>0</v>
      </c>
      <c r="BV1311">
        <v>757.52</v>
      </c>
      <c r="BW1311">
        <v>757.52</v>
      </c>
      <c r="BX1311">
        <v>0</v>
      </c>
      <c r="BY1311">
        <v>0</v>
      </c>
      <c r="BZ1311">
        <v>0</v>
      </c>
      <c r="CA1311">
        <v>0</v>
      </c>
      <c r="CB1311">
        <v>279.39</v>
      </c>
      <c r="CC1311" t="s">
        <v>161</v>
      </c>
    </row>
    <row r="1312" spans="1:81" x14ac:dyDescent="0.25">
      <c r="A1312">
        <v>345</v>
      </c>
      <c r="B1312">
        <v>2</v>
      </c>
      <c r="C1312">
        <v>3550</v>
      </c>
      <c r="D1312" t="s">
        <v>7478</v>
      </c>
      <c r="E1312" t="s">
        <v>121</v>
      </c>
      <c r="F1312" t="s">
        <v>7479</v>
      </c>
      <c r="G1312" t="s">
        <v>7480</v>
      </c>
      <c r="H1312" t="s">
        <v>7481</v>
      </c>
      <c r="I1312" t="s">
        <v>7482</v>
      </c>
      <c r="J1312" t="s">
        <v>4569</v>
      </c>
      <c r="K1312" t="s">
        <v>1853</v>
      </c>
      <c r="L1312" t="s">
        <v>128</v>
      </c>
      <c r="M1312" t="s">
        <v>1854</v>
      </c>
      <c r="N1312" t="s">
        <v>7483</v>
      </c>
      <c r="O1312" t="s">
        <v>167</v>
      </c>
      <c r="P1312">
        <v>0</v>
      </c>
      <c r="Q1312" t="s">
        <v>125</v>
      </c>
      <c r="R1312">
        <v>3</v>
      </c>
      <c r="S1312">
        <v>83</v>
      </c>
      <c r="T1312" t="s">
        <v>132</v>
      </c>
      <c r="U1312" t="s">
        <v>133</v>
      </c>
      <c r="V1312" s="1">
        <v>1400</v>
      </c>
      <c r="W1312">
        <v>0</v>
      </c>
      <c r="X1312" s="1">
        <v>1400</v>
      </c>
      <c r="Y1312">
        <v>7</v>
      </c>
      <c r="Z1312">
        <v>0</v>
      </c>
      <c r="AA1312">
        <v>0</v>
      </c>
      <c r="AB1312">
        <v>0</v>
      </c>
      <c r="AC1312">
        <v>0</v>
      </c>
      <c r="AD1312" t="s">
        <v>134</v>
      </c>
      <c r="AE1312" t="s">
        <v>134</v>
      </c>
      <c r="AF1312" s="2">
        <v>45807</v>
      </c>
      <c r="AG1312" s="2">
        <v>45988</v>
      </c>
      <c r="AH1312">
        <v>134.56</v>
      </c>
      <c r="AI1312">
        <v>165.7</v>
      </c>
      <c r="AJ1312">
        <v>269.13</v>
      </c>
      <c r="AK1312">
        <v>0</v>
      </c>
      <c r="AL1312">
        <v>0</v>
      </c>
      <c r="AM1312">
        <v>0</v>
      </c>
      <c r="AN1312" t="s">
        <v>135</v>
      </c>
      <c r="AO1312" t="s">
        <v>135</v>
      </c>
      <c r="AP1312" t="s">
        <v>136</v>
      </c>
      <c r="AQ1312" t="s">
        <v>137</v>
      </c>
      <c r="AR1312" t="s">
        <v>138</v>
      </c>
      <c r="AS1312" t="s">
        <v>139</v>
      </c>
      <c r="AT1312" t="s">
        <v>140</v>
      </c>
      <c r="AU1312">
        <v>103</v>
      </c>
      <c r="AV1312">
        <v>10</v>
      </c>
      <c r="AW1312">
        <v>1</v>
      </c>
      <c r="AX1312" s="2">
        <v>45840</v>
      </c>
      <c r="AY1312" t="s">
        <v>168</v>
      </c>
      <c r="AZ1312" s="2">
        <v>46022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 t="s">
        <v>135</v>
      </c>
      <c r="BH1312" t="s">
        <v>250</v>
      </c>
      <c r="BI1312" t="s">
        <v>135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165.7</v>
      </c>
      <c r="BQ1312">
        <v>165.7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89.71</v>
      </c>
      <c r="CC1312" t="s">
        <v>161</v>
      </c>
    </row>
    <row r="1313" spans="1:81" x14ac:dyDescent="0.25">
      <c r="A1313">
        <v>345</v>
      </c>
      <c r="B1313">
        <v>2</v>
      </c>
      <c r="C1313">
        <v>3551</v>
      </c>
      <c r="D1313" t="s">
        <v>7484</v>
      </c>
      <c r="E1313" t="s">
        <v>121</v>
      </c>
      <c r="F1313" t="s">
        <v>7485</v>
      </c>
      <c r="G1313" t="s">
        <v>7486</v>
      </c>
      <c r="H1313" t="s">
        <v>7487</v>
      </c>
      <c r="I1313" t="s">
        <v>7488</v>
      </c>
      <c r="J1313" t="s">
        <v>126</v>
      </c>
      <c r="K1313" t="s">
        <v>1853</v>
      </c>
      <c r="L1313" t="s">
        <v>128</v>
      </c>
      <c r="M1313" t="s">
        <v>1854</v>
      </c>
      <c r="N1313" t="s">
        <v>7489</v>
      </c>
      <c r="O1313" t="s">
        <v>195</v>
      </c>
      <c r="P1313">
        <v>0</v>
      </c>
      <c r="Q1313" t="s">
        <v>125</v>
      </c>
      <c r="R1313">
        <v>4</v>
      </c>
      <c r="S1313">
        <v>80</v>
      </c>
      <c r="T1313" t="s">
        <v>132</v>
      </c>
      <c r="U1313" t="s">
        <v>133</v>
      </c>
      <c r="V1313" s="1">
        <v>1000</v>
      </c>
      <c r="W1313">
        <v>0</v>
      </c>
      <c r="X1313" s="1">
        <v>1000</v>
      </c>
      <c r="Y1313">
        <v>7</v>
      </c>
      <c r="Z1313">
        <v>0</v>
      </c>
      <c r="AA1313">
        <v>0</v>
      </c>
      <c r="AB1313">
        <v>0</v>
      </c>
      <c r="AC1313">
        <v>0</v>
      </c>
      <c r="AD1313" t="s">
        <v>134</v>
      </c>
      <c r="AE1313" t="s">
        <v>134</v>
      </c>
      <c r="AF1313" s="2">
        <v>45807</v>
      </c>
      <c r="AG1313" s="2">
        <v>45996</v>
      </c>
      <c r="AH1313">
        <v>227.11</v>
      </c>
      <c r="AI1313">
        <v>280.58</v>
      </c>
      <c r="AJ1313">
        <v>908.45</v>
      </c>
      <c r="AK1313">
        <v>0</v>
      </c>
      <c r="AL1313">
        <v>0</v>
      </c>
      <c r="AM1313">
        <v>0</v>
      </c>
      <c r="AN1313" t="s">
        <v>135</v>
      </c>
      <c r="AO1313" t="s">
        <v>135</v>
      </c>
      <c r="AP1313" t="s">
        <v>136</v>
      </c>
      <c r="AQ1313" t="s">
        <v>137</v>
      </c>
      <c r="AR1313" t="s">
        <v>138</v>
      </c>
      <c r="AS1313" t="s">
        <v>150</v>
      </c>
      <c r="AT1313" t="s">
        <v>140</v>
      </c>
      <c r="AU1313">
        <v>103</v>
      </c>
      <c r="AV1313">
        <v>10</v>
      </c>
      <c r="AW1313">
        <v>1</v>
      </c>
      <c r="AX1313" s="2">
        <v>45827</v>
      </c>
      <c r="AY1313" t="s">
        <v>308</v>
      </c>
      <c r="AZ1313" s="2">
        <v>46023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 t="s">
        <v>135</v>
      </c>
      <c r="BH1313" t="s">
        <v>250</v>
      </c>
      <c r="BI1313" t="s">
        <v>135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503.07</v>
      </c>
      <c r="BQ1313">
        <v>503.07</v>
      </c>
      <c r="BR1313">
        <v>0</v>
      </c>
      <c r="BS1313">
        <v>0</v>
      </c>
      <c r="BT1313">
        <v>0</v>
      </c>
      <c r="BU1313">
        <v>0</v>
      </c>
      <c r="BV1313">
        <v>230.98</v>
      </c>
      <c r="BW1313">
        <v>230.98</v>
      </c>
      <c r="BX1313">
        <v>0</v>
      </c>
      <c r="BY1313">
        <v>0</v>
      </c>
      <c r="BZ1313">
        <v>0</v>
      </c>
      <c r="CA1313">
        <v>0</v>
      </c>
      <c r="CB1313">
        <v>417.84</v>
      </c>
      <c r="CC1313" t="s">
        <v>161</v>
      </c>
    </row>
    <row r="1314" spans="1:81" x14ac:dyDescent="0.25">
      <c r="A1314">
        <v>345</v>
      </c>
      <c r="B1314">
        <v>2</v>
      </c>
      <c r="C1314">
        <v>3552</v>
      </c>
      <c r="D1314" t="s">
        <v>7490</v>
      </c>
      <c r="E1314" t="s">
        <v>121</v>
      </c>
      <c r="F1314" t="s">
        <v>7491</v>
      </c>
      <c r="G1314" t="s">
        <v>7492</v>
      </c>
      <c r="H1314" t="s">
        <v>7493</v>
      </c>
      <c r="I1314" t="s">
        <v>7494</v>
      </c>
      <c r="J1314" t="s">
        <v>4569</v>
      </c>
      <c r="K1314" t="s">
        <v>473</v>
      </c>
      <c r="L1314" t="s">
        <v>128</v>
      </c>
      <c r="M1314" t="s">
        <v>474</v>
      </c>
      <c r="N1314" t="s">
        <v>7495</v>
      </c>
      <c r="O1314" t="s">
        <v>167</v>
      </c>
      <c r="P1314">
        <v>0</v>
      </c>
      <c r="Q1314" t="s">
        <v>125</v>
      </c>
      <c r="R1314">
        <v>4</v>
      </c>
      <c r="S1314">
        <v>81</v>
      </c>
      <c r="T1314" t="s">
        <v>132</v>
      </c>
      <c r="U1314" t="s">
        <v>133</v>
      </c>
      <c r="V1314" s="1">
        <v>1000</v>
      </c>
      <c r="W1314">
        <v>0</v>
      </c>
      <c r="X1314" s="1">
        <v>1000</v>
      </c>
      <c r="Y1314">
        <v>5</v>
      </c>
      <c r="Z1314">
        <v>0</v>
      </c>
      <c r="AA1314">
        <v>5</v>
      </c>
      <c r="AB1314">
        <v>0</v>
      </c>
      <c r="AC1314">
        <v>0</v>
      </c>
      <c r="AD1314" t="s">
        <v>134</v>
      </c>
      <c r="AE1314" t="s">
        <v>134</v>
      </c>
      <c r="AF1314" s="2">
        <v>45807</v>
      </c>
      <c r="AG1314" s="2">
        <v>45968</v>
      </c>
      <c r="AH1314">
        <v>360.17</v>
      </c>
      <c r="AI1314">
        <v>397.08</v>
      </c>
      <c r="AJ1314">
        <v>720.34</v>
      </c>
      <c r="AK1314">
        <v>0</v>
      </c>
      <c r="AL1314">
        <v>0</v>
      </c>
      <c r="AM1314">
        <v>0</v>
      </c>
      <c r="AN1314" t="s">
        <v>135</v>
      </c>
      <c r="AO1314" t="s">
        <v>135</v>
      </c>
      <c r="AP1314" t="s">
        <v>136</v>
      </c>
      <c r="AQ1314" t="s">
        <v>137</v>
      </c>
      <c r="AR1314" t="s">
        <v>138</v>
      </c>
      <c r="AS1314" t="s">
        <v>139</v>
      </c>
      <c r="AT1314" t="s">
        <v>140</v>
      </c>
      <c r="AU1314">
        <v>105</v>
      </c>
      <c r="AV1314">
        <v>10</v>
      </c>
      <c r="AW1314">
        <v>1</v>
      </c>
      <c r="AX1314" s="2">
        <v>45882</v>
      </c>
      <c r="AY1314" t="s">
        <v>168</v>
      </c>
      <c r="AZ1314" s="2">
        <v>46022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 t="s">
        <v>135</v>
      </c>
      <c r="BH1314" t="s">
        <v>250</v>
      </c>
      <c r="BI1314" t="s">
        <v>135</v>
      </c>
      <c r="BJ1314">
        <v>0</v>
      </c>
      <c r="BK1314">
        <v>0</v>
      </c>
      <c r="BL1314">
        <v>0</v>
      </c>
      <c r="BM1314">
        <v>5</v>
      </c>
      <c r="BN1314">
        <v>5</v>
      </c>
      <c r="BO1314">
        <v>323.26</v>
      </c>
      <c r="BP1314">
        <v>0</v>
      </c>
      <c r="BQ1314">
        <v>323.26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494.18</v>
      </c>
      <c r="CC1314" t="s">
        <v>161</v>
      </c>
    </row>
    <row r="1315" spans="1:81" x14ac:dyDescent="0.25">
      <c r="A1315">
        <v>345</v>
      </c>
      <c r="B1315">
        <v>2</v>
      </c>
      <c r="C1315">
        <v>3555</v>
      </c>
      <c r="D1315" t="s">
        <v>7496</v>
      </c>
      <c r="E1315" t="s">
        <v>121</v>
      </c>
      <c r="F1315" t="s">
        <v>7497</v>
      </c>
      <c r="G1315" t="s">
        <v>7498</v>
      </c>
      <c r="H1315" t="s">
        <v>7499</v>
      </c>
      <c r="I1315" t="s">
        <v>7500</v>
      </c>
      <c r="J1315" t="s">
        <v>1263</v>
      </c>
      <c r="K1315" t="s">
        <v>466</v>
      </c>
      <c r="L1315" t="s">
        <v>128</v>
      </c>
      <c r="M1315" t="s">
        <v>467</v>
      </c>
      <c r="N1315" t="s">
        <v>7501</v>
      </c>
      <c r="O1315" t="s">
        <v>2996</v>
      </c>
      <c r="P1315">
        <v>0</v>
      </c>
      <c r="Q1315" t="s">
        <v>125</v>
      </c>
      <c r="R1315">
        <v>3</v>
      </c>
      <c r="S1315">
        <v>84</v>
      </c>
      <c r="T1315" t="s">
        <v>132</v>
      </c>
      <c r="U1315" t="s">
        <v>133</v>
      </c>
      <c r="V1315" s="1">
        <v>1600</v>
      </c>
      <c r="W1315">
        <v>0</v>
      </c>
      <c r="X1315" s="1">
        <v>1600</v>
      </c>
      <c r="Y1315">
        <v>7</v>
      </c>
      <c r="Z1315">
        <v>0</v>
      </c>
      <c r="AA1315">
        <v>0</v>
      </c>
      <c r="AB1315">
        <v>0</v>
      </c>
      <c r="AC1315">
        <v>0</v>
      </c>
      <c r="AD1315" t="s">
        <v>134</v>
      </c>
      <c r="AE1315" t="s">
        <v>134</v>
      </c>
      <c r="AF1315" s="2">
        <v>45811</v>
      </c>
      <c r="AG1315" s="2">
        <v>46010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 t="s">
        <v>135</v>
      </c>
      <c r="AO1315" t="s">
        <v>135</v>
      </c>
      <c r="AP1315" t="s">
        <v>136</v>
      </c>
      <c r="AQ1315" t="s">
        <v>137</v>
      </c>
      <c r="AR1315" t="s">
        <v>138</v>
      </c>
      <c r="AS1315" t="s">
        <v>139</v>
      </c>
      <c r="AT1315" t="s">
        <v>140</v>
      </c>
      <c r="AU1315">
        <v>106</v>
      </c>
      <c r="AV1315">
        <v>10</v>
      </c>
      <c r="AW1315">
        <v>1</v>
      </c>
      <c r="AX1315" s="2">
        <v>45812</v>
      </c>
      <c r="AY1315" t="s">
        <v>168</v>
      </c>
      <c r="AZ1315" s="2">
        <v>46022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 t="s">
        <v>135</v>
      </c>
      <c r="BH1315" t="s">
        <v>250</v>
      </c>
      <c r="BI1315" t="s">
        <v>135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 t="s">
        <v>161</v>
      </c>
    </row>
    <row r="1316" spans="1:81" x14ac:dyDescent="0.25">
      <c r="A1316">
        <v>345</v>
      </c>
      <c r="B1316">
        <v>2</v>
      </c>
      <c r="C1316">
        <v>3556</v>
      </c>
      <c r="D1316" t="s">
        <v>7502</v>
      </c>
      <c r="E1316" t="s">
        <v>121</v>
      </c>
      <c r="F1316" t="s">
        <v>7503</v>
      </c>
      <c r="G1316" t="s">
        <v>7504</v>
      </c>
      <c r="H1316" t="s">
        <v>7505</v>
      </c>
      <c r="I1316" t="s">
        <v>7506</v>
      </c>
      <c r="J1316" t="s">
        <v>126</v>
      </c>
      <c r="K1316" t="s">
        <v>466</v>
      </c>
      <c r="L1316" t="s">
        <v>128</v>
      </c>
      <c r="M1316" t="s">
        <v>467</v>
      </c>
      <c r="N1316" t="s">
        <v>7507</v>
      </c>
      <c r="O1316" t="s">
        <v>167</v>
      </c>
      <c r="P1316">
        <v>0</v>
      </c>
      <c r="Q1316" t="s">
        <v>125</v>
      </c>
      <c r="R1316">
        <v>4</v>
      </c>
      <c r="S1316">
        <v>80</v>
      </c>
      <c r="T1316" t="s">
        <v>132</v>
      </c>
      <c r="U1316" t="s">
        <v>133</v>
      </c>
      <c r="V1316" s="1">
        <v>1400</v>
      </c>
      <c r="W1316">
        <v>0</v>
      </c>
      <c r="X1316" s="1">
        <v>1400</v>
      </c>
      <c r="Y1316">
        <v>7</v>
      </c>
      <c r="Z1316">
        <v>0</v>
      </c>
      <c r="AA1316">
        <v>0</v>
      </c>
      <c r="AB1316">
        <v>0</v>
      </c>
      <c r="AC1316">
        <v>0</v>
      </c>
      <c r="AD1316" t="s">
        <v>134</v>
      </c>
      <c r="AE1316" t="s">
        <v>134</v>
      </c>
      <c r="AF1316" s="2">
        <v>45812</v>
      </c>
      <c r="AG1316" s="2">
        <v>46020</v>
      </c>
      <c r="AH1316">
        <v>431.97</v>
      </c>
      <c r="AI1316">
        <v>815.47</v>
      </c>
      <c r="AJ1316" s="1">
        <v>5183.6899999999996</v>
      </c>
      <c r="AK1316">
        <v>0</v>
      </c>
      <c r="AL1316">
        <v>0</v>
      </c>
      <c r="AM1316">
        <v>0</v>
      </c>
      <c r="AN1316" t="s">
        <v>135</v>
      </c>
      <c r="AO1316" t="s">
        <v>135</v>
      </c>
      <c r="AP1316" t="s">
        <v>136</v>
      </c>
      <c r="AQ1316" t="s">
        <v>137</v>
      </c>
      <c r="AR1316" t="s">
        <v>138</v>
      </c>
      <c r="AS1316" t="s">
        <v>150</v>
      </c>
      <c r="AT1316" t="s">
        <v>140</v>
      </c>
      <c r="AU1316">
        <v>105</v>
      </c>
      <c r="AV1316">
        <v>10</v>
      </c>
      <c r="AW1316">
        <v>1</v>
      </c>
      <c r="AX1316" s="2">
        <v>45878</v>
      </c>
      <c r="AY1316" t="s">
        <v>160</v>
      </c>
      <c r="AZ1316" s="2">
        <v>46025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 t="s">
        <v>135</v>
      </c>
      <c r="BH1316" t="s">
        <v>250</v>
      </c>
      <c r="BI1316" t="s">
        <v>135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 s="1">
        <v>1800.91</v>
      </c>
      <c r="BQ1316" s="1">
        <v>1800.91</v>
      </c>
      <c r="BR1316">
        <v>0</v>
      </c>
      <c r="BS1316">
        <v>0</v>
      </c>
      <c r="BT1316">
        <v>0</v>
      </c>
      <c r="BU1316">
        <v>0</v>
      </c>
      <c r="BV1316" s="1">
        <v>2507.92</v>
      </c>
      <c r="BW1316" s="1">
        <v>2507.92</v>
      </c>
      <c r="BX1316">
        <v>0</v>
      </c>
      <c r="BY1316">
        <v>0</v>
      </c>
      <c r="BZ1316">
        <v>0</v>
      </c>
      <c r="CA1316">
        <v>0</v>
      </c>
      <c r="CB1316" s="1">
        <v>1389.9</v>
      </c>
      <c r="CC1316" t="s">
        <v>161</v>
      </c>
    </row>
    <row r="1317" spans="1:81" x14ac:dyDescent="0.25">
      <c r="A1317">
        <v>345</v>
      </c>
      <c r="B1317">
        <v>2</v>
      </c>
      <c r="C1317">
        <v>3559</v>
      </c>
      <c r="D1317" t="s">
        <v>7508</v>
      </c>
      <c r="E1317" t="s">
        <v>121</v>
      </c>
      <c r="F1317" t="s">
        <v>7509</v>
      </c>
      <c r="G1317" t="s">
        <v>7510</v>
      </c>
      <c r="H1317" t="s">
        <v>7511</v>
      </c>
      <c r="I1317" t="s">
        <v>7512</v>
      </c>
      <c r="J1317" t="s">
        <v>1201</v>
      </c>
      <c r="K1317" t="s">
        <v>1853</v>
      </c>
      <c r="L1317" t="s">
        <v>128</v>
      </c>
      <c r="M1317" t="s">
        <v>1854</v>
      </c>
      <c r="N1317" t="s">
        <v>7513</v>
      </c>
      <c r="O1317" t="s">
        <v>159</v>
      </c>
      <c r="P1317">
        <v>0</v>
      </c>
      <c r="Q1317" t="s">
        <v>125</v>
      </c>
      <c r="R1317">
        <v>4</v>
      </c>
      <c r="S1317">
        <v>81</v>
      </c>
      <c r="T1317" t="s">
        <v>132</v>
      </c>
      <c r="U1317" t="s">
        <v>133</v>
      </c>
      <c r="V1317" s="1">
        <v>1300</v>
      </c>
      <c r="W1317">
        <v>0</v>
      </c>
      <c r="X1317" s="1">
        <v>1300</v>
      </c>
      <c r="Y1317">
        <v>7</v>
      </c>
      <c r="Z1317">
        <v>0</v>
      </c>
      <c r="AA1317">
        <v>0</v>
      </c>
      <c r="AB1317">
        <v>0</v>
      </c>
      <c r="AC1317">
        <v>0</v>
      </c>
      <c r="AD1317" t="s">
        <v>134</v>
      </c>
      <c r="AE1317" t="s">
        <v>134</v>
      </c>
      <c r="AF1317" s="2">
        <v>45820</v>
      </c>
      <c r="AG1317" s="2">
        <v>46017</v>
      </c>
      <c r="AH1317">
        <v>277.17</v>
      </c>
      <c r="AI1317">
        <v>463.91</v>
      </c>
      <c r="AJ1317">
        <v>831.51</v>
      </c>
      <c r="AK1317">
        <v>0</v>
      </c>
      <c r="AL1317">
        <v>0</v>
      </c>
      <c r="AM1317">
        <v>0</v>
      </c>
      <c r="AN1317" t="s">
        <v>135</v>
      </c>
      <c r="AO1317" t="s">
        <v>135</v>
      </c>
      <c r="AP1317" t="s">
        <v>136</v>
      </c>
      <c r="AQ1317" t="s">
        <v>137</v>
      </c>
      <c r="AR1317" t="s">
        <v>138</v>
      </c>
      <c r="AS1317" t="s">
        <v>139</v>
      </c>
      <c r="AT1317" t="s">
        <v>140</v>
      </c>
      <c r="AU1317">
        <v>103</v>
      </c>
      <c r="AV1317">
        <v>10</v>
      </c>
      <c r="AW1317">
        <v>1</v>
      </c>
      <c r="AX1317" s="2">
        <v>45867</v>
      </c>
      <c r="AY1317" t="s">
        <v>377</v>
      </c>
      <c r="AZ1317" s="2">
        <v>46028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 t="s">
        <v>135</v>
      </c>
      <c r="BH1317" t="s">
        <v>250</v>
      </c>
      <c r="BI1317" t="s">
        <v>135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463.91</v>
      </c>
      <c r="BW1317">
        <v>463.91</v>
      </c>
      <c r="BX1317">
        <v>0</v>
      </c>
      <c r="BY1317">
        <v>0</v>
      </c>
      <c r="BZ1317">
        <v>0</v>
      </c>
      <c r="CA1317">
        <v>0</v>
      </c>
      <c r="CB1317">
        <v>513.39</v>
      </c>
      <c r="CC1317" t="s">
        <v>161</v>
      </c>
    </row>
    <row r="1318" spans="1:81" x14ac:dyDescent="0.25">
      <c r="A1318">
        <v>345</v>
      </c>
      <c r="B1318">
        <v>2</v>
      </c>
      <c r="C1318">
        <v>3562</v>
      </c>
      <c r="D1318" t="s">
        <v>7514</v>
      </c>
      <c r="E1318" t="s">
        <v>121</v>
      </c>
      <c r="F1318" t="s">
        <v>7515</v>
      </c>
      <c r="G1318" t="s">
        <v>7516</v>
      </c>
      <c r="H1318" t="s">
        <v>7517</v>
      </c>
      <c r="I1318" t="s">
        <v>7518</v>
      </c>
      <c r="J1318" t="s">
        <v>2903</v>
      </c>
      <c r="K1318" t="s">
        <v>466</v>
      </c>
      <c r="L1318" t="s">
        <v>128</v>
      </c>
      <c r="M1318" t="s">
        <v>467</v>
      </c>
      <c r="N1318" t="s">
        <v>7519</v>
      </c>
      <c r="O1318" t="s">
        <v>201</v>
      </c>
      <c r="P1318">
        <v>0</v>
      </c>
      <c r="Q1318" t="s">
        <v>125</v>
      </c>
      <c r="R1318">
        <v>3</v>
      </c>
      <c r="S1318">
        <v>86</v>
      </c>
      <c r="T1318" t="s">
        <v>132</v>
      </c>
      <c r="U1318" t="s">
        <v>133</v>
      </c>
      <c r="V1318" s="1">
        <v>1000</v>
      </c>
      <c r="W1318">
        <v>0</v>
      </c>
      <c r="X1318" s="1">
        <v>1000</v>
      </c>
      <c r="Y1318">
        <v>7</v>
      </c>
      <c r="Z1318">
        <v>0</v>
      </c>
      <c r="AA1318">
        <v>0</v>
      </c>
      <c r="AB1318">
        <v>0</v>
      </c>
      <c r="AC1318">
        <v>0</v>
      </c>
      <c r="AD1318" t="s">
        <v>134</v>
      </c>
      <c r="AE1318" t="s">
        <v>134</v>
      </c>
      <c r="AF1318" s="2">
        <v>45820</v>
      </c>
      <c r="AG1318" s="2">
        <v>46006</v>
      </c>
      <c r="AH1318">
        <v>145.57</v>
      </c>
      <c r="AI1318">
        <v>178.99</v>
      </c>
      <c r="AJ1318">
        <v>291.14999999999998</v>
      </c>
      <c r="AK1318">
        <v>0</v>
      </c>
      <c r="AL1318">
        <v>0</v>
      </c>
      <c r="AM1318">
        <v>0</v>
      </c>
      <c r="AN1318" t="s">
        <v>135</v>
      </c>
      <c r="AO1318" t="s">
        <v>135</v>
      </c>
      <c r="AP1318" t="s">
        <v>136</v>
      </c>
      <c r="AQ1318" t="s">
        <v>137</v>
      </c>
      <c r="AR1318" t="s">
        <v>138</v>
      </c>
      <c r="AS1318" t="s">
        <v>139</v>
      </c>
      <c r="AT1318" t="s">
        <v>140</v>
      </c>
      <c r="AU1318">
        <v>105</v>
      </c>
      <c r="AV1318">
        <v>10</v>
      </c>
      <c r="AW1318">
        <v>1</v>
      </c>
      <c r="AX1318" s="2">
        <v>45829</v>
      </c>
      <c r="AY1318" t="s">
        <v>160</v>
      </c>
      <c r="AZ1318" s="2">
        <v>46025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 t="s">
        <v>135</v>
      </c>
      <c r="BH1318" t="s">
        <v>250</v>
      </c>
      <c r="BI1318" t="s">
        <v>135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178.99</v>
      </c>
      <c r="BW1318">
        <v>178.99</v>
      </c>
      <c r="BX1318">
        <v>0</v>
      </c>
      <c r="BY1318">
        <v>0</v>
      </c>
      <c r="BZ1318">
        <v>0</v>
      </c>
      <c r="CA1318">
        <v>0</v>
      </c>
      <c r="CB1318">
        <v>74.31</v>
      </c>
      <c r="CC1318" t="s">
        <v>161</v>
      </c>
    </row>
    <row r="1319" spans="1:81" x14ac:dyDescent="0.25">
      <c r="A1319">
        <v>345</v>
      </c>
      <c r="B1319">
        <v>2</v>
      </c>
      <c r="C1319">
        <v>3563</v>
      </c>
      <c r="D1319" t="s">
        <v>7520</v>
      </c>
      <c r="E1319" t="s">
        <v>121</v>
      </c>
      <c r="F1319" t="s">
        <v>7521</v>
      </c>
      <c r="G1319" t="s">
        <v>7522</v>
      </c>
      <c r="H1319" t="s">
        <v>7523</v>
      </c>
      <c r="I1319" t="s">
        <v>7524</v>
      </c>
      <c r="J1319" t="s">
        <v>126</v>
      </c>
      <c r="K1319" t="s">
        <v>466</v>
      </c>
      <c r="L1319" t="s">
        <v>128</v>
      </c>
      <c r="M1319" t="s">
        <v>467</v>
      </c>
      <c r="N1319" t="s">
        <v>7525</v>
      </c>
      <c r="O1319" t="s">
        <v>201</v>
      </c>
      <c r="P1319">
        <v>0</v>
      </c>
      <c r="Q1319" t="s">
        <v>125</v>
      </c>
      <c r="R1319">
        <v>3</v>
      </c>
      <c r="S1319">
        <v>84</v>
      </c>
      <c r="T1319" t="s">
        <v>132</v>
      </c>
      <c r="U1319" t="s">
        <v>133</v>
      </c>
      <c r="V1319" s="1">
        <v>1100</v>
      </c>
      <c r="W1319">
        <v>0</v>
      </c>
      <c r="X1319" s="1">
        <v>1100</v>
      </c>
      <c r="Y1319">
        <v>7</v>
      </c>
      <c r="Z1319">
        <v>0</v>
      </c>
      <c r="AA1319">
        <v>0</v>
      </c>
      <c r="AB1319">
        <v>0</v>
      </c>
      <c r="AC1319">
        <v>0</v>
      </c>
      <c r="AD1319" t="s">
        <v>134</v>
      </c>
      <c r="AE1319" t="s">
        <v>134</v>
      </c>
      <c r="AF1319" s="2">
        <v>45820</v>
      </c>
      <c r="AG1319" s="2">
        <v>45933</v>
      </c>
      <c r="AH1319">
        <v>436.14</v>
      </c>
      <c r="AI1319">
        <v>436.14</v>
      </c>
      <c r="AJ1319">
        <v>436.14</v>
      </c>
      <c r="AK1319">
        <v>0</v>
      </c>
      <c r="AL1319">
        <v>0</v>
      </c>
      <c r="AM1319">
        <v>0</v>
      </c>
      <c r="AN1319" t="s">
        <v>135</v>
      </c>
      <c r="AO1319" t="s">
        <v>135</v>
      </c>
      <c r="AP1319" t="s">
        <v>136</v>
      </c>
      <c r="AQ1319" t="s">
        <v>137</v>
      </c>
      <c r="AR1319" t="s">
        <v>138</v>
      </c>
      <c r="AS1319" t="s">
        <v>139</v>
      </c>
      <c r="AT1319" t="s">
        <v>140</v>
      </c>
      <c r="AU1319">
        <v>105</v>
      </c>
      <c r="AV1319">
        <v>10</v>
      </c>
      <c r="AW1319">
        <v>1</v>
      </c>
      <c r="AX1319" s="2">
        <v>45827</v>
      </c>
      <c r="AY1319" t="s">
        <v>308</v>
      </c>
      <c r="AZ1319" s="2">
        <v>46023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 t="s">
        <v>135</v>
      </c>
      <c r="BH1319" t="s">
        <v>250</v>
      </c>
      <c r="BI1319" t="s">
        <v>135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335.36</v>
      </c>
      <c r="CC1319" t="s">
        <v>161</v>
      </c>
    </row>
    <row r="1320" spans="1:81" x14ac:dyDescent="0.25">
      <c r="A1320">
        <v>345</v>
      </c>
      <c r="B1320">
        <v>2</v>
      </c>
      <c r="C1320">
        <v>3564</v>
      </c>
      <c r="D1320" t="s">
        <v>7526</v>
      </c>
      <c r="E1320" t="s">
        <v>121</v>
      </c>
      <c r="F1320" t="s">
        <v>7527</v>
      </c>
      <c r="G1320" t="s">
        <v>7528</v>
      </c>
      <c r="H1320" t="s">
        <v>7529</v>
      </c>
      <c r="I1320" t="s">
        <v>7530</v>
      </c>
      <c r="J1320" t="s">
        <v>126</v>
      </c>
      <c r="K1320" t="s">
        <v>466</v>
      </c>
      <c r="L1320" t="s">
        <v>128</v>
      </c>
      <c r="M1320" t="s">
        <v>467</v>
      </c>
      <c r="N1320" t="s">
        <v>7531</v>
      </c>
      <c r="O1320" t="s">
        <v>195</v>
      </c>
      <c r="P1320">
        <v>0</v>
      </c>
      <c r="Q1320" t="s">
        <v>125</v>
      </c>
      <c r="R1320">
        <v>3</v>
      </c>
      <c r="S1320">
        <v>84</v>
      </c>
      <c r="T1320" t="s">
        <v>132</v>
      </c>
      <c r="U1320" t="s">
        <v>133</v>
      </c>
      <c r="V1320" s="1">
        <v>1000</v>
      </c>
      <c r="W1320">
        <v>0</v>
      </c>
      <c r="X1320" s="1">
        <v>1000</v>
      </c>
      <c r="Y1320">
        <v>7</v>
      </c>
      <c r="Z1320">
        <v>0</v>
      </c>
      <c r="AA1320">
        <v>0</v>
      </c>
      <c r="AB1320">
        <v>0</v>
      </c>
      <c r="AC1320">
        <v>0</v>
      </c>
      <c r="AD1320" t="s">
        <v>134</v>
      </c>
      <c r="AE1320" t="s">
        <v>134</v>
      </c>
      <c r="AF1320" s="2">
        <v>45820</v>
      </c>
      <c r="AG1320" s="2">
        <v>46020</v>
      </c>
      <c r="AH1320">
        <v>104.66</v>
      </c>
      <c r="AI1320">
        <v>110.78</v>
      </c>
      <c r="AJ1320">
        <v>313.99</v>
      </c>
      <c r="AK1320">
        <v>0</v>
      </c>
      <c r="AL1320">
        <v>0</v>
      </c>
      <c r="AM1320">
        <v>0</v>
      </c>
      <c r="AN1320" t="s">
        <v>135</v>
      </c>
      <c r="AO1320" t="s">
        <v>135</v>
      </c>
      <c r="AP1320" t="s">
        <v>136</v>
      </c>
      <c r="AQ1320" t="s">
        <v>137</v>
      </c>
      <c r="AR1320" t="s">
        <v>138</v>
      </c>
      <c r="AS1320" t="s">
        <v>139</v>
      </c>
      <c r="AT1320" t="s">
        <v>140</v>
      </c>
      <c r="AU1320">
        <v>105</v>
      </c>
      <c r="AV1320">
        <v>10</v>
      </c>
      <c r="AW1320">
        <v>1</v>
      </c>
      <c r="AX1320" s="2">
        <v>45827</v>
      </c>
      <c r="AY1320" t="s">
        <v>308</v>
      </c>
      <c r="AZ1320" s="2">
        <v>46023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 t="s">
        <v>135</v>
      </c>
      <c r="BH1320" t="s">
        <v>250</v>
      </c>
      <c r="BI1320" t="s">
        <v>135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203.21</v>
      </c>
      <c r="BW1320">
        <v>203.21</v>
      </c>
      <c r="BX1320">
        <v>0</v>
      </c>
      <c r="BY1320">
        <v>0</v>
      </c>
      <c r="BZ1320">
        <v>0</v>
      </c>
      <c r="CA1320">
        <v>0</v>
      </c>
      <c r="CB1320">
        <v>90.59</v>
      </c>
      <c r="CC1320" t="s">
        <v>161</v>
      </c>
    </row>
    <row r="1321" spans="1:81" x14ac:dyDescent="0.25">
      <c r="A1321">
        <v>345</v>
      </c>
      <c r="B1321">
        <v>2</v>
      </c>
      <c r="C1321">
        <v>3565</v>
      </c>
      <c r="D1321" t="s">
        <v>7532</v>
      </c>
      <c r="E1321" t="s">
        <v>121</v>
      </c>
      <c r="F1321" t="s">
        <v>7533</v>
      </c>
      <c r="G1321" t="s">
        <v>7534</v>
      </c>
      <c r="H1321" t="s">
        <v>7535</v>
      </c>
      <c r="I1321" t="s">
        <v>7536</v>
      </c>
      <c r="J1321" t="s">
        <v>554</v>
      </c>
      <c r="K1321" t="s">
        <v>336</v>
      </c>
      <c r="L1321" t="s">
        <v>128</v>
      </c>
      <c r="M1321" t="s">
        <v>337</v>
      </c>
      <c r="N1321" t="s">
        <v>7537</v>
      </c>
      <c r="O1321" t="s">
        <v>167</v>
      </c>
      <c r="P1321">
        <v>0</v>
      </c>
      <c r="Q1321" t="s">
        <v>125</v>
      </c>
      <c r="R1321">
        <v>4</v>
      </c>
      <c r="S1321">
        <v>79</v>
      </c>
      <c r="T1321" t="s">
        <v>132</v>
      </c>
      <c r="U1321" t="s">
        <v>133</v>
      </c>
      <c r="V1321" s="1">
        <v>1900</v>
      </c>
      <c r="W1321">
        <v>0</v>
      </c>
      <c r="X1321" s="1">
        <v>1900</v>
      </c>
      <c r="Y1321">
        <v>7</v>
      </c>
      <c r="Z1321">
        <v>0</v>
      </c>
      <c r="AA1321">
        <v>0</v>
      </c>
      <c r="AB1321">
        <v>0</v>
      </c>
      <c r="AC1321">
        <v>0</v>
      </c>
      <c r="AD1321" t="s">
        <v>134</v>
      </c>
      <c r="AE1321" t="s">
        <v>134</v>
      </c>
      <c r="AF1321" s="2">
        <v>45820</v>
      </c>
      <c r="AG1321" s="2">
        <v>46017</v>
      </c>
      <c r="AH1321" s="1">
        <v>1078.2</v>
      </c>
      <c r="AI1321" s="1">
        <v>1380.5</v>
      </c>
      <c r="AJ1321" s="1">
        <v>3234.6</v>
      </c>
      <c r="AK1321">
        <v>0</v>
      </c>
      <c r="AL1321">
        <v>0</v>
      </c>
      <c r="AM1321">
        <v>0</v>
      </c>
      <c r="AN1321" t="s">
        <v>135</v>
      </c>
      <c r="AO1321" t="s">
        <v>135</v>
      </c>
      <c r="AP1321" t="s">
        <v>136</v>
      </c>
      <c r="AQ1321" t="s">
        <v>137</v>
      </c>
      <c r="AR1321" t="s">
        <v>138</v>
      </c>
      <c r="AS1321" t="s">
        <v>150</v>
      </c>
      <c r="AT1321" t="s">
        <v>140</v>
      </c>
      <c r="AU1321">
        <v>101</v>
      </c>
      <c r="AV1321">
        <v>10</v>
      </c>
      <c r="AW1321">
        <v>1</v>
      </c>
      <c r="AX1321" s="2">
        <v>45951</v>
      </c>
      <c r="AY1321" t="s">
        <v>377</v>
      </c>
      <c r="AZ1321" s="2">
        <v>46028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 t="s">
        <v>135</v>
      </c>
      <c r="BH1321" t="s">
        <v>250</v>
      </c>
      <c r="BI1321" t="s">
        <v>135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 s="1">
        <v>1163.01</v>
      </c>
      <c r="BQ1321" s="1">
        <v>1163.01</v>
      </c>
      <c r="BR1321">
        <v>0</v>
      </c>
      <c r="BS1321">
        <v>0</v>
      </c>
      <c r="BT1321">
        <v>0</v>
      </c>
      <c r="BU1321">
        <v>0</v>
      </c>
      <c r="BV1321" s="1">
        <v>1380.5</v>
      </c>
      <c r="BW1321" s="1">
        <v>1380.5</v>
      </c>
      <c r="BX1321">
        <v>0</v>
      </c>
      <c r="BY1321">
        <v>0</v>
      </c>
      <c r="BZ1321">
        <v>0</v>
      </c>
      <c r="CA1321">
        <v>0</v>
      </c>
      <c r="CB1321">
        <v>932.82</v>
      </c>
      <c r="CC1321" t="s">
        <v>161</v>
      </c>
    </row>
    <row r="1322" spans="1:81" x14ac:dyDescent="0.25">
      <c r="A1322">
        <v>345</v>
      </c>
      <c r="B1322">
        <v>2</v>
      </c>
      <c r="C1322">
        <v>3567</v>
      </c>
      <c r="D1322" t="s">
        <v>7538</v>
      </c>
      <c r="E1322" t="s">
        <v>121</v>
      </c>
      <c r="F1322" t="s">
        <v>7539</v>
      </c>
      <c r="G1322" t="s">
        <v>7540</v>
      </c>
      <c r="H1322" t="s">
        <v>7225</v>
      </c>
      <c r="I1322" t="s">
        <v>7541</v>
      </c>
      <c r="J1322" t="s">
        <v>1263</v>
      </c>
      <c r="K1322" t="s">
        <v>466</v>
      </c>
      <c r="L1322" t="s">
        <v>128</v>
      </c>
      <c r="M1322" t="s">
        <v>3926</v>
      </c>
      <c r="N1322" t="s">
        <v>7542</v>
      </c>
      <c r="O1322" t="s">
        <v>159</v>
      </c>
      <c r="P1322">
        <v>0</v>
      </c>
      <c r="Q1322" t="s">
        <v>125</v>
      </c>
      <c r="R1322">
        <v>3</v>
      </c>
      <c r="S1322">
        <v>82</v>
      </c>
      <c r="T1322" t="s">
        <v>132</v>
      </c>
      <c r="U1322" t="s">
        <v>133</v>
      </c>
      <c r="V1322" s="1">
        <v>1300</v>
      </c>
      <c r="W1322">
        <v>385.88</v>
      </c>
      <c r="X1322">
        <v>914.12</v>
      </c>
      <c r="Y1322">
        <v>7</v>
      </c>
      <c r="Z1322">
        <v>0</v>
      </c>
      <c r="AA1322">
        <v>9</v>
      </c>
      <c r="AB1322">
        <v>0</v>
      </c>
      <c r="AC1322">
        <v>0</v>
      </c>
      <c r="AD1322" t="s">
        <v>134</v>
      </c>
      <c r="AE1322" t="s">
        <v>134</v>
      </c>
      <c r="AF1322" s="2">
        <v>45820</v>
      </c>
      <c r="AG1322" s="2">
        <v>46018</v>
      </c>
      <c r="AH1322">
        <v>266.89999999999998</v>
      </c>
      <c r="AI1322">
        <v>385.88</v>
      </c>
      <c r="AJ1322" s="1">
        <v>1868.34</v>
      </c>
      <c r="AK1322">
        <v>0</v>
      </c>
      <c r="AL1322">
        <v>385.88</v>
      </c>
      <c r="AM1322">
        <v>0</v>
      </c>
      <c r="AN1322" t="s">
        <v>135</v>
      </c>
      <c r="AO1322" t="s">
        <v>135</v>
      </c>
      <c r="AP1322" t="s">
        <v>136</v>
      </c>
      <c r="AQ1322" t="s">
        <v>137</v>
      </c>
      <c r="AR1322" t="s">
        <v>138</v>
      </c>
      <c r="AS1322" t="s">
        <v>139</v>
      </c>
      <c r="AT1322" t="s">
        <v>140</v>
      </c>
      <c r="AU1322">
        <v>106</v>
      </c>
      <c r="AV1322">
        <v>10</v>
      </c>
      <c r="AW1322">
        <v>1</v>
      </c>
      <c r="AX1322" s="2">
        <v>45821</v>
      </c>
      <c r="AY1322" t="s">
        <v>151</v>
      </c>
      <c r="AZ1322" s="2">
        <v>46024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 t="s">
        <v>135</v>
      </c>
      <c r="BH1322" t="s">
        <v>250</v>
      </c>
      <c r="BI1322" t="s">
        <v>135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737.68</v>
      </c>
      <c r="BQ1322">
        <v>737.68</v>
      </c>
      <c r="BR1322">
        <v>0</v>
      </c>
      <c r="BS1322">
        <v>9</v>
      </c>
      <c r="BT1322">
        <v>5.56</v>
      </c>
      <c r="BU1322">
        <v>385.88</v>
      </c>
      <c r="BV1322">
        <v>238.56</v>
      </c>
      <c r="BW1322">
        <v>624.44000000000005</v>
      </c>
      <c r="BX1322">
        <v>385.88</v>
      </c>
      <c r="BY1322">
        <v>100</v>
      </c>
      <c r="BZ1322">
        <v>0</v>
      </c>
      <c r="CA1322">
        <v>0</v>
      </c>
      <c r="CB1322">
        <v>690.28</v>
      </c>
      <c r="CC1322" t="s">
        <v>161</v>
      </c>
    </row>
    <row r="1323" spans="1:81" x14ac:dyDescent="0.25">
      <c r="A1323">
        <v>345</v>
      </c>
      <c r="B1323">
        <v>2</v>
      </c>
      <c r="C1323">
        <v>3568</v>
      </c>
      <c r="D1323" t="s">
        <v>7543</v>
      </c>
      <c r="E1323" t="s">
        <v>121</v>
      </c>
      <c r="F1323" t="s">
        <v>7544</v>
      </c>
      <c r="G1323" t="s">
        <v>7545</v>
      </c>
      <c r="H1323" t="s">
        <v>7546</v>
      </c>
      <c r="I1323" t="s">
        <v>7547</v>
      </c>
      <c r="J1323" t="s">
        <v>1263</v>
      </c>
      <c r="K1323" t="s">
        <v>466</v>
      </c>
      <c r="L1323" t="s">
        <v>128</v>
      </c>
      <c r="M1323" t="s">
        <v>467</v>
      </c>
      <c r="N1323" t="s">
        <v>7548</v>
      </c>
      <c r="O1323" t="s">
        <v>159</v>
      </c>
      <c r="P1323">
        <v>0</v>
      </c>
      <c r="Q1323" t="s">
        <v>125</v>
      </c>
      <c r="R1323">
        <v>4</v>
      </c>
      <c r="S1323">
        <v>76</v>
      </c>
      <c r="T1323" t="s">
        <v>132</v>
      </c>
      <c r="U1323" t="s">
        <v>133</v>
      </c>
      <c r="V1323" s="1">
        <v>1300</v>
      </c>
      <c r="W1323">
        <v>0</v>
      </c>
      <c r="X1323" s="1">
        <v>1300</v>
      </c>
      <c r="Y1323">
        <v>7</v>
      </c>
      <c r="Z1323">
        <v>0</v>
      </c>
      <c r="AA1323">
        <v>0</v>
      </c>
      <c r="AB1323">
        <v>0</v>
      </c>
      <c r="AC1323">
        <v>0</v>
      </c>
      <c r="AD1323" t="s">
        <v>134</v>
      </c>
      <c r="AE1323" t="s">
        <v>134</v>
      </c>
      <c r="AF1323" s="2">
        <v>45820</v>
      </c>
      <c r="AG1323" s="2">
        <v>46018</v>
      </c>
      <c r="AH1323">
        <v>132.18</v>
      </c>
      <c r="AI1323">
        <v>286.37</v>
      </c>
      <c r="AJ1323">
        <v>660.92</v>
      </c>
      <c r="AK1323">
        <v>0</v>
      </c>
      <c r="AL1323">
        <v>0</v>
      </c>
      <c r="AM1323">
        <v>0</v>
      </c>
      <c r="AN1323" t="s">
        <v>135</v>
      </c>
      <c r="AO1323" t="s">
        <v>135</v>
      </c>
      <c r="AP1323" t="s">
        <v>136</v>
      </c>
      <c r="AQ1323" t="s">
        <v>137</v>
      </c>
      <c r="AR1323" t="s">
        <v>138</v>
      </c>
      <c r="AS1323" t="s">
        <v>139</v>
      </c>
      <c r="AT1323" t="s">
        <v>140</v>
      </c>
      <c r="AU1323">
        <v>106</v>
      </c>
      <c r="AV1323">
        <v>10</v>
      </c>
      <c r="AW1323">
        <v>1</v>
      </c>
      <c r="AX1323" s="2">
        <v>45821</v>
      </c>
      <c r="AY1323" t="s">
        <v>151</v>
      </c>
      <c r="AZ1323" s="2">
        <v>46024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 t="s">
        <v>135</v>
      </c>
      <c r="BH1323" t="s">
        <v>250</v>
      </c>
      <c r="BI1323" t="s">
        <v>135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94.15</v>
      </c>
      <c r="BQ1323">
        <v>94.15</v>
      </c>
      <c r="BR1323">
        <v>0</v>
      </c>
      <c r="BS1323">
        <v>0</v>
      </c>
      <c r="BT1323">
        <v>0</v>
      </c>
      <c r="BU1323">
        <v>0</v>
      </c>
      <c r="BV1323">
        <v>542.15</v>
      </c>
      <c r="BW1323">
        <v>542.15</v>
      </c>
      <c r="BX1323">
        <v>0</v>
      </c>
      <c r="BY1323">
        <v>0</v>
      </c>
      <c r="BZ1323">
        <v>0</v>
      </c>
      <c r="CA1323">
        <v>0</v>
      </c>
      <c r="CB1323">
        <v>96.01</v>
      </c>
      <c r="CC1323" t="s">
        <v>161</v>
      </c>
    </row>
    <row r="1324" spans="1:81" x14ac:dyDescent="0.25">
      <c r="A1324">
        <v>345</v>
      </c>
      <c r="B1324">
        <v>2</v>
      </c>
      <c r="C1324">
        <v>3569</v>
      </c>
      <c r="D1324" t="s">
        <v>7549</v>
      </c>
      <c r="E1324" t="s">
        <v>121</v>
      </c>
      <c r="F1324" t="s">
        <v>7550</v>
      </c>
      <c r="G1324" t="s">
        <v>7551</v>
      </c>
      <c r="H1324" t="s">
        <v>7225</v>
      </c>
      <c r="I1324" t="s">
        <v>7541</v>
      </c>
      <c r="J1324" t="s">
        <v>1263</v>
      </c>
      <c r="K1324" t="s">
        <v>466</v>
      </c>
      <c r="L1324" t="s">
        <v>128</v>
      </c>
      <c r="M1324" t="s">
        <v>467</v>
      </c>
      <c r="N1324" t="s">
        <v>7552</v>
      </c>
      <c r="O1324" t="s">
        <v>159</v>
      </c>
      <c r="P1324">
        <v>0</v>
      </c>
      <c r="Q1324" t="s">
        <v>125</v>
      </c>
      <c r="R1324">
        <v>4</v>
      </c>
      <c r="S1324">
        <v>79</v>
      </c>
      <c r="T1324" t="s">
        <v>132</v>
      </c>
      <c r="U1324" t="s">
        <v>133</v>
      </c>
      <c r="V1324" s="1">
        <v>1300</v>
      </c>
      <c r="W1324">
        <v>0</v>
      </c>
      <c r="X1324" s="1">
        <v>1300</v>
      </c>
      <c r="Y1324">
        <v>7</v>
      </c>
      <c r="Z1324">
        <v>0</v>
      </c>
      <c r="AA1324">
        <v>0</v>
      </c>
      <c r="AB1324">
        <v>0</v>
      </c>
      <c r="AC1324">
        <v>0</v>
      </c>
      <c r="AD1324" t="s">
        <v>134</v>
      </c>
      <c r="AE1324" t="s">
        <v>134</v>
      </c>
      <c r="AF1324" s="2">
        <v>45820</v>
      </c>
      <c r="AG1324" s="2">
        <v>46018</v>
      </c>
      <c r="AH1324">
        <v>250.39</v>
      </c>
      <c r="AI1324">
        <v>275.51</v>
      </c>
      <c r="AJ1324" s="1">
        <v>1001.58</v>
      </c>
      <c r="AK1324">
        <v>0</v>
      </c>
      <c r="AL1324">
        <v>0</v>
      </c>
      <c r="AM1324">
        <v>0</v>
      </c>
      <c r="AN1324" t="s">
        <v>135</v>
      </c>
      <c r="AO1324" t="s">
        <v>135</v>
      </c>
      <c r="AP1324" t="s">
        <v>136</v>
      </c>
      <c r="AQ1324" t="s">
        <v>137</v>
      </c>
      <c r="AR1324" t="s">
        <v>138</v>
      </c>
      <c r="AS1324" t="s">
        <v>150</v>
      </c>
      <c r="AT1324" t="s">
        <v>140</v>
      </c>
      <c r="AU1324">
        <v>106</v>
      </c>
      <c r="AV1324">
        <v>10</v>
      </c>
      <c r="AW1324">
        <v>1</v>
      </c>
      <c r="AX1324" s="2">
        <v>45821</v>
      </c>
      <c r="AY1324" t="s">
        <v>151</v>
      </c>
      <c r="AZ1324" s="2">
        <v>46024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 t="s">
        <v>135</v>
      </c>
      <c r="BH1324" t="s">
        <v>250</v>
      </c>
      <c r="BI1324" t="s">
        <v>135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549.11</v>
      </c>
      <c r="BQ1324">
        <v>549.11</v>
      </c>
      <c r="BR1324">
        <v>0</v>
      </c>
      <c r="BS1324">
        <v>0</v>
      </c>
      <c r="BT1324">
        <v>0</v>
      </c>
      <c r="BU1324">
        <v>0</v>
      </c>
      <c r="BV1324">
        <v>452.47</v>
      </c>
      <c r="BW1324">
        <v>452.47</v>
      </c>
      <c r="BX1324">
        <v>0</v>
      </c>
      <c r="BY1324">
        <v>0</v>
      </c>
      <c r="BZ1324">
        <v>0</v>
      </c>
      <c r="CA1324">
        <v>0</v>
      </c>
      <c r="CB1324">
        <v>286.41000000000003</v>
      </c>
      <c r="CC1324" t="s">
        <v>161</v>
      </c>
    </row>
    <row r="1325" spans="1:81" x14ac:dyDescent="0.25">
      <c r="A1325">
        <v>345</v>
      </c>
      <c r="B1325">
        <v>2</v>
      </c>
      <c r="C1325">
        <v>3570</v>
      </c>
      <c r="D1325" t="s">
        <v>7553</v>
      </c>
      <c r="E1325" t="s">
        <v>121</v>
      </c>
      <c r="F1325" t="s">
        <v>7554</v>
      </c>
      <c r="G1325" t="s">
        <v>7555</v>
      </c>
      <c r="H1325" t="s">
        <v>7556</v>
      </c>
      <c r="I1325" t="s">
        <v>7557</v>
      </c>
      <c r="J1325" t="s">
        <v>375</v>
      </c>
      <c r="K1325" t="s">
        <v>336</v>
      </c>
      <c r="L1325" t="s">
        <v>128</v>
      </c>
      <c r="M1325" t="s">
        <v>337</v>
      </c>
      <c r="N1325" t="s">
        <v>7558</v>
      </c>
      <c r="O1325" t="s">
        <v>159</v>
      </c>
      <c r="P1325">
        <v>0</v>
      </c>
      <c r="Q1325" t="s">
        <v>125</v>
      </c>
      <c r="R1325">
        <v>3</v>
      </c>
      <c r="S1325">
        <v>84</v>
      </c>
      <c r="T1325" t="s">
        <v>132</v>
      </c>
      <c r="U1325" t="s">
        <v>133</v>
      </c>
      <c r="V1325" s="1">
        <v>1300</v>
      </c>
      <c r="W1325">
        <v>0</v>
      </c>
      <c r="X1325" s="1">
        <v>1300</v>
      </c>
      <c r="Y1325">
        <v>7</v>
      </c>
      <c r="Z1325">
        <v>0</v>
      </c>
      <c r="AA1325">
        <v>7</v>
      </c>
      <c r="AB1325">
        <v>0</v>
      </c>
      <c r="AC1325">
        <v>0</v>
      </c>
      <c r="AD1325" t="s">
        <v>134</v>
      </c>
      <c r="AE1325" t="s">
        <v>134</v>
      </c>
      <c r="AF1325" s="2">
        <v>45820</v>
      </c>
      <c r="AG1325" s="2">
        <v>46008</v>
      </c>
      <c r="AH1325">
        <v>154.29</v>
      </c>
      <c r="AI1325">
        <v>343.74</v>
      </c>
      <c r="AJ1325" s="1">
        <v>1080.0899999999999</v>
      </c>
      <c r="AK1325">
        <v>0</v>
      </c>
      <c r="AL1325">
        <v>0</v>
      </c>
      <c r="AM1325">
        <v>0</v>
      </c>
      <c r="AN1325" t="s">
        <v>135</v>
      </c>
      <c r="AO1325" t="s">
        <v>135</v>
      </c>
      <c r="AP1325" t="s">
        <v>136</v>
      </c>
      <c r="AQ1325" t="s">
        <v>137</v>
      </c>
      <c r="AR1325" t="s">
        <v>138</v>
      </c>
      <c r="AS1325" t="s">
        <v>139</v>
      </c>
      <c r="AT1325" t="s">
        <v>140</v>
      </c>
      <c r="AU1325">
        <v>101</v>
      </c>
      <c r="AV1325">
        <v>10</v>
      </c>
      <c r="AW1325">
        <v>1</v>
      </c>
      <c r="AX1325" s="2">
        <v>45874</v>
      </c>
      <c r="AY1325" t="s">
        <v>377</v>
      </c>
      <c r="AZ1325" s="2">
        <v>46028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 t="s">
        <v>135</v>
      </c>
      <c r="BH1325" t="s">
        <v>250</v>
      </c>
      <c r="BI1325" t="s">
        <v>135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236.09</v>
      </c>
      <c r="BQ1325">
        <v>236.09</v>
      </c>
      <c r="BR1325">
        <v>0</v>
      </c>
      <c r="BS1325">
        <v>7</v>
      </c>
      <c r="BT1325">
        <v>7</v>
      </c>
      <c r="BU1325">
        <v>448.72</v>
      </c>
      <c r="BV1325">
        <v>0</v>
      </c>
      <c r="BW1325">
        <v>448.72</v>
      </c>
      <c r="BX1325">
        <v>0</v>
      </c>
      <c r="BY1325">
        <v>0</v>
      </c>
      <c r="BZ1325">
        <v>0</v>
      </c>
      <c r="CA1325">
        <v>0</v>
      </c>
      <c r="CB1325">
        <v>299.69</v>
      </c>
      <c r="CC1325" t="s">
        <v>161</v>
      </c>
    </row>
    <row r="1326" spans="1:81" x14ac:dyDescent="0.25">
      <c r="A1326">
        <v>345</v>
      </c>
      <c r="B1326">
        <v>2</v>
      </c>
      <c r="C1326">
        <v>3572</v>
      </c>
      <c r="D1326" t="s">
        <v>7559</v>
      </c>
      <c r="E1326" t="s">
        <v>121</v>
      </c>
      <c r="F1326" t="s">
        <v>7560</v>
      </c>
      <c r="G1326" t="s">
        <v>7561</v>
      </c>
      <c r="H1326" t="s">
        <v>7562</v>
      </c>
      <c r="I1326" t="s">
        <v>7563</v>
      </c>
      <c r="J1326" t="s">
        <v>1263</v>
      </c>
      <c r="K1326" t="s">
        <v>466</v>
      </c>
      <c r="L1326" t="s">
        <v>128</v>
      </c>
      <c r="M1326" t="s">
        <v>467</v>
      </c>
      <c r="N1326" t="s">
        <v>7564</v>
      </c>
      <c r="O1326" t="s">
        <v>159</v>
      </c>
      <c r="P1326">
        <v>0</v>
      </c>
      <c r="Q1326" t="s">
        <v>125</v>
      </c>
      <c r="R1326">
        <v>4</v>
      </c>
      <c r="S1326">
        <v>79</v>
      </c>
      <c r="T1326" t="s">
        <v>132</v>
      </c>
      <c r="U1326" t="s">
        <v>133</v>
      </c>
      <c r="V1326" s="1">
        <v>1300</v>
      </c>
      <c r="W1326">
        <v>0</v>
      </c>
      <c r="X1326" s="1">
        <v>1300</v>
      </c>
      <c r="Y1326">
        <v>7</v>
      </c>
      <c r="Z1326">
        <v>0</v>
      </c>
      <c r="AA1326">
        <v>0</v>
      </c>
      <c r="AB1326">
        <v>0</v>
      </c>
      <c r="AC1326">
        <v>0</v>
      </c>
      <c r="AD1326" t="s">
        <v>134</v>
      </c>
      <c r="AE1326" t="s">
        <v>134</v>
      </c>
      <c r="AF1326" s="2">
        <v>45820</v>
      </c>
      <c r="AG1326" s="2">
        <v>45936</v>
      </c>
      <c r="AH1326">
        <v>444.44</v>
      </c>
      <c r="AI1326">
        <v>444.44</v>
      </c>
      <c r="AJ1326">
        <v>444.44</v>
      </c>
      <c r="AK1326">
        <v>0</v>
      </c>
      <c r="AL1326">
        <v>0</v>
      </c>
      <c r="AM1326">
        <v>0</v>
      </c>
      <c r="AN1326" t="s">
        <v>135</v>
      </c>
      <c r="AO1326" t="s">
        <v>135</v>
      </c>
      <c r="AP1326" t="s">
        <v>136</v>
      </c>
      <c r="AQ1326" t="s">
        <v>137</v>
      </c>
      <c r="AR1326" t="s">
        <v>138</v>
      </c>
      <c r="AS1326" t="s">
        <v>150</v>
      </c>
      <c r="AT1326" t="s">
        <v>140</v>
      </c>
      <c r="AU1326">
        <v>106</v>
      </c>
      <c r="AV1326">
        <v>10</v>
      </c>
      <c r="AW1326">
        <v>1</v>
      </c>
      <c r="AX1326" s="2">
        <v>45821</v>
      </c>
      <c r="AY1326" t="s">
        <v>151</v>
      </c>
      <c r="AZ1326" s="2">
        <v>46024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 t="s">
        <v>135</v>
      </c>
      <c r="BH1326" t="s">
        <v>250</v>
      </c>
      <c r="BI1326" t="s">
        <v>135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148.13999999999999</v>
      </c>
      <c r="CC1326" t="s">
        <v>161</v>
      </c>
    </row>
    <row r="1327" spans="1:81" x14ac:dyDescent="0.25">
      <c r="A1327">
        <v>345</v>
      </c>
      <c r="B1327">
        <v>2</v>
      </c>
      <c r="C1327">
        <v>3573</v>
      </c>
      <c r="D1327" t="s">
        <v>7565</v>
      </c>
      <c r="E1327" t="s">
        <v>121</v>
      </c>
      <c r="F1327" t="s">
        <v>7566</v>
      </c>
      <c r="G1327" t="s">
        <v>7567</v>
      </c>
      <c r="H1327" t="s">
        <v>7568</v>
      </c>
      <c r="I1327" t="s">
        <v>7569</v>
      </c>
      <c r="J1327" t="s">
        <v>712</v>
      </c>
      <c r="K1327" t="s">
        <v>466</v>
      </c>
      <c r="L1327" t="s">
        <v>128</v>
      </c>
      <c r="M1327" t="s">
        <v>467</v>
      </c>
      <c r="N1327" t="s">
        <v>7570</v>
      </c>
      <c r="O1327" t="s">
        <v>1146</v>
      </c>
      <c r="P1327">
        <v>0</v>
      </c>
      <c r="Q1327" t="s">
        <v>125</v>
      </c>
      <c r="R1327">
        <v>4</v>
      </c>
      <c r="S1327">
        <v>81</v>
      </c>
      <c r="T1327" t="s">
        <v>132</v>
      </c>
      <c r="U1327" t="s">
        <v>133</v>
      </c>
      <c r="V1327" s="1">
        <v>1000</v>
      </c>
      <c r="W1327">
        <v>0</v>
      </c>
      <c r="X1327" s="1">
        <v>1000</v>
      </c>
      <c r="Y1327">
        <v>7</v>
      </c>
      <c r="Z1327">
        <v>0</v>
      </c>
      <c r="AA1327">
        <v>7</v>
      </c>
      <c r="AB1327">
        <v>0</v>
      </c>
      <c r="AC1327">
        <v>0</v>
      </c>
      <c r="AD1327" t="s">
        <v>134</v>
      </c>
      <c r="AE1327" t="s">
        <v>134</v>
      </c>
      <c r="AF1327" s="2">
        <v>45820</v>
      </c>
      <c r="AG1327" s="2">
        <v>46015</v>
      </c>
      <c r="AH1327">
        <v>411.49</v>
      </c>
      <c r="AI1327">
        <v>995.6</v>
      </c>
      <c r="AJ1327" s="1">
        <v>2880.44</v>
      </c>
      <c r="AK1327">
        <v>0</v>
      </c>
      <c r="AL1327">
        <v>0</v>
      </c>
      <c r="AM1327">
        <v>0</v>
      </c>
      <c r="AN1327" t="s">
        <v>135</v>
      </c>
      <c r="AO1327" t="s">
        <v>135</v>
      </c>
      <c r="AP1327" t="s">
        <v>136</v>
      </c>
      <c r="AQ1327" t="s">
        <v>137</v>
      </c>
      <c r="AR1327" t="s">
        <v>138</v>
      </c>
      <c r="AS1327" t="s">
        <v>139</v>
      </c>
      <c r="AT1327" t="s">
        <v>140</v>
      </c>
      <c r="AU1327">
        <v>105</v>
      </c>
      <c r="AV1327">
        <v>10</v>
      </c>
      <c r="AW1327">
        <v>1</v>
      </c>
      <c r="AX1327" s="2">
        <v>45951</v>
      </c>
      <c r="AY1327" t="s">
        <v>377</v>
      </c>
      <c r="AZ1327" s="2">
        <v>46028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 t="s">
        <v>135</v>
      </c>
      <c r="BH1327" t="s">
        <v>250</v>
      </c>
      <c r="BI1327" t="s">
        <v>135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 s="1">
        <v>1079.3499999999999</v>
      </c>
      <c r="BQ1327" s="1">
        <v>1079.3499999999999</v>
      </c>
      <c r="BR1327">
        <v>0</v>
      </c>
      <c r="BS1327">
        <v>6.71</v>
      </c>
      <c r="BT1327">
        <v>4.59</v>
      </c>
      <c r="BU1327">
        <v>995.6</v>
      </c>
      <c r="BV1327">
        <v>462.09</v>
      </c>
      <c r="BW1327" s="1">
        <v>1457.69</v>
      </c>
      <c r="BX1327">
        <v>0</v>
      </c>
      <c r="BY1327">
        <v>0</v>
      </c>
      <c r="BZ1327">
        <v>0</v>
      </c>
      <c r="CA1327">
        <v>0</v>
      </c>
      <c r="CB1327">
        <v>474.25</v>
      </c>
      <c r="CC1327" t="s">
        <v>161</v>
      </c>
    </row>
    <row r="1328" spans="1:81" x14ac:dyDescent="0.25">
      <c r="A1328">
        <v>345</v>
      </c>
      <c r="B1328">
        <v>2</v>
      </c>
      <c r="C1328">
        <v>3577</v>
      </c>
      <c r="D1328" t="s">
        <v>7571</v>
      </c>
      <c r="E1328" t="s">
        <v>121</v>
      </c>
      <c r="F1328" t="s">
        <v>7572</v>
      </c>
      <c r="G1328" t="s">
        <v>7573</v>
      </c>
      <c r="H1328" t="s">
        <v>7574</v>
      </c>
      <c r="I1328" t="s">
        <v>7575</v>
      </c>
      <c r="J1328" t="s">
        <v>126</v>
      </c>
      <c r="K1328" t="s">
        <v>466</v>
      </c>
      <c r="L1328" t="s">
        <v>128</v>
      </c>
      <c r="M1328" t="s">
        <v>467</v>
      </c>
      <c r="N1328" t="s">
        <v>7576</v>
      </c>
      <c r="O1328" t="s">
        <v>201</v>
      </c>
      <c r="P1328">
        <v>0</v>
      </c>
      <c r="Q1328" t="s">
        <v>125</v>
      </c>
      <c r="R1328">
        <v>3</v>
      </c>
      <c r="S1328">
        <v>86</v>
      </c>
      <c r="T1328" t="s">
        <v>132</v>
      </c>
      <c r="U1328" t="s">
        <v>133</v>
      </c>
      <c r="V1328" s="1">
        <v>1000</v>
      </c>
      <c r="W1328">
        <v>0</v>
      </c>
      <c r="X1328" s="1">
        <v>1000</v>
      </c>
      <c r="Y1328">
        <v>7</v>
      </c>
      <c r="Z1328">
        <v>0</v>
      </c>
      <c r="AA1328">
        <v>9</v>
      </c>
      <c r="AB1328">
        <v>0</v>
      </c>
      <c r="AC1328">
        <v>0</v>
      </c>
      <c r="AD1328" t="s">
        <v>134</v>
      </c>
      <c r="AE1328" t="s">
        <v>134</v>
      </c>
      <c r="AF1328" s="2">
        <v>45824</v>
      </c>
      <c r="AG1328" s="2">
        <v>45997</v>
      </c>
      <c r="AH1328">
        <v>91.29</v>
      </c>
      <c r="AI1328">
        <v>121.15</v>
      </c>
      <c r="AJ1328">
        <v>273.87</v>
      </c>
      <c r="AK1328">
        <v>0</v>
      </c>
      <c r="AL1328">
        <v>0</v>
      </c>
      <c r="AM1328">
        <v>0</v>
      </c>
      <c r="AN1328" t="s">
        <v>135</v>
      </c>
      <c r="AO1328" t="s">
        <v>135</v>
      </c>
      <c r="AP1328" t="s">
        <v>136</v>
      </c>
      <c r="AQ1328" t="s">
        <v>137</v>
      </c>
      <c r="AR1328" t="s">
        <v>138</v>
      </c>
      <c r="AS1328" t="s">
        <v>139</v>
      </c>
      <c r="AT1328" t="s">
        <v>140</v>
      </c>
      <c r="AU1328">
        <v>105</v>
      </c>
      <c r="AV1328">
        <v>10</v>
      </c>
      <c r="AW1328">
        <v>1</v>
      </c>
      <c r="AX1328" s="2">
        <v>45828</v>
      </c>
      <c r="AY1328" t="s">
        <v>151</v>
      </c>
      <c r="AZ1328" s="2">
        <v>46024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 t="s">
        <v>135</v>
      </c>
      <c r="BH1328" t="s">
        <v>250</v>
      </c>
      <c r="BI1328" t="s">
        <v>135</v>
      </c>
      <c r="BJ1328">
        <v>0</v>
      </c>
      <c r="BK1328">
        <v>0</v>
      </c>
      <c r="BL1328">
        <v>0</v>
      </c>
      <c r="BM1328">
        <v>7</v>
      </c>
      <c r="BN1328">
        <v>7</v>
      </c>
      <c r="BO1328">
        <v>84.84</v>
      </c>
      <c r="BP1328">
        <v>0</v>
      </c>
      <c r="BQ1328">
        <v>84.84</v>
      </c>
      <c r="BR1328">
        <v>0</v>
      </c>
      <c r="BS1328">
        <v>9</v>
      </c>
      <c r="BT1328">
        <v>9</v>
      </c>
      <c r="BU1328">
        <v>121.15</v>
      </c>
      <c r="BV1328">
        <v>0</v>
      </c>
      <c r="BW1328">
        <v>121.15</v>
      </c>
      <c r="BX1328">
        <v>0</v>
      </c>
      <c r="BY1328">
        <v>0</v>
      </c>
      <c r="BZ1328">
        <v>0</v>
      </c>
      <c r="CA1328">
        <v>0</v>
      </c>
      <c r="CB1328">
        <v>99.09</v>
      </c>
      <c r="CC1328" t="s">
        <v>161</v>
      </c>
    </row>
    <row r="1329" spans="1:81" x14ac:dyDescent="0.25">
      <c r="A1329">
        <v>345</v>
      </c>
      <c r="B1329">
        <v>2</v>
      </c>
      <c r="C1329">
        <v>3579</v>
      </c>
      <c r="D1329" t="s">
        <v>7577</v>
      </c>
      <c r="E1329" t="s">
        <v>121</v>
      </c>
      <c r="F1329" t="s">
        <v>7578</v>
      </c>
      <c r="G1329" t="s">
        <v>7579</v>
      </c>
      <c r="H1329" t="s">
        <v>7580</v>
      </c>
      <c r="I1329" t="s">
        <v>7581</v>
      </c>
      <c r="J1329" t="s">
        <v>915</v>
      </c>
      <c r="K1329" t="s">
        <v>473</v>
      </c>
      <c r="L1329" t="s">
        <v>128</v>
      </c>
      <c r="M1329" t="s">
        <v>474</v>
      </c>
      <c r="N1329" t="s">
        <v>7582</v>
      </c>
      <c r="O1329" t="s">
        <v>167</v>
      </c>
      <c r="P1329">
        <v>0</v>
      </c>
      <c r="Q1329" t="s">
        <v>125</v>
      </c>
      <c r="R1329">
        <v>3</v>
      </c>
      <c r="S1329">
        <v>83</v>
      </c>
      <c r="T1329" t="s">
        <v>132</v>
      </c>
      <c r="U1329" t="s">
        <v>133</v>
      </c>
      <c r="V1329" s="1">
        <v>1300</v>
      </c>
      <c r="W1329">
        <v>144.72999999999999</v>
      </c>
      <c r="X1329" s="1">
        <v>1155.27</v>
      </c>
      <c r="Y1329">
        <v>0</v>
      </c>
      <c r="Z1329">
        <v>0</v>
      </c>
      <c r="AA1329">
        <v>3</v>
      </c>
      <c r="AB1329">
        <v>1</v>
      </c>
      <c r="AC1329">
        <v>0</v>
      </c>
      <c r="AD1329" t="s">
        <v>134</v>
      </c>
      <c r="AE1329" t="s">
        <v>134</v>
      </c>
      <c r="AF1329" s="2">
        <v>45824</v>
      </c>
      <c r="AG1329" s="2">
        <v>46017</v>
      </c>
      <c r="AH1329">
        <v>120.77</v>
      </c>
      <c r="AI1329">
        <v>144.72999999999999</v>
      </c>
      <c r="AJ1329">
        <v>362.33</v>
      </c>
      <c r="AK1329">
        <v>144.72999999999999</v>
      </c>
      <c r="AL1329">
        <v>0</v>
      </c>
      <c r="AM1329">
        <v>0</v>
      </c>
      <c r="AN1329" t="s">
        <v>135</v>
      </c>
      <c r="AO1329" t="s">
        <v>135</v>
      </c>
      <c r="AP1329" t="s">
        <v>136</v>
      </c>
      <c r="AQ1329" t="s">
        <v>137</v>
      </c>
      <c r="AR1329" t="s">
        <v>138</v>
      </c>
      <c r="AS1329" t="s">
        <v>139</v>
      </c>
      <c r="AT1329" t="s">
        <v>140</v>
      </c>
      <c r="AU1329">
        <v>102</v>
      </c>
      <c r="AV1329">
        <v>10</v>
      </c>
      <c r="AW1329">
        <v>1</v>
      </c>
      <c r="AX1329" s="2">
        <v>45825</v>
      </c>
      <c r="AY1329" t="s">
        <v>377</v>
      </c>
      <c r="AZ1329" s="2">
        <v>46028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 t="s">
        <v>135</v>
      </c>
      <c r="BH1329" t="s">
        <v>250</v>
      </c>
      <c r="BI1329" t="s">
        <v>135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3</v>
      </c>
      <c r="BT1329">
        <v>3</v>
      </c>
      <c r="BU1329">
        <v>144.72999999999999</v>
      </c>
      <c r="BV1329">
        <v>0</v>
      </c>
      <c r="BW1329">
        <v>144.72999999999999</v>
      </c>
      <c r="BX1329">
        <v>0</v>
      </c>
      <c r="BY1329">
        <v>0</v>
      </c>
      <c r="BZ1329">
        <v>0</v>
      </c>
      <c r="CA1329">
        <v>0</v>
      </c>
      <c r="CB1329">
        <v>72.53</v>
      </c>
      <c r="CC1329" t="s">
        <v>161</v>
      </c>
    </row>
    <row r="1330" spans="1:81" x14ac:dyDescent="0.25">
      <c r="A1330">
        <v>345</v>
      </c>
      <c r="B1330">
        <v>2</v>
      </c>
      <c r="C1330">
        <v>3580</v>
      </c>
      <c r="D1330" t="s">
        <v>7583</v>
      </c>
      <c r="E1330" t="s">
        <v>121</v>
      </c>
      <c r="F1330" t="s">
        <v>6515</v>
      </c>
      <c r="G1330" t="s">
        <v>7584</v>
      </c>
      <c r="H1330" t="s">
        <v>7585</v>
      </c>
      <c r="I1330" t="s">
        <v>1655</v>
      </c>
      <c r="J1330" t="s">
        <v>6945</v>
      </c>
      <c r="K1330" t="s">
        <v>127</v>
      </c>
      <c r="L1330" t="s">
        <v>128</v>
      </c>
      <c r="M1330" t="s">
        <v>129</v>
      </c>
      <c r="N1330" t="s">
        <v>7586</v>
      </c>
      <c r="O1330" t="s">
        <v>159</v>
      </c>
      <c r="P1330">
        <v>0</v>
      </c>
      <c r="Q1330" t="s">
        <v>125</v>
      </c>
      <c r="R1330">
        <v>4</v>
      </c>
      <c r="S1330">
        <v>75</v>
      </c>
      <c r="T1330" t="s">
        <v>132</v>
      </c>
      <c r="U1330" t="s">
        <v>133</v>
      </c>
      <c r="V1330" s="1">
        <v>1300</v>
      </c>
      <c r="W1330">
        <v>0</v>
      </c>
      <c r="X1330" s="1">
        <v>1300</v>
      </c>
      <c r="Y1330">
        <v>7</v>
      </c>
      <c r="Z1330">
        <v>0</v>
      </c>
      <c r="AA1330">
        <v>7</v>
      </c>
      <c r="AB1330">
        <v>0</v>
      </c>
      <c r="AC1330">
        <v>0</v>
      </c>
      <c r="AD1330" t="s">
        <v>134</v>
      </c>
      <c r="AE1330" t="s">
        <v>134</v>
      </c>
      <c r="AF1330" s="2">
        <v>45824</v>
      </c>
      <c r="AG1330" s="2">
        <v>46003</v>
      </c>
      <c r="AH1330">
        <v>194.26</v>
      </c>
      <c r="AI1330">
        <v>342.95</v>
      </c>
      <c r="AJ1330" s="1">
        <v>1942.68</v>
      </c>
      <c r="AK1330">
        <v>0</v>
      </c>
      <c r="AL1330">
        <v>0</v>
      </c>
      <c r="AM1330">
        <v>0</v>
      </c>
      <c r="AN1330" t="s">
        <v>135</v>
      </c>
      <c r="AO1330" t="s">
        <v>135</v>
      </c>
      <c r="AP1330" t="s">
        <v>136</v>
      </c>
      <c r="AQ1330" t="s">
        <v>137</v>
      </c>
      <c r="AR1330" t="s">
        <v>138</v>
      </c>
      <c r="AS1330" t="s">
        <v>139</v>
      </c>
      <c r="AT1330" t="s">
        <v>140</v>
      </c>
      <c r="AU1330">
        <v>102</v>
      </c>
      <c r="AV1330">
        <v>10</v>
      </c>
      <c r="AW1330">
        <v>1</v>
      </c>
      <c r="AX1330" s="2">
        <v>45848</v>
      </c>
      <c r="AY1330" t="s">
        <v>308</v>
      </c>
      <c r="AZ1330" s="2">
        <v>46023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 t="s">
        <v>135</v>
      </c>
      <c r="BH1330" t="s">
        <v>250</v>
      </c>
      <c r="BI1330" t="s">
        <v>135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469.7</v>
      </c>
      <c r="BQ1330">
        <v>469.7</v>
      </c>
      <c r="BR1330">
        <v>0</v>
      </c>
      <c r="BS1330">
        <v>7</v>
      </c>
      <c r="BT1330">
        <v>3.55</v>
      </c>
      <c r="BU1330">
        <v>238.73</v>
      </c>
      <c r="BV1330">
        <v>232.5</v>
      </c>
      <c r="BW1330">
        <v>471.23</v>
      </c>
      <c r="BX1330">
        <v>0</v>
      </c>
      <c r="BY1330">
        <v>0</v>
      </c>
      <c r="BZ1330">
        <v>0</v>
      </c>
      <c r="CA1330">
        <v>0</v>
      </c>
      <c r="CB1330">
        <v>553.36</v>
      </c>
      <c r="CC1330" t="s">
        <v>161</v>
      </c>
    </row>
    <row r="1331" spans="1:81" x14ac:dyDescent="0.25">
      <c r="A1331">
        <v>345</v>
      </c>
      <c r="B1331">
        <v>2</v>
      </c>
      <c r="C1331">
        <v>3581</v>
      </c>
      <c r="D1331" t="s">
        <v>7587</v>
      </c>
      <c r="E1331" t="s">
        <v>121</v>
      </c>
      <c r="F1331" t="s">
        <v>7588</v>
      </c>
      <c r="G1331" t="s">
        <v>7589</v>
      </c>
      <c r="H1331" t="s">
        <v>7590</v>
      </c>
      <c r="I1331" t="s">
        <v>7591</v>
      </c>
      <c r="J1331" t="s">
        <v>4569</v>
      </c>
      <c r="K1331" t="s">
        <v>127</v>
      </c>
      <c r="L1331" t="s">
        <v>128</v>
      </c>
      <c r="M1331" t="s">
        <v>129</v>
      </c>
      <c r="N1331" t="s">
        <v>7592</v>
      </c>
      <c r="O1331" t="s">
        <v>1146</v>
      </c>
      <c r="P1331">
        <v>0</v>
      </c>
      <c r="Q1331" t="s">
        <v>125</v>
      </c>
      <c r="R1331">
        <v>4</v>
      </c>
      <c r="S1331">
        <v>81</v>
      </c>
      <c r="T1331" t="s">
        <v>132</v>
      </c>
      <c r="U1331" t="s">
        <v>133</v>
      </c>
      <c r="V1331" s="1">
        <v>1000</v>
      </c>
      <c r="W1331">
        <v>892.51</v>
      </c>
      <c r="X1331">
        <v>107.49</v>
      </c>
      <c r="Y1331">
        <v>7</v>
      </c>
      <c r="Z1331">
        <v>0</v>
      </c>
      <c r="AA1331">
        <v>9</v>
      </c>
      <c r="AB1331">
        <v>0</v>
      </c>
      <c r="AC1331">
        <v>0</v>
      </c>
      <c r="AD1331" t="s">
        <v>134</v>
      </c>
      <c r="AE1331" t="s">
        <v>134</v>
      </c>
      <c r="AF1331" s="2">
        <v>45824</v>
      </c>
      <c r="AG1331" s="2">
        <v>46018</v>
      </c>
      <c r="AH1331">
        <v>706.71</v>
      </c>
      <c r="AI1331" s="1">
        <v>1086.54</v>
      </c>
      <c r="AJ1331" s="1">
        <v>1413.43</v>
      </c>
      <c r="AK1331">
        <v>0</v>
      </c>
      <c r="AL1331">
        <v>892.51</v>
      </c>
      <c r="AM1331">
        <v>0</v>
      </c>
      <c r="AN1331" t="s">
        <v>135</v>
      </c>
      <c r="AO1331" t="s">
        <v>135</v>
      </c>
      <c r="AP1331" t="s">
        <v>136</v>
      </c>
      <c r="AQ1331" t="s">
        <v>137</v>
      </c>
      <c r="AR1331" t="s">
        <v>138</v>
      </c>
      <c r="AS1331" t="s">
        <v>139</v>
      </c>
      <c r="AT1331" t="s">
        <v>140</v>
      </c>
      <c r="AU1331">
        <v>102</v>
      </c>
      <c r="AV1331">
        <v>10</v>
      </c>
      <c r="AW1331">
        <v>1</v>
      </c>
      <c r="AX1331" s="2">
        <v>45848</v>
      </c>
      <c r="AY1331" t="s">
        <v>308</v>
      </c>
      <c r="AZ1331" s="2">
        <v>46023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 t="s">
        <v>135</v>
      </c>
      <c r="BH1331" t="s">
        <v>250</v>
      </c>
      <c r="BI1331" t="s">
        <v>135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9</v>
      </c>
      <c r="BT1331">
        <v>7.39</v>
      </c>
      <c r="BU1331">
        <v>892.51</v>
      </c>
      <c r="BV1331">
        <v>194.03</v>
      </c>
      <c r="BW1331" s="1">
        <v>1086.54</v>
      </c>
      <c r="BX1331">
        <v>892.51</v>
      </c>
      <c r="BY1331">
        <v>100</v>
      </c>
      <c r="BZ1331">
        <v>0</v>
      </c>
      <c r="CA1331">
        <v>0</v>
      </c>
      <c r="CB1331">
        <v>257.51</v>
      </c>
      <c r="CC1331" t="s">
        <v>161</v>
      </c>
    </row>
    <row r="1332" spans="1:81" x14ac:dyDescent="0.25">
      <c r="A1332">
        <v>345</v>
      </c>
      <c r="B1332">
        <v>2</v>
      </c>
      <c r="C1332">
        <v>3582</v>
      </c>
      <c r="D1332" t="s">
        <v>7593</v>
      </c>
      <c r="E1332" t="s">
        <v>121</v>
      </c>
      <c r="F1332" t="s">
        <v>7594</v>
      </c>
      <c r="G1332" t="s">
        <v>7595</v>
      </c>
      <c r="H1332" t="s">
        <v>7596</v>
      </c>
      <c r="I1332" t="s">
        <v>7597</v>
      </c>
      <c r="J1332" t="s">
        <v>667</v>
      </c>
      <c r="K1332" t="s">
        <v>336</v>
      </c>
      <c r="L1332" t="s">
        <v>128</v>
      </c>
      <c r="M1332" t="s">
        <v>337</v>
      </c>
      <c r="N1332" t="s">
        <v>7598</v>
      </c>
      <c r="O1332" t="s">
        <v>167</v>
      </c>
      <c r="P1332">
        <v>0</v>
      </c>
      <c r="Q1332" t="s">
        <v>125</v>
      </c>
      <c r="R1332">
        <v>3</v>
      </c>
      <c r="S1332">
        <v>83</v>
      </c>
      <c r="T1332" t="s">
        <v>132</v>
      </c>
      <c r="U1332" t="s">
        <v>133</v>
      </c>
      <c r="V1332" s="1">
        <v>1300</v>
      </c>
      <c r="W1332">
        <v>0</v>
      </c>
      <c r="X1332" s="1">
        <v>1300</v>
      </c>
      <c r="Y1332">
        <v>7</v>
      </c>
      <c r="Z1332">
        <v>0</v>
      </c>
      <c r="AA1332">
        <v>0</v>
      </c>
      <c r="AB1332">
        <v>0</v>
      </c>
      <c r="AC1332">
        <v>0</v>
      </c>
      <c r="AD1332" t="s">
        <v>134</v>
      </c>
      <c r="AE1332" t="s">
        <v>134</v>
      </c>
      <c r="AF1332" s="2">
        <v>45824</v>
      </c>
      <c r="AG1332" s="2">
        <v>46011</v>
      </c>
      <c r="AH1332">
        <v>23.47</v>
      </c>
      <c r="AI1332">
        <v>40.619999999999997</v>
      </c>
      <c r="AJ1332">
        <v>70.430000000000007</v>
      </c>
      <c r="AK1332">
        <v>0</v>
      </c>
      <c r="AL1332">
        <v>0</v>
      </c>
      <c r="AM1332">
        <v>0</v>
      </c>
      <c r="AN1332" t="s">
        <v>135</v>
      </c>
      <c r="AO1332" t="s">
        <v>135</v>
      </c>
      <c r="AP1332" t="s">
        <v>136</v>
      </c>
      <c r="AQ1332" t="s">
        <v>137</v>
      </c>
      <c r="AR1332" t="s">
        <v>138</v>
      </c>
      <c r="AS1332" t="s">
        <v>139</v>
      </c>
      <c r="AT1332" t="s">
        <v>140</v>
      </c>
      <c r="AU1332">
        <v>101</v>
      </c>
      <c r="AV1332">
        <v>10</v>
      </c>
      <c r="AW1332">
        <v>1</v>
      </c>
      <c r="AX1332" s="2">
        <v>45828</v>
      </c>
      <c r="AY1332" t="s">
        <v>151</v>
      </c>
      <c r="AZ1332" s="2">
        <v>46024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 t="s">
        <v>135</v>
      </c>
      <c r="BH1332" t="s">
        <v>250</v>
      </c>
      <c r="BI1332" t="s">
        <v>135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12.31</v>
      </c>
      <c r="BQ1332">
        <v>12.31</v>
      </c>
      <c r="BR1332">
        <v>0</v>
      </c>
      <c r="BS1332">
        <v>0</v>
      </c>
      <c r="BT1332">
        <v>0</v>
      </c>
      <c r="BU1332">
        <v>0</v>
      </c>
      <c r="BV1332">
        <v>17.5</v>
      </c>
      <c r="BW1332">
        <v>17.5</v>
      </c>
      <c r="BX1332">
        <v>0</v>
      </c>
      <c r="BY1332">
        <v>0</v>
      </c>
      <c r="BZ1332">
        <v>0</v>
      </c>
      <c r="CA1332">
        <v>0</v>
      </c>
      <c r="CB1332">
        <v>30.52</v>
      </c>
      <c r="CC1332" t="s">
        <v>161</v>
      </c>
    </row>
    <row r="1333" spans="1:81" x14ac:dyDescent="0.25">
      <c r="A1333">
        <v>345</v>
      </c>
      <c r="B1333">
        <v>2</v>
      </c>
      <c r="C1333">
        <v>3586</v>
      </c>
      <c r="D1333" t="s">
        <v>7599</v>
      </c>
      <c r="E1333" t="s">
        <v>5780</v>
      </c>
      <c r="F1333" t="s">
        <v>7600</v>
      </c>
      <c r="G1333" t="s">
        <v>7601</v>
      </c>
      <c r="H1333" t="s">
        <v>7602</v>
      </c>
      <c r="I1333" t="s">
        <v>125</v>
      </c>
      <c r="J1333" t="s">
        <v>126</v>
      </c>
      <c r="K1333" t="s">
        <v>473</v>
      </c>
      <c r="L1333" t="s">
        <v>128</v>
      </c>
      <c r="M1333" t="s">
        <v>474</v>
      </c>
      <c r="N1333" t="s">
        <v>7603</v>
      </c>
      <c r="O1333" t="s">
        <v>2996</v>
      </c>
      <c r="P1333">
        <v>0</v>
      </c>
      <c r="Q1333" t="s">
        <v>125</v>
      </c>
      <c r="R1333">
        <v>5</v>
      </c>
      <c r="S1333">
        <v>72</v>
      </c>
      <c r="T1333" t="s">
        <v>132</v>
      </c>
      <c r="U1333" t="s">
        <v>133</v>
      </c>
      <c r="V1333" s="1">
        <v>1600</v>
      </c>
      <c r="W1333">
        <v>796.4</v>
      </c>
      <c r="X1333">
        <v>803.6</v>
      </c>
      <c r="Y1333">
        <v>0</v>
      </c>
      <c r="Z1333">
        <v>0</v>
      </c>
      <c r="AA1333">
        <v>7</v>
      </c>
      <c r="AB1333">
        <v>5</v>
      </c>
      <c r="AC1333">
        <v>25</v>
      </c>
      <c r="AD1333" t="s">
        <v>134</v>
      </c>
      <c r="AE1333" t="s">
        <v>234</v>
      </c>
      <c r="AF1333" s="2">
        <v>45825</v>
      </c>
      <c r="AG1333" s="2">
        <v>46002</v>
      </c>
      <c r="AH1333">
        <v>596.58000000000004</v>
      </c>
      <c r="AI1333">
        <v>796.4</v>
      </c>
      <c r="AJ1333" s="1">
        <v>1789.76</v>
      </c>
      <c r="AK1333">
        <v>796.4</v>
      </c>
      <c r="AL1333">
        <v>0</v>
      </c>
      <c r="AM1333">
        <v>0</v>
      </c>
      <c r="AN1333" t="s">
        <v>135</v>
      </c>
      <c r="AO1333" t="s">
        <v>135</v>
      </c>
      <c r="AP1333" t="s">
        <v>136</v>
      </c>
      <c r="AQ1333" t="s">
        <v>137</v>
      </c>
      <c r="AR1333" t="s">
        <v>138</v>
      </c>
      <c r="AS1333" t="s">
        <v>150</v>
      </c>
      <c r="AT1333" t="s">
        <v>140</v>
      </c>
      <c r="AU1333">
        <v>105</v>
      </c>
      <c r="AV1333">
        <v>10</v>
      </c>
      <c r="AW1333">
        <v>1</v>
      </c>
      <c r="AX1333" s="2">
        <v>45854</v>
      </c>
      <c r="AY1333" t="s">
        <v>168</v>
      </c>
      <c r="AZ1333" s="2">
        <v>46022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 t="s">
        <v>135</v>
      </c>
      <c r="BH1333" t="s">
        <v>250</v>
      </c>
      <c r="BI1333" t="s">
        <v>135</v>
      </c>
      <c r="BJ1333">
        <v>0</v>
      </c>
      <c r="BK1333">
        <v>0</v>
      </c>
      <c r="BL1333">
        <v>0</v>
      </c>
      <c r="BM1333">
        <v>7</v>
      </c>
      <c r="BN1333">
        <v>7</v>
      </c>
      <c r="BO1333">
        <v>478.1</v>
      </c>
      <c r="BP1333">
        <v>0</v>
      </c>
      <c r="BQ1333">
        <v>478.1</v>
      </c>
      <c r="BR1333">
        <v>0</v>
      </c>
      <c r="BS1333">
        <v>7</v>
      </c>
      <c r="BT1333">
        <v>7</v>
      </c>
      <c r="BU1333" s="1">
        <v>1311.66</v>
      </c>
      <c r="BV1333">
        <v>0</v>
      </c>
      <c r="BW1333" s="1">
        <v>1311.66</v>
      </c>
      <c r="BX1333">
        <v>0</v>
      </c>
      <c r="BY1333">
        <v>0</v>
      </c>
      <c r="BZ1333">
        <v>0</v>
      </c>
      <c r="CA1333">
        <v>0</v>
      </c>
      <c r="CB1333">
        <v>159.36000000000001</v>
      </c>
      <c r="CC1333" t="s">
        <v>161</v>
      </c>
    </row>
    <row r="1334" spans="1:81" x14ac:dyDescent="0.25">
      <c r="A1334">
        <v>345</v>
      </c>
      <c r="B1334">
        <v>2</v>
      </c>
      <c r="C1334">
        <v>3587</v>
      </c>
      <c r="D1334" t="s">
        <v>7604</v>
      </c>
      <c r="E1334" t="s">
        <v>121</v>
      </c>
      <c r="F1334" t="s">
        <v>7605</v>
      </c>
      <c r="G1334" t="s">
        <v>7606</v>
      </c>
      <c r="H1334" t="s">
        <v>7607</v>
      </c>
      <c r="I1334" t="s">
        <v>7608</v>
      </c>
      <c r="J1334" t="s">
        <v>7609</v>
      </c>
      <c r="K1334" t="s">
        <v>127</v>
      </c>
      <c r="L1334" t="s">
        <v>128</v>
      </c>
      <c r="M1334" t="s">
        <v>129</v>
      </c>
      <c r="N1334" t="s">
        <v>7610</v>
      </c>
      <c r="O1334" t="s">
        <v>149</v>
      </c>
      <c r="P1334">
        <v>0</v>
      </c>
      <c r="Q1334" t="s">
        <v>125</v>
      </c>
      <c r="R1334">
        <v>3</v>
      </c>
      <c r="S1334">
        <v>85</v>
      </c>
      <c r="T1334" t="s">
        <v>132</v>
      </c>
      <c r="U1334" t="s">
        <v>133</v>
      </c>
      <c r="V1334" s="1">
        <v>1100</v>
      </c>
      <c r="W1334">
        <v>470.69</v>
      </c>
      <c r="X1334">
        <v>629.30999999999995</v>
      </c>
      <c r="Y1334">
        <v>7</v>
      </c>
      <c r="Z1334">
        <v>0</v>
      </c>
      <c r="AA1334">
        <v>7</v>
      </c>
      <c r="AB1334">
        <v>0</v>
      </c>
      <c r="AC1334">
        <v>0</v>
      </c>
      <c r="AD1334" t="s">
        <v>134</v>
      </c>
      <c r="AE1334" t="s">
        <v>134</v>
      </c>
      <c r="AF1334" s="2">
        <v>45825</v>
      </c>
      <c r="AG1334" s="2">
        <v>46020</v>
      </c>
      <c r="AH1334">
        <v>629.85</v>
      </c>
      <c r="AI1334" s="1">
        <v>1013.57</v>
      </c>
      <c r="AJ1334" s="1">
        <v>6298.54</v>
      </c>
      <c r="AK1334">
        <v>0</v>
      </c>
      <c r="AL1334">
        <v>470.69</v>
      </c>
      <c r="AM1334">
        <v>0</v>
      </c>
      <c r="AN1334" t="s">
        <v>135</v>
      </c>
      <c r="AO1334" t="s">
        <v>135</v>
      </c>
      <c r="AP1334" t="s">
        <v>136</v>
      </c>
      <c r="AQ1334" t="s">
        <v>137</v>
      </c>
      <c r="AR1334" t="s">
        <v>138</v>
      </c>
      <c r="AS1334" t="s">
        <v>139</v>
      </c>
      <c r="AT1334" t="s">
        <v>140</v>
      </c>
      <c r="AU1334">
        <v>102</v>
      </c>
      <c r="AV1334">
        <v>10</v>
      </c>
      <c r="AW1334">
        <v>1</v>
      </c>
      <c r="AX1334" s="2">
        <v>45829</v>
      </c>
      <c r="AY1334" t="s">
        <v>160</v>
      </c>
      <c r="AZ1334" s="2">
        <v>46025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 t="s">
        <v>135</v>
      </c>
      <c r="BH1334" t="s">
        <v>250</v>
      </c>
      <c r="BI1334" t="s">
        <v>135</v>
      </c>
      <c r="BJ1334">
        <v>0</v>
      </c>
      <c r="BK1334">
        <v>0</v>
      </c>
      <c r="BL1334">
        <v>0</v>
      </c>
      <c r="BM1334">
        <v>7</v>
      </c>
      <c r="BN1334">
        <v>4.37</v>
      </c>
      <c r="BO1334" s="1">
        <v>1013.57</v>
      </c>
      <c r="BP1334">
        <v>611.13</v>
      </c>
      <c r="BQ1334" s="1">
        <v>1624.7</v>
      </c>
      <c r="BR1334">
        <v>0</v>
      </c>
      <c r="BS1334">
        <v>7</v>
      </c>
      <c r="BT1334">
        <v>3.7</v>
      </c>
      <c r="BU1334" s="1">
        <v>1876.08</v>
      </c>
      <c r="BV1334" s="1">
        <v>1674.72</v>
      </c>
      <c r="BW1334" s="1">
        <v>3550.8</v>
      </c>
      <c r="BX1334">
        <v>470.69</v>
      </c>
      <c r="BY1334">
        <v>25.09</v>
      </c>
      <c r="BZ1334">
        <v>0</v>
      </c>
      <c r="CA1334">
        <v>0</v>
      </c>
      <c r="CB1334" s="1">
        <v>1225.3800000000001</v>
      </c>
      <c r="CC1334" t="s">
        <v>161</v>
      </c>
    </row>
    <row r="1335" spans="1:81" x14ac:dyDescent="0.25">
      <c r="A1335">
        <v>345</v>
      </c>
      <c r="B1335">
        <v>2</v>
      </c>
      <c r="C1335">
        <v>3589</v>
      </c>
      <c r="D1335" t="s">
        <v>7611</v>
      </c>
      <c r="E1335" t="s">
        <v>121</v>
      </c>
      <c r="F1335" t="s">
        <v>7612</v>
      </c>
      <c r="G1335" t="s">
        <v>7613</v>
      </c>
      <c r="H1335" t="s">
        <v>7614</v>
      </c>
      <c r="I1335" t="s">
        <v>6701</v>
      </c>
      <c r="J1335" t="s">
        <v>1201</v>
      </c>
      <c r="K1335" t="s">
        <v>466</v>
      </c>
      <c r="L1335" t="s">
        <v>128</v>
      </c>
      <c r="M1335" t="s">
        <v>467</v>
      </c>
      <c r="N1335" t="s">
        <v>7615</v>
      </c>
      <c r="O1335" t="s">
        <v>167</v>
      </c>
      <c r="P1335">
        <v>0</v>
      </c>
      <c r="Q1335" t="s">
        <v>125</v>
      </c>
      <c r="R1335">
        <v>3</v>
      </c>
      <c r="S1335">
        <v>82</v>
      </c>
      <c r="T1335" t="s">
        <v>132</v>
      </c>
      <c r="U1335" t="s">
        <v>133</v>
      </c>
      <c r="V1335" s="1">
        <v>1300</v>
      </c>
      <c r="W1335">
        <v>0</v>
      </c>
      <c r="X1335" s="1">
        <v>1300</v>
      </c>
      <c r="Y1335">
        <v>7</v>
      </c>
      <c r="Z1335">
        <v>0</v>
      </c>
      <c r="AA1335">
        <v>0</v>
      </c>
      <c r="AB1335">
        <v>0</v>
      </c>
      <c r="AC1335">
        <v>0</v>
      </c>
      <c r="AD1335" t="s">
        <v>134</v>
      </c>
      <c r="AE1335" t="s">
        <v>134</v>
      </c>
      <c r="AF1335" s="2">
        <v>45825</v>
      </c>
      <c r="AG1335" s="2">
        <v>46002</v>
      </c>
      <c r="AH1335">
        <v>689.76</v>
      </c>
      <c r="AI1335" s="1">
        <v>1047.92</v>
      </c>
      <c r="AJ1335" s="1">
        <v>4828.3500000000004</v>
      </c>
      <c r="AK1335">
        <v>0</v>
      </c>
      <c r="AL1335">
        <v>0</v>
      </c>
      <c r="AM1335">
        <v>0</v>
      </c>
      <c r="AN1335" t="s">
        <v>135</v>
      </c>
      <c r="AO1335" t="s">
        <v>135</v>
      </c>
      <c r="AP1335" t="s">
        <v>136</v>
      </c>
      <c r="AQ1335" t="s">
        <v>137</v>
      </c>
      <c r="AR1335" t="s">
        <v>138</v>
      </c>
      <c r="AS1335" t="s">
        <v>139</v>
      </c>
      <c r="AT1335" t="s">
        <v>140</v>
      </c>
      <c r="AU1335">
        <v>103</v>
      </c>
      <c r="AV1335">
        <v>10</v>
      </c>
      <c r="AW1335">
        <v>1</v>
      </c>
      <c r="AX1335" s="2">
        <v>45832</v>
      </c>
      <c r="AY1335" t="s">
        <v>377</v>
      </c>
      <c r="AZ1335" s="2">
        <v>46028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 t="s">
        <v>135</v>
      </c>
      <c r="BH1335" t="s">
        <v>250</v>
      </c>
      <c r="BI1335" t="s">
        <v>135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 s="1">
        <v>1199.08</v>
      </c>
      <c r="BQ1335" s="1">
        <v>1199.08</v>
      </c>
      <c r="BR1335">
        <v>0</v>
      </c>
      <c r="BS1335">
        <v>0</v>
      </c>
      <c r="BT1335">
        <v>0</v>
      </c>
      <c r="BU1335">
        <v>0</v>
      </c>
      <c r="BV1335" s="1">
        <v>1822.12</v>
      </c>
      <c r="BW1335" s="1">
        <v>1822.12</v>
      </c>
      <c r="BX1335">
        <v>0</v>
      </c>
      <c r="BY1335">
        <v>0</v>
      </c>
      <c r="BZ1335">
        <v>0</v>
      </c>
      <c r="CA1335">
        <v>0</v>
      </c>
      <c r="CB1335" s="1">
        <v>1361.17</v>
      </c>
      <c r="CC1335" t="s">
        <v>161</v>
      </c>
    </row>
    <row r="1336" spans="1:81" x14ac:dyDescent="0.25">
      <c r="A1336">
        <v>345</v>
      </c>
      <c r="B1336">
        <v>2</v>
      </c>
      <c r="C1336">
        <v>3590</v>
      </c>
      <c r="D1336" t="s">
        <v>7616</v>
      </c>
      <c r="E1336" t="s">
        <v>121</v>
      </c>
      <c r="F1336" t="s">
        <v>7617</v>
      </c>
      <c r="G1336" t="s">
        <v>7618</v>
      </c>
      <c r="H1336" t="s">
        <v>7619</v>
      </c>
      <c r="I1336" t="s">
        <v>7620</v>
      </c>
      <c r="J1336" t="s">
        <v>4671</v>
      </c>
      <c r="K1336" t="s">
        <v>4248</v>
      </c>
      <c r="L1336" t="s">
        <v>128</v>
      </c>
      <c r="M1336" t="s">
        <v>1325</v>
      </c>
      <c r="N1336" t="s">
        <v>7621</v>
      </c>
      <c r="O1336" t="s">
        <v>167</v>
      </c>
      <c r="P1336">
        <v>0</v>
      </c>
      <c r="Q1336" t="s">
        <v>125</v>
      </c>
      <c r="R1336">
        <v>4</v>
      </c>
      <c r="S1336">
        <v>81</v>
      </c>
      <c r="T1336" t="s">
        <v>132</v>
      </c>
      <c r="U1336" t="s">
        <v>133</v>
      </c>
      <c r="V1336" s="1">
        <v>1300</v>
      </c>
      <c r="W1336">
        <v>0</v>
      </c>
      <c r="X1336" s="1">
        <v>1300</v>
      </c>
      <c r="Y1336">
        <v>7</v>
      </c>
      <c r="Z1336">
        <v>0</v>
      </c>
      <c r="AA1336">
        <v>7</v>
      </c>
      <c r="AB1336">
        <v>0</v>
      </c>
      <c r="AC1336">
        <v>0</v>
      </c>
      <c r="AD1336" t="s">
        <v>134</v>
      </c>
      <c r="AE1336" t="s">
        <v>134</v>
      </c>
      <c r="AF1336" s="2">
        <v>45825</v>
      </c>
      <c r="AG1336" s="2">
        <v>46010</v>
      </c>
      <c r="AH1336">
        <v>248.95</v>
      </c>
      <c r="AI1336">
        <v>325.7</v>
      </c>
      <c r="AJ1336">
        <v>746.87</v>
      </c>
      <c r="AK1336">
        <v>0</v>
      </c>
      <c r="AL1336">
        <v>0</v>
      </c>
      <c r="AM1336">
        <v>0</v>
      </c>
      <c r="AN1336" t="s">
        <v>135</v>
      </c>
      <c r="AO1336" t="s">
        <v>135</v>
      </c>
      <c r="AP1336" t="s">
        <v>136</v>
      </c>
      <c r="AQ1336" t="s">
        <v>137</v>
      </c>
      <c r="AR1336" t="s">
        <v>138</v>
      </c>
      <c r="AS1336" t="s">
        <v>139</v>
      </c>
      <c r="AT1336" t="s">
        <v>140</v>
      </c>
      <c r="AU1336">
        <v>104</v>
      </c>
      <c r="AV1336">
        <v>10</v>
      </c>
      <c r="AW1336">
        <v>1</v>
      </c>
      <c r="AX1336" s="2">
        <v>45861</v>
      </c>
      <c r="AY1336" t="s">
        <v>168</v>
      </c>
      <c r="AZ1336" s="2">
        <v>46022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 t="s">
        <v>135</v>
      </c>
      <c r="BH1336" t="s">
        <v>250</v>
      </c>
      <c r="BI1336" t="s">
        <v>135</v>
      </c>
      <c r="BJ1336">
        <v>0</v>
      </c>
      <c r="BK1336">
        <v>0</v>
      </c>
      <c r="BL1336">
        <v>0</v>
      </c>
      <c r="BM1336">
        <v>7</v>
      </c>
      <c r="BN1336">
        <v>7</v>
      </c>
      <c r="BO1336">
        <v>189.63</v>
      </c>
      <c r="BP1336">
        <v>0</v>
      </c>
      <c r="BQ1336">
        <v>189.63</v>
      </c>
      <c r="BR1336">
        <v>189.63</v>
      </c>
      <c r="BS1336">
        <v>7</v>
      </c>
      <c r="BT1336">
        <v>7</v>
      </c>
      <c r="BU1336">
        <v>557.24</v>
      </c>
      <c r="BV1336">
        <v>0</v>
      </c>
      <c r="BW1336">
        <v>557.24</v>
      </c>
      <c r="BX1336">
        <v>0</v>
      </c>
      <c r="BY1336">
        <v>0</v>
      </c>
      <c r="BZ1336">
        <v>0</v>
      </c>
      <c r="CA1336">
        <v>0</v>
      </c>
      <c r="CB1336">
        <v>63.21</v>
      </c>
      <c r="CC1336" t="s">
        <v>161</v>
      </c>
    </row>
    <row r="1337" spans="1:81" x14ac:dyDescent="0.25">
      <c r="A1337">
        <v>345</v>
      </c>
      <c r="B1337">
        <v>2</v>
      </c>
      <c r="C1337">
        <v>3591</v>
      </c>
      <c r="D1337" t="s">
        <v>7622</v>
      </c>
      <c r="E1337" t="s">
        <v>121</v>
      </c>
      <c r="F1337" t="s">
        <v>7002</v>
      </c>
      <c r="G1337" t="s">
        <v>7623</v>
      </c>
      <c r="H1337" t="s">
        <v>7624</v>
      </c>
      <c r="I1337" t="s">
        <v>7625</v>
      </c>
      <c r="J1337" t="s">
        <v>1622</v>
      </c>
      <c r="K1337" t="s">
        <v>336</v>
      </c>
      <c r="L1337" t="s">
        <v>128</v>
      </c>
      <c r="M1337" t="s">
        <v>337</v>
      </c>
      <c r="N1337" t="s">
        <v>7626</v>
      </c>
      <c r="O1337" t="s">
        <v>201</v>
      </c>
      <c r="P1337">
        <v>0</v>
      </c>
      <c r="Q1337" t="s">
        <v>125</v>
      </c>
      <c r="R1337">
        <v>3</v>
      </c>
      <c r="S1337">
        <v>84</v>
      </c>
      <c r="T1337" t="s">
        <v>132</v>
      </c>
      <c r="U1337" t="s">
        <v>133</v>
      </c>
      <c r="V1337" s="1">
        <v>1000</v>
      </c>
      <c r="W1337">
        <v>0</v>
      </c>
      <c r="X1337" s="1">
        <v>1000</v>
      </c>
      <c r="Y1337">
        <v>7</v>
      </c>
      <c r="Z1337">
        <v>0</v>
      </c>
      <c r="AA1337">
        <v>0</v>
      </c>
      <c r="AB1337">
        <v>0</v>
      </c>
      <c r="AC1337">
        <v>0</v>
      </c>
      <c r="AD1337" t="s">
        <v>134</v>
      </c>
      <c r="AE1337" t="s">
        <v>134</v>
      </c>
      <c r="AF1337" s="2">
        <v>45825</v>
      </c>
      <c r="AG1337" s="2">
        <v>46015</v>
      </c>
      <c r="AH1337">
        <v>241.4</v>
      </c>
      <c r="AI1337">
        <v>373.76</v>
      </c>
      <c r="AJ1337" s="1">
        <v>1207.03</v>
      </c>
      <c r="AK1337">
        <v>0</v>
      </c>
      <c r="AL1337">
        <v>0</v>
      </c>
      <c r="AM1337">
        <v>0</v>
      </c>
      <c r="AN1337" t="s">
        <v>135</v>
      </c>
      <c r="AO1337" t="s">
        <v>135</v>
      </c>
      <c r="AP1337" t="s">
        <v>136</v>
      </c>
      <c r="AQ1337" t="s">
        <v>137</v>
      </c>
      <c r="AR1337" t="s">
        <v>138</v>
      </c>
      <c r="AS1337" t="s">
        <v>139</v>
      </c>
      <c r="AT1337" t="s">
        <v>140</v>
      </c>
      <c r="AU1337">
        <v>101</v>
      </c>
      <c r="AV1337">
        <v>10</v>
      </c>
      <c r="AW1337">
        <v>1</v>
      </c>
      <c r="AX1337" s="2">
        <v>45832</v>
      </c>
      <c r="AY1337" t="s">
        <v>377</v>
      </c>
      <c r="AZ1337" s="2">
        <v>46028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 t="s">
        <v>135</v>
      </c>
      <c r="BH1337" t="s">
        <v>250</v>
      </c>
      <c r="BI1337" t="s">
        <v>135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277.17</v>
      </c>
      <c r="BQ1337">
        <v>277.17</v>
      </c>
      <c r="BR1337">
        <v>0</v>
      </c>
      <c r="BS1337">
        <v>0</v>
      </c>
      <c r="BT1337">
        <v>0</v>
      </c>
      <c r="BU1337">
        <v>0</v>
      </c>
      <c r="BV1337">
        <v>648.16</v>
      </c>
      <c r="BW1337">
        <v>648.16</v>
      </c>
      <c r="BX1337">
        <v>0</v>
      </c>
      <c r="BY1337">
        <v>0</v>
      </c>
      <c r="BZ1337">
        <v>0</v>
      </c>
      <c r="CA1337">
        <v>0</v>
      </c>
      <c r="CB1337">
        <v>283.97000000000003</v>
      </c>
      <c r="CC1337" t="s">
        <v>161</v>
      </c>
    </row>
    <row r="1338" spans="1:81" x14ac:dyDescent="0.25">
      <c r="A1338">
        <v>345</v>
      </c>
      <c r="B1338">
        <v>2</v>
      </c>
      <c r="C1338">
        <v>3592</v>
      </c>
      <c r="D1338" t="s">
        <v>7627</v>
      </c>
      <c r="E1338" t="s">
        <v>121</v>
      </c>
      <c r="F1338" t="s">
        <v>7628</v>
      </c>
      <c r="G1338" t="s">
        <v>7629</v>
      </c>
      <c r="H1338" t="s">
        <v>7630</v>
      </c>
      <c r="I1338" t="s">
        <v>7631</v>
      </c>
      <c r="J1338" t="s">
        <v>4569</v>
      </c>
      <c r="K1338" t="s">
        <v>466</v>
      </c>
      <c r="L1338" t="s">
        <v>128</v>
      </c>
      <c r="M1338" t="s">
        <v>467</v>
      </c>
      <c r="N1338" t="s">
        <v>7632</v>
      </c>
      <c r="O1338" t="s">
        <v>201</v>
      </c>
      <c r="P1338">
        <v>0</v>
      </c>
      <c r="Q1338" t="s">
        <v>125</v>
      </c>
      <c r="R1338">
        <v>3</v>
      </c>
      <c r="S1338">
        <v>86</v>
      </c>
      <c r="T1338" t="s">
        <v>132</v>
      </c>
      <c r="U1338" t="s">
        <v>133</v>
      </c>
      <c r="V1338" s="1">
        <v>1000</v>
      </c>
      <c r="W1338">
        <v>964.45</v>
      </c>
      <c r="X1338">
        <v>35.549999999999997</v>
      </c>
      <c r="Y1338">
        <v>7</v>
      </c>
      <c r="Z1338">
        <v>0</v>
      </c>
      <c r="AA1338">
        <v>7</v>
      </c>
      <c r="AB1338">
        <v>0</v>
      </c>
      <c r="AC1338">
        <v>0</v>
      </c>
      <c r="AD1338" t="s">
        <v>134</v>
      </c>
      <c r="AE1338" t="s">
        <v>134</v>
      </c>
      <c r="AF1338" s="2">
        <v>45825</v>
      </c>
      <c r="AG1338" s="2">
        <v>46017</v>
      </c>
      <c r="AH1338">
        <v>382.25</v>
      </c>
      <c r="AI1338">
        <v>505.74</v>
      </c>
      <c r="AJ1338" s="1">
        <v>1911.28</v>
      </c>
      <c r="AK1338">
        <v>0</v>
      </c>
      <c r="AL1338">
        <v>964.45</v>
      </c>
      <c r="AM1338">
        <v>0</v>
      </c>
      <c r="AN1338" t="s">
        <v>135</v>
      </c>
      <c r="AO1338" t="s">
        <v>135</v>
      </c>
      <c r="AP1338" t="s">
        <v>136</v>
      </c>
      <c r="AQ1338" t="s">
        <v>137</v>
      </c>
      <c r="AR1338" t="s">
        <v>138</v>
      </c>
      <c r="AS1338" t="s">
        <v>139</v>
      </c>
      <c r="AT1338" t="s">
        <v>140</v>
      </c>
      <c r="AU1338">
        <v>103</v>
      </c>
      <c r="AV1338">
        <v>10</v>
      </c>
      <c r="AW1338">
        <v>1</v>
      </c>
      <c r="AX1338" s="2">
        <v>45832</v>
      </c>
      <c r="AY1338" t="s">
        <v>377</v>
      </c>
      <c r="AZ1338" s="2">
        <v>46028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 t="s">
        <v>135</v>
      </c>
      <c r="BH1338" t="s">
        <v>250</v>
      </c>
      <c r="BI1338" t="s">
        <v>135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398.13</v>
      </c>
      <c r="BQ1338">
        <v>398.13</v>
      </c>
      <c r="BR1338">
        <v>0</v>
      </c>
      <c r="BS1338">
        <v>5.36</v>
      </c>
      <c r="BT1338">
        <v>5.36</v>
      </c>
      <c r="BU1338" s="1">
        <v>1173.51</v>
      </c>
      <c r="BV1338">
        <v>0</v>
      </c>
      <c r="BW1338" s="1">
        <v>1173.51</v>
      </c>
      <c r="BX1338">
        <v>505.74</v>
      </c>
      <c r="BY1338">
        <v>43.1</v>
      </c>
      <c r="BZ1338">
        <v>0</v>
      </c>
      <c r="CA1338">
        <v>0</v>
      </c>
      <c r="CB1338">
        <v>588.29999999999995</v>
      </c>
      <c r="CC1338" t="s">
        <v>161</v>
      </c>
    </row>
    <row r="1339" spans="1:81" x14ac:dyDescent="0.25">
      <c r="A1339">
        <v>345</v>
      </c>
      <c r="B1339">
        <v>2</v>
      </c>
      <c r="C1339">
        <v>3593</v>
      </c>
      <c r="D1339" t="s">
        <v>7633</v>
      </c>
      <c r="E1339" t="s">
        <v>121</v>
      </c>
      <c r="F1339" t="s">
        <v>7634</v>
      </c>
      <c r="G1339" t="s">
        <v>7635</v>
      </c>
      <c r="H1339" t="s">
        <v>7636</v>
      </c>
      <c r="I1339" t="s">
        <v>7637</v>
      </c>
      <c r="J1339" t="s">
        <v>7638</v>
      </c>
      <c r="K1339" t="s">
        <v>4248</v>
      </c>
      <c r="L1339" t="s">
        <v>128</v>
      </c>
      <c r="M1339" t="s">
        <v>1325</v>
      </c>
      <c r="N1339" t="s">
        <v>7639</v>
      </c>
      <c r="O1339" t="s">
        <v>167</v>
      </c>
      <c r="P1339">
        <v>0</v>
      </c>
      <c r="Q1339" t="s">
        <v>125</v>
      </c>
      <c r="R1339">
        <v>4</v>
      </c>
      <c r="S1339">
        <v>81</v>
      </c>
      <c r="T1339" t="s">
        <v>132</v>
      </c>
      <c r="U1339" t="s">
        <v>133</v>
      </c>
      <c r="V1339" s="1">
        <v>1300</v>
      </c>
      <c r="W1339">
        <v>0</v>
      </c>
      <c r="X1339" s="1">
        <v>1300</v>
      </c>
      <c r="Y1339">
        <v>7</v>
      </c>
      <c r="Z1339">
        <v>0</v>
      </c>
      <c r="AA1339">
        <v>0</v>
      </c>
      <c r="AB1339">
        <v>0</v>
      </c>
      <c r="AC1339">
        <v>0</v>
      </c>
      <c r="AD1339" t="s">
        <v>134</v>
      </c>
      <c r="AE1339" t="s">
        <v>134</v>
      </c>
      <c r="AF1339" s="2">
        <v>45825</v>
      </c>
      <c r="AG1339" s="2">
        <v>45982</v>
      </c>
      <c r="AH1339">
        <v>466.66</v>
      </c>
      <c r="AI1339">
        <v>550.63</v>
      </c>
      <c r="AJ1339">
        <v>933.33</v>
      </c>
      <c r="AK1339">
        <v>0</v>
      </c>
      <c r="AL1339">
        <v>0</v>
      </c>
      <c r="AM1339">
        <v>0</v>
      </c>
      <c r="AN1339" t="s">
        <v>135</v>
      </c>
      <c r="AO1339" t="s">
        <v>135</v>
      </c>
      <c r="AP1339" t="s">
        <v>136</v>
      </c>
      <c r="AQ1339" t="s">
        <v>137</v>
      </c>
      <c r="AR1339" t="s">
        <v>138</v>
      </c>
      <c r="AS1339" t="s">
        <v>139</v>
      </c>
      <c r="AT1339" t="s">
        <v>140</v>
      </c>
      <c r="AU1339">
        <v>104</v>
      </c>
      <c r="AV1339">
        <v>10</v>
      </c>
      <c r="AW1339">
        <v>1</v>
      </c>
      <c r="AX1339" s="2">
        <v>45910</v>
      </c>
      <c r="AY1339" t="s">
        <v>168</v>
      </c>
      <c r="AZ1339" s="2">
        <v>46022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 t="s">
        <v>135</v>
      </c>
      <c r="BH1339" t="s">
        <v>250</v>
      </c>
      <c r="BI1339" t="s">
        <v>135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550.63</v>
      </c>
      <c r="BQ1339">
        <v>550.63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489.54</v>
      </c>
      <c r="CC1339" t="s">
        <v>161</v>
      </c>
    </row>
    <row r="1340" spans="1:81" x14ac:dyDescent="0.25">
      <c r="A1340">
        <v>345</v>
      </c>
      <c r="B1340">
        <v>2</v>
      </c>
      <c r="C1340">
        <v>3596</v>
      </c>
      <c r="D1340" t="s">
        <v>7640</v>
      </c>
      <c r="E1340" t="s">
        <v>121</v>
      </c>
      <c r="F1340" t="s">
        <v>7641</v>
      </c>
      <c r="G1340" t="s">
        <v>7642</v>
      </c>
      <c r="H1340" t="s">
        <v>7643</v>
      </c>
      <c r="I1340" t="s">
        <v>7644</v>
      </c>
      <c r="J1340" t="s">
        <v>126</v>
      </c>
      <c r="K1340" t="s">
        <v>473</v>
      </c>
      <c r="L1340" t="s">
        <v>128</v>
      </c>
      <c r="M1340" t="s">
        <v>474</v>
      </c>
      <c r="N1340" t="s">
        <v>7645</v>
      </c>
      <c r="O1340" t="s">
        <v>5475</v>
      </c>
      <c r="P1340">
        <v>0</v>
      </c>
      <c r="Q1340" t="s">
        <v>125</v>
      </c>
      <c r="R1340">
        <v>3</v>
      </c>
      <c r="S1340">
        <v>86</v>
      </c>
      <c r="T1340" t="s">
        <v>132</v>
      </c>
      <c r="U1340" t="s">
        <v>133</v>
      </c>
      <c r="V1340" s="1">
        <v>12700</v>
      </c>
      <c r="W1340">
        <v>0</v>
      </c>
      <c r="X1340" s="1">
        <v>12700</v>
      </c>
      <c r="Y1340">
        <v>7</v>
      </c>
      <c r="Z1340">
        <v>0</v>
      </c>
      <c r="AA1340">
        <v>0</v>
      </c>
      <c r="AB1340">
        <v>0</v>
      </c>
      <c r="AC1340">
        <v>0</v>
      </c>
      <c r="AD1340" t="s">
        <v>134</v>
      </c>
      <c r="AE1340" t="s">
        <v>134</v>
      </c>
      <c r="AF1340" s="2">
        <v>45826</v>
      </c>
      <c r="AG1340" s="2">
        <v>46010</v>
      </c>
      <c r="AH1340" s="1">
        <v>8379.75</v>
      </c>
      <c r="AI1340" s="1">
        <v>10968</v>
      </c>
      <c r="AJ1340" s="1">
        <v>33519</v>
      </c>
      <c r="AK1340">
        <v>0</v>
      </c>
      <c r="AL1340">
        <v>0</v>
      </c>
      <c r="AM1340">
        <v>0</v>
      </c>
      <c r="AN1340" t="s">
        <v>135</v>
      </c>
      <c r="AO1340" t="s">
        <v>135</v>
      </c>
      <c r="AP1340" t="s">
        <v>136</v>
      </c>
      <c r="AQ1340" t="s">
        <v>137</v>
      </c>
      <c r="AR1340" t="s">
        <v>138</v>
      </c>
      <c r="AS1340" t="s">
        <v>139</v>
      </c>
      <c r="AT1340" t="s">
        <v>140</v>
      </c>
      <c r="AU1340">
        <v>105</v>
      </c>
      <c r="AV1340">
        <v>10</v>
      </c>
      <c r="AW1340">
        <v>1</v>
      </c>
      <c r="AX1340" s="2">
        <v>45833</v>
      </c>
      <c r="AY1340" t="s">
        <v>168</v>
      </c>
      <c r="AZ1340" s="2">
        <v>46022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 t="s">
        <v>135</v>
      </c>
      <c r="BH1340" t="s">
        <v>250</v>
      </c>
      <c r="BI1340" t="s">
        <v>135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 s="1">
        <v>19194</v>
      </c>
      <c r="BQ1340" s="1">
        <v>19194</v>
      </c>
      <c r="BR1340">
        <v>0</v>
      </c>
      <c r="BS1340">
        <v>0</v>
      </c>
      <c r="BT1340">
        <v>0</v>
      </c>
      <c r="BU1340">
        <v>0</v>
      </c>
      <c r="BV1340" s="1">
        <v>14325</v>
      </c>
      <c r="BW1340" s="1">
        <v>14325</v>
      </c>
      <c r="BX1340">
        <v>0</v>
      </c>
      <c r="BY1340">
        <v>0</v>
      </c>
      <c r="BZ1340">
        <v>0</v>
      </c>
      <c r="CA1340">
        <v>0</v>
      </c>
      <c r="CB1340" s="1">
        <v>8411.1200000000008</v>
      </c>
      <c r="CC1340" t="s">
        <v>152</v>
      </c>
    </row>
    <row r="1341" spans="1:81" x14ac:dyDescent="0.25">
      <c r="A1341">
        <v>345</v>
      </c>
      <c r="B1341">
        <v>2</v>
      </c>
      <c r="C1341">
        <v>3598</v>
      </c>
      <c r="D1341" t="s">
        <v>7646</v>
      </c>
      <c r="E1341" t="s">
        <v>121</v>
      </c>
      <c r="F1341" t="s">
        <v>7647</v>
      </c>
      <c r="G1341" t="s">
        <v>7648</v>
      </c>
      <c r="H1341" t="s">
        <v>7649</v>
      </c>
      <c r="I1341" t="s">
        <v>7650</v>
      </c>
      <c r="J1341" t="s">
        <v>7651</v>
      </c>
      <c r="K1341" t="s">
        <v>4248</v>
      </c>
      <c r="L1341" t="s">
        <v>128</v>
      </c>
      <c r="M1341" t="s">
        <v>7652</v>
      </c>
      <c r="N1341" t="s">
        <v>7653</v>
      </c>
      <c r="O1341" t="s">
        <v>159</v>
      </c>
      <c r="P1341">
        <v>0</v>
      </c>
      <c r="Q1341" t="s">
        <v>125</v>
      </c>
      <c r="R1341">
        <v>4</v>
      </c>
      <c r="S1341">
        <v>81</v>
      </c>
      <c r="T1341" t="s">
        <v>132</v>
      </c>
      <c r="U1341" t="s">
        <v>133</v>
      </c>
      <c r="V1341" s="1">
        <v>4500</v>
      </c>
      <c r="W1341">
        <v>0</v>
      </c>
      <c r="X1341" s="1">
        <v>4500</v>
      </c>
      <c r="Y1341">
        <v>7</v>
      </c>
      <c r="Z1341">
        <v>0</v>
      </c>
      <c r="AA1341">
        <v>0</v>
      </c>
      <c r="AB1341">
        <v>0</v>
      </c>
      <c r="AC1341">
        <v>0</v>
      </c>
      <c r="AD1341" t="s">
        <v>134</v>
      </c>
      <c r="AE1341" t="s">
        <v>134</v>
      </c>
      <c r="AF1341" s="2">
        <v>45826</v>
      </c>
      <c r="AG1341" s="2">
        <v>46008</v>
      </c>
      <c r="AH1341" s="1">
        <v>1961.32</v>
      </c>
      <c r="AI1341" s="1">
        <v>3894.46</v>
      </c>
      <c r="AJ1341" s="1">
        <v>15690.62</v>
      </c>
      <c r="AK1341">
        <v>0</v>
      </c>
      <c r="AL1341">
        <v>0</v>
      </c>
      <c r="AM1341">
        <v>0</v>
      </c>
      <c r="AN1341" t="s">
        <v>135</v>
      </c>
      <c r="AO1341" t="s">
        <v>135</v>
      </c>
      <c r="AP1341" t="s">
        <v>136</v>
      </c>
      <c r="AQ1341" t="s">
        <v>137</v>
      </c>
      <c r="AR1341" t="s">
        <v>138</v>
      </c>
      <c r="AS1341" t="s">
        <v>150</v>
      </c>
      <c r="AT1341" t="s">
        <v>140</v>
      </c>
      <c r="AU1341">
        <v>501</v>
      </c>
      <c r="AV1341">
        <v>10</v>
      </c>
      <c r="AW1341">
        <v>1</v>
      </c>
      <c r="AX1341" s="2">
        <v>45943</v>
      </c>
      <c r="AY1341" t="s">
        <v>141</v>
      </c>
      <c r="AZ1341" s="2">
        <v>46027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 t="s">
        <v>135</v>
      </c>
      <c r="BH1341" t="s">
        <v>250</v>
      </c>
      <c r="BI1341" t="s">
        <v>135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 s="1">
        <v>6343.55</v>
      </c>
      <c r="BQ1341" s="1">
        <v>6343.55</v>
      </c>
      <c r="BR1341">
        <v>0</v>
      </c>
      <c r="BS1341">
        <v>0</v>
      </c>
      <c r="BT1341">
        <v>0</v>
      </c>
      <c r="BU1341">
        <v>0</v>
      </c>
      <c r="BV1341">
        <v>26.4</v>
      </c>
      <c r="BW1341">
        <v>26.4</v>
      </c>
      <c r="BX1341">
        <v>0</v>
      </c>
      <c r="BY1341">
        <v>0</v>
      </c>
      <c r="BZ1341">
        <v>0</v>
      </c>
      <c r="CA1341">
        <v>0</v>
      </c>
      <c r="CB1341" s="1">
        <v>6654.48</v>
      </c>
      <c r="CC1341" t="s">
        <v>161</v>
      </c>
    </row>
    <row r="1342" spans="1:81" x14ac:dyDescent="0.25">
      <c r="A1342">
        <v>345</v>
      </c>
      <c r="B1342">
        <v>2</v>
      </c>
      <c r="C1342">
        <v>3600</v>
      </c>
      <c r="D1342" t="s">
        <v>7654</v>
      </c>
      <c r="E1342" t="s">
        <v>121</v>
      </c>
      <c r="F1342" t="s">
        <v>7655</v>
      </c>
      <c r="G1342" t="s">
        <v>7656</v>
      </c>
      <c r="H1342" t="s">
        <v>7657</v>
      </c>
      <c r="I1342" t="s">
        <v>7658</v>
      </c>
      <c r="J1342" t="s">
        <v>4254</v>
      </c>
      <c r="K1342" t="s">
        <v>4248</v>
      </c>
      <c r="L1342" t="s">
        <v>128</v>
      </c>
      <c r="M1342" t="s">
        <v>1325</v>
      </c>
      <c r="N1342" t="s">
        <v>7659</v>
      </c>
      <c r="O1342" t="s">
        <v>201</v>
      </c>
      <c r="P1342">
        <v>0</v>
      </c>
      <c r="Q1342" t="s">
        <v>125</v>
      </c>
      <c r="R1342">
        <v>3</v>
      </c>
      <c r="S1342">
        <v>84</v>
      </c>
      <c r="T1342" t="s">
        <v>132</v>
      </c>
      <c r="U1342" t="s">
        <v>133</v>
      </c>
      <c r="V1342" s="1">
        <v>1000</v>
      </c>
      <c r="W1342">
        <v>130.32</v>
      </c>
      <c r="X1342">
        <v>869.68</v>
      </c>
      <c r="Y1342">
        <v>7</v>
      </c>
      <c r="Z1342">
        <v>0</v>
      </c>
      <c r="AA1342">
        <v>7</v>
      </c>
      <c r="AB1342">
        <v>0</v>
      </c>
      <c r="AC1342">
        <v>0</v>
      </c>
      <c r="AD1342" t="s">
        <v>134</v>
      </c>
      <c r="AE1342" t="s">
        <v>134</v>
      </c>
      <c r="AF1342" s="2">
        <v>45827</v>
      </c>
      <c r="AG1342" s="2">
        <v>46017</v>
      </c>
      <c r="AH1342">
        <v>187.62</v>
      </c>
      <c r="AI1342">
        <v>244.92</v>
      </c>
      <c r="AJ1342">
        <v>375.24</v>
      </c>
      <c r="AK1342">
        <v>0</v>
      </c>
      <c r="AL1342">
        <v>130.32</v>
      </c>
      <c r="AM1342">
        <v>0</v>
      </c>
      <c r="AN1342" t="s">
        <v>135</v>
      </c>
      <c r="AO1342" t="s">
        <v>135</v>
      </c>
      <c r="AP1342" t="s">
        <v>136</v>
      </c>
      <c r="AQ1342" t="s">
        <v>137</v>
      </c>
      <c r="AR1342" t="s">
        <v>138</v>
      </c>
      <c r="AS1342" t="s">
        <v>139</v>
      </c>
      <c r="AT1342" t="s">
        <v>140</v>
      </c>
      <c r="AU1342">
        <v>104</v>
      </c>
      <c r="AV1342">
        <v>10</v>
      </c>
      <c r="AW1342">
        <v>1</v>
      </c>
      <c r="AX1342" s="2">
        <v>45832</v>
      </c>
      <c r="AY1342" t="s">
        <v>377</v>
      </c>
      <c r="AZ1342" s="2">
        <v>46028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 t="s">
        <v>135</v>
      </c>
      <c r="BH1342" t="s">
        <v>250</v>
      </c>
      <c r="BI1342" t="s">
        <v>135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244.92</v>
      </c>
      <c r="BQ1342">
        <v>244.92</v>
      </c>
      <c r="BR1342">
        <v>0</v>
      </c>
      <c r="BS1342">
        <v>7</v>
      </c>
      <c r="BT1342">
        <v>7</v>
      </c>
      <c r="BU1342">
        <v>130.32</v>
      </c>
      <c r="BV1342">
        <v>0</v>
      </c>
      <c r="BW1342">
        <v>130.32</v>
      </c>
      <c r="BX1342">
        <v>130.32</v>
      </c>
      <c r="BY1342">
        <v>100</v>
      </c>
      <c r="BZ1342">
        <v>0</v>
      </c>
      <c r="CA1342">
        <v>0</v>
      </c>
      <c r="CB1342">
        <v>284.02</v>
      </c>
      <c r="CC1342" t="s">
        <v>161</v>
      </c>
    </row>
    <row r="1343" spans="1:81" x14ac:dyDescent="0.25">
      <c r="A1343">
        <v>345</v>
      </c>
      <c r="B1343">
        <v>2</v>
      </c>
      <c r="C1343">
        <v>3601</v>
      </c>
      <c r="D1343" t="s">
        <v>7660</v>
      </c>
      <c r="E1343" t="s">
        <v>121</v>
      </c>
      <c r="F1343" t="s">
        <v>7661</v>
      </c>
      <c r="G1343" t="s">
        <v>7662</v>
      </c>
      <c r="H1343" t="s">
        <v>7663</v>
      </c>
      <c r="I1343" t="s">
        <v>7664</v>
      </c>
      <c r="J1343" t="s">
        <v>1263</v>
      </c>
      <c r="K1343" t="s">
        <v>466</v>
      </c>
      <c r="L1343" t="s">
        <v>128</v>
      </c>
      <c r="M1343" t="s">
        <v>467</v>
      </c>
      <c r="N1343" t="s">
        <v>7665</v>
      </c>
      <c r="O1343" t="s">
        <v>167</v>
      </c>
      <c r="P1343">
        <v>0</v>
      </c>
      <c r="Q1343" t="s">
        <v>125</v>
      </c>
      <c r="R1343">
        <v>4</v>
      </c>
      <c r="S1343">
        <v>79</v>
      </c>
      <c r="T1343" t="s">
        <v>132</v>
      </c>
      <c r="U1343" t="s">
        <v>133</v>
      </c>
      <c r="V1343" s="1">
        <v>1300</v>
      </c>
      <c r="W1343">
        <v>0</v>
      </c>
      <c r="X1343" s="1">
        <v>1300</v>
      </c>
      <c r="Y1343">
        <v>7</v>
      </c>
      <c r="Z1343">
        <v>0</v>
      </c>
      <c r="AA1343">
        <v>0</v>
      </c>
      <c r="AB1343">
        <v>0</v>
      </c>
      <c r="AC1343">
        <v>0</v>
      </c>
      <c r="AD1343" t="s">
        <v>134</v>
      </c>
      <c r="AE1343" t="s">
        <v>134</v>
      </c>
      <c r="AF1343" s="2">
        <v>45827</v>
      </c>
      <c r="AG1343" s="2">
        <v>46018</v>
      </c>
      <c r="AH1343">
        <v>471.66</v>
      </c>
      <c r="AI1343">
        <v>826.8</v>
      </c>
      <c r="AJ1343" s="1">
        <v>2830</v>
      </c>
      <c r="AK1343">
        <v>0</v>
      </c>
      <c r="AL1343">
        <v>0</v>
      </c>
      <c r="AM1343">
        <v>0</v>
      </c>
      <c r="AN1343" t="s">
        <v>135</v>
      </c>
      <c r="AO1343" t="s">
        <v>135</v>
      </c>
      <c r="AP1343" t="s">
        <v>136</v>
      </c>
      <c r="AQ1343" t="s">
        <v>137</v>
      </c>
      <c r="AR1343" t="s">
        <v>138</v>
      </c>
      <c r="AS1343" t="s">
        <v>150</v>
      </c>
      <c r="AT1343" t="s">
        <v>140</v>
      </c>
      <c r="AU1343">
        <v>106</v>
      </c>
      <c r="AV1343">
        <v>10</v>
      </c>
      <c r="AW1343">
        <v>1</v>
      </c>
      <c r="AX1343" s="2">
        <v>45828</v>
      </c>
      <c r="AY1343" t="s">
        <v>151</v>
      </c>
      <c r="AZ1343" s="2">
        <v>46024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 t="s">
        <v>135</v>
      </c>
      <c r="BH1343" t="s">
        <v>250</v>
      </c>
      <c r="BI1343" t="s">
        <v>135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 s="1">
        <v>1104.4000000000001</v>
      </c>
      <c r="BQ1343" s="1">
        <v>1104.4000000000001</v>
      </c>
      <c r="BR1343">
        <v>0</v>
      </c>
      <c r="BS1343">
        <v>0</v>
      </c>
      <c r="BT1343">
        <v>0</v>
      </c>
      <c r="BU1343">
        <v>0</v>
      </c>
      <c r="BV1343">
        <v>992.6</v>
      </c>
      <c r="BW1343">
        <v>992.6</v>
      </c>
      <c r="BX1343">
        <v>0</v>
      </c>
      <c r="BY1343">
        <v>0</v>
      </c>
      <c r="BZ1343">
        <v>0</v>
      </c>
      <c r="CA1343">
        <v>0</v>
      </c>
      <c r="CB1343">
        <v>781.53</v>
      </c>
      <c r="CC1343" t="s">
        <v>161</v>
      </c>
    </row>
    <row r="1344" spans="1:81" x14ac:dyDescent="0.25">
      <c r="A1344">
        <v>345</v>
      </c>
      <c r="B1344">
        <v>2</v>
      </c>
      <c r="C1344">
        <v>3602</v>
      </c>
      <c r="D1344" t="s">
        <v>7666</v>
      </c>
      <c r="E1344" t="s">
        <v>121</v>
      </c>
      <c r="F1344" t="s">
        <v>7667</v>
      </c>
      <c r="G1344" t="s">
        <v>7668</v>
      </c>
      <c r="H1344" t="s">
        <v>7669</v>
      </c>
      <c r="I1344" t="s">
        <v>7670</v>
      </c>
      <c r="J1344" t="s">
        <v>4247</v>
      </c>
      <c r="K1344" t="s">
        <v>4248</v>
      </c>
      <c r="L1344" t="s">
        <v>128</v>
      </c>
      <c r="M1344" t="s">
        <v>1325</v>
      </c>
      <c r="N1344" t="s">
        <v>7671</v>
      </c>
      <c r="O1344" t="s">
        <v>167</v>
      </c>
      <c r="P1344">
        <v>0</v>
      </c>
      <c r="Q1344" t="s">
        <v>125</v>
      </c>
      <c r="R1344">
        <v>3</v>
      </c>
      <c r="S1344">
        <v>82</v>
      </c>
      <c r="T1344" t="s">
        <v>132</v>
      </c>
      <c r="U1344" t="s">
        <v>133</v>
      </c>
      <c r="V1344" s="1">
        <v>1400</v>
      </c>
      <c r="W1344">
        <v>0</v>
      </c>
      <c r="X1344" s="1">
        <v>1400</v>
      </c>
      <c r="Y1344">
        <v>7</v>
      </c>
      <c r="Z1344">
        <v>0</v>
      </c>
      <c r="AA1344">
        <v>3</v>
      </c>
      <c r="AB1344">
        <v>0</v>
      </c>
      <c r="AC1344">
        <v>4</v>
      </c>
      <c r="AD1344" t="s">
        <v>134</v>
      </c>
      <c r="AE1344" t="s">
        <v>134</v>
      </c>
      <c r="AF1344" s="2">
        <v>45827</v>
      </c>
      <c r="AG1344" s="2">
        <v>46018</v>
      </c>
      <c r="AH1344">
        <v>739.31</v>
      </c>
      <c r="AI1344" s="1">
        <v>1036.93</v>
      </c>
      <c r="AJ1344" s="1">
        <v>8871.7900000000009</v>
      </c>
      <c r="AK1344">
        <v>0</v>
      </c>
      <c r="AL1344">
        <v>0</v>
      </c>
      <c r="AM1344">
        <v>0</v>
      </c>
      <c r="AN1344" t="s">
        <v>135</v>
      </c>
      <c r="AO1344" t="s">
        <v>135</v>
      </c>
      <c r="AP1344" t="s">
        <v>136</v>
      </c>
      <c r="AQ1344" t="s">
        <v>137</v>
      </c>
      <c r="AR1344" t="s">
        <v>138</v>
      </c>
      <c r="AS1344" t="s">
        <v>139</v>
      </c>
      <c r="AT1344" t="s">
        <v>140</v>
      </c>
      <c r="AU1344">
        <v>104</v>
      </c>
      <c r="AV1344">
        <v>10</v>
      </c>
      <c r="AW1344">
        <v>1</v>
      </c>
      <c r="AX1344" s="2">
        <v>45827</v>
      </c>
      <c r="AY1344" t="s">
        <v>308</v>
      </c>
      <c r="AZ1344" s="2">
        <v>46023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 t="s">
        <v>135</v>
      </c>
      <c r="BH1344" t="s">
        <v>250</v>
      </c>
      <c r="BI1344" t="s">
        <v>135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 s="1">
        <v>3311.88</v>
      </c>
      <c r="BQ1344" s="1">
        <v>3311.88</v>
      </c>
      <c r="BR1344">
        <v>0</v>
      </c>
      <c r="BS1344">
        <v>3</v>
      </c>
      <c r="BT1344">
        <v>0.64</v>
      </c>
      <c r="BU1344">
        <v>688.27</v>
      </c>
      <c r="BV1344" s="1">
        <v>2519.29</v>
      </c>
      <c r="BW1344" s="1">
        <v>3207.56</v>
      </c>
      <c r="BX1344">
        <v>0</v>
      </c>
      <c r="BY1344">
        <v>0</v>
      </c>
      <c r="BZ1344">
        <v>0</v>
      </c>
      <c r="CA1344">
        <v>0</v>
      </c>
      <c r="CB1344" s="1">
        <v>2617.06</v>
      </c>
      <c r="CC1344" t="s">
        <v>161</v>
      </c>
    </row>
    <row r="1345" spans="1:81" x14ac:dyDescent="0.25">
      <c r="A1345">
        <v>345</v>
      </c>
      <c r="B1345">
        <v>2</v>
      </c>
      <c r="C1345">
        <v>3605</v>
      </c>
      <c r="D1345" t="s">
        <v>7672</v>
      </c>
      <c r="E1345" t="s">
        <v>121</v>
      </c>
      <c r="F1345" t="s">
        <v>7673</v>
      </c>
      <c r="G1345" t="s">
        <v>7674</v>
      </c>
      <c r="H1345" t="s">
        <v>7675</v>
      </c>
      <c r="I1345" t="s">
        <v>7676</v>
      </c>
      <c r="J1345" t="s">
        <v>1263</v>
      </c>
      <c r="K1345" t="s">
        <v>466</v>
      </c>
      <c r="L1345" t="s">
        <v>128</v>
      </c>
      <c r="M1345" t="s">
        <v>467</v>
      </c>
      <c r="N1345" t="s">
        <v>7677</v>
      </c>
      <c r="O1345" t="s">
        <v>159</v>
      </c>
      <c r="P1345">
        <v>0</v>
      </c>
      <c r="Q1345" t="s">
        <v>125</v>
      </c>
      <c r="R1345">
        <v>3</v>
      </c>
      <c r="S1345">
        <v>82</v>
      </c>
      <c r="T1345" t="s">
        <v>132</v>
      </c>
      <c r="U1345" t="s">
        <v>133</v>
      </c>
      <c r="V1345" s="1">
        <v>1300</v>
      </c>
      <c r="W1345">
        <v>0</v>
      </c>
      <c r="X1345" s="1">
        <v>1300</v>
      </c>
      <c r="Y1345">
        <v>7</v>
      </c>
      <c r="Z1345">
        <v>0</v>
      </c>
      <c r="AA1345">
        <v>0</v>
      </c>
      <c r="AB1345">
        <v>0</v>
      </c>
      <c r="AC1345">
        <v>0</v>
      </c>
      <c r="AD1345" t="s">
        <v>134</v>
      </c>
      <c r="AE1345" t="s">
        <v>134</v>
      </c>
      <c r="AF1345" s="2">
        <v>45828</v>
      </c>
      <c r="AG1345" s="2">
        <v>46018</v>
      </c>
      <c r="AH1345">
        <v>434.5</v>
      </c>
      <c r="AI1345">
        <v>592.32000000000005</v>
      </c>
      <c r="AJ1345" s="1">
        <v>3910.51</v>
      </c>
      <c r="AK1345">
        <v>0</v>
      </c>
      <c r="AL1345">
        <v>0</v>
      </c>
      <c r="AM1345">
        <v>0</v>
      </c>
      <c r="AN1345" t="s">
        <v>135</v>
      </c>
      <c r="AO1345" t="s">
        <v>135</v>
      </c>
      <c r="AP1345" t="s">
        <v>136</v>
      </c>
      <c r="AQ1345" t="s">
        <v>137</v>
      </c>
      <c r="AR1345" t="s">
        <v>138</v>
      </c>
      <c r="AS1345" t="s">
        <v>139</v>
      </c>
      <c r="AT1345" t="s">
        <v>140</v>
      </c>
      <c r="AU1345">
        <v>106</v>
      </c>
      <c r="AV1345">
        <v>10</v>
      </c>
      <c r="AW1345">
        <v>1</v>
      </c>
      <c r="AX1345" s="2">
        <v>45835</v>
      </c>
      <c r="AY1345" t="s">
        <v>151</v>
      </c>
      <c r="AZ1345" s="2">
        <v>46024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 t="s">
        <v>135</v>
      </c>
      <c r="BH1345" t="s">
        <v>250</v>
      </c>
      <c r="BI1345" t="s">
        <v>135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 s="1">
        <v>1279.25</v>
      </c>
      <c r="BQ1345" s="1">
        <v>1279.25</v>
      </c>
      <c r="BR1345">
        <v>0</v>
      </c>
      <c r="BS1345">
        <v>0</v>
      </c>
      <c r="BT1345">
        <v>0</v>
      </c>
      <c r="BU1345">
        <v>0</v>
      </c>
      <c r="BV1345" s="1">
        <v>1734.44</v>
      </c>
      <c r="BW1345" s="1">
        <v>1734.44</v>
      </c>
      <c r="BX1345">
        <v>0</v>
      </c>
      <c r="BY1345">
        <v>0</v>
      </c>
      <c r="BZ1345">
        <v>0</v>
      </c>
      <c r="CA1345">
        <v>0</v>
      </c>
      <c r="CB1345" s="1">
        <v>1194.17</v>
      </c>
      <c r="CC1345" t="s">
        <v>161</v>
      </c>
    </row>
    <row r="1346" spans="1:81" x14ac:dyDescent="0.25">
      <c r="A1346">
        <v>345</v>
      </c>
      <c r="B1346">
        <v>2</v>
      </c>
      <c r="C1346">
        <v>3606</v>
      </c>
      <c r="D1346" t="s">
        <v>7678</v>
      </c>
      <c r="E1346" t="s">
        <v>121</v>
      </c>
      <c r="F1346" t="s">
        <v>7679</v>
      </c>
      <c r="G1346" t="s">
        <v>7680</v>
      </c>
      <c r="H1346" t="s">
        <v>7681</v>
      </c>
      <c r="I1346" t="s">
        <v>7682</v>
      </c>
      <c r="J1346" t="s">
        <v>126</v>
      </c>
      <c r="K1346" t="s">
        <v>127</v>
      </c>
      <c r="L1346" t="s">
        <v>128</v>
      </c>
      <c r="M1346" t="s">
        <v>129</v>
      </c>
      <c r="N1346" t="s">
        <v>7683</v>
      </c>
      <c r="O1346" t="s">
        <v>167</v>
      </c>
      <c r="P1346">
        <v>0</v>
      </c>
      <c r="Q1346" t="s">
        <v>125</v>
      </c>
      <c r="R1346">
        <v>3</v>
      </c>
      <c r="S1346">
        <v>83</v>
      </c>
      <c r="T1346" t="s">
        <v>132</v>
      </c>
      <c r="U1346" t="s">
        <v>133</v>
      </c>
      <c r="V1346" s="1">
        <v>1700</v>
      </c>
      <c r="W1346">
        <v>0</v>
      </c>
      <c r="X1346" s="1">
        <v>1700</v>
      </c>
      <c r="Y1346">
        <v>7</v>
      </c>
      <c r="Z1346">
        <v>0</v>
      </c>
      <c r="AA1346">
        <v>0</v>
      </c>
      <c r="AB1346">
        <v>0</v>
      </c>
      <c r="AC1346">
        <v>0</v>
      </c>
      <c r="AD1346" t="s">
        <v>134</v>
      </c>
      <c r="AE1346" t="s">
        <v>134</v>
      </c>
      <c r="AF1346" s="2">
        <v>45828</v>
      </c>
      <c r="AG1346" s="2">
        <v>46018</v>
      </c>
      <c r="AH1346">
        <v>557.20000000000005</v>
      </c>
      <c r="AI1346" s="1">
        <v>1408.66</v>
      </c>
      <c r="AJ1346" s="1">
        <v>7243.71</v>
      </c>
      <c r="AK1346">
        <v>0</v>
      </c>
      <c r="AL1346">
        <v>0</v>
      </c>
      <c r="AM1346">
        <v>0</v>
      </c>
      <c r="AN1346" t="s">
        <v>135</v>
      </c>
      <c r="AO1346" t="s">
        <v>135</v>
      </c>
      <c r="AP1346" t="s">
        <v>136</v>
      </c>
      <c r="AQ1346" t="s">
        <v>137</v>
      </c>
      <c r="AR1346" t="s">
        <v>138</v>
      </c>
      <c r="AS1346" t="s">
        <v>139</v>
      </c>
      <c r="AT1346" t="s">
        <v>140</v>
      </c>
      <c r="AU1346">
        <v>102</v>
      </c>
      <c r="AV1346">
        <v>10</v>
      </c>
      <c r="AW1346">
        <v>1</v>
      </c>
      <c r="AX1346" s="2">
        <v>45854</v>
      </c>
      <c r="AY1346" t="s">
        <v>168</v>
      </c>
      <c r="AZ1346" s="2">
        <v>46022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 t="s">
        <v>135</v>
      </c>
      <c r="BH1346" t="s">
        <v>250</v>
      </c>
      <c r="BI1346" t="s">
        <v>135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 s="1">
        <v>2613.8000000000002</v>
      </c>
      <c r="BQ1346" s="1">
        <v>2613.8000000000002</v>
      </c>
      <c r="BR1346">
        <v>0</v>
      </c>
      <c r="BS1346">
        <v>0</v>
      </c>
      <c r="BT1346">
        <v>0</v>
      </c>
      <c r="BU1346">
        <v>0</v>
      </c>
      <c r="BV1346" s="1">
        <v>2282.94</v>
      </c>
      <c r="BW1346" s="1">
        <v>2282.94</v>
      </c>
      <c r="BX1346">
        <v>0</v>
      </c>
      <c r="BY1346">
        <v>0</v>
      </c>
      <c r="BZ1346">
        <v>0</v>
      </c>
      <c r="CA1346">
        <v>0</v>
      </c>
      <c r="CB1346" s="1">
        <v>3500.35</v>
      </c>
      <c r="CC1346" t="s">
        <v>161</v>
      </c>
    </row>
    <row r="1347" spans="1:81" x14ac:dyDescent="0.25">
      <c r="A1347">
        <v>345</v>
      </c>
      <c r="B1347">
        <v>2</v>
      </c>
      <c r="C1347">
        <v>3607</v>
      </c>
      <c r="D1347" t="s">
        <v>7684</v>
      </c>
      <c r="E1347" t="s">
        <v>5427</v>
      </c>
      <c r="F1347" t="s">
        <v>7685</v>
      </c>
      <c r="G1347" t="s">
        <v>7686</v>
      </c>
      <c r="H1347" t="s">
        <v>7687</v>
      </c>
      <c r="I1347" t="s">
        <v>7688</v>
      </c>
      <c r="J1347" t="s">
        <v>126</v>
      </c>
      <c r="K1347" t="s">
        <v>473</v>
      </c>
      <c r="L1347" t="s">
        <v>128</v>
      </c>
      <c r="M1347" t="s">
        <v>474</v>
      </c>
      <c r="N1347" t="s">
        <v>7689</v>
      </c>
      <c r="O1347" t="s">
        <v>131</v>
      </c>
      <c r="P1347">
        <v>0</v>
      </c>
      <c r="Q1347" t="s">
        <v>125</v>
      </c>
      <c r="R1347">
        <v>3</v>
      </c>
      <c r="S1347">
        <v>87</v>
      </c>
      <c r="T1347" t="s">
        <v>132</v>
      </c>
      <c r="U1347" t="s">
        <v>133</v>
      </c>
      <c r="V1347" s="1">
        <v>1000</v>
      </c>
      <c r="W1347">
        <v>0</v>
      </c>
      <c r="X1347" s="1">
        <v>1000</v>
      </c>
      <c r="Y1347">
        <v>7</v>
      </c>
      <c r="Z1347">
        <v>0</v>
      </c>
      <c r="AA1347">
        <v>0</v>
      </c>
      <c r="AB1347">
        <v>0</v>
      </c>
      <c r="AC1347">
        <v>0</v>
      </c>
      <c r="AD1347" t="s">
        <v>134</v>
      </c>
      <c r="AE1347" t="s">
        <v>134</v>
      </c>
      <c r="AF1347" s="2">
        <v>45828</v>
      </c>
      <c r="AG1347" s="2">
        <v>46010</v>
      </c>
      <c r="AH1347">
        <v>284.99</v>
      </c>
      <c r="AI1347">
        <v>871.89</v>
      </c>
      <c r="AJ1347" s="1">
        <v>1994.93</v>
      </c>
      <c r="AK1347">
        <v>0</v>
      </c>
      <c r="AL1347">
        <v>0</v>
      </c>
      <c r="AM1347">
        <v>0</v>
      </c>
      <c r="AN1347" t="s">
        <v>135</v>
      </c>
      <c r="AO1347" t="s">
        <v>135</v>
      </c>
      <c r="AP1347" t="s">
        <v>136</v>
      </c>
      <c r="AQ1347" t="s">
        <v>137</v>
      </c>
      <c r="AR1347" t="s">
        <v>138</v>
      </c>
      <c r="AS1347" t="s">
        <v>139</v>
      </c>
      <c r="AT1347" t="s">
        <v>140</v>
      </c>
      <c r="AU1347">
        <v>105</v>
      </c>
      <c r="AV1347">
        <v>10</v>
      </c>
      <c r="AW1347">
        <v>1</v>
      </c>
      <c r="AX1347" s="2">
        <v>45854</v>
      </c>
      <c r="AY1347" t="s">
        <v>168</v>
      </c>
      <c r="AZ1347" s="2">
        <v>46022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 t="s">
        <v>135</v>
      </c>
      <c r="BH1347" t="s">
        <v>250</v>
      </c>
      <c r="BI1347" t="s">
        <v>135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211.87</v>
      </c>
      <c r="BQ1347">
        <v>211.87</v>
      </c>
      <c r="BR1347">
        <v>0</v>
      </c>
      <c r="BS1347">
        <v>0</v>
      </c>
      <c r="BT1347">
        <v>0</v>
      </c>
      <c r="BU1347">
        <v>0</v>
      </c>
      <c r="BV1347">
        <v>8.26</v>
      </c>
      <c r="BW1347">
        <v>8.26</v>
      </c>
      <c r="BX1347">
        <v>0</v>
      </c>
      <c r="BY1347">
        <v>0</v>
      </c>
      <c r="BZ1347">
        <v>0</v>
      </c>
      <c r="CA1347">
        <v>0</v>
      </c>
      <c r="CB1347">
        <v>761.35</v>
      </c>
      <c r="CC1347" t="s">
        <v>143</v>
      </c>
    </row>
    <row r="1348" spans="1:81" x14ac:dyDescent="0.25">
      <c r="A1348">
        <v>345</v>
      </c>
      <c r="B1348">
        <v>2</v>
      </c>
      <c r="C1348">
        <v>3613</v>
      </c>
      <c r="D1348" t="s">
        <v>7690</v>
      </c>
      <c r="E1348" t="s">
        <v>121</v>
      </c>
      <c r="F1348" t="s">
        <v>7691</v>
      </c>
      <c r="G1348" t="s">
        <v>7692</v>
      </c>
      <c r="H1348" t="s">
        <v>7693</v>
      </c>
      <c r="I1348" t="s">
        <v>7694</v>
      </c>
      <c r="J1348" t="s">
        <v>1144</v>
      </c>
      <c r="K1348" t="s">
        <v>473</v>
      </c>
      <c r="L1348" t="s">
        <v>128</v>
      </c>
      <c r="M1348" t="s">
        <v>474</v>
      </c>
      <c r="N1348" t="s">
        <v>7695</v>
      </c>
      <c r="O1348" t="s">
        <v>149</v>
      </c>
      <c r="P1348">
        <v>0</v>
      </c>
      <c r="Q1348" t="s">
        <v>125</v>
      </c>
      <c r="R1348">
        <v>3</v>
      </c>
      <c r="S1348">
        <v>85</v>
      </c>
      <c r="T1348" t="s">
        <v>132</v>
      </c>
      <c r="U1348" t="s">
        <v>133</v>
      </c>
      <c r="V1348" s="1">
        <v>2900</v>
      </c>
      <c r="W1348">
        <v>0</v>
      </c>
      <c r="X1348" s="1">
        <v>2900</v>
      </c>
      <c r="Y1348">
        <v>7</v>
      </c>
      <c r="Z1348">
        <v>0</v>
      </c>
      <c r="AA1348">
        <v>0</v>
      </c>
      <c r="AB1348">
        <v>0</v>
      </c>
      <c r="AC1348">
        <v>0</v>
      </c>
      <c r="AD1348" t="s">
        <v>134</v>
      </c>
      <c r="AE1348" t="s">
        <v>134</v>
      </c>
      <c r="AF1348" s="2">
        <v>45832</v>
      </c>
      <c r="AG1348" s="2">
        <v>46021</v>
      </c>
      <c r="AH1348" s="1">
        <v>2734.06</v>
      </c>
      <c r="AI1348" s="1">
        <v>10486.67</v>
      </c>
      <c r="AJ1348" s="1">
        <v>30074.71</v>
      </c>
      <c r="AK1348" s="1">
        <v>1475.04</v>
      </c>
      <c r="AL1348">
        <v>0</v>
      </c>
      <c r="AM1348">
        <v>0</v>
      </c>
      <c r="AN1348" t="s">
        <v>135</v>
      </c>
      <c r="AO1348" t="s">
        <v>135</v>
      </c>
      <c r="AP1348" t="s">
        <v>136</v>
      </c>
      <c r="AQ1348" t="s">
        <v>137</v>
      </c>
      <c r="AR1348" t="s">
        <v>138</v>
      </c>
      <c r="AS1348" t="s">
        <v>150</v>
      </c>
      <c r="AT1348" t="s">
        <v>140</v>
      </c>
      <c r="AU1348">
        <v>105</v>
      </c>
      <c r="AV1348">
        <v>10</v>
      </c>
      <c r="AW1348">
        <v>1</v>
      </c>
      <c r="AX1348" s="2">
        <v>45838</v>
      </c>
      <c r="AY1348" t="s">
        <v>141</v>
      </c>
      <c r="AZ1348" s="2">
        <v>46027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 t="s">
        <v>135</v>
      </c>
      <c r="BH1348" t="s">
        <v>250</v>
      </c>
      <c r="BI1348" t="s">
        <v>135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 s="1">
        <v>7212.83</v>
      </c>
      <c r="BQ1348" s="1">
        <v>7212.83</v>
      </c>
      <c r="BR1348">
        <v>0</v>
      </c>
      <c r="BS1348">
        <v>0</v>
      </c>
      <c r="BT1348">
        <v>0</v>
      </c>
      <c r="BU1348">
        <v>0</v>
      </c>
      <c r="BV1348" s="1">
        <v>20140.39</v>
      </c>
      <c r="BW1348" s="1">
        <v>20140.39</v>
      </c>
      <c r="BX1348">
        <v>0</v>
      </c>
      <c r="BY1348">
        <v>0</v>
      </c>
      <c r="BZ1348">
        <v>0</v>
      </c>
      <c r="CA1348">
        <v>0</v>
      </c>
      <c r="CB1348" s="1">
        <v>3842.63</v>
      </c>
      <c r="CC1348" t="s">
        <v>161</v>
      </c>
    </row>
    <row r="1349" spans="1:81" x14ac:dyDescent="0.25">
      <c r="A1349">
        <v>345</v>
      </c>
      <c r="B1349">
        <v>2</v>
      </c>
      <c r="C1349">
        <v>3614</v>
      </c>
      <c r="D1349" t="s">
        <v>7696</v>
      </c>
      <c r="E1349" t="s">
        <v>121</v>
      </c>
      <c r="F1349" t="s">
        <v>7697</v>
      </c>
      <c r="G1349" t="s">
        <v>7698</v>
      </c>
      <c r="H1349" t="s">
        <v>7699</v>
      </c>
      <c r="I1349" t="s">
        <v>7700</v>
      </c>
      <c r="J1349" t="s">
        <v>7701</v>
      </c>
      <c r="K1349" t="s">
        <v>466</v>
      </c>
      <c r="L1349" t="s">
        <v>128</v>
      </c>
      <c r="M1349" t="s">
        <v>467</v>
      </c>
      <c r="N1349" t="s">
        <v>7702</v>
      </c>
      <c r="O1349" t="s">
        <v>167</v>
      </c>
      <c r="P1349">
        <v>0</v>
      </c>
      <c r="Q1349" t="s">
        <v>125</v>
      </c>
      <c r="R1349">
        <v>4</v>
      </c>
      <c r="S1349">
        <v>81</v>
      </c>
      <c r="T1349" t="s">
        <v>132</v>
      </c>
      <c r="U1349" t="s">
        <v>133</v>
      </c>
      <c r="V1349" s="1">
        <v>1700</v>
      </c>
      <c r="W1349">
        <v>472.1</v>
      </c>
      <c r="X1349" s="1">
        <v>1227.9000000000001</v>
      </c>
      <c r="Y1349">
        <v>7</v>
      </c>
      <c r="Z1349">
        <v>0</v>
      </c>
      <c r="AA1349">
        <v>7</v>
      </c>
      <c r="AB1349">
        <v>0</v>
      </c>
      <c r="AC1349">
        <v>4</v>
      </c>
      <c r="AD1349" t="s">
        <v>134</v>
      </c>
      <c r="AE1349" t="s">
        <v>134</v>
      </c>
      <c r="AF1349" s="2">
        <v>45832</v>
      </c>
      <c r="AG1349" s="2">
        <v>46021</v>
      </c>
      <c r="AH1349">
        <v>838.39</v>
      </c>
      <c r="AI1349" s="1">
        <v>2600</v>
      </c>
      <c r="AJ1349" s="1">
        <v>5030.3900000000003</v>
      </c>
      <c r="AK1349">
        <v>472.1</v>
      </c>
      <c r="AL1349">
        <v>0</v>
      </c>
      <c r="AM1349">
        <v>0</v>
      </c>
      <c r="AN1349" t="s">
        <v>135</v>
      </c>
      <c r="AO1349" t="s">
        <v>135</v>
      </c>
      <c r="AP1349" t="s">
        <v>136</v>
      </c>
      <c r="AQ1349" t="s">
        <v>137</v>
      </c>
      <c r="AR1349" t="s">
        <v>138</v>
      </c>
      <c r="AS1349" t="s">
        <v>139</v>
      </c>
      <c r="AT1349" t="s">
        <v>140</v>
      </c>
      <c r="AU1349">
        <v>105</v>
      </c>
      <c r="AV1349">
        <v>10</v>
      </c>
      <c r="AW1349">
        <v>1</v>
      </c>
      <c r="AX1349" s="2">
        <v>45838</v>
      </c>
      <c r="AY1349" t="s">
        <v>141</v>
      </c>
      <c r="AZ1349" s="2">
        <v>46027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 t="s">
        <v>135</v>
      </c>
      <c r="BH1349" t="s">
        <v>250</v>
      </c>
      <c r="BI1349" t="s">
        <v>135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 s="1">
        <v>1404.17</v>
      </c>
      <c r="BQ1349" s="1">
        <v>1404.17</v>
      </c>
      <c r="BR1349">
        <v>0</v>
      </c>
      <c r="BS1349">
        <v>7</v>
      </c>
      <c r="BT1349">
        <v>1.7</v>
      </c>
      <c r="BU1349">
        <v>837.07</v>
      </c>
      <c r="BV1349" s="1">
        <v>2600</v>
      </c>
      <c r="BW1349" s="1">
        <v>3437.07</v>
      </c>
      <c r="BX1349">
        <v>0</v>
      </c>
      <c r="BY1349">
        <v>0</v>
      </c>
      <c r="BZ1349">
        <v>0</v>
      </c>
      <c r="CA1349">
        <v>0</v>
      </c>
      <c r="CB1349" s="1">
        <v>1186.6099999999999</v>
      </c>
      <c r="CC1349" t="s">
        <v>161</v>
      </c>
    </row>
    <row r="1350" spans="1:81" x14ac:dyDescent="0.25">
      <c r="A1350">
        <v>345</v>
      </c>
      <c r="B1350">
        <v>2</v>
      </c>
      <c r="C1350">
        <v>3616</v>
      </c>
      <c r="D1350" t="s">
        <v>7703</v>
      </c>
      <c r="E1350" t="s">
        <v>121</v>
      </c>
      <c r="F1350" t="s">
        <v>7704</v>
      </c>
      <c r="G1350" t="s">
        <v>7705</v>
      </c>
      <c r="H1350" t="s">
        <v>7706</v>
      </c>
      <c r="I1350" t="s">
        <v>7707</v>
      </c>
      <c r="J1350" t="s">
        <v>4569</v>
      </c>
      <c r="K1350" t="s">
        <v>466</v>
      </c>
      <c r="L1350" t="s">
        <v>128</v>
      </c>
      <c r="M1350" t="s">
        <v>467</v>
      </c>
      <c r="N1350" t="s">
        <v>5813</v>
      </c>
      <c r="O1350" t="s">
        <v>159</v>
      </c>
      <c r="P1350">
        <v>0</v>
      </c>
      <c r="Q1350" t="s">
        <v>125</v>
      </c>
      <c r="R1350">
        <v>4</v>
      </c>
      <c r="S1350">
        <v>81</v>
      </c>
      <c r="T1350" t="s">
        <v>132</v>
      </c>
      <c r="U1350" t="s">
        <v>133</v>
      </c>
      <c r="V1350" s="1">
        <v>1000</v>
      </c>
      <c r="W1350">
        <v>0</v>
      </c>
      <c r="X1350" s="1">
        <v>1000</v>
      </c>
      <c r="Y1350">
        <v>7</v>
      </c>
      <c r="Z1350">
        <v>0</v>
      </c>
      <c r="AA1350">
        <v>7</v>
      </c>
      <c r="AB1350">
        <v>0</v>
      </c>
      <c r="AC1350">
        <v>0</v>
      </c>
      <c r="AD1350" t="s">
        <v>134</v>
      </c>
      <c r="AE1350" t="s">
        <v>134</v>
      </c>
      <c r="AF1350" s="2">
        <v>45833</v>
      </c>
      <c r="AG1350" s="2">
        <v>46017</v>
      </c>
      <c r="AH1350">
        <v>241.53</v>
      </c>
      <c r="AI1350">
        <v>370.39</v>
      </c>
      <c r="AJ1350" s="1">
        <v>1449.19</v>
      </c>
      <c r="AK1350">
        <v>0</v>
      </c>
      <c r="AL1350">
        <v>0</v>
      </c>
      <c r="AM1350">
        <v>0</v>
      </c>
      <c r="AN1350" t="s">
        <v>135</v>
      </c>
      <c r="AO1350" t="s">
        <v>135</v>
      </c>
      <c r="AP1350" t="s">
        <v>136</v>
      </c>
      <c r="AQ1350" t="s">
        <v>137</v>
      </c>
      <c r="AR1350" t="s">
        <v>138</v>
      </c>
      <c r="AS1350" t="s">
        <v>139</v>
      </c>
      <c r="AT1350" t="s">
        <v>140</v>
      </c>
      <c r="AU1350">
        <v>100</v>
      </c>
      <c r="AV1350">
        <v>10</v>
      </c>
      <c r="AW1350">
        <v>1</v>
      </c>
      <c r="AX1350" s="2">
        <v>45840</v>
      </c>
      <c r="AY1350" t="s">
        <v>168</v>
      </c>
      <c r="AZ1350" s="2">
        <v>46022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 t="s">
        <v>135</v>
      </c>
      <c r="BH1350" t="s">
        <v>250</v>
      </c>
      <c r="BI1350" t="s">
        <v>135</v>
      </c>
      <c r="BJ1350">
        <v>0</v>
      </c>
      <c r="BK1350">
        <v>0</v>
      </c>
      <c r="BL1350">
        <v>0</v>
      </c>
      <c r="BM1350">
        <v>7</v>
      </c>
      <c r="BN1350">
        <v>7</v>
      </c>
      <c r="BO1350">
        <v>207.24</v>
      </c>
      <c r="BP1350">
        <v>0</v>
      </c>
      <c r="BQ1350">
        <v>207.24</v>
      </c>
      <c r="BR1350">
        <v>0</v>
      </c>
      <c r="BS1350">
        <v>7</v>
      </c>
      <c r="BT1350">
        <v>7</v>
      </c>
      <c r="BU1350">
        <v>315.83999999999997</v>
      </c>
      <c r="BV1350">
        <v>0</v>
      </c>
      <c r="BW1350">
        <v>315.83999999999997</v>
      </c>
      <c r="BX1350">
        <v>157.91999999999999</v>
      </c>
      <c r="BY1350">
        <v>50</v>
      </c>
      <c r="BZ1350">
        <v>0</v>
      </c>
      <c r="CA1350">
        <v>0</v>
      </c>
      <c r="CB1350">
        <v>677.97</v>
      </c>
      <c r="CC1350" t="s">
        <v>161</v>
      </c>
    </row>
    <row r="1351" spans="1:81" x14ac:dyDescent="0.25">
      <c r="A1351">
        <v>345</v>
      </c>
      <c r="B1351">
        <v>2</v>
      </c>
      <c r="C1351">
        <v>3617</v>
      </c>
      <c r="D1351" t="s">
        <v>7708</v>
      </c>
      <c r="E1351" t="s">
        <v>121</v>
      </c>
      <c r="F1351" t="s">
        <v>7709</v>
      </c>
      <c r="G1351" t="s">
        <v>7710</v>
      </c>
      <c r="H1351" t="s">
        <v>7711</v>
      </c>
      <c r="I1351" t="s">
        <v>7712</v>
      </c>
      <c r="J1351" t="s">
        <v>7713</v>
      </c>
      <c r="K1351" t="s">
        <v>336</v>
      </c>
      <c r="L1351" t="s">
        <v>128</v>
      </c>
      <c r="M1351" t="s">
        <v>337</v>
      </c>
      <c r="N1351" t="s">
        <v>7714</v>
      </c>
      <c r="O1351" t="s">
        <v>201</v>
      </c>
      <c r="P1351">
        <v>0</v>
      </c>
      <c r="Q1351" t="s">
        <v>125</v>
      </c>
      <c r="R1351">
        <v>3</v>
      </c>
      <c r="S1351">
        <v>84</v>
      </c>
      <c r="T1351" t="s">
        <v>132</v>
      </c>
      <c r="U1351" t="s">
        <v>133</v>
      </c>
      <c r="V1351" s="1">
        <v>2100</v>
      </c>
      <c r="W1351">
        <v>717.27</v>
      </c>
      <c r="X1351" s="1">
        <v>1382.73</v>
      </c>
      <c r="Y1351">
        <v>7</v>
      </c>
      <c r="Z1351">
        <v>0</v>
      </c>
      <c r="AA1351">
        <v>7</v>
      </c>
      <c r="AB1351">
        <v>0</v>
      </c>
      <c r="AC1351">
        <v>0</v>
      </c>
      <c r="AD1351" t="s">
        <v>134</v>
      </c>
      <c r="AE1351" t="s">
        <v>134</v>
      </c>
      <c r="AF1351" s="2">
        <v>45833</v>
      </c>
      <c r="AG1351" s="2">
        <v>46014</v>
      </c>
      <c r="AH1351">
        <v>769.4</v>
      </c>
      <c r="AI1351">
        <v>919.64</v>
      </c>
      <c r="AJ1351" s="1">
        <v>4616.42</v>
      </c>
      <c r="AK1351">
        <v>0</v>
      </c>
      <c r="AL1351">
        <v>717.27</v>
      </c>
      <c r="AM1351">
        <v>0</v>
      </c>
      <c r="AN1351" t="s">
        <v>135</v>
      </c>
      <c r="AO1351" t="s">
        <v>135</v>
      </c>
      <c r="AP1351" t="s">
        <v>136</v>
      </c>
      <c r="AQ1351" t="s">
        <v>137</v>
      </c>
      <c r="AR1351" t="s">
        <v>138</v>
      </c>
      <c r="AS1351" t="s">
        <v>139</v>
      </c>
      <c r="AT1351" t="s">
        <v>140</v>
      </c>
      <c r="AU1351">
        <v>100</v>
      </c>
      <c r="AV1351">
        <v>10</v>
      </c>
      <c r="AW1351">
        <v>1</v>
      </c>
      <c r="AX1351" s="2">
        <v>45838</v>
      </c>
      <c r="AY1351" t="s">
        <v>141</v>
      </c>
      <c r="AZ1351" s="2">
        <v>46027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 t="s">
        <v>135</v>
      </c>
      <c r="BH1351" t="s">
        <v>250</v>
      </c>
      <c r="BI1351" t="s">
        <v>135</v>
      </c>
      <c r="BJ1351">
        <v>0</v>
      </c>
      <c r="BK1351">
        <v>0</v>
      </c>
      <c r="BL1351">
        <v>0</v>
      </c>
      <c r="BM1351">
        <v>7</v>
      </c>
      <c r="BN1351">
        <v>7</v>
      </c>
      <c r="BO1351">
        <v>764.49</v>
      </c>
      <c r="BP1351">
        <v>0</v>
      </c>
      <c r="BQ1351">
        <v>764.49</v>
      </c>
      <c r="BR1351">
        <v>0</v>
      </c>
      <c r="BS1351">
        <v>7</v>
      </c>
      <c r="BT1351">
        <v>7</v>
      </c>
      <c r="BU1351" s="1">
        <v>2207.6999999999998</v>
      </c>
      <c r="BV1351">
        <v>0</v>
      </c>
      <c r="BW1351" s="1">
        <v>2207.6999999999998</v>
      </c>
      <c r="BX1351">
        <v>717.27</v>
      </c>
      <c r="BY1351">
        <v>32.49</v>
      </c>
      <c r="BZ1351">
        <v>0</v>
      </c>
      <c r="CA1351">
        <v>0</v>
      </c>
      <c r="CB1351">
        <v>802.9</v>
      </c>
      <c r="CC1351" t="s">
        <v>161</v>
      </c>
    </row>
    <row r="1352" spans="1:81" x14ac:dyDescent="0.25">
      <c r="A1352">
        <v>345</v>
      </c>
      <c r="B1352">
        <v>2</v>
      </c>
      <c r="C1352">
        <v>3618</v>
      </c>
      <c r="D1352" t="s">
        <v>7715</v>
      </c>
      <c r="E1352" t="s">
        <v>121</v>
      </c>
      <c r="F1352" t="s">
        <v>7716</v>
      </c>
      <c r="G1352" t="s">
        <v>7717</v>
      </c>
      <c r="H1352" t="s">
        <v>7711</v>
      </c>
      <c r="I1352" t="s">
        <v>6701</v>
      </c>
      <c r="J1352" t="s">
        <v>7713</v>
      </c>
      <c r="K1352" t="s">
        <v>336</v>
      </c>
      <c r="L1352" t="s">
        <v>128</v>
      </c>
      <c r="M1352" t="s">
        <v>337</v>
      </c>
      <c r="N1352" t="s">
        <v>7718</v>
      </c>
      <c r="O1352" t="s">
        <v>201</v>
      </c>
      <c r="P1352">
        <v>0</v>
      </c>
      <c r="Q1352" t="s">
        <v>125</v>
      </c>
      <c r="R1352">
        <v>3</v>
      </c>
      <c r="S1352">
        <v>84</v>
      </c>
      <c r="T1352" t="s">
        <v>132</v>
      </c>
      <c r="U1352" t="s">
        <v>133</v>
      </c>
      <c r="V1352" s="1">
        <v>1000</v>
      </c>
      <c r="W1352">
        <v>0</v>
      </c>
      <c r="X1352" s="1">
        <v>1000</v>
      </c>
      <c r="Y1352">
        <v>7</v>
      </c>
      <c r="Z1352">
        <v>0</v>
      </c>
      <c r="AA1352">
        <v>0</v>
      </c>
      <c r="AB1352">
        <v>0</v>
      </c>
      <c r="AC1352">
        <v>0</v>
      </c>
      <c r="AD1352" t="s">
        <v>134</v>
      </c>
      <c r="AE1352" t="s">
        <v>134</v>
      </c>
      <c r="AF1352" s="2">
        <v>45833</v>
      </c>
      <c r="AG1352" s="2">
        <v>46014</v>
      </c>
      <c r="AH1352">
        <v>256.32</v>
      </c>
      <c r="AI1352">
        <v>450.36</v>
      </c>
      <c r="AJ1352">
        <v>768.96</v>
      </c>
      <c r="AK1352">
        <v>0</v>
      </c>
      <c r="AL1352">
        <v>0</v>
      </c>
      <c r="AM1352">
        <v>0</v>
      </c>
      <c r="AN1352" t="s">
        <v>135</v>
      </c>
      <c r="AO1352" t="s">
        <v>135</v>
      </c>
      <c r="AP1352" t="s">
        <v>136</v>
      </c>
      <c r="AQ1352" t="s">
        <v>137</v>
      </c>
      <c r="AR1352" t="s">
        <v>138</v>
      </c>
      <c r="AS1352" t="s">
        <v>139</v>
      </c>
      <c r="AT1352" t="s">
        <v>140</v>
      </c>
      <c r="AU1352">
        <v>100</v>
      </c>
      <c r="AV1352">
        <v>10</v>
      </c>
      <c r="AW1352">
        <v>1</v>
      </c>
      <c r="AX1352" s="2">
        <v>45838</v>
      </c>
      <c r="AY1352" t="s">
        <v>141</v>
      </c>
      <c r="AZ1352" s="2">
        <v>46027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 t="s">
        <v>135</v>
      </c>
      <c r="BH1352" t="s">
        <v>250</v>
      </c>
      <c r="BI1352" t="s">
        <v>135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125.07</v>
      </c>
      <c r="BQ1352">
        <v>125.07</v>
      </c>
      <c r="BR1352">
        <v>0</v>
      </c>
      <c r="BS1352">
        <v>0</v>
      </c>
      <c r="BT1352">
        <v>0</v>
      </c>
      <c r="BU1352">
        <v>0</v>
      </c>
      <c r="BV1352">
        <v>643.89</v>
      </c>
      <c r="BW1352">
        <v>643.89</v>
      </c>
      <c r="BX1352">
        <v>0</v>
      </c>
      <c r="BY1352">
        <v>0</v>
      </c>
      <c r="BZ1352">
        <v>0</v>
      </c>
      <c r="CA1352">
        <v>0</v>
      </c>
      <c r="CB1352">
        <v>121.44</v>
      </c>
      <c r="CC1352" t="s">
        <v>161</v>
      </c>
    </row>
    <row r="1353" spans="1:81" x14ac:dyDescent="0.25">
      <c r="A1353">
        <v>345</v>
      </c>
      <c r="B1353">
        <v>2</v>
      </c>
      <c r="C1353">
        <v>3619</v>
      </c>
      <c r="D1353" t="s">
        <v>7719</v>
      </c>
      <c r="E1353" t="s">
        <v>121</v>
      </c>
      <c r="F1353" t="s">
        <v>7720</v>
      </c>
      <c r="G1353" t="s">
        <v>7721</v>
      </c>
      <c r="H1353" t="s">
        <v>7711</v>
      </c>
      <c r="I1353" t="s">
        <v>7722</v>
      </c>
      <c r="J1353" t="s">
        <v>7713</v>
      </c>
      <c r="K1353" t="s">
        <v>336</v>
      </c>
      <c r="L1353" t="s">
        <v>128</v>
      </c>
      <c r="M1353" t="s">
        <v>337</v>
      </c>
      <c r="N1353" t="s">
        <v>7723</v>
      </c>
      <c r="O1353" t="s">
        <v>201</v>
      </c>
      <c r="P1353">
        <v>0</v>
      </c>
      <c r="Q1353" t="s">
        <v>125</v>
      </c>
      <c r="R1353">
        <v>3</v>
      </c>
      <c r="S1353">
        <v>84</v>
      </c>
      <c r="T1353" t="s">
        <v>132</v>
      </c>
      <c r="U1353" t="s">
        <v>133</v>
      </c>
      <c r="V1353" s="1">
        <v>1000</v>
      </c>
      <c r="W1353">
        <v>0</v>
      </c>
      <c r="X1353" s="1">
        <v>1000</v>
      </c>
      <c r="Y1353">
        <v>7</v>
      </c>
      <c r="Z1353">
        <v>0</v>
      </c>
      <c r="AA1353">
        <v>0</v>
      </c>
      <c r="AB1353">
        <v>0</v>
      </c>
      <c r="AC1353">
        <v>0</v>
      </c>
      <c r="AD1353" t="s">
        <v>134</v>
      </c>
      <c r="AE1353" t="s">
        <v>134</v>
      </c>
      <c r="AF1353" s="2">
        <v>45833</v>
      </c>
      <c r="AG1353" s="2">
        <v>46008</v>
      </c>
      <c r="AH1353">
        <v>16.52</v>
      </c>
      <c r="AI1353">
        <v>16.52</v>
      </c>
      <c r="AJ1353">
        <v>16.52</v>
      </c>
      <c r="AK1353">
        <v>0</v>
      </c>
      <c r="AL1353">
        <v>0</v>
      </c>
      <c r="AM1353">
        <v>0</v>
      </c>
      <c r="AN1353" t="s">
        <v>135</v>
      </c>
      <c r="AO1353" t="s">
        <v>135</v>
      </c>
      <c r="AP1353" t="s">
        <v>136</v>
      </c>
      <c r="AQ1353" t="s">
        <v>137</v>
      </c>
      <c r="AR1353" t="s">
        <v>138</v>
      </c>
      <c r="AS1353" t="s">
        <v>139</v>
      </c>
      <c r="AT1353" t="s">
        <v>140</v>
      </c>
      <c r="AU1353">
        <v>100</v>
      </c>
      <c r="AV1353">
        <v>10</v>
      </c>
      <c r="AW1353">
        <v>1</v>
      </c>
      <c r="AX1353" s="2">
        <v>45838</v>
      </c>
      <c r="AY1353" t="s">
        <v>141</v>
      </c>
      <c r="AZ1353" s="2">
        <v>46027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 t="s">
        <v>135</v>
      </c>
      <c r="BH1353" t="s">
        <v>250</v>
      </c>
      <c r="BI1353" t="s">
        <v>135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16.52</v>
      </c>
      <c r="BW1353">
        <v>16.52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 t="s">
        <v>161</v>
      </c>
    </row>
    <row r="1354" spans="1:81" x14ac:dyDescent="0.25">
      <c r="A1354">
        <v>345</v>
      </c>
      <c r="B1354">
        <v>2</v>
      </c>
      <c r="C1354">
        <v>3620</v>
      </c>
      <c r="D1354" t="s">
        <v>7724</v>
      </c>
      <c r="E1354" t="s">
        <v>121</v>
      </c>
      <c r="F1354" t="s">
        <v>7725</v>
      </c>
      <c r="G1354" t="s">
        <v>7726</v>
      </c>
      <c r="H1354" t="s">
        <v>7727</v>
      </c>
      <c r="I1354" t="s">
        <v>7728</v>
      </c>
      <c r="J1354" t="s">
        <v>7713</v>
      </c>
      <c r="K1354" t="s">
        <v>336</v>
      </c>
      <c r="L1354" t="s">
        <v>128</v>
      </c>
      <c r="M1354" t="s">
        <v>337</v>
      </c>
      <c r="N1354" t="s">
        <v>7729</v>
      </c>
      <c r="O1354" t="s">
        <v>201</v>
      </c>
      <c r="P1354">
        <v>0</v>
      </c>
      <c r="Q1354" t="s">
        <v>125</v>
      </c>
      <c r="R1354">
        <v>3</v>
      </c>
      <c r="S1354">
        <v>86</v>
      </c>
      <c r="T1354" t="s">
        <v>132</v>
      </c>
      <c r="U1354" t="s">
        <v>133</v>
      </c>
      <c r="V1354" s="1">
        <v>1000</v>
      </c>
      <c r="W1354">
        <v>0</v>
      </c>
      <c r="X1354" s="1">
        <v>1000</v>
      </c>
      <c r="Y1354">
        <v>7</v>
      </c>
      <c r="Z1354">
        <v>0</v>
      </c>
      <c r="AA1354">
        <v>0</v>
      </c>
      <c r="AB1354">
        <v>0</v>
      </c>
      <c r="AC1354">
        <v>0</v>
      </c>
      <c r="AD1354" t="s">
        <v>134</v>
      </c>
      <c r="AE1354" t="s">
        <v>134</v>
      </c>
      <c r="AF1354" s="2">
        <v>45833</v>
      </c>
      <c r="AG1354" s="2">
        <v>46014</v>
      </c>
      <c r="AH1354">
        <v>241.06</v>
      </c>
      <c r="AI1354">
        <v>497.31</v>
      </c>
      <c r="AJ1354" s="1">
        <v>1446.38</v>
      </c>
      <c r="AK1354">
        <v>0</v>
      </c>
      <c r="AL1354">
        <v>0</v>
      </c>
      <c r="AM1354">
        <v>0</v>
      </c>
      <c r="AN1354" t="s">
        <v>135</v>
      </c>
      <c r="AO1354" t="s">
        <v>135</v>
      </c>
      <c r="AP1354" t="s">
        <v>136</v>
      </c>
      <c r="AQ1354" t="s">
        <v>137</v>
      </c>
      <c r="AR1354" t="s">
        <v>138</v>
      </c>
      <c r="AS1354" t="s">
        <v>139</v>
      </c>
      <c r="AT1354" t="s">
        <v>140</v>
      </c>
      <c r="AU1354">
        <v>100</v>
      </c>
      <c r="AV1354">
        <v>10</v>
      </c>
      <c r="AW1354">
        <v>1</v>
      </c>
      <c r="AX1354" s="2">
        <v>45838</v>
      </c>
      <c r="AY1354" t="s">
        <v>141</v>
      </c>
      <c r="AZ1354" s="2">
        <v>46027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 t="s">
        <v>135</v>
      </c>
      <c r="BH1354" t="s">
        <v>250</v>
      </c>
      <c r="BI1354" t="s">
        <v>135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141.75</v>
      </c>
      <c r="BQ1354">
        <v>141.75</v>
      </c>
      <c r="BR1354">
        <v>0</v>
      </c>
      <c r="BS1354">
        <v>0</v>
      </c>
      <c r="BT1354">
        <v>0</v>
      </c>
      <c r="BU1354">
        <v>0</v>
      </c>
      <c r="BV1354" s="1">
        <v>1167.74</v>
      </c>
      <c r="BW1354" s="1">
        <v>1167.74</v>
      </c>
      <c r="BX1354">
        <v>0</v>
      </c>
      <c r="BY1354">
        <v>0</v>
      </c>
      <c r="BZ1354">
        <v>0</v>
      </c>
      <c r="CA1354">
        <v>0</v>
      </c>
      <c r="CB1354">
        <v>123.6</v>
      </c>
      <c r="CC1354" t="s">
        <v>161</v>
      </c>
    </row>
    <row r="1355" spans="1:81" x14ac:dyDescent="0.25">
      <c r="A1355">
        <v>345</v>
      </c>
      <c r="B1355">
        <v>2</v>
      </c>
      <c r="C1355">
        <v>3621</v>
      </c>
      <c r="D1355" t="s">
        <v>7730</v>
      </c>
      <c r="E1355" t="s">
        <v>121</v>
      </c>
      <c r="F1355" t="s">
        <v>7731</v>
      </c>
      <c r="G1355" t="s">
        <v>7732</v>
      </c>
      <c r="H1355" t="s">
        <v>7733</v>
      </c>
      <c r="I1355" t="s">
        <v>5253</v>
      </c>
      <c r="J1355" t="s">
        <v>459</v>
      </c>
      <c r="K1355" t="s">
        <v>336</v>
      </c>
      <c r="L1355" t="s">
        <v>128</v>
      </c>
      <c r="M1355" t="s">
        <v>337</v>
      </c>
      <c r="N1355" t="s">
        <v>7734</v>
      </c>
      <c r="O1355" t="s">
        <v>195</v>
      </c>
      <c r="P1355">
        <v>0</v>
      </c>
      <c r="Q1355" t="s">
        <v>125</v>
      </c>
      <c r="R1355">
        <v>3</v>
      </c>
      <c r="S1355">
        <v>82</v>
      </c>
      <c r="T1355" t="s">
        <v>132</v>
      </c>
      <c r="U1355" t="s">
        <v>133</v>
      </c>
      <c r="V1355" s="1">
        <v>1000</v>
      </c>
      <c r="W1355">
        <v>211.09</v>
      </c>
      <c r="X1355">
        <v>788.91</v>
      </c>
      <c r="Y1355">
        <v>7</v>
      </c>
      <c r="Z1355">
        <v>0</v>
      </c>
      <c r="AA1355">
        <v>7</v>
      </c>
      <c r="AB1355">
        <v>0</v>
      </c>
      <c r="AC1355">
        <v>0</v>
      </c>
      <c r="AD1355" t="s">
        <v>134</v>
      </c>
      <c r="AE1355" t="s">
        <v>134</v>
      </c>
      <c r="AF1355" s="2">
        <v>45833</v>
      </c>
      <c r="AG1355" s="2">
        <v>46021</v>
      </c>
      <c r="AH1355">
        <v>300.20999999999998</v>
      </c>
      <c r="AI1355">
        <v>537.27</v>
      </c>
      <c r="AJ1355" s="1">
        <v>1200.8399999999999</v>
      </c>
      <c r="AK1355">
        <v>0</v>
      </c>
      <c r="AL1355">
        <v>211.09</v>
      </c>
      <c r="AM1355">
        <v>0</v>
      </c>
      <c r="AN1355" t="s">
        <v>135</v>
      </c>
      <c r="AO1355" t="s">
        <v>135</v>
      </c>
      <c r="AP1355" t="s">
        <v>136</v>
      </c>
      <c r="AQ1355" t="s">
        <v>137</v>
      </c>
      <c r="AR1355" t="s">
        <v>138</v>
      </c>
      <c r="AS1355" t="s">
        <v>139</v>
      </c>
      <c r="AT1355" t="s">
        <v>140</v>
      </c>
      <c r="AU1355">
        <v>100</v>
      </c>
      <c r="AV1355">
        <v>10</v>
      </c>
      <c r="AW1355">
        <v>1</v>
      </c>
      <c r="AX1355" s="2">
        <v>45838</v>
      </c>
      <c r="AY1355" t="s">
        <v>141</v>
      </c>
      <c r="AZ1355" s="2">
        <v>46027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 t="s">
        <v>135</v>
      </c>
      <c r="BH1355" t="s">
        <v>250</v>
      </c>
      <c r="BI1355" t="s">
        <v>135</v>
      </c>
      <c r="BJ1355">
        <v>0</v>
      </c>
      <c r="BK1355">
        <v>0</v>
      </c>
      <c r="BL1355">
        <v>0</v>
      </c>
      <c r="BM1355">
        <v>7</v>
      </c>
      <c r="BN1355">
        <v>7</v>
      </c>
      <c r="BO1355">
        <v>203.42</v>
      </c>
      <c r="BP1355">
        <v>0</v>
      </c>
      <c r="BQ1355">
        <v>203.42</v>
      </c>
      <c r="BR1355">
        <v>0</v>
      </c>
      <c r="BS1355">
        <v>7</v>
      </c>
      <c r="BT1355">
        <v>7</v>
      </c>
      <c r="BU1355">
        <v>460.15</v>
      </c>
      <c r="BV1355">
        <v>0</v>
      </c>
      <c r="BW1355">
        <v>460.15</v>
      </c>
      <c r="BX1355">
        <v>211.09</v>
      </c>
      <c r="BY1355">
        <v>45.87</v>
      </c>
      <c r="BZ1355">
        <v>0</v>
      </c>
      <c r="CA1355">
        <v>0</v>
      </c>
      <c r="CB1355">
        <v>357.56</v>
      </c>
      <c r="CC1355" t="s">
        <v>161</v>
      </c>
    </row>
    <row r="1356" spans="1:81" x14ac:dyDescent="0.25">
      <c r="A1356">
        <v>345</v>
      </c>
      <c r="B1356">
        <v>2</v>
      </c>
      <c r="C1356">
        <v>3622</v>
      </c>
      <c r="D1356" t="s">
        <v>7735</v>
      </c>
      <c r="E1356" t="s">
        <v>121</v>
      </c>
      <c r="F1356" t="s">
        <v>7736</v>
      </c>
      <c r="G1356" t="s">
        <v>7737</v>
      </c>
      <c r="H1356" t="s">
        <v>7249</v>
      </c>
      <c r="I1356" t="s">
        <v>7738</v>
      </c>
      <c r="J1356" t="s">
        <v>7739</v>
      </c>
      <c r="K1356" t="s">
        <v>336</v>
      </c>
      <c r="L1356" t="s">
        <v>128</v>
      </c>
      <c r="M1356" t="s">
        <v>337</v>
      </c>
      <c r="N1356" t="s">
        <v>7740</v>
      </c>
      <c r="O1356" t="s">
        <v>619</v>
      </c>
      <c r="P1356">
        <v>0</v>
      </c>
      <c r="Q1356" t="s">
        <v>125</v>
      </c>
      <c r="R1356">
        <v>3</v>
      </c>
      <c r="S1356">
        <v>86</v>
      </c>
      <c r="T1356" t="s">
        <v>132</v>
      </c>
      <c r="U1356" t="s">
        <v>133</v>
      </c>
      <c r="V1356" s="1">
        <v>1400</v>
      </c>
      <c r="W1356">
        <v>0</v>
      </c>
      <c r="X1356" s="1">
        <v>1400</v>
      </c>
      <c r="Y1356">
        <v>7</v>
      </c>
      <c r="Z1356">
        <v>0</v>
      </c>
      <c r="AA1356">
        <v>6</v>
      </c>
      <c r="AB1356">
        <v>0</v>
      </c>
      <c r="AC1356">
        <v>0</v>
      </c>
      <c r="AD1356" t="s">
        <v>134</v>
      </c>
      <c r="AE1356" t="s">
        <v>134</v>
      </c>
      <c r="AF1356" s="2">
        <v>45833</v>
      </c>
      <c r="AG1356" s="2">
        <v>46014</v>
      </c>
      <c r="AH1356">
        <v>120.01</v>
      </c>
      <c r="AI1356">
        <v>215.79</v>
      </c>
      <c r="AJ1356">
        <v>720.07</v>
      </c>
      <c r="AK1356">
        <v>0</v>
      </c>
      <c r="AL1356">
        <v>0</v>
      </c>
      <c r="AM1356">
        <v>0</v>
      </c>
      <c r="AN1356" t="s">
        <v>135</v>
      </c>
      <c r="AO1356" t="s">
        <v>135</v>
      </c>
      <c r="AP1356" t="s">
        <v>136</v>
      </c>
      <c r="AQ1356" t="s">
        <v>137</v>
      </c>
      <c r="AR1356" t="s">
        <v>138</v>
      </c>
      <c r="AS1356" t="s">
        <v>139</v>
      </c>
      <c r="AT1356" t="s">
        <v>140</v>
      </c>
      <c r="AU1356">
        <v>100</v>
      </c>
      <c r="AV1356">
        <v>10</v>
      </c>
      <c r="AW1356">
        <v>1</v>
      </c>
      <c r="AX1356" s="2">
        <v>45838</v>
      </c>
      <c r="AY1356" t="s">
        <v>141</v>
      </c>
      <c r="AZ1356" s="2">
        <v>46027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 t="s">
        <v>135</v>
      </c>
      <c r="BH1356" t="s">
        <v>250</v>
      </c>
      <c r="BI1356" t="s">
        <v>135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202.28</v>
      </c>
      <c r="BQ1356">
        <v>202.28</v>
      </c>
      <c r="BR1356">
        <v>0</v>
      </c>
      <c r="BS1356">
        <v>6</v>
      </c>
      <c r="BT1356">
        <v>6</v>
      </c>
      <c r="BU1356">
        <v>313.02</v>
      </c>
      <c r="BV1356">
        <v>0</v>
      </c>
      <c r="BW1356">
        <v>313.02</v>
      </c>
      <c r="BX1356">
        <v>0</v>
      </c>
      <c r="BY1356">
        <v>0</v>
      </c>
      <c r="BZ1356">
        <v>0</v>
      </c>
      <c r="CA1356">
        <v>0</v>
      </c>
      <c r="CB1356">
        <v>199.56</v>
      </c>
      <c r="CC1356" t="s">
        <v>161</v>
      </c>
    </row>
    <row r="1357" spans="1:81" x14ac:dyDescent="0.25">
      <c r="A1357">
        <v>345</v>
      </c>
      <c r="B1357">
        <v>2</v>
      </c>
      <c r="C1357">
        <v>3624</v>
      </c>
      <c r="D1357" t="s">
        <v>7741</v>
      </c>
      <c r="E1357" t="s">
        <v>121</v>
      </c>
      <c r="F1357" t="s">
        <v>7742</v>
      </c>
      <c r="G1357" t="s">
        <v>7743</v>
      </c>
      <c r="H1357" t="s">
        <v>7744</v>
      </c>
      <c r="I1357" t="s">
        <v>7745</v>
      </c>
      <c r="J1357" t="s">
        <v>4569</v>
      </c>
      <c r="K1357" t="s">
        <v>466</v>
      </c>
      <c r="L1357" t="s">
        <v>128</v>
      </c>
      <c r="M1357" t="s">
        <v>467</v>
      </c>
      <c r="N1357" t="s">
        <v>7746</v>
      </c>
      <c r="O1357" t="s">
        <v>159</v>
      </c>
      <c r="P1357">
        <v>0</v>
      </c>
      <c r="Q1357" t="s">
        <v>125</v>
      </c>
      <c r="R1357">
        <v>4</v>
      </c>
      <c r="S1357">
        <v>80</v>
      </c>
      <c r="T1357" t="s">
        <v>132</v>
      </c>
      <c r="U1357" t="s">
        <v>133</v>
      </c>
      <c r="V1357" s="1">
        <v>5000</v>
      </c>
      <c r="W1357">
        <v>0</v>
      </c>
      <c r="X1357" s="1">
        <v>5000</v>
      </c>
      <c r="Y1357">
        <v>7</v>
      </c>
      <c r="Z1357">
        <v>0</v>
      </c>
      <c r="AA1357">
        <v>0</v>
      </c>
      <c r="AB1357">
        <v>0</v>
      </c>
      <c r="AC1357">
        <v>0</v>
      </c>
      <c r="AD1357" t="s">
        <v>134</v>
      </c>
      <c r="AE1357" t="s">
        <v>134</v>
      </c>
      <c r="AF1357" s="2">
        <v>45834</v>
      </c>
      <c r="AG1357" s="2">
        <v>46017</v>
      </c>
      <c r="AH1357" s="1">
        <v>3155.63</v>
      </c>
      <c r="AI1357" s="1">
        <v>5695</v>
      </c>
      <c r="AJ1357" s="1">
        <v>18933.830000000002</v>
      </c>
      <c r="AK1357">
        <v>0</v>
      </c>
      <c r="AL1357">
        <v>0</v>
      </c>
      <c r="AM1357">
        <v>0</v>
      </c>
      <c r="AN1357" t="s">
        <v>135</v>
      </c>
      <c r="AO1357" t="s">
        <v>135</v>
      </c>
      <c r="AP1357" t="s">
        <v>136</v>
      </c>
      <c r="AQ1357" t="s">
        <v>137</v>
      </c>
      <c r="AR1357" t="s">
        <v>138</v>
      </c>
      <c r="AS1357" t="s">
        <v>150</v>
      </c>
      <c r="AT1357" t="s">
        <v>140</v>
      </c>
      <c r="AU1357">
        <v>500</v>
      </c>
      <c r="AV1357">
        <v>10</v>
      </c>
      <c r="AW1357">
        <v>1</v>
      </c>
      <c r="AX1357" s="2">
        <v>45861</v>
      </c>
      <c r="AY1357" t="s">
        <v>168</v>
      </c>
      <c r="AZ1357" s="2">
        <v>46022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 t="s">
        <v>135</v>
      </c>
      <c r="BH1357" t="s">
        <v>250</v>
      </c>
      <c r="BI1357" t="s">
        <v>135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 s="1">
        <v>5446.77</v>
      </c>
      <c r="BQ1357" s="1">
        <v>5446.77</v>
      </c>
      <c r="BR1357">
        <v>0</v>
      </c>
      <c r="BS1357">
        <v>0</v>
      </c>
      <c r="BT1357">
        <v>0</v>
      </c>
      <c r="BU1357">
        <v>0</v>
      </c>
      <c r="BV1357" s="1">
        <v>9173</v>
      </c>
      <c r="BW1357" s="1">
        <v>9173</v>
      </c>
      <c r="BX1357">
        <v>0</v>
      </c>
      <c r="BY1357">
        <v>0</v>
      </c>
      <c r="BZ1357">
        <v>0</v>
      </c>
      <c r="CA1357">
        <v>0</v>
      </c>
      <c r="CB1357" s="1">
        <v>3253.61</v>
      </c>
      <c r="CC1357" t="s">
        <v>161</v>
      </c>
    </row>
    <row r="1358" spans="1:81" x14ac:dyDescent="0.25">
      <c r="A1358">
        <v>345</v>
      </c>
      <c r="B1358">
        <v>2</v>
      </c>
      <c r="C1358">
        <v>3625</v>
      </c>
      <c r="D1358" t="s">
        <v>7747</v>
      </c>
      <c r="E1358" t="s">
        <v>121</v>
      </c>
      <c r="F1358" t="s">
        <v>7748</v>
      </c>
      <c r="G1358" t="s">
        <v>7749</v>
      </c>
      <c r="H1358" t="s">
        <v>7750</v>
      </c>
      <c r="I1358" t="s">
        <v>7751</v>
      </c>
      <c r="J1358" t="s">
        <v>7752</v>
      </c>
      <c r="K1358" t="s">
        <v>336</v>
      </c>
      <c r="L1358" t="s">
        <v>128</v>
      </c>
      <c r="M1358" t="s">
        <v>337</v>
      </c>
      <c r="N1358" t="s">
        <v>7753</v>
      </c>
      <c r="O1358" t="s">
        <v>3269</v>
      </c>
      <c r="P1358">
        <v>0</v>
      </c>
      <c r="Q1358" t="s">
        <v>125</v>
      </c>
      <c r="R1358">
        <v>3</v>
      </c>
      <c r="S1358">
        <v>84</v>
      </c>
      <c r="T1358" t="s">
        <v>132</v>
      </c>
      <c r="U1358" t="s">
        <v>133</v>
      </c>
      <c r="V1358" s="1">
        <v>1000</v>
      </c>
      <c r="W1358">
        <v>0</v>
      </c>
      <c r="X1358" s="1">
        <v>1000</v>
      </c>
      <c r="Y1358">
        <v>7</v>
      </c>
      <c r="Z1358">
        <v>0</v>
      </c>
      <c r="AA1358">
        <v>0</v>
      </c>
      <c r="AB1358">
        <v>0</v>
      </c>
      <c r="AC1358">
        <v>0</v>
      </c>
      <c r="AD1358" t="s">
        <v>134</v>
      </c>
      <c r="AE1358" t="s">
        <v>134</v>
      </c>
      <c r="AF1358" s="2">
        <v>45834</v>
      </c>
      <c r="AG1358" s="2">
        <v>46015</v>
      </c>
      <c r="AH1358">
        <v>456.58</v>
      </c>
      <c r="AI1358">
        <v>543.16</v>
      </c>
      <c r="AJ1358" s="1">
        <v>4109.22</v>
      </c>
      <c r="AK1358">
        <v>0</v>
      </c>
      <c r="AL1358">
        <v>0</v>
      </c>
      <c r="AM1358">
        <v>0</v>
      </c>
      <c r="AN1358" t="s">
        <v>135</v>
      </c>
      <c r="AO1358" t="s">
        <v>135</v>
      </c>
      <c r="AP1358" t="s">
        <v>136</v>
      </c>
      <c r="AQ1358" t="s">
        <v>137</v>
      </c>
      <c r="AR1358" t="s">
        <v>138</v>
      </c>
      <c r="AS1358" t="s">
        <v>150</v>
      </c>
      <c r="AT1358" t="s">
        <v>140</v>
      </c>
      <c r="AU1358">
        <v>101</v>
      </c>
      <c r="AV1358">
        <v>10</v>
      </c>
      <c r="AW1358">
        <v>1</v>
      </c>
      <c r="AX1358" s="2">
        <v>45874</v>
      </c>
      <c r="AY1358" t="s">
        <v>377</v>
      </c>
      <c r="AZ1358" s="2">
        <v>46028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 t="s">
        <v>135</v>
      </c>
      <c r="BH1358" t="s">
        <v>250</v>
      </c>
      <c r="BI1358" t="s">
        <v>135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841.28</v>
      </c>
      <c r="BQ1358">
        <v>841.28</v>
      </c>
      <c r="BR1358">
        <v>0</v>
      </c>
      <c r="BS1358">
        <v>0</v>
      </c>
      <c r="BT1358">
        <v>0</v>
      </c>
      <c r="BU1358">
        <v>0</v>
      </c>
      <c r="BV1358">
        <v>976.84</v>
      </c>
      <c r="BW1358">
        <v>976.84</v>
      </c>
      <c r="BX1358">
        <v>0</v>
      </c>
      <c r="BY1358">
        <v>0</v>
      </c>
      <c r="BZ1358">
        <v>0</v>
      </c>
      <c r="CA1358">
        <v>0</v>
      </c>
      <c r="CB1358" s="1">
        <v>1368.79</v>
      </c>
      <c r="CC1358" t="s">
        <v>161</v>
      </c>
    </row>
    <row r="1359" spans="1:81" x14ac:dyDescent="0.25">
      <c r="A1359">
        <v>345</v>
      </c>
      <c r="B1359">
        <v>2</v>
      </c>
      <c r="C1359">
        <v>3626</v>
      </c>
      <c r="D1359" t="s">
        <v>7754</v>
      </c>
      <c r="E1359" t="s">
        <v>121</v>
      </c>
      <c r="F1359" t="s">
        <v>7755</v>
      </c>
      <c r="G1359" t="s">
        <v>7756</v>
      </c>
      <c r="H1359" t="s">
        <v>4179</v>
      </c>
      <c r="I1359" t="s">
        <v>7757</v>
      </c>
      <c r="J1359" t="s">
        <v>1622</v>
      </c>
      <c r="K1359" t="s">
        <v>336</v>
      </c>
      <c r="L1359" t="s">
        <v>128</v>
      </c>
      <c r="M1359" t="s">
        <v>337</v>
      </c>
      <c r="N1359" t="s">
        <v>7758</v>
      </c>
      <c r="O1359" t="s">
        <v>131</v>
      </c>
      <c r="P1359">
        <v>0</v>
      </c>
      <c r="Q1359" t="s">
        <v>125</v>
      </c>
      <c r="R1359">
        <v>3</v>
      </c>
      <c r="S1359">
        <v>85</v>
      </c>
      <c r="T1359" t="s">
        <v>132</v>
      </c>
      <c r="U1359" t="s">
        <v>133</v>
      </c>
      <c r="V1359" s="1">
        <v>2155</v>
      </c>
      <c r="W1359">
        <v>0</v>
      </c>
      <c r="X1359" s="1">
        <v>2155</v>
      </c>
      <c r="Y1359">
        <v>7</v>
      </c>
      <c r="Z1359">
        <v>0</v>
      </c>
      <c r="AA1359">
        <v>7</v>
      </c>
      <c r="AB1359">
        <v>0</v>
      </c>
      <c r="AC1359">
        <v>0</v>
      </c>
      <c r="AD1359" t="s">
        <v>134</v>
      </c>
      <c r="AE1359" t="s">
        <v>134</v>
      </c>
      <c r="AF1359" s="2">
        <v>45834</v>
      </c>
      <c r="AG1359" s="2">
        <v>46015</v>
      </c>
      <c r="AH1359" s="1">
        <v>1624.1</v>
      </c>
      <c r="AI1359" s="1">
        <v>3784.93</v>
      </c>
      <c r="AJ1359" s="1">
        <v>14616.93</v>
      </c>
      <c r="AK1359">
        <v>0</v>
      </c>
      <c r="AL1359">
        <v>0</v>
      </c>
      <c r="AM1359">
        <v>0</v>
      </c>
      <c r="AN1359" t="s">
        <v>135</v>
      </c>
      <c r="AO1359" t="s">
        <v>135</v>
      </c>
      <c r="AP1359" t="s">
        <v>136</v>
      </c>
      <c r="AQ1359" t="s">
        <v>137</v>
      </c>
      <c r="AR1359" t="s">
        <v>138</v>
      </c>
      <c r="AS1359" t="s">
        <v>150</v>
      </c>
      <c r="AT1359" t="s">
        <v>140</v>
      </c>
      <c r="AU1359">
        <v>101</v>
      </c>
      <c r="AV1359">
        <v>10</v>
      </c>
      <c r="AW1359">
        <v>1</v>
      </c>
      <c r="AX1359" s="2">
        <v>45993</v>
      </c>
      <c r="AY1359" t="s">
        <v>377</v>
      </c>
      <c r="AZ1359" s="2">
        <v>46028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 t="s">
        <v>135</v>
      </c>
      <c r="BH1359" t="s">
        <v>250</v>
      </c>
      <c r="BI1359" t="s">
        <v>135</v>
      </c>
      <c r="BJ1359">
        <v>0</v>
      </c>
      <c r="BK1359">
        <v>0</v>
      </c>
      <c r="BL1359">
        <v>0</v>
      </c>
      <c r="BM1359">
        <v>5.96</v>
      </c>
      <c r="BN1359">
        <v>5.45</v>
      </c>
      <c r="BO1359" s="1">
        <v>1971.37</v>
      </c>
      <c r="BP1359">
        <v>182.73</v>
      </c>
      <c r="BQ1359" s="1">
        <v>2154.1</v>
      </c>
      <c r="BR1359">
        <v>0</v>
      </c>
      <c r="BS1359">
        <v>4.7300000000000004</v>
      </c>
      <c r="BT1359">
        <v>2.4500000000000002</v>
      </c>
      <c r="BU1359" s="1">
        <v>5928.29</v>
      </c>
      <c r="BV1359" s="1">
        <v>5541.83</v>
      </c>
      <c r="BW1359" s="1">
        <v>11470.12</v>
      </c>
      <c r="BX1359">
        <v>0</v>
      </c>
      <c r="BY1359">
        <v>0</v>
      </c>
      <c r="BZ1359">
        <v>0</v>
      </c>
      <c r="CA1359">
        <v>0</v>
      </c>
      <c r="CB1359" s="1">
        <v>3483.69</v>
      </c>
      <c r="CC1359" t="s">
        <v>152</v>
      </c>
    </row>
    <row r="1360" spans="1:81" x14ac:dyDescent="0.25">
      <c r="A1360">
        <v>345</v>
      </c>
      <c r="B1360">
        <v>2</v>
      </c>
      <c r="C1360">
        <v>3627</v>
      </c>
      <c r="D1360" t="s">
        <v>7759</v>
      </c>
      <c r="E1360" t="s">
        <v>121</v>
      </c>
      <c r="F1360" t="s">
        <v>7760</v>
      </c>
      <c r="G1360" t="s">
        <v>7761</v>
      </c>
      <c r="H1360" t="s">
        <v>7762</v>
      </c>
      <c r="I1360" t="s">
        <v>7763</v>
      </c>
      <c r="J1360" t="s">
        <v>126</v>
      </c>
      <c r="K1360" t="s">
        <v>1853</v>
      </c>
      <c r="L1360" t="s">
        <v>128</v>
      </c>
      <c r="M1360" t="s">
        <v>1854</v>
      </c>
      <c r="N1360" t="s">
        <v>7764</v>
      </c>
      <c r="O1360" t="s">
        <v>149</v>
      </c>
      <c r="P1360">
        <v>0</v>
      </c>
      <c r="Q1360" t="s">
        <v>125</v>
      </c>
      <c r="R1360">
        <v>3</v>
      </c>
      <c r="S1360">
        <v>85</v>
      </c>
      <c r="T1360" t="s">
        <v>132</v>
      </c>
      <c r="U1360" t="s">
        <v>133</v>
      </c>
      <c r="V1360" s="1">
        <v>1000</v>
      </c>
      <c r="W1360">
        <v>0</v>
      </c>
      <c r="X1360" s="1">
        <v>1000</v>
      </c>
      <c r="Y1360">
        <v>7</v>
      </c>
      <c r="Z1360">
        <v>0</v>
      </c>
      <c r="AA1360">
        <v>0</v>
      </c>
      <c r="AB1360">
        <v>0</v>
      </c>
      <c r="AC1360">
        <v>0</v>
      </c>
      <c r="AD1360" t="s">
        <v>134</v>
      </c>
      <c r="AE1360" t="s">
        <v>134</v>
      </c>
      <c r="AF1360" s="2">
        <v>45834</v>
      </c>
      <c r="AG1360" s="2">
        <v>46018</v>
      </c>
      <c r="AH1360">
        <v>237.11</v>
      </c>
      <c r="AI1360">
        <v>397.99</v>
      </c>
      <c r="AJ1360">
        <v>948.45</v>
      </c>
      <c r="AK1360">
        <v>0</v>
      </c>
      <c r="AL1360">
        <v>0</v>
      </c>
      <c r="AM1360">
        <v>0</v>
      </c>
      <c r="AN1360" t="s">
        <v>135</v>
      </c>
      <c r="AO1360" t="s">
        <v>135</v>
      </c>
      <c r="AP1360" t="s">
        <v>136</v>
      </c>
      <c r="AQ1360" t="s">
        <v>137</v>
      </c>
      <c r="AR1360" t="s">
        <v>138</v>
      </c>
      <c r="AS1360" t="s">
        <v>139</v>
      </c>
      <c r="AT1360" t="s">
        <v>140</v>
      </c>
      <c r="AU1360">
        <v>103</v>
      </c>
      <c r="AV1360">
        <v>10</v>
      </c>
      <c r="AW1360">
        <v>1</v>
      </c>
      <c r="AX1360" s="2">
        <v>45876</v>
      </c>
      <c r="AY1360" t="s">
        <v>308</v>
      </c>
      <c r="AZ1360" s="2">
        <v>46023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 t="s">
        <v>135</v>
      </c>
      <c r="BH1360" t="s">
        <v>250</v>
      </c>
      <c r="BI1360" t="s">
        <v>135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397.99</v>
      </c>
      <c r="BQ1360">
        <v>397.99</v>
      </c>
      <c r="BR1360">
        <v>0</v>
      </c>
      <c r="BS1360">
        <v>0</v>
      </c>
      <c r="BT1360">
        <v>0</v>
      </c>
      <c r="BU1360">
        <v>0</v>
      </c>
      <c r="BV1360">
        <v>535.16</v>
      </c>
      <c r="BW1360">
        <v>535.16</v>
      </c>
      <c r="BX1360">
        <v>0</v>
      </c>
      <c r="BY1360">
        <v>0</v>
      </c>
      <c r="BZ1360">
        <v>0</v>
      </c>
      <c r="CA1360">
        <v>0</v>
      </c>
      <c r="CB1360">
        <v>157.09</v>
      </c>
      <c r="CC1360" t="s">
        <v>161</v>
      </c>
    </row>
    <row r="1361" spans="1:81" x14ac:dyDescent="0.25">
      <c r="A1361">
        <v>345</v>
      </c>
      <c r="B1361">
        <v>2</v>
      </c>
      <c r="C1361">
        <v>3628</v>
      </c>
      <c r="D1361" t="s">
        <v>7765</v>
      </c>
      <c r="E1361" t="s">
        <v>121</v>
      </c>
      <c r="F1361" t="s">
        <v>7560</v>
      </c>
      <c r="G1361" t="s">
        <v>7766</v>
      </c>
      <c r="H1361" t="s">
        <v>7767</v>
      </c>
      <c r="I1361" t="s">
        <v>7768</v>
      </c>
      <c r="J1361" t="s">
        <v>126</v>
      </c>
      <c r="K1361" t="s">
        <v>1853</v>
      </c>
      <c r="L1361" t="s">
        <v>128</v>
      </c>
      <c r="M1361" t="s">
        <v>1854</v>
      </c>
      <c r="N1361" t="s">
        <v>7769</v>
      </c>
      <c r="O1361" t="s">
        <v>159</v>
      </c>
      <c r="P1361">
        <v>0</v>
      </c>
      <c r="Q1361" t="s">
        <v>125</v>
      </c>
      <c r="R1361">
        <v>4</v>
      </c>
      <c r="S1361">
        <v>80</v>
      </c>
      <c r="T1361" t="s">
        <v>132</v>
      </c>
      <c r="U1361" t="s">
        <v>133</v>
      </c>
      <c r="V1361" s="1">
        <v>3100</v>
      </c>
      <c r="W1361" s="1">
        <v>2206.1799999999998</v>
      </c>
      <c r="X1361">
        <v>893.82</v>
      </c>
      <c r="Y1361">
        <v>7</v>
      </c>
      <c r="Z1361">
        <v>0</v>
      </c>
      <c r="AA1361">
        <v>7</v>
      </c>
      <c r="AB1361">
        <v>0</v>
      </c>
      <c r="AC1361">
        <v>0</v>
      </c>
      <c r="AD1361" t="s">
        <v>134</v>
      </c>
      <c r="AE1361" t="s">
        <v>134</v>
      </c>
      <c r="AF1361" s="2">
        <v>45834</v>
      </c>
      <c r="AG1361" s="2">
        <v>46020</v>
      </c>
      <c r="AH1361" s="1">
        <v>1316.04</v>
      </c>
      <c r="AI1361" s="1">
        <v>2206.1799999999998</v>
      </c>
      <c r="AJ1361" s="1">
        <v>3948.12</v>
      </c>
      <c r="AK1361">
        <v>0</v>
      </c>
      <c r="AL1361" s="1">
        <v>2206.1799999999998</v>
      </c>
      <c r="AM1361">
        <v>0</v>
      </c>
      <c r="AN1361" t="s">
        <v>135</v>
      </c>
      <c r="AO1361" t="s">
        <v>135</v>
      </c>
      <c r="AP1361" t="s">
        <v>136</v>
      </c>
      <c r="AQ1361" t="s">
        <v>137</v>
      </c>
      <c r="AR1361" t="s">
        <v>138</v>
      </c>
      <c r="AS1361" t="s">
        <v>150</v>
      </c>
      <c r="AT1361" t="s">
        <v>140</v>
      </c>
      <c r="AU1361">
        <v>103</v>
      </c>
      <c r="AV1361">
        <v>10</v>
      </c>
      <c r="AW1361">
        <v>1</v>
      </c>
      <c r="AX1361" s="2">
        <v>45948</v>
      </c>
      <c r="AY1361" t="s">
        <v>160</v>
      </c>
      <c r="AZ1361" s="2">
        <v>46025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 t="s">
        <v>135</v>
      </c>
      <c r="BH1361" t="s">
        <v>250</v>
      </c>
      <c r="BI1361" t="s">
        <v>135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786.7</v>
      </c>
      <c r="BQ1361">
        <v>786.7</v>
      </c>
      <c r="BR1361">
        <v>0</v>
      </c>
      <c r="BS1361">
        <v>7</v>
      </c>
      <c r="BT1361">
        <v>7</v>
      </c>
      <c r="BU1361" s="1">
        <v>2206.1799999999998</v>
      </c>
      <c r="BV1361">
        <v>0</v>
      </c>
      <c r="BW1361" s="1">
        <v>2206.1799999999998</v>
      </c>
      <c r="BX1361" s="1">
        <v>2206.1799999999998</v>
      </c>
      <c r="BY1361">
        <v>100</v>
      </c>
      <c r="BZ1361">
        <v>0</v>
      </c>
      <c r="CA1361">
        <v>0</v>
      </c>
      <c r="CB1361" s="1">
        <v>1243.99</v>
      </c>
      <c r="CC1361" t="s">
        <v>161</v>
      </c>
    </row>
    <row r="1362" spans="1:81" x14ac:dyDescent="0.25">
      <c r="A1362">
        <v>345</v>
      </c>
      <c r="B1362">
        <v>2</v>
      </c>
      <c r="C1362">
        <v>3631</v>
      </c>
      <c r="D1362" t="s">
        <v>7770</v>
      </c>
      <c r="E1362" t="s">
        <v>121</v>
      </c>
      <c r="F1362" t="s">
        <v>7771</v>
      </c>
      <c r="G1362" t="s">
        <v>7772</v>
      </c>
      <c r="H1362" t="s">
        <v>7773</v>
      </c>
      <c r="I1362" t="s">
        <v>7774</v>
      </c>
      <c r="J1362" t="s">
        <v>126</v>
      </c>
      <c r="K1362" t="s">
        <v>1853</v>
      </c>
      <c r="L1362" t="s">
        <v>128</v>
      </c>
      <c r="M1362" t="s">
        <v>1854</v>
      </c>
      <c r="N1362" t="s">
        <v>7775</v>
      </c>
      <c r="O1362" t="s">
        <v>201</v>
      </c>
      <c r="P1362">
        <v>0</v>
      </c>
      <c r="Q1362" t="s">
        <v>125</v>
      </c>
      <c r="R1362">
        <v>3</v>
      </c>
      <c r="S1362">
        <v>84</v>
      </c>
      <c r="T1362" t="s">
        <v>132</v>
      </c>
      <c r="U1362" t="s">
        <v>133</v>
      </c>
      <c r="V1362" s="1">
        <v>2100</v>
      </c>
      <c r="W1362">
        <v>0</v>
      </c>
      <c r="X1362" s="1">
        <v>2100</v>
      </c>
      <c r="Y1362">
        <v>7</v>
      </c>
      <c r="Z1362">
        <v>0</v>
      </c>
      <c r="AA1362">
        <v>0</v>
      </c>
      <c r="AB1362">
        <v>0</v>
      </c>
      <c r="AC1362">
        <v>0</v>
      </c>
      <c r="AD1362" t="s">
        <v>134</v>
      </c>
      <c r="AE1362" t="s">
        <v>134</v>
      </c>
      <c r="AF1362" s="2">
        <v>45835</v>
      </c>
      <c r="AG1362" s="2">
        <v>46007</v>
      </c>
      <c r="AH1362">
        <v>408.78</v>
      </c>
      <c r="AI1362">
        <v>411.3</v>
      </c>
      <c r="AJ1362">
        <v>817.56</v>
      </c>
      <c r="AK1362">
        <v>0</v>
      </c>
      <c r="AL1362">
        <v>0</v>
      </c>
      <c r="AM1362">
        <v>0</v>
      </c>
      <c r="AN1362" t="s">
        <v>135</v>
      </c>
      <c r="AO1362" t="s">
        <v>135</v>
      </c>
      <c r="AP1362" t="s">
        <v>136</v>
      </c>
      <c r="AQ1362" t="s">
        <v>137</v>
      </c>
      <c r="AR1362" t="s">
        <v>138</v>
      </c>
      <c r="AS1362" t="s">
        <v>139</v>
      </c>
      <c r="AT1362" t="s">
        <v>140</v>
      </c>
      <c r="AU1362">
        <v>103</v>
      </c>
      <c r="AV1362">
        <v>10</v>
      </c>
      <c r="AW1362">
        <v>1</v>
      </c>
      <c r="AX1362" s="2">
        <v>45838</v>
      </c>
      <c r="AY1362" t="s">
        <v>141</v>
      </c>
      <c r="AZ1362" s="2">
        <v>46027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 t="s">
        <v>135</v>
      </c>
      <c r="BH1362" t="s">
        <v>250</v>
      </c>
      <c r="BI1362" t="s">
        <v>135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411.3</v>
      </c>
      <c r="BQ1362">
        <v>411.3</v>
      </c>
      <c r="BR1362">
        <v>0</v>
      </c>
      <c r="BS1362">
        <v>0</v>
      </c>
      <c r="BT1362">
        <v>0</v>
      </c>
      <c r="BU1362">
        <v>0</v>
      </c>
      <c r="BV1362">
        <v>406.26</v>
      </c>
      <c r="BW1362">
        <v>406.26</v>
      </c>
      <c r="BX1362">
        <v>0</v>
      </c>
      <c r="BY1362">
        <v>0</v>
      </c>
      <c r="BZ1362">
        <v>0</v>
      </c>
      <c r="CA1362">
        <v>0</v>
      </c>
      <c r="CB1362">
        <v>677.54</v>
      </c>
      <c r="CC1362" t="s">
        <v>143</v>
      </c>
    </row>
    <row r="1363" spans="1:81" x14ac:dyDescent="0.25">
      <c r="A1363">
        <v>345</v>
      </c>
      <c r="B1363">
        <v>2</v>
      </c>
      <c r="C1363">
        <v>3632</v>
      </c>
      <c r="D1363" t="s">
        <v>7776</v>
      </c>
      <c r="E1363" t="s">
        <v>121</v>
      </c>
      <c r="F1363" t="s">
        <v>7777</v>
      </c>
      <c r="G1363" t="s">
        <v>7778</v>
      </c>
      <c r="H1363" t="s">
        <v>7779</v>
      </c>
      <c r="I1363" t="s">
        <v>7780</v>
      </c>
      <c r="J1363" t="s">
        <v>126</v>
      </c>
      <c r="K1363" t="s">
        <v>1853</v>
      </c>
      <c r="L1363" t="s">
        <v>128</v>
      </c>
      <c r="M1363" t="s">
        <v>1854</v>
      </c>
      <c r="N1363" t="s">
        <v>7781</v>
      </c>
      <c r="O1363" t="s">
        <v>159</v>
      </c>
      <c r="P1363">
        <v>0</v>
      </c>
      <c r="Q1363" t="s">
        <v>125</v>
      </c>
      <c r="R1363">
        <v>4</v>
      </c>
      <c r="S1363">
        <v>79</v>
      </c>
      <c r="T1363" t="s">
        <v>132</v>
      </c>
      <c r="U1363" t="s">
        <v>133</v>
      </c>
      <c r="V1363" s="1">
        <v>1300</v>
      </c>
      <c r="W1363">
        <v>0</v>
      </c>
      <c r="X1363" s="1">
        <v>1300</v>
      </c>
      <c r="Y1363">
        <v>7</v>
      </c>
      <c r="Z1363">
        <v>0</v>
      </c>
      <c r="AA1363">
        <v>0</v>
      </c>
      <c r="AB1363">
        <v>0</v>
      </c>
      <c r="AC1363">
        <v>0</v>
      </c>
      <c r="AD1363" t="s">
        <v>134</v>
      </c>
      <c r="AE1363" t="s">
        <v>134</v>
      </c>
      <c r="AF1363" s="2">
        <v>45835</v>
      </c>
      <c r="AG1363" s="2">
        <v>46014</v>
      </c>
      <c r="AH1363">
        <v>104.37</v>
      </c>
      <c r="AI1363">
        <v>104.37</v>
      </c>
      <c r="AJ1363">
        <v>104.37</v>
      </c>
      <c r="AK1363">
        <v>0</v>
      </c>
      <c r="AL1363">
        <v>0</v>
      </c>
      <c r="AM1363">
        <v>0</v>
      </c>
      <c r="AN1363" t="s">
        <v>135</v>
      </c>
      <c r="AO1363" t="s">
        <v>135</v>
      </c>
      <c r="AP1363" t="s">
        <v>136</v>
      </c>
      <c r="AQ1363" t="s">
        <v>137</v>
      </c>
      <c r="AR1363" t="s">
        <v>138</v>
      </c>
      <c r="AS1363" t="s">
        <v>150</v>
      </c>
      <c r="AT1363" t="s">
        <v>140</v>
      </c>
      <c r="AU1363">
        <v>103</v>
      </c>
      <c r="AV1363">
        <v>10</v>
      </c>
      <c r="AW1363">
        <v>1</v>
      </c>
      <c r="AX1363" s="2">
        <v>45838</v>
      </c>
      <c r="AY1363" t="s">
        <v>141</v>
      </c>
      <c r="AZ1363" s="2">
        <v>46027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 t="s">
        <v>135</v>
      </c>
      <c r="BH1363" t="s">
        <v>250</v>
      </c>
      <c r="BI1363" t="s">
        <v>135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104.37</v>
      </c>
      <c r="BW1363">
        <v>104.37</v>
      </c>
      <c r="BX1363">
        <v>0</v>
      </c>
      <c r="BY1363">
        <v>0</v>
      </c>
      <c r="BZ1363">
        <v>0</v>
      </c>
      <c r="CA1363">
        <v>0</v>
      </c>
      <c r="CB1363">
        <v>145.04</v>
      </c>
      <c r="CC1363" t="s">
        <v>161</v>
      </c>
    </row>
    <row r="1364" spans="1:81" x14ac:dyDescent="0.25">
      <c r="A1364">
        <v>345</v>
      </c>
      <c r="B1364">
        <v>2</v>
      </c>
      <c r="C1364">
        <v>3634</v>
      </c>
      <c r="D1364" t="s">
        <v>7782</v>
      </c>
      <c r="E1364" t="s">
        <v>121</v>
      </c>
      <c r="F1364" t="s">
        <v>7783</v>
      </c>
      <c r="G1364" t="s">
        <v>7784</v>
      </c>
      <c r="H1364" t="s">
        <v>7785</v>
      </c>
      <c r="I1364" t="s">
        <v>7786</v>
      </c>
      <c r="J1364" t="s">
        <v>4569</v>
      </c>
      <c r="K1364" t="s">
        <v>466</v>
      </c>
      <c r="L1364" t="s">
        <v>128</v>
      </c>
      <c r="M1364" t="s">
        <v>467</v>
      </c>
      <c r="N1364" t="s">
        <v>7787</v>
      </c>
      <c r="O1364" t="s">
        <v>296</v>
      </c>
      <c r="P1364">
        <v>0</v>
      </c>
      <c r="Q1364" t="s">
        <v>125</v>
      </c>
      <c r="R1364">
        <v>3</v>
      </c>
      <c r="S1364">
        <v>85</v>
      </c>
      <c r="T1364" t="s">
        <v>132</v>
      </c>
      <c r="U1364" t="s">
        <v>133</v>
      </c>
      <c r="V1364" s="1">
        <v>1700</v>
      </c>
      <c r="W1364">
        <v>627.19000000000005</v>
      </c>
      <c r="X1364" s="1">
        <v>1072.81</v>
      </c>
      <c r="Y1364">
        <v>7</v>
      </c>
      <c r="Z1364">
        <v>0</v>
      </c>
      <c r="AA1364">
        <v>7</v>
      </c>
      <c r="AB1364">
        <v>0</v>
      </c>
      <c r="AC1364">
        <v>0</v>
      </c>
      <c r="AD1364" t="s">
        <v>134</v>
      </c>
      <c r="AE1364" t="s">
        <v>134</v>
      </c>
      <c r="AF1364" s="2">
        <v>45838</v>
      </c>
      <c r="AG1364" s="2">
        <v>46017</v>
      </c>
      <c r="AH1364">
        <v>281.81</v>
      </c>
      <c r="AI1364">
        <v>441.27</v>
      </c>
      <c r="AJ1364" s="1">
        <v>1972.71</v>
      </c>
      <c r="AK1364">
        <v>0</v>
      </c>
      <c r="AL1364">
        <v>627.19000000000005</v>
      </c>
      <c r="AM1364">
        <v>0</v>
      </c>
      <c r="AN1364" t="s">
        <v>135</v>
      </c>
      <c r="AO1364" t="s">
        <v>135</v>
      </c>
      <c r="AP1364" t="s">
        <v>136</v>
      </c>
      <c r="AQ1364" t="s">
        <v>137</v>
      </c>
      <c r="AR1364" t="s">
        <v>138</v>
      </c>
      <c r="AS1364" t="s">
        <v>139</v>
      </c>
      <c r="AT1364" t="s">
        <v>140</v>
      </c>
      <c r="AU1364">
        <v>103</v>
      </c>
      <c r="AV1364">
        <v>10</v>
      </c>
      <c r="AW1364">
        <v>1</v>
      </c>
      <c r="AX1364" s="2">
        <v>45839</v>
      </c>
      <c r="AY1364" t="s">
        <v>377</v>
      </c>
      <c r="AZ1364" s="2">
        <v>46028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 t="s">
        <v>135</v>
      </c>
      <c r="BH1364" t="s">
        <v>250</v>
      </c>
      <c r="BI1364" t="s">
        <v>135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284.52</v>
      </c>
      <c r="BQ1364">
        <v>284.52</v>
      </c>
      <c r="BR1364">
        <v>0</v>
      </c>
      <c r="BS1364">
        <v>7</v>
      </c>
      <c r="BT1364">
        <v>6.51</v>
      </c>
      <c r="BU1364" s="1">
        <v>1167.24</v>
      </c>
      <c r="BV1364">
        <v>87.89</v>
      </c>
      <c r="BW1364" s="1">
        <v>1255.1300000000001</v>
      </c>
      <c r="BX1364">
        <v>627.19000000000005</v>
      </c>
      <c r="BY1364">
        <v>53.73</v>
      </c>
      <c r="BZ1364">
        <v>0</v>
      </c>
      <c r="CA1364">
        <v>0</v>
      </c>
      <c r="CB1364">
        <v>369.88</v>
      </c>
      <c r="CC1364" t="s">
        <v>161</v>
      </c>
    </row>
    <row r="1365" spans="1:81" x14ac:dyDescent="0.25">
      <c r="A1365">
        <v>345</v>
      </c>
      <c r="B1365">
        <v>2</v>
      </c>
      <c r="C1365">
        <v>3635</v>
      </c>
      <c r="D1365" t="s">
        <v>7788</v>
      </c>
      <c r="E1365" t="s">
        <v>121</v>
      </c>
      <c r="F1365" t="s">
        <v>7789</v>
      </c>
      <c r="G1365" t="s">
        <v>7790</v>
      </c>
      <c r="H1365" t="s">
        <v>7791</v>
      </c>
      <c r="I1365" t="s">
        <v>7792</v>
      </c>
      <c r="J1365" t="s">
        <v>825</v>
      </c>
      <c r="K1365" t="s">
        <v>336</v>
      </c>
      <c r="L1365" t="s">
        <v>128</v>
      </c>
      <c r="M1365" t="s">
        <v>337</v>
      </c>
      <c r="N1365" t="s">
        <v>7793</v>
      </c>
      <c r="O1365" t="s">
        <v>167</v>
      </c>
      <c r="P1365">
        <v>0</v>
      </c>
      <c r="Q1365" t="s">
        <v>125</v>
      </c>
      <c r="R1365">
        <v>4</v>
      </c>
      <c r="S1365">
        <v>81</v>
      </c>
      <c r="T1365" t="s">
        <v>132</v>
      </c>
      <c r="U1365" t="s">
        <v>133</v>
      </c>
      <c r="V1365" s="1">
        <v>1300</v>
      </c>
      <c r="W1365">
        <v>0</v>
      </c>
      <c r="X1365" s="1">
        <v>1300</v>
      </c>
      <c r="Y1365">
        <v>7</v>
      </c>
      <c r="Z1365">
        <v>0</v>
      </c>
      <c r="AA1365">
        <v>0</v>
      </c>
      <c r="AB1365">
        <v>0</v>
      </c>
      <c r="AC1365">
        <v>0</v>
      </c>
      <c r="AD1365" t="s">
        <v>134</v>
      </c>
      <c r="AE1365" t="s">
        <v>134</v>
      </c>
      <c r="AF1365" s="2">
        <v>45838</v>
      </c>
      <c r="AG1365" s="2">
        <v>46007</v>
      </c>
      <c r="AH1365">
        <v>173.29</v>
      </c>
      <c r="AI1365">
        <v>188.18</v>
      </c>
      <c r="AJ1365">
        <v>693.16</v>
      </c>
      <c r="AK1365">
        <v>0</v>
      </c>
      <c r="AL1365">
        <v>0</v>
      </c>
      <c r="AM1365">
        <v>0</v>
      </c>
      <c r="AN1365" t="s">
        <v>135</v>
      </c>
      <c r="AO1365" t="s">
        <v>135</v>
      </c>
      <c r="AP1365" t="s">
        <v>136</v>
      </c>
      <c r="AQ1365" t="s">
        <v>137</v>
      </c>
      <c r="AR1365" t="s">
        <v>138</v>
      </c>
      <c r="AS1365" t="s">
        <v>139</v>
      </c>
      <c r="AT1365" t="s">
        <v>140</v>
      </c>
      <c r="AU1365">
        <v>101</v>
      </c>
      <c r="AV1365">
        <v>10</v>
      </c>
      <c r="AW1365">
        <v>1</v>
      </c>
      <c r="AX1365" s="2">
        <v>45845</v>
      </c>
      <c r="AY1365" t="s">
        <v>141</v>
      </c>
      <c r="AZ1365" s="2">
        <v>46027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 t="s">
        <v>135</v>
      </c>
      <c r="BH1365" t="s">
        <v>250</v>
      </c>
      <c r="BI1365" t="s">
        <v>135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355.46</v>
      </c>
      <c r="BQ1365">
        <v>355.46</v>
      </c>
      <c r="BR1365">
        <v>0</v>
      </c>
      <c r="BS1365">
        <v>0</v>
      </c>
      <c r="BT1365">
        <v>0</v>
      </c>
      <c r="BU1365">
        <v>0</v>
      </c>
      <c r="BV1365">
        <v>337.7</v>
      </c>
      <c r="BW1365">
        <v>337.7</v>
      </c>
      <c r="BX1365">
        <v>0</v>
      </c>
      <c r="BY1365">
        <v>0</v>
      </c>
      <c r="BZ1365">
        <v>0</v>
      </c>
      <c r="CA1365">
        <v>0</v>
      </c>
      <c r="CB1365">
        <v>310.02999999999997</v>
      </c>
      <c r="CC1365" t="s">
        <v>161</v>
      </c>
    </row>
    <row r="1366" spans="1:81" x14ac:dyDescent="0.25">
      <c r="A1366">
        <v>345</v>
      </c>
      <c r="B1366">
        <v>2</v>
      </c>
      <c r="C1366">
        <v>3636</v>
      </c>
      <c r="D1366" t="s">
        <v>7794</v>
      </c>
      <c r="E1366" t="s">
        <v>121</v>
      </c>
      <c r="F1366" t="s">
        <v>7795</v>
      </c>
      <c r="G1366" t="s">
        <v>7796</v>
      </c>
      <c r="H1366" t="s">
        <v>7797</v>
      </c>
      <c r="I1366" t="s">
        <v>5494</v>
      </c>
      <c r="J1366" t="s">
        <v>992</v>
      </c>
      <c r="K1366" t="s">
        <v>466</v>
      </c>
      <c r="L1366" t="s">
        <v>128</v>
      </c>
      <c r="M1366" t="s">
        <v>467</v>
      </c>
      <c r="N1366" t="s">
        <v>7798</v>
      </c>
      <c r="O1366" t="s">
        <v>167</v>
      </c>
      <c r="P1366">
        <v>0</v>
      </c>
      <c r="Q1366" t="s">
        <v>125</v>
      </c>
      <c r="R1366">
        <v>4</v>
      </c>
      <c r="S1366">
        <v>79</v>
      </c>
      <c r="T1366" t="s">
        <v>132</v>
      </c>
      <c r="U1366" t="s">
        <v>133</v>
      </c>
      <c r="V1366" s="1">
        <v>1100</v>
      </c>
      <c r="W1366">
        <v>0</v>
      </c>
      <c r="X1366" s="1">
        <v>1100</v>
      </c>
      <c r="Y1366">
        <v>7</v>
      </c>
      <c r="Z1366">
        <v>0</v>
      </c>
      <c r="AA1366">
        <v>9</v>
      </c>
      <c r="AB1366">
        <v>0</v>
      </c>
      <c r="AC1366">
        <v>0</v>
      </c>
      <c r="AD1366" t="s">
        <v>134</v>
      </c>
      <c r="AE1366" t="s">
        <v>134</v>
      </c>
      <c r="AF1366" s="2">
        <v>45838</v>
      </c>
      <c r="AG1366" s="2">
        <v>46018</v>
      </c>
      <c r="AH1366">
        <v>695.43</v>
      </c>
      <c r="AI1366" s="1">
        <v>1001.73</v>
      </c>
      <c r="AJ1366" s="1">
        <v>4172.58</v>
      </c>
      <c r="AK1366">
        <v>0</v>
      </c>
      <c r="AL1366">
        <v>0</v>
      </c>
      <c r="AM1366">
        <v>0</v>
      </c>
      <c r="AN1366" t="s">
        <v>135</v>
      </c>
      <c r="AO1366" t="s">
        <v>135</v>
      </c>
      <c r="AP1366" t="s">
        <v>136</v>
      </c>
      <c r="AQ1366" t="s">
        <v>137</v>
      </c>
      <c r="AR1366" t="s">
        <v>138</v>
      </c>
      <c r="AS1366" t="s">
        <v>150</v>
      </c>
      <c r="AT1366" t="s">
        <v>140</v>
      </c>
      <c r="AU1366">
        <v>100</v>
      </c>
      <c r="AV1366">
        <v>10</v>
      </c>
      <c r="AW1366">
        <v>1</v>
      </c>
      <c r="AX1366" s="2">
        <v>45848</v>
      </c>
      <c r="AY1366" t="s">
        <v>308</v>
      </c>
      <c r="AZ1366" s="2">
        <v>46023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 t="s">
        <v>135</v>
      </c>
      <c r="BH1366" t="s">
        <v>250</v>
      </c>
      <c r="BI1366" t="s">
        <v>135</v>
      </c>
      <c r="BJ1366">
        <v>0</v>
      </c>
      <c r="BK1366">
        <v>0</v>
      </c>
      <c r="BL1366">
        <v>0</v>
      </c>
      <c r="BM1366">
        <v>7</v>
      </c>
      <c r="BN1366">
        <v>7</v>
      </c>
      <c r="BO1366">
        <v>703.17</v>
      </c>
      <c r="BP1366">
        <v>0</v>
      </c>
      <c r="BQ1366">
        <v>703.17</v>
      </c>
      <c r="BR1366">
        <v>0</v>
      </c>
      <c r="BS1366">
        <v>7.27</v>
      </c>
      <c r="BT1366">
        <v>7.27</v>
      </c>
      <c r="BU1366" s="1">
        <v>2186.7600000000002</v>
      </c>
      <c r="BV1366">
        <v>0</v>
      </c>
      <c r="BW1366" s="1">
        <v>2186.7600000000002</v>
      </c>
      <c r="BX1366">
        <v>292.54000000000002</v>
      </c>
      <c r="BY1366">
        <v>13.38</v>
      </c>
      <c r="BZ1366">
        <v>0</v>
      </c>
      <c r="CA1366">
        <v>0</v>
      </c>
      <c r="CB1366">
        <v>784.79</v>
      </c>
      <c r="CC1366" t="s">
        <v>161</v>
      </c>
    </row>
    <row r="1367" spans="1:81" x14ac:dyDescent="0.25">
      <c r="A1367">
        <v>345</v>
      </c>
      <c r="B1367">
        <v>2</v>
      </c>
      <c r="C1367">
        <v>3637</v>
      </c>
      <c r="D1367" t="s">
        <v>7799</v>
      </c>
      <c r="E1367" t="s">
        <v>121</v>
      </c>
      <c r="F1367" t="s">
        <v>1422</v>
      </c>
      <c r="G1367" t="s">
        <v>7800</v>
      </c>
      <c r="H1367" t="s">
        <v>7801</v>
      </c>
      <c r="I1367" t="s">
        <v>7802</v>
      </c>
      <c r="J1367" t="s">
        <v>5517</v>
      </c>
      <c r="K1367" t="s">
        <v>336</v>
      </c>
      <c r="L1367" t="s">
        <v>128</v>
      </c>
      <c r="M1367" t="s">
        <v>337</v>
      </c>
      <c r="N1367" t="s">
        <v>7803</v>
      </c>
      <c r="O1367" t="s">
        <v>201</v>
      </c>
      <c r="P1367">
        <v>0</v>
      </c>
      <c r="Q1367" t="s">
        <v>125</v>
      </c>
      <c r="R1367">
        <v>3</v>
      </c>
      <c r="S1367">
        <v>84</v>
      </c>
      <c r="T1367" t="s">
        <v>132</v>
      </c>
      <c r="U1367" t="s">
        <v>133</v>
      </c>
      <c r="V1367" s="1">
        <v>1000</v>
      </c>
      <c r="W1367">
        <v>0</v>
      </c>
      <c r="X1367" s="1">
        <v>1000</v>
      </c>
      <c r="Y1367">
        <v>7</v>
      </c>
      <c r="Z1367">
        <v>0</v>
      </c>
      <c r="AA1367">
        <v>0</v>
      </c>
      <c r="AB1367">
        <v>0</v>
      </c>
      <c r="AC1367">
        <v>0</v>
      </c>
      <c r="AD1367" t="s">
        <v>134</v>
      </c>
      <c r="AE1367" t="s">
        <v>134</v>
      </c>
      <c r="AF1367" s="2">
        <v>45838</v>
      </c>
      <c r="AG1367" s="2">
        <v>46014</v>
      </c>
      <c r="AH1367">
        <v>215.97</v>
      </c>
      <c r="AI1367">
        <v>355.68</v>
      </c>
      <c r="AJ1367" s="1">
        <v>1295.8399999999999</v>
      </c>
      <c r="AK1367">
        <v>0</v>
      </c>
      <c r="AL1367">
        <v>0</v>
      </c>
      <c r="AM1367">
        <v>0</v>
      </c>
      <c r="AN1367" t="s">
        <v>135</v>
      </c>
      <c r="AO1367" t="s">
        <v>135</v>
      </c>
      <c r="AP1367" t="s">
        <v>136</v>
      </c>
      <c r="AQ1367" t="s">
        <v>137</v>
      </c>
      <c r="AR1367" t="s">
        <v>138</v>
      </c>
      <c r="AS1367" t="s">
        <v>139</v>
      </c>
      <c r="AT1367" t="s">
        <v>140</v>
      </c>
      <c r="AU1367">
        <v>101</v>
      </c>
      <c r="AV1367">
        <v>10</v>
      </c>
      <c r="AW1367">
        <v>1</v>
      </c>
      <c r="AX1367" s="2">
        <v>45845</v>
      </c>
      <c r="AY1367" t="s">
        <v>141</v>
      </c>
      <c r="AZ1367" s="2">
        <v>46027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 t="s">
        <v>135</v>
      </c>
      <c r="BH1367" t="s">
        <v>250</v>
      </c>
      <c r="BI1367" t="s">
        <v>135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666.1</v>
      </c>
      <c r="BQ1367">
        <v>666.1</v>
      </c>
      <c r="BR1367">
        <v>0</v>
      </c>
      <c r="BS1367">
        <v>0</v>
      </c>
      <c r="BT1367">
        <v>0</v>
      </c>
      <c r="BU1367">
        <v>0</v>
      </c>
      <c r="BV1367">
        <v>505.21</v>
      </c>
      <c r="BW1367">
        <v>505.21</v>
      </c>
      <c r="BX1367">
        <v>0</v>
      </c>
      <c r="BY1367">
        <v>0</v>
      </c>
      <c r="BZ1367">
        <v>0</v>
      </c>
      <c r="CA1367">
        <v>0</v>
      </c>
      <c r="CB1367">
        <v>347.09</v>
      </c>
      <c r="CC1367" t="s">
        <v>161</v>
      </c>
    </row>
    <row r="1368" spans="1:81" x14ac:dyDescent="0.25">
      <c r="A1368">
        <v>345</v>
      </c>
      <c r="B1368">
        <v>2</v>
      </c>
      <c r="C1368">
        <v>3638</v>
      </c>
      <c r="D1368" t="s">
        <v>7804</v>
      </c>
      <c r="E1368" t="s">
        <v>121</v>
      </c>
      <c r="F1368" t="s">
        <v>7805</v>
      </c>
      <c r="G1368" t="s">
        <v>7806</v>
      </c>
      <c r="H1368" t="s">
        <v>7807</v>
      </c>
      <c r="I1368" t="s">
        <v>7808</v>
      </c>
      <c r="J1368" t="s">
        <v>4569</v>
      </c>
      <c r="K1368" t="s">
        <v>127</v>
      </c>
      <c r="L1368" t="s">
        <v>128</v>
      </c>
      <c r="M1368" t="s">
        <v>129</v>
      </c>
      <c r="N1368" t="s">
        <v>7809</v>
      </c>
      <c r="O1368" t="s">
        <v>195</v>
      </c>
      <c r="P1368">
        <v>0</v>
      </c>
      <c r="Q1368" t="s">
        <v>125</v>
      </c>
      <c r="R1368">
        <v>3</v>
      </c>
      <c r="S1368">
        <v>83</v>
      </c>
      <c r="T1368" t="s">
        <v>132</v>
      </c>
      <c r="U1368" t="s">
        <v>133</v>
      </c>
      <c r="V1368" s="1">
        <v>1000</v>
      </c>
      <c r="W1368">
        <v>311.88</v>
      </c>
      <c r="X1368">
        <v>688.12</v>
      </c>
      <c r="Y1368">
        <v>7</v>
      </c>
      <c r="Z1368">
        <v>0</v>
      </c>
      <c r="AA1368">
        <v>9</v>
      </c>
      <c r="AB1368">
        <v>0</v>
      </c>
      <c r="AC1368">
        <v>0</v>
      </c>
      <c r="AD1368" t="s">
        <v>134</v>
      </c>
      <c r="AE1368" t="s">
        <v>134</v>
      </c>
      <c r="AF1368" s="2">
        <v>45838</v>
      </c>
      <c r="AG1368" s="2">
        <v>46018</v>
      </c>
      <c r="AH1368">
        <v>258.58999999999997</v>
      </c>
      <c r="AI1368">
        <v>422.2</v>
      </c>
      <c r="AJ1368" s="1">
        <v>2844.53</v>
      </c>
      <c r="AK1368">
        <v>0</v>
      </c>
      <c r="AL1368">
        <v>311.88</v>
      </c>
      <c r="AM1368">
        <v>74.56</v>
      </c>
      <c r="AN1368" t="s">
        <v>135</v>
      </c>
      <c r="AO1368" t="s">
        <v>135</v>
      </c>
      <c r="AP1368" t="s">
        <v>136</v>
      </c>
      <c r="AQ1368" t="s">
        <v>137</v>
      </c>
      <c r="AR1368" t="s">
        <v>138</v>
      </c>
      <c r="AS1368" t="s">
        <v>139</v>
      </c>
      <c r="AT1368" t="s">
        <v>140</v>
      </c>
      <c r="AU1368">
        <v>102</v>
      </c>
      <c r="AV1368">
        <v>10</v>
      </c>
      <c r="AW1368">
        <v>1</v>
      </c>
      <c r="AX1368" s="2">
        <v>45995</v>
      </c>
      <c r="AY1368" t="s">
        <v>308</v>
      </c>
      <c r="AZ1368" s="2">
        <v>46023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 t="s">
        <v>135</v>
      </c>
      <c r="BH1368" t="s">
        <v>250</v>
      </c>
      <c r="BI1368" t="s">
        <v>135</v>
      </c>
      <c r="BJ1368">
        <v>0</v>
      </c>
      <c r="BK1368">
        <v>0</v>
      </c>
      <c r="BL1368">
        <v>0</v>
      </c>
      <c r="BM1368">
        <v>8.1300000000000008</v>
      </c>
      <c r="BN1368">
        <v>2.74</v>
      </c>
      <c r="BO1368">
        <v>413.35</v>
      </c>
      <c r="BP1368">
        <v>811.2</v>
      </c>
      <c r="BQ1368" s="1">
        <v>1224.55</v>
      </c>
      <c r="BR1368">
        <v>232.53</v>
      </c>
      <c r="BS1368">
        <v>8.17</v>
      </c>
      <c r="BT1368">
        <v>8.17</v>
      </c>
      <c r="BU1368" s="1">
        <v>1059.52</v>
      </c>
      <c r="BV1368">
        <v>0</v>
      </c>
      <c r="BW1368" s="1">
        <v>1059.52</v>
      </c>
      <c r="BX1368">
        <v>311.88</v>
      </c>
      <c r="BY1368">
        <v>29.44</v>
      </c>
      <c r="BZ1368">
        <v>0</v>
      </c>
      <c r="CA1368">
        <v>0</v>
      </c>
      <c r="CB1368">
        <v>806.01</v>
      </c>
      <c r="CC1368" t="s">
        <v>161</v>
      </c>
    </row>
    <row r="1369" spans="1:81" x14ac:dyDescent="0.25">
      <c r="A1369">
        <v>345</v>
      </c>
      <c r="B1369">
        <v>2</v>
      </c>
      <c r="C1369">
        <v>3639</v>
      </c>
      <c r="D1369" t="s">
        <v>7810</v>
      </c>
      <c r="E1369" t="s">
        <v>121</v>
      </c>
      <c r="F1369" t="s">
        <v>7811</v>
      </c>
      <c r="G1369" t="s">
        <v>7812</v>
      </c>
      <c r="H1369" t="s">
        <v>7813</v>
      </c>
      <c r="I1369" t="s">
        <v>7814</v>
      </c>
      <c r="J1369" t="s">
        <v>4569</v>
      </c>
      <c r="K1369" t="s">
        <v>127</v>
      </c>
      <c r="L1369" t="s">
        <v>128</v>
      </c>
      <c r="M1369" t="s">
        <v>129</v>
      </c>
      <c r="N1369" t="s">
        <v>7815</v>
      </c>
      <c r="O1369" t="s">
        <v>195</v>
      </c>
      <c r="P1369">
        <v>0</v>
      </c>
      <c r="Q1369" t="s">
        <v>125</v>
      </c>
      <c r="R1369">
        <v>3</v>
      </c>
      <c r="S1369">
        <v>82</v>
      </c>
      <c r="T1369" t="s">
        <v>132</v>
      </c>
      <c r="U1369" t="s">
        <v>133</v>
      </c>
      <c r="V1369" s="1">
        <v>1000</v>
      </c>
      <c r="W1369">
        <v>293.06</v>
      </c>
      <c r="X1369">
        <v>706.94</v>
      </c>
      <c r="Y1369">
        <v>0</v>
      </c>
      <c r="Z1369">
        <v>0</v>
      </c>
      <c r="AA1369">
        <v>6</v>
      </c>
      <c r="AB1369">
        <v>1</v>
      </c>
      <c r="AC1369">
        <v>0</v>
      </c>
      <c r="AD1369" t="s">
        <v>134</v>
      </c>
      <c r="AE1369" t="s">
        <v>134</v>
      </c>
      <c r="AF1369" s="2">
        <v>45838</v>
      </c>
      <c r="AG1369" s="2">
        <v>46011</v>
      </c>
      <c r="AH1369">
        <v>303.23</v>
      </c>
      <c r="AI1369">
        <v>343.79</v>
      </c>
      <c r="AJ1369" s="1">
        <v>1212.95</v>
      </c>
      <c r="AK1369">
        <v>293.06</v>
      </c>
      <c r="AL1369">
        <v>0</v>
      </c>
      <c r="AM1369">
        <v>0</v>
      </c>
      <c r="AN1369" t="s">
        <v>135</v>
      </c>
      <c r="AO1369" t="s">
        <v>135</v>
      </c>
      <c r="AP1369" t="s">
        <v>136</v>
      </c>
      <c r="AQ1369" t="s">
        <v>137</v>
      </c>
      <c r="AR1369" t="s">
        <v>138</v>
      </c>
      <c r="AS1369" t="s">
        <v>139</v>
      </c>
      <c r="AT1369" t="s">
        <v>140</v>
      </c>
      <c r="AU1369">
        <v>102</v>
      </c>
      <c r="AV1369">
        <v>10</v>
      </c>
      <c r="AW1369">
        <v>1</v>
      </c>
      <c r="AX1369" s="2">
        <v>45995</v>
      </c>
      <c r="AY1369" t="s">
        <v>308</v>
      </c>
      <c r="AZ1369" s="2">
        <v>46023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t="s">
        <v>135</v>
      </c>
      <c r="BH1369" t="s">
        <v>250</v>
      </c>
      <c r="BI1369" t="s">
        <v>135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237.96</v>
      </c>
      <c r="BQ1369">
        <v>237.96</v>
      </c>
      <c r="BR1369">
        <v>0</v>
      </c>
      <c r="BS1369">
        <v>6</v>
      </c>
      <c r="BT1369">
        <v>2.76</v>
      </c>
      <c r="BU1369">
        <v>293.06</v>
      </c>
      <c r="BV1369">
        <v>343.79</v>
      </c>
      <c r="BW1369">
        <v>636.85</v>
      </c>
      <c r="BX1369">
        <v>0</v>
      </c>
      <c r="BY1369">
        <v>0</v>
      </c>
      <c r="BZ1369">
        <v>0</v>
      </c>
      <c r="CA1369">
        <v>0</v>
      </c>
      <c r="CB1369">
        <v>288.52</v>
      </c>
      <c r="CC1369" t="s">
        <v>161</v>
      </c>
    </row>
    <row r="1370" spans="1:81" x14ac:dyDescent="0.25">
      <c r="A1370">
        <v>345</v>
      </c>
      <c r="B1370">
        <v>2</v>
      </c>
      <c r="C1370">
        <v>3640</v>
      </c>
      <c r="D1370" t="s">
        <v>7816</v>
      </c>
      <c r="E1370" t="s">
        <v>121</v>
      </c>
      <c r="F1370" t="s">
        <v>7817</v>
      </c>
      <c r="G1370" t="s">
        <v>7818</v>
      </c>
      <c r="H1370" t="s">
        <v>7819</v>
      </c>
      <c r="I1370" t="s">
        <v>7820</v>
      </c>
      <c r="J1370" t="s">
        <v>1852</v>
      </c>
      <c r="K1370" t="s">
        <v>336</v>
      </c>
      <c r="L1370" t="s">
        <v>128</v>
      </c>
      <c r="M1370" t="s">
        <v>337</v>
      </c>
      <c r="N1370" t="s">
        <v>7821</v>
      </c>
      <c r="O1370" t="s">
        <v>167</v>
      </c>
      <c r="P1370">
        <v>0</v>
      </c>
      <c r="Q1370" t="s">
        <v>125</v>
      </c>
      <c r="R1370">
        <v>3</v>
      </c>
      <c r="S1370">
        <v>84</v>
      </c>
      <c r="T1370" t="s">
        <v>132</v>
      </c>
      <c r="U1370" t="s">
        <v>133</v>
      </c>
      <c r="V1370" s="1">
        <v>1294</v>
      </c>
      <c r="W1370">
        <v>0</v>
      </c>
      <c r="X1370" s="1">
        <v>1294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134</v>
      </c>
      <c r="AE1370" t="s">
        <v>134</v>
      </c>
      <c r="AF1370" s="2">
        <v>45839</v>
      </c>
      <c r="AG1370" s="2">
        <v>46017</v>
      </c>
      <c r="AH1370">
        <v>403.08</v>
      </c>
      <c r="AI1370">
        <v>507.7</v>
      </c>
      <c r="AJ1370">
        <v>806.16</v>
      </c>
      <c r="AK1370">
        <v>0</v>
      </c>
      <c r="AL1370">
        <v>0</v>
      </c>
      <c r="AM1370">
        <v>0</v>
      </c>
      <c r="AN1370" t="s">
        <v>135</v>
      </c>
      <c r="AO1370" t="s">
        <v>135</v>
      </c>
      <c r="AP1370" t="s">
        <v>136</v>
      </c>
      <c r="AQ1370" t="s">
        <v>137</v>
      </c>
      <c r="AR1370" t="s">
        <v>138</v>
      </c>
      <c r="AS1370" t="s">
        <v>139</v>
      </c>
      <c r="AT1370" t="s">
        <v>140</v>
      </c>
      <c r="AU1370">
        <v>100</v>
      </c>
      <c r="AV1370">
        <v>10</v>
      </c>
      <c r="AW1370">
        <v>1</v>
      </c>
      <c r="AX1370" s="2">
        <v>46000</v>
      </c>
      <c r="AY1370" t="s">
        <v>377</v>
      </c>
      <c r="AZ1370" s="2">
        <v>46028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 t="s">
        <v>135</v>
      </c>
      <c r="BH1370" t="s">
        <v>250</v>
      </c>
      <c r="BI1370" t="s">
        <v>135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806.16</v>
      </c>
      <c r="BW1370">
        <v>806.16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 t="s">
        <v>161</v>
      </c>
    </row>
    <row r="1371" spans="1:81" x14ac:dyDescent="0.25">
      <c r="A1371">
        <v>345</v>
      </c>
      <c r="B1371">
        <v>2</v>
      </c>
      <c r="C1371">
        <v>3641</v>
      </c>
      <c r="D1371" t="s">
        <v>7822</v>
      </c>
      <c r="E1371" t="s">
        <v>5427</v>
      </c>
      <c r="F1371" t="s">
        <v>7823</v>
      </c>
      <c r="G1371" t="s">
        <v>7824</v>
      </c>
      <c r="H1371" t="s">
        <v>7825</v>
      </c>
      <c r="I1371" t="s">
        <v>7826</v>
      </c>
      <c r="J1371" t="s">
        <v>126</v>
      </c>
      <c r="K1371" t="s">
        <v>336</v>
      </c>
      <c r="L1371" t="s">
        <v>128</v>
      </c>
      <c r="M1371" t="s">
        <v>337</v>
      </c>
      <c r="N1371" t="s">
        <v>7827</v>
      </c>
      <c r="O1371" t="s">
        <v>167</v>
      </c>
      <c r="P1371">
        <v>0</v>
      </c>
      <c r="Q1371" t="s">
        <v>125</v>
      </c>
      <c r="R1371">
        <v>3</v>
      </c>
      <c r="S1371">
        <v>83</v>
      </c>
      <c r="T1371" t="s">
        <v>132</v>
      </c>
      <c r="U1371" t="s">
        <v>133</v>
      </c>
      <c r="V1371" s="1">
        <v>1000</v>
      </c>
      <c r="W1371">
        <v>990.13</v>
      </c>
      <c r="X1371">
        <v>9.8699999999999992</v>
      </c>
      <c r="Y1371">
        <v>0</v>
      </c>
      <c r="Z1371">
        <v>0</v>
      </c>
      <c r="AA1371">
        <v>9</v>
      </c>
      <c r="AB1371">
        <v>2</v>
      </c>
      <c r="AC1371">
        <v>0</v>
      </c>
      <c r="AD1371" t="s">
        <v>134</v>
      </c>
      <c r="AE1371" t="s">
        <v>134</v>
      </c>
      <c r="AF1371" s="2">
        <v>45839</v>
      </c>
      <c r="AG1371" s="2">
        <v>46011</v>
      </c>
      <c r="AH1371">
        <v>462.78</v>
      </c>
      <c r="AI1371">
        <v>856.66</v>
      </c>
      <c r="AJ1371" s="1">
        <v>2776.71</v>
      </c>
      <c r="AK1371">
        <v>990.13</v>
      </c>
      <c r="AL1371">
        <v>0</v>
      </c>
      <c r="AM1371">
        <v>0</v>
      </c>
      <c r="AN1371" t="s">
        <v>135</v>
      </c>
      <c r="AO1371" t="s">
        <v>135</v>
      </c>
      <c r="AP1371" t="s">
        <v>136</v>
      </c>
      <c r="AQ1371" t="s">
        <v>137</v>
      </c>
      <c r="AR1371" t="s">
        <v>138</v>
      </c>
      <c r="AS1371" t="s">
        <v>139</v>
      </c>
      <c r="AT1371" t="s">
        <v>140</v>
      </c>
      <c r="AU1371">
        <v>100</v>
      </c>
      <c r="AV1371">
        <v>10</v>
      </c>
      <c r="AW1371">
        <v>1</v>
      </c>
      <c r="AX1371" s="2">
        <v>45856</v>
      </c>
      <c r="AY1371" t="s">
        <v>151</v>
      </c>
      <c r="AZ1371" s="2">
        <v>46024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 t="s">
        <v>135</v>
      </c>
      <c r="BH1371" t="s">
        <v>250</v>
      </c>
      <c r="BI1371" t="s">
        <v>135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979.59</v>
      </c>
      <c r="BQ1371">
        <v>979.59</v>
      </c>
      <c r="BR1371">
        <v>0</v>
      </c>
      <c r="BS1371">
        <v>9</v>
      </c>
      <c r="BT1371">
        <v>6.55</v>
      </c>
      <c r="BU1371">
        <v>990.13</v>
      </c>
      <c r="BV1371">
        <v>371.3</v>
      </c>
      <c r="BW1371" s="1">
        <v>1361.43</v>
      </c>
      <c r="BX1371">
        <v>0</v>
      </c>
      <c r="BY1371">
        <v>0</v>
      </c>
      <c r="BZ1371">
        <v>0</v>
      </c>
      <c r="CA1371">
        <v>0</v>
      </c>
      <c r="CB1371">
        <v>717.42</v>
      </c>
      <c r="CC1371" t="s">
        <v>161</v>
      </c>
    </row>
    <row r="1372" spans="1:81" x14ac:dyDescent="0.25">
      <c r="A1372">
        <v>345</v>
      </c>
      <c r="B1372">
        <v>2</v>
      </c>
      <c r="C1372">
        <v>3642</v>
      </c>
      <c r="D1372" t="s">
        <v>7828</v>
      </c>
      <c r="E1372" t="s">
        <v>121</v>
      </c>
      <c r="F1372" t="s">
        <v>7829</v>
      </c>
      <c r="G1372" t="s">
        <v>7830</v>
      </c>
      <c r="H1372" t="s">
        <v>7831</v>
      </c>
      <c r="I1372" t="s">
        <v>7832</v>
      </c>
      <c r="J1372" t="s">
        <v>206</v>
      </c>
      <c r="K1372" t="s">
        <v>127</v>
      </c>
      <c r="L1372" t="s">
        <v>128</v>
      </c>
      <c r="M1372" t="s">
        <v>129</v>
      </c>
      <c r="N1372" t="s">
        <v>7833</v>
      </c>
      <c r="O1372" t="s">
        <v>195</v>
      </c>
      <c r="P1372">
        <v>0</v>
      </c>
      <c r="Q1372" t="s">
        <v>125</v>
      </c>
      <c r="R1372">
        <v>3</v>
      </c>
      <c r="S1372">
        <v>83</v>
      </c>
      <c r="T1372" t="s">
        <v>132</v>
      </c>
      <c r="U1372" t="s">
        <v>133</v>
      </c>
      <c r="V1372" s="1">
        <v>1000</v>
      </c>
      <c r="W1372">
        <v>0</v>
      </c>
      <c r="X1372" s="1">
        <v>1000</v>
      </c>
      <c r="Y1372">
        <v>7</v>
      </c>
      <c r="Z1372">
        <v>0</v>
      </c>
      <c r="AA1372">
        <v>0</v>
      </c>
      <c r="AB1372">
        <v>0</v>
      </c>
      <c r="AC1372">
        <v>0</v>
      </c>
      <c r="AD1372" t="s">
        <v>134</v>
      </c>
      <c r="AE1372" t="s">
        <v>134</v>
      </c>
      <c r="AF1372" s="2">
        <v>45840</v>
      </c>
      <c r="AG1372" s="2">
        <v>46021</v>
      </c>
      <c r="AH1372">
        <v>314.74</v>
      </c>
      <c r="AI1372">
        <v>731.74</v>
      </c>
      <c r="AJ1372" s="1">
        <v>3776.94</v>
      </c>
      <c r="AK1372">
        <v>0</v>
      </c>
      <c r="AL1372">
        <v>0</v>
      </c>
      <c r="AM1372">
        <v>0</v>
      </c>
      <c r="AN1372" t="s">
        <v>135</v>
      </c>
      <c r="AO1372" t="s">
        <v>135</v>
      </c>
      <c r="AP1372" t="s">
        <v>136</v>
      </c>
      <c r="AQ1372" t="s">
        <v>137</v>
      </c>
      <c r="AR1372" t="s">
        <v>138</v>
      </c>
      <c r="AS1372" t="s">
        <v>139</v>
      </c>
      <c r="AT1372" t="s">
        <v>140</v>
      </c>
      <c r="AU1372">
        <v>102</v>
      </c>
      <c r="AV1372">
        <v>10</v>
      </c>
      <c r="AW1372">
        <v>1</v>
      </c>
      <c r="AX1372" s="2">
        <v>45845</v>
      </c>
      <c r="AY1372" t="s">
        <v>141</v>
      </c>
      <c r="AZ1372" s="2">
        <v>46027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 t="s">
        <v>135</v>
      </c>
      <c r="BH1372" t="s">
        <v>250</v>
      </c>
      <c r="BI1372" t="s">
        <v>135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 s="1">
        <v>1138.73</v>
      </c>
      <c r="BQ1372" s="1">
        <v>1138.73</v>
      </c>
      <c r="BR1372">
        <v>0</v>
      </c>
      <c r="BS1372">
        <v>0</v>
      </c>
      <c r="BT1372">
        <v>0</v>
      </c>
      <c r="BU1372">
        <v>0</v>
      </c>
      <c r="BV1372" s="1">
        <v>1423.98</v>
      </c>
      <c r="BW1372" s="1">
        <v>1423.98</v>
      </c>
      <c r="BX1372">
        <v>0</v>
      </c>
      <c r="BY1372">
        <v>0</v>
      </c>
      <c r="BZ1372">
        <v>0</v>
      </c>
      <c r="CA1372">
        <v>0</v>
      </c>
      <c r="CB1372">
        <v>953.9</v>
      </c>
      <c r="CC1372" t="s">
        <v>161</v>
      </c>
    </row>
    <row r="1373" spans="1:81" x14ac:dyDescent="0.25">
      <c r="A1373">
        <v>345</v>
      </c>
      <c r="B1373">
        <v>2</v>
      </c>
      <c r="C1373">
        <v>3643</v>
      </c>
      <c r="D1373" t="s">
        <v>7834</v>
      </c>
      <c r="E1373" t="s">
        <v>121</v>
      </c>
      <c r="F1373" t="s">
        <v>7835</v>
      </c>
      <c r="G1373" t="s">
        <v>7836</v>
      </c>
      <c r="H1373" t="s">
        <v>7837</v>
      </c>
      <c r="I1373" t="s">
        <v>7838</v>
      </c>
      <c r="J1373" t="s">
        <v>5140</v>
      </c>
      <c r="K1373" t="s">
        <v>1853</v>
      </c>
      <c r="L1373" t="s">
        <v>128</v>
      </c>
      <c r="M1373" t="s">
        <v>1854</v>
      </c>
      <c r="N1373" t="s">
        <v>7839</v>
      </c>
      <c r="O1373" t="s">
        <v>159</v>
      </c>
      <c r="P1373">
        <v>0</v>
      </c>
      <c r="Q1373" t="s">
        <v>125</v>
      </c>
      <c r="R1373">
        <v>3</v>
      </c>
      <c r="S1373">
        <v>83</v>
      </c>
      <c r="T1373" t="s">
        <v>132</v>
      </c>
      <c r="U1373" t="s">
        <v>133</v>
      </c>
      <c r="V1373" s="1">
        <v>1300</v>
      </c>
      <c r="W1373">
        <v>0</v>
      </c>
      <c r="X1373" s="1">
        <v>1300</v>
      </c>
      <c r="Y1373">
        <v>7</v>
      </c>
      <c r="Z1373">
        <v>0</v>
      </c>
      <c r="AA1373">
        <v>7</v>
      </c>
      <c r="AB1373">
        <v>0</v>
      </c>
      <c r="AC1373">
        <v>0</v>
      </c>
      <c r="AD1373" t="s">
        <v>134</v>
      </c>
      <c r="AE1373" t="s">
        <v>134</v>
      </c>
      <c r="AF1373" s="2">
        <v>45840</v>
      </c>
      <c r="AG1373" s="2">
        <v>46007</v>
      </c>
      <c r="AH1373">
        <v>592.30999999999995</v>
      </c>
      <c r="AI1373" s="1">
        <v>1147.72</v>
      </c>
      <c r="AJ1373" s="1">
        <v>1184.6199999999999</v>
      </c>
      <c r="AK1373">
        <v>0</v>
      </c>
      <c r="AL1373">
        <v>0</v>
      </c>
      <c r="AM1373">
        <v>0</v>
      </c>
      <c r="AN1373" t="s">
        <v>135</v>
      </c>
      <c r="AO1373" t="s">
        <v>135</v>
      </c>
      <c r="AP1373" t="s">
        <v>136</v>
      </c>
      <c r="AQ1373" t="s">
        <v>137</v>
      </c>
      <c r="AR1373" t="s">
        <v>138</v>
      </c>
      <c r="AS1373" t="s">
        <v>139</v>
      </c>
      <c r="AT1373" t="s">
        <v>140</v>
      </c>
      <c r="AU1373">
        <v>103</v>
      </c>
      <c r="AV1373">
        <v>10</v>
      </c>
      <c r="AW1373">
        <v>1</v>
      </c>
      <c r="AX1373" s="2">
        <v>45845</v>
      </c>
      <c r="AY1373" t="s">
        <v>141</v>
      </c>
      <c r="AZ1373" s="2">
        <v>46027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 t="s">
        <v>135</v>
      </c>
      <c r="BH1373" t="s">
        <v>250</v>
      </c>
      <c r="BI1373" t="s">
        <v>135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36.9</v>
      </c>
      <c r="BQ1373">
        <v>36.9</v>
      </c>
      <c r="BR1373">
        <v>0</v>
      </c>
      <c r="BS1373">
        <v>7</v>
      </c>
      <c r="BT1373">
        <v>7</v>
      </c>
      <c r="BU1373" s="1">
        <v>1147.72</v>
      </c>
      <c r="BV1373">
        <v>0</v>
      </c>
      <c r="BW1373" s="1">
        <v>1147.72</v>
      </c>
      <c r="BX1373">
        <v>0</v>
      </c>
      <c r="BY1373">
        <v>0</v>
      </c>
      <c r="BZ1373">
        <v>0</v>
      </c>
      <c r="CA1373">
        <v>0</v>
      </c>
      <c r="CB1373">
        <v>43.7</v>
      </c>
      <c r="CC1373" t="s">
        <v>339</v>
      </c>
    </row>
    <row r="1374" spans="1:81" x14ac:dyDescent="0.25">
      <c r="A1374">
        <v>345</v>
      </c>
      <c r="B1374">
        <v>2</v>
      </c>
      <c r="C1374">
        <v>3644</v>
      </c>
      <c r="D1374" t="s">
        <v>7840</v>
      </c>
      <c r="E1374" t="s">
        <v>121</v>
      </c>
      <c r="F1374" t="s">
        <v>7841</v>
      </c>
      <c r="G1374" t="s">
        <v>7842</v>
      </c>
      <c r="H1374" t="s">
        <v>7843</v>
      </c>
      <c r="I1374" t="s">
        <v>7844</v>
      </c>
      <c r="J1374" t="s">
        <v>126</v>
      </c>
      <c r="K1374" t="s">
        <v>1853</v>
      </c>
      <c r="L1374" t="s">
        <v>128</v>
      </c>
      <c r="M1374" t="s">
        <v>1854</v>
      </c>
      <c r="N1374" t="s">
        <v>7845</v>
      </c>
      <c r="O1374" t="s">
        <v>195</v>
      </c>
      <c r="P1374">
        <v>0</v>
      </c>
      <c r="Q1374" t="s">
        <v>125</v>
      </c>
      <c r="R1374">
        <v>3</v>
      </c>
      <c r="S1374">
        <v>84</v>
      </c>
      <c r="T1374" t="s">
        <v>132</v>
      </c>
      <c r="U1374" t="s">
        <v>133</v>
      </c>
      <c r="V1374" s="1">
        <v>1000</v>
      </c>
      <c r="W1374">
        <v>0</v>
      </c>
      <c r="X1374" s="1">
        <v>1000</v>
      </c>
      <c r="Y1374">
        <v>7</v>
      </c>
      <c r="Z1374">
        <v>0</v>
      </c>
      <c r="AA1374">
        <v>7</v>
      </c>
      <c r="AB1374">
        <v>0</v>
      </c>
      <c r="AC1374">
        <v>0</v>
      </c>
      <c r="AD1374" t="s">
        <v>134</v>
      </c>
      <c r="AE1374" t="s">
        <v>134</v>
      </c>
      <c r="AF1374" s="2">
        <v>45840</v>
      </c>
      <c r="AG1374" s="2">
        <v>46013</v>
      </c>
      <c r="AH1374">
        <v>136.07</v>
      </c>
      <c r="AI1374">
        <v>191.81</v>
      </c>
      <c r="AJ1374">
        <v>816.43</v>
      </c>
      <c r="AK1374">
        <v>0</v>
      </c>
      <c r="AL1374">
        <v>0</v>
      </c>
      <c r="AM1374">
        <v>0</v>
      </c>
      <c r="AN1374" t="s">
        <v>135</v>
      </c>
      <c r="AO1374" t="s">
        <v>135</v>
      </c>
      <c r="AP1374" t="s">
        <v>136</v>
      </c>
      <c r="AQ1374" t="s">
        <v>137</v>
      </c>
      <c r="AR1374" t="s">
        <v>138</v>
      </c>
      <c r="AS1374" t="s">
        <v>139</v>
      </c>
      <c r="AT1374" t="s">
        <v>140</v>
      </c>
      <c r="AU1374">
        <v>103</v>
      </c>
      <c r="AV1374">
        <v>10</v>
      </c>
      <c r="AW1374">
        <v>1</v>
      </c>
      <c r="AX1374" s="2">
        <v>45843</v>
      </c>
      <c r="AY1374" t="s">
        <v>160</v>
      </c>
      <c r="AZ1374" s="2">
        <v>46025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 t="s">
        <v>135</v>
      </c>
      <c r="BH1374" t="s">
        <v>250</v>
      </c>
      <c r="BI1374" t="s">
        <v>135</v>
      </c>
      <c r="BJ1374">
        <v>0</v>
      </c>
      <c r="BK1374">
        <v>0</v>
      </c>
      <c r="BL1374">
        <v>0</v>
      </c>
      <c r="BM1374">
        <v>7</v>
      </c>
      <c r="BN1374">
        <v>7</v>
      </c>
      <c r="BO1374">
        <v>180.46</v>
      </c>
      <c r="BP1374">
        <v>0</v>
      </c>
      <c r="BQ1374">
        <v>180.46</v>
      </c>
      <c r="BR1374">
        <v>0</v>
      </c>
      <c r="BS1374">
        <v>7</v>
      </c>
      <c r="BT1374">
        <v>7</v>
      </c>
      <c r="BU1374">
        <v>322.14</v>
      </c>
      <c r="BV1374">
        <v>0</v>
      </c>
      <c r="BW1374">
        <v>322.14</v>
      </c>
      <c r="BX1374">
        <v>0</v>
      </c>
      <c r="BY1374">
        <v>0</v>
      </c>
      <c r="BZ1374">
        <v>0</v>
      </c>
      <c r="CA1374">
        <v>0</v>
      </c>
      <c r="CB1374">
        <v>196.23</v>
      </c>
      <c r="CC1374" t="s">
        <v>161</v>
      </c>
    </row>
    <row r="1375" spans="1:81" x14ac:dyDescent="0.25">
      <c r="A1375">
        <v>345</v>
      </c>
      <c r="B1375">
        <v>2</v>
      </c>
      <c r="C1375">
        <v>3645</v>
      </c>
      <c r="D1375" t="s">
        <v>7846</v>
      </c>
      <c r="E1375" t="s">
        <v>121</v>
      </c>
      <c r="F1375" t="s">
        <v>7847</v>
      </c>
      <c r="G1375" t="s">
        <v>7848</v>
      </c>
      <c r="H1375" t="s">
        <v>7849</v>
      </c>
      <c r="I1375" t="s">
        <v>7850</v>
      </c>
      <c r="J1375" t="s">
        <v>4569</v>
      </c>
      <c r="K1375" t="s">
        <v>336</v>
      </c>
      <c r="L1375" t="s">
        <v>128</v>
      </c>
      <c r="M1375" t="s">
        <v>337</v>
      </c>
      <c r="N1375" t="s">
        <v>7851</v>
      </c>
      <c r="O1375" t="s">
        <v>201</v>
      </c>
      <c r="P1375">
        <v>0</v>
      </c>
      <c r="Q1375" t="s">
        <v>125</v>
      </c>
      <c r="R1375">
        <v>3</v>
      </c>
      <c r="S1375">
        <v>86</v>
      </c>
      <c r="T1375" t="s">
        <v>132</v>
      </c>
      <c r="U1375" t="s">
        <v>133</v>
      </c>
      <c r="V1375" s="1">
        <v>1000</v>
      </c>
      <c r="W1375">
        <v>0</v>
      </c>
      <c r="X1375" s="1">
        <v>1000</v>
      </c>
      <c r="Y1375">
        <v>7</v>
      </c>
      <c r="Z1375">
        <v>0</v>
      </c>
      <c r="AA1375">
        <v>7</v>
      </c>
      <c r="AB1375">
        <v>0</v>
      </c>
      <c r="AC1375">
        <v>5</v>
      </c>
      <c r="AD1375" t="s">
        <v>134</v>
      </c>
      <c r="AE1375" t="s">
        <v>134</v>
      </c>
      <c r="AF1375" s="2">
        <v>45840</v>
      </c>
      <c r="AG1375" s="2">
        <v>46013</v>
      </c>
      <c r="AH1375" s="1">
        <v>1080.68</v>
      </c>
      <c r="AI1375" s="1">
        <v>2192.31</v>
      </c>
      <c r="AJ1375" s="1">
        <v>8645.49</v>
      </c>
      <c r="AK1375">
        <v>0</v>
      </c>
      <c r="AL1375">
        <v>0</v>
      </c>
      <c r="AM1375">
        <v>0</v>
      </c>
      <c r="AN1375" t="s">
        <v>135</v>
      </c>
      <c r="AO1375" t="s">
        <v>135</v>
      </c>
      <c r="AP1375" t="s">
        <v>136</v>
      </c>
      <c r="AQ1375" t="s">
        <v>137</v>
      </c>
      <c r="AR1375" t="s">
        <v>138</v>
      </c>
      <c r="AS1375" t="s">
        <v>139</v>
      </c>
      <c r="AT1375" t="s">
        <v>140</v>
      </c>
      <c r="AU1375">
        <v>100</v>
      </c>
      <c r="AV1375">
        <v>10</v>
      </c>
      <c r="AW1375">
        <v>1</v>
      </c>
      <c r="AX1375" s="2">
        <v>45843</v>
      </c>
      <c r="AY1375" t="s">
        <v>160</v>
      </c>
      <c r="AZ1375" s="2">
        <v>46025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 t="s">
        <v>135</v>
      </c>
      <c r="BH1375" t="s">
        <v>250</v>
      </c>
      <c r="BI1375" t="s">
        <v>135</v>
      </c>
      <c r="BJ1375">
        <v>0</v>
      </c>
      <c r="BK1375">
        <v>0</v>
      </c>
      <c r="BL1375">
        <v>0</v>
      </c>
      <c r="BM1375">
        <v>7</v>
      </c>
      <c r="BN1375">
        <v>2.98</v>
      </c>
      <c r="BO1375">
        <v>971.52</v>
      </c>
      <c r="BP1375" s="1">
        <v>1308.8800000000001</v>
      </c>
      <c r="BQ1375" s="1">
        <v>2280.4</v>
      </c>
      <c r="BR1375">
        <v>971.52</v>
      </c>
      <c r="BS1375">
        <v>7</v>
      </c>
      <c r="BT1375">
        <v>4.16</v>
      </c>
      <c r="BU1375">
        <v>356.66</v>
      </c>
      <c r="BV1375">
        <v>243.23</v>
      </c>
      <c r="BW1375">
        <v>599.89</v>
      </c>
      <c r="BX1375">
        <v>0</v>
      </c>
      <c r="BY1375">
        <v>0</v>
      </c>
      <c r="BZ1375">
        <v>0</v>
      </c>
      <c r="CA1375">
        <v>0</v>
      </c>
      <c r="CB1375" s="1">
        <v>4201.53</v>
      </c>
      <c r="CC1375" t="s">
        <v>161</v>
      </c>
    </row>
    <row r="1376" spans="1:81" x14ac:dyDescent="0.25">
      <c r="A1376">
        <v>345</v>
      </c>
      <c r="B1376">
        <v>2</v>
      </c>
      <c r="C1376">
        <v>3646</v>
      </c>
      <c r="D1376" t="s">
        <v>7852</v>
      </c>
      <c r="E1376" t="s">
        <v>121</v>
      </c>
      <c r="F1376" t="s">
        <v>7853</v>
      </c>
      <c r="G1376" t="s">
        <v>7854</v>
      </c>
      <c r="H1376" t="s">
        <v>7855</v>
      </c>
      <c r="I1376" t="s">
        <v>7856</v>
      </c>
      <c r="J1376" t="s">
        <v>583</v>
      </c>
      <c r="K1376" t="s">
        <v>466</v>
      </c>
      <c r="L1376" t="s">
        <v>128</v>
      </c>
      <c r="M1376" t="s">
        <v>467</v>
      </c>
      <c r="N1376" t="s">
        <v>7851</v>
      </c>
      <c r="O1376" t="s">
        <v>159</v>
      </c>
      <c r="P1376">
        <v>0</v>
      </c>
      <c r="Q1376" t="s">
        <v>125</v>
      </c>
      <c r="R1376">
        <v>3</v>
      </c>
      <c r="S1376">
        <v>82</v>
      </c>
      <c r="T1376" t="s">
        <v>132</v>
      </c>
      <c r="U1376" t="s">
        <v>133</v>
      </c>
      <c r="V1376" s="1">
        <v>4400</v>
      </c>
      <c r="W1376">
        <v>0</v>
      </c>
      <c r="X1376" s="1">
        <v>4400</v>
      </c>
      <c r="Y1376">
        <v>7</v>
      </c>
      <c r="Z1376">
        <v>0</v>
      </c>
      <c r="AA1376">
        <v>7</v>
      </c>
      <c r="AB1376">
        <v>0</v>
      </c>
      <c r="AC1376">
        <v>0</v>
      </c>
      <c r="AD1376" t="s">
        <v>134</v>
      </c>
      <c r="AE1376" t="s">
        <v>134</v>
      </c>
      <c r="AF1376" s="2">
        <v>45840</v>
      </c>
      <c r="AG1376" s="2">
        <v>45999</v>
      </c>
      <c r="AH1376">
        <v>706.03</v>
      </c>
      <c r="AI1376">
        <v>823.7</v>
      </c>
      <c r="AJ1376" s="1">
        <v>1412.06</v>
      </c>
      <c r="AK1376">
        <v>0</v>
      </c>
      <c r="AL1376">
        <v>0</v>
      </c>
      <c r="AM1376">
        <v>0</v>
      </c>
      <c r="AN1376" t="s">
        <v>135</v>
      </c>
      <c r="AO1376" t="s">
        <v>135</v>
      </c>
      <c r="AP1376" t="s">
        <v>136</v>
      </c>
      <c r="AQ1376" t="s">
        <v>137</v>
      </c>
      <c r="AR1376" t="s">
        <v>138</v>
      </c>
      <c r="AS1376" t="s">
        <v>139</v>
      </c>
      <c r="AT1376" t="s">
        <v>140</v>
      </c>
      <c r="AU1376">
        <v>100</v>
      </c>
      <c r="AV1376">
        <v>10</v>
      </c>
      <c r="AW1376">
        <v>1</v>
      </c>
      <c r="AX1376" s="2">
        <v>45843</v>
      </c>
      <c r="AY1376" t="s">
        <v>160</v>
      </c>
      <c r="AZ1376" s="2">
        <v>46025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 t="s">
        <v>135</v>
      </c>
      <c r="BH1376" t="s">
        <v>250</v>
      </c>
      <c r="BI1376" t="s">
        <v>135</v>
      </c>
      <c r="BJ1376">
        <v>0</v>
      </c>
      <c r="BK1376">
        <v>0</v>
      </c>
      <c r="BL1376">
        <v>0</v>
      </c>
      <c r="BM1376">
        <v>7</v>
      </c>
      <c r="BN1376">
        <v>7</v>
      </c>
      <c r="BO1376">
        <v>588.36</v>
      </c>
      <c r="BP1376">
        <v>0</v>
      </c>
      <c r="BQ1376">
        <v>588.36</v>
      </c>
      <c r="BR1376">
        <v>588.36</v>
      </c>
      <c r="BS1376">
        <v>7</v>
      </c>
      <c r="BT1376">
        <v>7</v>
      </c>
      <c r="BU1376">
        <v>823.7</v>
      </c>
      <c r="BV1376">
        <v>0</v>
      </c>
      <c r="BW1376">
        <v>823.7</v>
      </c>
      <c r="BX1376">
        <v>0</v>
      </c>
      <c r="BY1376">
        <v>0</v>
      </c>
      <c r="BZ1376">
        <v>0</v>
      </c>
      <c r="CA1376">
        <v>0</v>
      </c>
      <c r="CB1376">
        <v>924.56</v>
      </c>
      <c r="CC1376" t="s">
        <v>161</v>
      </c>
    </row>
    <row r="1377" spans="1:81" x14ac:dyDescent="0.25">
      <c r="A1377">
        <v>345</v>
      </c>
      <c r="B1377">
        <v>2</v>
      </c>
      <c r="C1377">
        <v>3647</v>
      </c>
      <c r="D1377" t="s">
        <v>7857</v>
      </c>
      <c r="E1377" t="s">
        <v>121</v>
      </c>
      <c r="F1377" t="s">
        <v>7858</v>
      </c>
      <c r="G1377" t="s">
        <v>7859</v>
      </c>
      <c r="H1377" t="s">
        <v>7860</v>
      </c>
      <c r="I1377" t="s">
        <v>7861</v>
      </c>
      <c r="J1377" t="s">
        <v>4569</v>
      </c>
      <c r="K1377" t="s">
        <v>466</v>
      </c>
      <c r="L1377" t="s">
        <v>128</v>
      </c>
      <c r="M1377" t="s">
        <v>467</v>
      </c>
      <c r="N1377" t="s">
        <v>7862</v>
      </c>
      <c r="O1377" t="s">
        <v>149</v>
      </c>
      <c r="P1377">
        <v>0</v>
      </c>
      <c r="Q1377" t="s">
        <v>125</v>
      </c>
      <c r="R1377">
        <v>3</v>
      </c>
      <c r="S1377">
        <v>85</v>
      </c>
      <c r="T1377" t="s">
        <v>132</v>
      </c>
      <c r="U1377" t="s">
        <v>133</v>
      </c>
      <c r="V1377" s="1">
        <v>1000</v>
      </c>
      <c r="W1377">
        <v>0</v>
      </c>
      <c r="X1377" s="1">
        <v>1000</v>
      </c>
      <c r="Y1377">
        <v>7</v>
      </c>
      <c r="Z1377">
        <v>0</v>
      </c>
      <c r="AA1377">
        <v>0</v>
      </c>
      <c r="AB1377">
        <v>0</v>
      </c>
      <c r="AC1377">
        <v>0</v>
      </c>
      <c r="AD1377" t="s">
        <v>134</v>
      </c>
      <c r="AE1377" t="s">
        <v>134</v>
      </c>
      <c r="AF1377" s="2">
        <v>45840</v>
      </c>
      <c r="AG1377" s="2">
        <v>46001</v>
      </c>
      <c r="AH1377">
        <v>231.33</v>
      </c>
      <c r="AI1377">
        <v>424.69</v>
      </c>
      <c r="AJ1377">
        <v>925.33</v>
      </c>
      <c r="AK1377">
        <v>0</v>
      </c>
      <c r="AL1377">
        <v>424.69</v>
      </c>
      <c r="AM1377">
        <v>0</v>
      </c>
      <c r="AN1377" t="s">
        <v>135</v>
      </c>
      <c r="AO1377" t="s">
        <v>135</v>
      </c>
      <c r="AP1377" t="s">
        <v>136</v>
      </c>
      <c r="AQ1377" t="s">
        <v>137</v>
      </c>
      <c r="AR1377" t="s">
        <v>138</v>
      </c>
      <c r="AS1377" t="s">
        <v>139</v>
      </c>
      <c r="AT1377" t="s">
        <v>140</v>
      </c>
      <c r="AU1377">
        <v>100</v>
      </c>
      <c r="AV1377">
        <v>10</v>
      </c>
      <c r="AW1377">
        <v>1</v>
      </c>
      <c r="AX1377" s="2">
        <v>45845</v>
      </c>
      <c r="AY1377" t="s">
        <v>141</v>
      </c>
      <c r="AZ1377" s="2">
        <v>46027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 t="s">
        <v>135</v>
      </c>
      <c r="BH1377" t="s">
        <v>250</v>
      </c>
      <c r="BI1377" t="s">
        <v>135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129.88</v>
      </c>
      <c r="BQ1377">
        <v>129.88</v>
      </c>
      <c r="BR1377">
        <v>0</v>
      </c>
      <c r="BS1377">
        <v>0</v>
      </c>
      <c r="BT1377">
        <v>0</v>
      </c>
      <c r="BU1377">
        <v>0</v>
      </c>
      <c r="BV1377">
        <v>681.65</v>
      </c>
      <c r="BW1377">
        <v>681.65</v>
      </c>
      <c r="BX1377">
        <v>0</v>
      </c>
      <c r="BY1377">
        <v>0</v>
      </c>
      <c r="BZ1377">
        <v>0</v>
      </c>
      <c r="CA1377">
        <v>0</v>
      </c>
      <c r="CB1377">
        <v>201.54</v>
      </c>
      <c r="CC1377" t="s">
        <v>161</v>
      </c>
    </row>
    <row r="1378" spans="1:81" x14ac:dyDescent="0.25">
      <c r="A1378">
        <v>345</v>
      </c>
      <c r="B1378">
        <v>2</v>
      </c>
      <c r="C1378">
        <v>3648</v>
      </c>
      <c r="D1378" t="s">
        <v>7863</v>
      </c>
      <c r="E1378" t="s">
        <v>121</v>
      </c>
      <c r="F1378" t="s">
        <v>7864</v>
      </c>
      <c r="G1378" t="s">
        <v>7865</v>
      </c>
      <c r="H1378" t="s">
        <v>7866</v>
      </c>
      <c r="I1378" t="s">
        <v>7867</v>
      </c>
      <c r="J1378" t="s">
        <v>5328</v>
      </c>
      <c r="K1378" t="s">
        <v>1853</v>
      </c>
      <c r="L1378" t="s">
        <v>128</v>
      </c>
      <c r="M1378" t="s">
        <v>1854</v>
      </c>
      <c r="N1378" t="s">
        <v>5575</v>
      </c>
      <c r="O1378" t="s">
        <v>201</v>
      </c>
      <c r="P1378">
        <v>0</v>
      </c>
      <c r="Q1378" t="s">
        <v>125</v>
      </c>
      <c r="R1378">
        <v>3</v>
      </c>
      <c r="S1378">
        <v>83</v>
      </c>
      <c r="T1378" t="s">
        <v>132</v>
      </c>
      <c r="U1378" t="s">
        <v>133</v>
      </c>
      <c r="V1378" s="1">
        <v>1800</v>
      </c>
      <c r="W1378">
        <v>0</v>
      </c>
      <c r="X1378" s="1">
        <v>1800</v>
      </c>
      <c r="Y1378">
        <v>7</v>
      </c>
      <c r="Z1378">
        <v>0</v>
      </c>
      <c r="AA1378">
        <v>0</v>
      </c>
      <c r="AB1378">
        <v>0</v>
      </c>
      <c r="AC1378">
        <v>0</v>
      </c>
      <c r="AD1378" t="s">
        <v>134</v>
      </c>
      <c r="AE1378" t="s">
        <v>134</v>
      </c>
      <c r="AF1378" s="2">
        <v>45840</v>
      </c>
      <c r="AG1378" s="2">
        <v>46007</v>
      </c>
      <c r="AH1378">
        <v>795.27</v>
      </c>
      <c r="AI1378" s="1">
        <v>1647.7</v>
      </c>
      <c r="AJ1378" s="1">
        <v>7952.76</v>
      </c>
      <c r="AK1378">
        <v>0</v>
      </c>
      <c r="AL1378">
        <v>480.45</v>
      </c>
      <c r="AM1378">
        <v>0</v>
      </c>
      <c r="AN1378" t="s">
        <v>135</v>
      </c>
      <c r="AO1378" t="s">
        <v>135</v>
      </c>
      <c r="AP1378" t="s">
        <v>136</v>
      </c>
      <c r="AQ1378" t="s">
        <v>137</v>
      </c>
      <c r="AR1378" t="s">
        <v>138</v>
      </c>
      <c r="AS1378" t="s">
        <v>150</v>
      </c>
      <c r="AT1378" t="s">
        <v>140</v>
      </c>
      <c r="AU1378">
        <v>103</v>
      </c>
      <c r="AV1378">
        <v>10</v>
      </c>
      <c r="AW1378">
        <v>1</v>
      </c>
      <c r="AX1378" s="2">
        <v>45845</v>
      </c>
      <c r="AY1378" t="s">
        <v>141</v>
      </c>
      <c r="AZ1378" s="2">
        <v>46027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 t="s">
        <v>135</v>
      </c>
      <c r="BH1378" t="s">
        <v>250</v>
      </c>
      <c r="BI1378" t="s">
        <v>135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 s="1">
        <v>1610.02</v>
      </c>
      <c r="BQ1378" s="1">
        <v>1610.02</v>
      </c>
      <c r="BR1378">
        <v>0</v>
      </c>
      <c r="BS1378">
        <v>0</v>
      </c>
      <c r="BT1378">
        <v>0</v>
      </c>
      <c r="BU1378">
        <v>0</v>
      </c>
      <c r="BV1378" s="1">
        <v>3919.93</v>
      </c>
      <c r="BW1378" s="1">
        <v>3919.93</v>
      </c>
      <c r="BX1378">
        <v>0</v>
      </c>
      <c r="BY1378">
        <v>0</v>
      </c>
      <c r="BZ1378">
        <v>0</v>
      </c>
      <c r="CA1378">
        <v>0</v>
      </c>
      <c r="CB1378" s="1">
        <v>3011.48</v>
      </c>
      <c r="CC1378" t="s">
        <v>161</v>
      </c>
    </row>
    <row r="1379" spans="1:81" x14ac:dyDescent="0.25">
      <c r="A1379">
        <v>345</v>
      </c>
      <c r="B1379">
        <v>2</v>
      </c>
      <c r="C1379">
        <v>3649</v>
      </c>
      <c r="D1379" t="s">
        <v>7868</v>
      </c>
      <c r="E1379" t="s">
        <v>121</v>
      </c>
      <c r="F1379" t="s">
        <v>7869</v>
      </c>
      <c r="G1379" t="s">
        <v>4608</v>
      </c>
      <c r="H1379" t="s">
        <v>7870</v>
      </c>
      <c r="I1379" t="s">
        <v>7871</v>
      </c>
      <c r="J1379" t="s">
        <v>126</v>
      </c>
      <c r="K1379" t="s">
        <v>466</v>
      </c>
      <c r="L1379" t="s">
        <v>128</v>
      </c>
      <c r="M1379" t="s">
        <v>467</v>
      </c>
      <c r="N1379" t="s">
        <v>7872</v>
      </c>
      <c r="O1379" t="s">
        <v>167</v>
      </c>
      <c r="P1379">
        <v>0</v>
      </c>
      <c r="Q1379" t="s">
        <v>125</v>
      </c>
      <c r="R1379">
        <v>3</v>
      </c>
      <c r="S1379">
        <v>83</v>
      </c>
      <c r="T1379" t="s">
        <v>132</v>
      </c>
      <c r="U1379" t="s">
        <v>133</v>
      </c>
      <c r="V1379" s="1">
        <v>1300</v>
      </c>
      <c r="W1379">
        <v>0</v>
      </c>
      <c r="X1379" s="1">
        <v>1300</v>
      </c>
      <c r="Y1379">
        <v>7</v>
      </c>
      <c r="Z1379">
        <v>0</v>
      </c>
      <c r="AA1379">
        <v>0</v>
      </c>
      <c r="AB1379">
        <v>0</v>
      </c>
      <c r="AC1379">
        <v>0</v>
      </c>
      <c r="AD1379" t="s">
        <v>134</v>
      </c>
      <c r="AE1379" t="s">
        <v>134</v>
      </c>
      <c r="AF1379" s="2">
        <v>45841</v>
      </c>
      <c r="AG1379" s="2">
        <v>46018</v>
      </c>
      <c r="AH1379">
        <v>407.73</v>
      </c>
      <c r="AI1379">
        <v>829.36</v>
      </c>
      <c r="AJ1379" s="1">
        <v>5708.23</v>
      </c>
      <c r="AK1379">
        <v>0</v>
      </c>
      <c r="AL1379">
        <v>0</v>
      </c>
      <c r="AM1379">
        <v>0</v>
      </c>
      <c r="AN1379" t="s">
        <v>135</v>
      </c>
      <c r="AO1379" t="s">
        <v>135</v>
      </c>
      <c r="AP1379" t="s">
        <v>136</v>
      </c>
      <c r="AQ1379" t="s">
        <v>137</v>
      </c>
      <c r="AR1379" t="s">
        <v>138</v>
      </c>
      <c r="AS1379" t="s">
        <v>139</v>
      </c>
      <c r="AT1379" t="s">
        <v>140</v>
      </c>
      <c r="AU1379">
        <v>105</v>
      </c>
      <c r="AV1379">
        <v>10</v>
      </c>
      <c r="AW1379">
        <v>1</v>
      </c>
      <c r="AX1379" s="2">
        <v>45841</v>
      </c>
      <c r="AY1379" t="s">
        <v>308</v>
      </c>
      <c r="AZ1379" s="2">
        <v>46023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 t="s">
        <v>135</v>
      </c>
      <c r="BH1379" t="s">
        <v>250</v>
      </c>
      <c r="BI1379" t="s">
        <v>135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 s="1">
        <v>2598.69</v>
      </c>
      <c r="BQ1379" s="1">
        <v>2598.69</v>
      </c>
      <c r="BR1379">
        <v>0</v>
      </c>
      <c r="BS1379">
        <v>0</v>
      </c>
      <c r="BT1379">
        <v>0</v>
      </c>
      <c r="BU1379">
        <v>0</v>
      </c>
      <c r="BV1379" s="1">
        <v>1437.27</v>
      </c>
      <c r="BW1379" s="1">
        <v>1437.27</v>
      </c>
      <c r="BX1379">
        <v>0</v>
      </c>
      <c r="BY1379">
        <v>0</v>
      </c>
      <c r="BZ1379">
        <v>0</v>
      </c>
      <c r="CA1379">
        <v>0</v>
      </c>
      <c r="CB1379" s="1">
        <v>1772.48</v>
      </c>
      <c r="CC1379" t="s">
        <v>161</v>
      </c>
    </row>
    <row r="1380" spans="1:81" x14ac:dyDescent="0.25">
      <c r="A1380">
        <v>345</v>
      </c>
      <c r="B1380">
        <v>2</v>
      </c>
      <c r="C1380">
        <v>3650</v>
      </c>
      <c r="D1380" t="s">
        <v>7873</v>
      </c>
      <c r="E1380" t="s">
        <v>121</v>
      </c>
      <c r="F1380" t="s">
        <v>7874</v>
      </c>
      <c r="G1380" t="s">
        <v>7875</v>
      </c>
      <c r="H1380" t="s">
        <v>7876</v>
      </c>
      <c r="I1380" t="s">
        <v>7877</v>
      </c>
      <c r="J1380" t="s">
        <v>173</v>
      </c>
      <c r="K1380" t="s">
        <v>127</v>
      </c>
      <c r="L1380" t="s">
        <v>128</v>
      </c>
      <c r="M1380" t="s">
        <v>129</v>
      </c>
      <c r="N1380" t="s">
        <v>7878</v>
      </c>
      <c r="O1380" t="s">
        <v>159</v>
      </c>
      <c r="P1380">
        <v>0</v>
      </c>
      <c r="Q1380" t="s">
        <v>125</v>
      </c>
      <c r="R1380">
        <v>4</v>
      </c>
      <c r="S1380">
        <v>81</v>
      </c>
      <c r="T1380" t="s">
        <v>132</v>
      </c>
      <c r="U1380" t="s">
        <v>133</v>
      </c>
      <c r="V1380" s="1">
        <v>1300</v>
      </c>
      <c r="W1380">
        <v>0</v>
      </c>
      <c r="X1380" s="1">
        <v>1300</v>
      </c>
      <c r="Y1380">
        <v>7</v>
      </c>
      <c r="Z1380">
        <v>0</v>
      </c>
      <c r="AA1380">
        <v>7</v>
      </c>
      <c r="AB1380">
        <v>0</v>
      </c>
      <c r="AC1380">
        <v>0</v>
      </c>
      <c r="AD1380" t="s">
        <v>134</v>
      </c>
      <c r="AE1380" t="s">
        <v>134</v>
      </c>
      <c r="AF1380" s="2">
        <v>45841</v>
      </c>
      <c r="AG1380" s="2">
        <v>46013</v>
      </c>
      <c r="AH1380">
        <v>524.24</v>
      </c>
      <c r="AI1380">
        <v>683.44</v>
      </c>
      <c r="AJ1380" s="1">
        <v>4193.96</v>
      </c>
      <c r="AK1380">
        <v>0</v>
      </c>
      <c r="AL1380">
        <v>0</v>
      </c>
      <c r="AM1380">
        <v>0</v>
      </c>
      <c r="AN1380" t="s">
        <v>135</v>
      </c>
      <c r="AO1380" t="s">
        <v>135</v>
      </c>
      <c r="AP1380" t="s">
        <v>136</v>
      </c>
      <c r="AQ1380" t="s">
        <v>137</v>
      </c>
      <c r="AR1380" t="s">
        <v>138</v>
      </c>
      <c r="AS1380" t="s">
        <v>139</v>
      </c>
      <c r="AT1380" t="s">
        <v>140</v>
      </c>
      <c r="AU1380">
        <v>102</v>
      </c>
      <c r="AV1380">
        <v>10</v>
      </c>
      <c r="AW1380">
        <v>1</v>
      </c>
      <c r="AX1380" s="2">
        <v>45843</v>
      </c>
      <c r="AY1380" t="s">
        <v>160</v>
      </c>
      <c r="AZ1380" s="2">
        <v>46025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 t="s">
        <v>135</v>
      </c>
      <c r="BH1380" t="s">
        <v>250</v>
      </c>
      <c r="BI1380" t="s">
        <v>135</v>
      </c>
      <c r="BJ1380">
        <v>0</v>
      </c>
      <c r="BK1380">
        <v>0</v>
      </c>
      <c r="BL1380">
        <v>0</v>
      </c>
      <c r="BM1380">
        <v>7</v>
      </c>
      <c r="BN1380">
        <v>5.47</v>
      </c>
      <c r="BO1380" s="1">
        <v>1271.54</v>
      </c>
      <c r="BP1380">
        <v>355.86</v>
      </c>
      <c r="BQ1380" s="1">
        <v>1627.4</v>
      </c>
      <c r="BR1380">
        <v>680.39</v>
      </c>
      <c r="BS1380">
        <v>7</v>
      </c>
      <c r="BT1380">
        <v>7</v>
      </c>
      <c r="BU1380" s="1">
        <v>2566.56</v>
      </c>
      <c r="BV1380">
        <v>0</v>
      </c>
      <c r="BW1380" s="1">
        <v>2566.56</v>
      </c>
      <c r="BX1380">
        <v>0</v>
      </c>
      <c r="BY1380">
        <v>0</v>
      </c>
      <c r="BZ1380">
        <v>0</v>
      </c>
      <c r="CA1380">
        <v>0</v>
      </c>
      <c r="CB1380">
        <v>542.46</v>
      </c>
      <c r="CC1380" t="s">
        <v>161</v>
      </c>
    </row>
    <row r="1381" spans="1:81" x14ac:dyDescent="0.25">
      <c r="A1381">
        <v>345</v>
      </c>
      <c r="B1381">
        <v>2</v>
      </c>
      <c r="C1381">
        <v>3651</v>
      </c>
      <c r="D1381" t="s">
        <v>7879</v>
      </c>
      <c r="E1381" t="s">
        <v>121</v>
      </c>
      <c r="F1381" t="s">
        <v>7880</v>
      </c>
      <c r="G1381" t="s">
        <v>7880</v>
      </c>
      <c r="H1381" t="s">
        <v>7881</v>
      </c>
      <c r="I1381" t="s">
        <v>125</v>
      </c>
      <c r="J1381" t="s">
        <v>7882</v>
      </c>
      <c r="K1381" t="s">
        <v>7883</v>
      </c>
      <c r="L1381" t="s">
        <v>128</v>
      </c>
      <c r="M1381" t="s">
        <v>7884</v>
      </c>
      <c r="N1381" t="s">
        <v>7885</v>
      </c>
      <c r="O1381" t="s">
        <v>5475</v>
      </c>
      <c r="P1381">
        <v>0</v>
      </c>
      <c r="Q1381" t="s">
        <v>125</v>
      </c>
      <c r="R1381">
        <v>3</v>
      </c>
      <c r="S1381">
        <v>83</v>
      </c>
      <c r="T1381" t="s">
        <v>132</v>
      </c>
      <c r="U1381" t="s">
        <v>133</v>
      </c>
      <c r="V1381" s="1">
        <v>1000</v>
      </c>
      <c r="W1381">
        <v>0</v>
      </c>
      <c r="X1381" s="1">
        <v>1000</v>
      </c>
      <c r="Y1381">
        <v>7</v>
      </c>
      <c r="Z1381">
        <v>0</v>
      </c>
      <c r="AA1381">
        <v>0</v>
      </c>
      <c r="AB1381">
        <v>0</v>
      </c>
      <c r="AC1381">
        <v>0</v>
      </c>
      <c r="AD1381" t="s">
        <v>134</v>
      </c>
      <c r="AE1381" t="s">
        <v>134</v>
      </c>
      <c r="AF1381" s="2">
        <v>45841</v>
      </c>
      <c r="AG1381" t="s">
        <v>135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 t="s">
        <v>135</v>
      </c>
      <c r="AO1381" t="s">
        <v>135</v>
      </c>
      <c r="AP1381" t="s">
        <v>136</v>
      </c>
      <c r="AQ1381" t="s">
        <v>137</v>
      </c>
      <c r="AR1381" t="s">
        <v>138</v>
      </c>
      <c r="AS1381" t="s">
        <v>150</v>
      </c>
      <c r="AT1381" t="s">
        <v>140</v>
      </c>
      <c r="AU1381">
        <v>995</v>
      </c>
      <c r="AV1381">
        <v>99</v>
      </c>
      <c r="AW1381">
        <v>9</v>
      </c>
      <c r="AX1381" s="2">
        <v>45858</v>
      </c>
      <c r="AY1381" t="s">
        <v>142</v>
      </c>
      <c r="AZ1381" s="2">
        <v>46026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 t="s">
        <v>135</v>
      </c>
      <c r="BH1381" t="s">
        <v>250</v>
      </c>
      <c r="BI1381" t="s">
        <v>135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 t="s">
        <v>161</v>
      </c>
    </row>
    <row r="1382" spans="1:81" x14ac:dyDescent="0.25">
      <c r="A1382">
        <v>345</v>
      </c>
      <c r="B1382">
        <v>2</v>
      </c>
      <c r="C1382">
        <v>3652</v>
      </c>
      <c r="D1382" t="s">
        <v>7886</v>
      </c>
      <c r="E1382" t="s">
        <v>121</v>
      </c>
      <c r="F1382" t="s">
        <v>7887</v>
      </c>
      <c r="G1382" t="s">
        <v>7888</v>
      </c>
      <c r="H1382" t="s">
        <v>7889</v>
      </c>
      <c r="I1382" t="s">
        <v>7890</v>
      </c>
      <c r="J1382" t="s">
        <v>3074</v>
      </c>
      <c r="K1382" t="s">
        <v>1853</v>
      </c>
      <c r="L1382" t="s">
        <v>128</v>
      </c>
      <c r="M1382" t="s">
        <v>1854</v>
      </c>
      <c r="N1382" t="s">
        <v>7891</v>
      </c>
      <c r="O1382" t="s">
        <v>159</v>
      </c>
      <c r="P1382">
        <v>0</v>
      </c>
      <c r="Q1382" t="s">
        <v>125</v>
      </c>
      <c r="R1382">
        <v>4</v>
      </c>
      <c r="S1382">
        <v>77</v>
      </c>
      <c r="T1382" t="s">
        <v>132</v>
      </c>
      <c r="U1382" t="s">
        <v>133</v>
      </c>
      <c r="V1382" s="1">
        <v>2000</v>
      </c>
      <c r="W1382">
        <v>0</v>
      </c>
      <c r="X1382" s="1">
        <v>2000</v>
      </c>
      <c r="Y1382">
        <v>7</v>
      </c>
      <c r="Z1382">
        <v>0</v>
      </c>
      <c r="AA1382">
        <v>5</v>
      </c>
      <c r="AB1382">
        <v>0</v>
      </c>
      <c r="AC1382">
        <v>15</v>
      </c>
      <c r="AD1382" t="s">
        <v>134</v>
      </c>
      <c r="AE1382" t="s">
        <v>134</v>
      </c>
      <c r="AF1382" s="2">
        <v>45842</v>
      </c>
      <c r="AG1382" s="2">
        <v>46017</v>
      </c>
      <c r="AH1382" s="1">
        <v>1413.48</v>
      </c>
      <c r="AI1382" s="1">
        <v>1996.59</v>
      </c>
      <c r="AJ1382" s="1">
        <v>15548.29</v>
      </c>
      <c r="AK1382">
        <v>0</v>
      </c>
      <c r="AL1382">
        <v>0</v>
      </c>
      <c r="AM1382">
        <v>0</v>
      </c>
      <c r="AN1382" t="s">
        <v>135</v>
      </c>
      <c r="AO1382" t="s">
        <v>135</v>
      </c>
      <c r="AP1382" t="s">
        <v>136</v>
      </c>
      <c r="AQ1382" t="s">
        <v>137</v>
      </c>
      <c r="AR1382" t="s">
        <v>138</v>
      </c>
      <c r="AS1382" t="s">
        <v>150</v>
      </c>
      <c r="AT1382" t="s">
        <v>140</v>
      </c>
      <c r="AU1382">
        <v>106</v>
      </c>
      <c r="AV1382">
        <v>10</v>
      </c>
      <c r="AW1382">
        <v>1</v>
      </c>
      <c r="AX1382" s="2">
        <v>45847</v>
      </c>
      <c r="AY1382" t="s">
        <v>168</v>
      </c>
      <c r="AZ1382" s="2">
        <v>46022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 t="s">
        <v>135</v>
      </c>
      <c r="BH1382" t="s">
        <v>250</v>
      </c>
      <c r="BI1382" t="s">
        <v>135</v>
      </c>
      <c r="BJ1382">
        <v>0</v>
      </c>
      <c r="BK1382">
        <v>0</v>
      </c>
      <c r="BL1382">
        <v>0</v>
      </c>
      <c r="BM1382">
        <v>3.51</v>
      </c>
      <c r="BN1382">
        <v>2.41</v>
      </c>
      <c r="BO1382" s="1">
        <v>3232.05</v>
      </c>
      <c r="BP1382" s="1">
        <v>1473.96</v>
      </c>
      <c r="BQ1382" s="1">
        <v>4706.01</v>
      </c>
      <c r="BR1382" s="1">
        <v>1635.9</v>
      </c>
      <c r="BS1382">
        <v>3.42</v>
      </c>
      <c r="BT1382">
        <v>3.42</v>
      </c>
      <c r="BU1382" s="1">
        <v>4653.62</v>
      </c>
      <c r="BV1382">
        <v>0</v>
      </c>
      <c r="BW1382" s="1">
        <v>4653.62</v>
      </c>
      <c r="BX1382">
        <v>0</v>
      </c>
      <c r="BY1382">
        <v>0</v>
      </c>
      <c r="BZ1382">
        <v>0</v>
      </c>
      <c r="CA1382">
        <v>0</v>
      </c>
      <c r="CB1382" s="1">
        <v>5088.32</v>
      </c>
      <c r="CC1382" t="s">
        <v>161</v>
      </c>
    </row>
    <row r="1383" spans="1:81" x14ac:dyDescent="0.25">
      <c r="A1383">
        <v>345</v>
      </c>
      <c r="B1383">
        <v>2</v>
      </c>
      <c r="C1383">
        <v>3654</v>
      </c>
      <c r="D1383" t="s">
        <v>7892</v>
      </c>
      <c r="E1383" t="s">
        <v>121</v>
      </c>
      <c r="F1383" t="s">
        <v>7893</v>
      </c>
      <c r="G1383" t="s">
        <v>2248</v>
      </c>
      <c r="H1383" t="s">
        <v>7894</v>
      </c>
      <c r="I1383" t="s">
        <v>7895</v>
      </c>
      <c r="J1383" t="s">
        <v>459</v>
      </c>
      <c r="K1383" t="s">
        <v>336</v>
      </c>
      <c r="L1383" t="s">
        <v>128</v>
      </c>
      <c r="M1383" t="s">
        <v>337</v>
      </c>
      <c r="N1383" t="s">
        <v>7896</v>
      </c>
      <c r="O1383" t="s">
        <v>149</v>
      </c>
      <c r="P1383">
        <v>0</v>
      </c>
      <c r="Q1383" t="s">
        <v>125</v>
      </c>
      <c r="R1383">
        <v>3</v>
      </c>
      <c r="S1383">
        <v>85</v>
      </c>
      <c r="T1383" t="s">
        <v>132</v>
      </c>
      <c r="U1383" t="s">
        <v>133</v>
      </c>
      <c r="V1383" s="1">
        <v>3600</v>
      </c>
      <c r="W1383">
        <v>0</v>
      </c>
      <c r="X1383" s="1">
        <v>3600</v>
      </c>
      <c r="Y1383">
        <v>7</v>
      </c>
      <c r="Z1383">
        <v>0</v>
      </c>
      <c r="AA1383">
        <v>0</v>
      </c>
      <c r="AB1383">
        <v>0</v>
      </c>
      <c r="AC1383">
        <v>0</v>
      </c>
      <c r="AD1383" t="s">
        <v>134</v>
      </c>
      <c r="AE1383" t="s">
        <v>134</v>
      </c>
      <c r="AF1383" s="2">
        <v>45842</v>
      </c>
      <c r="AG1383" s="2">
        <v>46008</v>
      </c>
      <c r="AH1383" s="1">
        <v>1197.54</v>
      </c>
      <c r="AI1383" s="1">
        <v>2264.66</v>
      </c>
      <c r="AJ1383" s="1">
        <v>7185.24</v>
      </c>
      <c r="AK1383">
        <v>0</v>
      </c>
      <c r="AL1383">
        <v>921.68</v>
      </c>
      <c r="AM1383">
        <v>0</v>
      </c>
      <c r="AN1383" t="s">
        <v>135</v>
      </c>
      <c r="AO1383" t="s">
        <v>135</v>
      </c>
      <c r="AP1383" t="s">
        <v>136</v>
      </c>
      <c r="AQ1383" t="s">
        <v>137</v>
      </c>
      <c r="AR1383" t="s">
        <v>138</v>
      </c>
      <c r="AS1383" t="s">
        <v>150</v>
      </c>
      <c r="AT1383" t="s">
        <v>140</v>
      </c>
      <c r="AU1383">
        <v>100</v>
      </c>
      <c r="AV1383">
        <v>10</v>
      </c>
      <c r="AW1383">
        <v>1</v>
      </c>
      <c r="AX1383" s="2">
        <v>45845</v>
      </c>
      <c r="AY1383" t="s">
        <v>141</v>
      </c>
      <c r="AZ1383" s="2">
        <v>46027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 t="s">
        <v>135</v>
      </c>
      <c r="BH1383" t="s">
        <v>250</v>
      </c>
      <c r="BI1383" t="s">
        <v>135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 s="1">
        <v>2264.66</v>
      </c>
      <c r="BQ1383" s="1">
        <v>2264.66</v>
      </c>
      <c r="BR1383">
        <v>0</v>
      </c>
      <c r="BS1383">
        <v>0</v>
      </c>
      <c r="BT1383">
        <v>0</v>
      </c>
      <c r="BU1383">
        <v>0</v>
      </c>
      <c r="BV1383" s="1">
        <v>1740.54</v>
      </c>
      <c r="BW1383" s="1">
        <v>1740.54</v>
      </c>
      <c r="BX1383">
        <v>0</v>
      </c>
      <c r="BY1383">
        <v>0</v>
      </c>
      <c r="BZ1383">
        <v>0</v>
      </c>
      <c r="CA1383">
        <v>0</v>
      </c>
      <c r="CB1383" s="1">
        <v>4161.25</v>
      </c>
      <c r="CC1383" t="s">
        <v>161</v>
      </c>
    </row>
    <row r="1384" spans="1:81" x14ac:dyDescent="0.25">
      <c r="A1384">
        <v>345</v>
      </c>
      <c r="B1384">
        <v>2</v>
      </c>
      <c r="C1384">
        <v>3655</v>
      </c>
      <c r="D1384" t="s">
        <v>7897</v>
      </c>
      <c r="E1384" t="s">
        <v>121</v>
      </c>
      <c r="F1384" t="s">
        <v>7898</v>
      </c>
      <c r="G1384" t="s">
        <v>7899</v>
      </c>
      <c r="H1384" t="s">
        <v>7900</v>
      </c>
      <c r="I1384" t="s">
        <v>7901</v>
      </c>
      <c r="J1384" t="s">
        <v>600</v>
      </c>
      <c r="K1384" t="s">
        <v>336</v>
      </c>
      <c r="L1384" t="s">
        <v>128</v>
      </c>
      <c r="M1384" t="s">
        <v>337</v>
      </c>
      <c r="N1384" t="s">
        <v>7902</v>
      </c>
      <c r="O1384" t="s">
        <v>195</v>
      </c>
      <c r="P1384">
        <v>0</v>
      </c>
      <c r="Q1384" t="s">
        <v>125</v>
      </c>
      <c r="R1384">
        <v>3</v>
      </c>
      <c r="S1384">
        <v>83</v>
      </c>
      <c r="T1384" t="s">
        <v>132</v>
      </c>
      <c r="U1384" t="s">
        <v>133</v>
      </c>
      <c r="V1384" s="1">
        <v>3500</v>
      </c>
      <c r="W1384">
        <v>0</v>
      </c>
      <c r="X1384" s="1">
        <v>3500</v>
      </c>
      <c r="Y1384">
        <v>7</v>
      </c>
      <c r="Z1384">
        <v>0</v>
      </c>
      <c r="AA1384">
        <v>9</v>
      </c>
      <c r="AB1384">
        <v>0</v>
      </c>
      <c r="AC1384">
        <v>0</v>
      </c>
      <c r="AD1384" t="s">
        <v>134</v>
      </c>
      <c r="AE1384" t="s">
        <v>134</v>
      </c>
      <c r="AF1384" s="2">
        <v>45842</v>
      </c>
      <c r="AG1384" s="2">
        <v>46020</v>
      </c>
      <c r="AH1384">
        <v>790.82</v>
      </c>
      <c r="AI1384" s="1">
        <v>1747.46</v>
      </c>
      <c r="AJ1384" s="1">
        <v>4744.95</v>
      </c>
      <c r="AK1384">
        <v>0</v>
      </c>
      <c r="AL1384">
        <v>0</v>
      </c>
      <c r="AM1384">
        <v>0</v>
      </c>
      <c r="AN1384" t="s">
        <v>135</v>
      </c>
      <c r="AO1384" t="s">
        <v>135</v>
      </c>
      <c r="AP1384" t="s">
        <v>136</v>
      </c>
      <c r="AQ1384" t="s">
        <v>137</v>
      </c>
      <c r="AR1384" t="s">
        <v>138</v>
      </c>
      <c r="AS1384" t="s">
        <v>139</v>
      </c>
      <c r="AT1384" t="s">
        <v>140</v>
      </c>
      <c r="AU1384">
        <v>102</v>
      </c>
      <c r="AV1384">
        <v>10</v>
      </c>
      <c r="AW1384">
        <v>1</v>
      </c>
      <c r="AX1384" s="2">
        <v>45849</v>
      </c>
      <c r="AY1384" t="s">
        <v>151</v>
      </c>
      <c r="AZ1384" s="2">
        <v>46024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 t="s">
        <v>135</v>
      </c>
      <c r="BH1384" t="s">
        <v>250</v>
      </c>
      <c r="BI1384" t="s">
        <v>135</v>
      </c>
      <c r="BJ1384">
        <v>0</v>
      </c>
      <c r="BK1384">
        <v>0</v>
      </c>
      <c r="BL1384">
        <v>0</v>
      </c>
      <c r="BM1384">
        <v>7.43</v>
      </c>
      <c r="BN1384">
        <v>4.92</v>
      </c>
      <c r="BO1384" s="1">
        <v>2231.73</v>
      </c>
      <c r="BP1384" s="1">
        <v>1141.47</v>
      </c>
      <c r="BQ1384" s="1">
        <v>3373.2</v>
      </c>
      <c r="BR1384" s="1">
        <v>1328.46</v>
      </c>
      <c r="BS1384">
        <v>9</v>
      </c>
      <c r="BT1384">
        <v>5.47</v>
      </c>
      <c r="BU1384">
        <v>444.77</v>
      </c>
      <c r="BV1384">
        <v>286.5</v>
      </c>
      <c r="BW1384">
        <v>731.27</v>
      </c>
      <c r="BX1384">
        <v>0</v>
      </c>
      <c r="BY1384">
        <v>0</v>
      </c>
      <c r="BZ1384">
        <v>0</v>
      </c>
      <c r="CA1384">
        <v>0</v>
      </c>
      <c r="CB1384" s="1">
        <v>2277.66</v>
      </c>
      <c r="CC1384" t="s">
        <v>161</v>
      </c>
    </row>
    <row r="1385" spans="1:81" x14ac:dyDescent="0.25">
      <c r="A1385">
        <v>345</v>
      </c>
      <c r="B1385">
        <v>2</v>
      </c>
      <c r="C1385">
        <v>3657</v>
      </c>
      <c r="D1385" t="s">
        <v>7903</v>
      </c>
      <c r="E1385" t="s">
        <v>121</v>
      </c>
      <c r="F1385" t="s">
        <v>7904</v>
      </c>
      <c r="G1385" t="s">
        <v>7905</v>
      </c>
      <c r="H1385" t="s">
        <v>7876</v>
      </c>
      <c r="I1385" t="s">
        <v>7906</v>
      </c>
      <c r="J1385" t="s">
        <v>7609</v>
      </c>
      <c r="K1385" t="s">
        <v>127</v>
      </c>
      <c r="L1385" t="s">
        <v>128</v>
      </c>
      <c r="M1385" t="s">
        <v>129</v>
      </c>
      <c r="N1385" t="s">
        <v>7907</v>
      </c>
      <c r="O1385" t="s">
        <v>201</v>
      </c>
      <c r="P1385">
        <v>0</v>
      </c>
      <c r="Q1385" t="s">
        <v>125</v>
      </c>
      <c r="R1385">
        <v>3</v>
      </c>
      <c r="S1385">
        <v>84</v>
      </c>
      <c r="T1385" t="s">
        <v>132</v>
      </c>
      <c r="U1385" t="s">
        <v>133</v>
      </c>
      <c r="V1385" s="1">
        <v>1100</v>
      </c>
      <c r="W1385">
        <v>0</v>
      </c>
      <c r="X1385" s="1">
        <v>1100</v>
      </c>
      <c r="Y1385">
        <v>7</v>
      </c>
      <c r="Z1385">
        <v>0</v>
      </c>
      <c r="AA1385">
        <v>0</v>
      </c>
      <c r="AB1385">
        <v>0</v>
      </c>
      <c r="AC1385">
        <v>0</v>
      </c>
      <c r="AD1385" t="s">
        <v>134</v>
      </c>
      <c r="AE1385" t="s">
        <v>134</v>
      </c>
      <c r="AF1385" s="2">
        <v>45845</v>
      </c>
      <c r="AG1385" s="2">
        <v>46006</v>
      </c>
      <c r="AH1385">
        <v>597.15</v>
      </c>
      <c r="AI1385">
        <v>744.12</v>
      </c>
      <c r="AJ1385" s="1">
        <v>2985.78</v>
      </c>
      <c r="AK1385">
        <v>0</v>
      </c>
      <c r="AL1385">
        <v>0</v>
      </c>
      <c r="AM1385">
        <v>0</v>
      </c>
      <c r="AN1385" t="s">
        <v>135</v>
      </c>
      <c r="AO1385" t="s">
        <v>135</v>
      </c>
      <c r="AP1385" t="s">
        <v>136</v>
      </c>
      <c r="AQ1385" t="s">
        <v>137</v>
      </c>
      <c r="AR1385" t="s">
        <v>138</v>
      </c>
      <c r="AS1385" t="s">
        <v>139</v>
      </c>
      <c r="AT1385" t="s">
        <v>140</v>
      </c>
      <c r="AU1385">
        <v>102</v>
      </c>
      <c r="AV1385">
        <v>10</v>
      </c>
      <c r="AW1385">
        <v>1</v>
      </c>
      <c r="AX1385" s="2">
        <v>45850</v>
      </c>
      <c r="AY1385" t="s">
        <v>160</v>
      </c>
      <c r="AZ1385" s="2">
        <v>46025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 t="s">
        <v>135</v>
      </c>
      <c r="BH1385" t="s">
        <v>250</v>
      </c>
      <c r="BI1385" t="s">
        <v>135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 s="1">
        <v>1170.75</v>
      </c>
      <c r="BQ1385" s="1">
        <v>1170.75</v>
      </c>
      <c r="BR1385">
        <v>0</v>
      </c>
      <c r="BS1385">
        <v>0</v>
      </c>
      <c r="BT1385">
        <v>0</v>
      </c>
      <c r="BU1385">
        <v>0</v>
      </c>
      <c r="BV1385">
        <v>581.79</v>
      </c>
      <c r="BW1385">
        <v>581.79</v>
      </c>
      <c r="BX1385">
        <v>0</v>
      </c>
      <c r="BY1385">
        <v>0</v>
      </c>
      <c r="BZ1385">
        <v>0</v>
      </c>
      <c r="CA1385">
        <v>0</v>
      </c>
      <c r="CB1385" s="1">
        <v>1095.8699999999999</v>
      </c>
      <c r="CC1385" t="s">
        <v>161</v>
      </c>
    </row>
    <row r="1386" spans="1:81" x14ac:dyDescent="0.25">
      <c r="A1386">
        <v>345</v>
      </c>
      <c r="B1386">
        <v>2</v>
      </c>
      <c r="C1386">
        <v>3659</v>
      </c>
      <c r="D1386" t="s">
        <v>7908</v>
      </c>
      <c r="E1386" t="s">
        <v>5427</v>
      </c>
      <c r="F1386" t="s">
        <v>7909</v>
      </c>
      <c r="G1386" t="s">
        <v>7910</v>
      </c>
      <c r="H1386" t="s">
        <v>7911</v>
      </c>
      <c r="I1386" t="s">
        <v>7912</v>
      </c>
      <c r="J1386" t="s">
        <v>126</v>
      </c>
      <c r="K1386" t="s">
        <v>4248</v>
      </c>
      <c r="L1386" t="s">
        <v>128</v>
      </c>
      <c r="M1386" t="s">
        <v>1325</v>
      </c>
      <c r="N1386" t="s">
        <v>7913</v>
      </c>
      <c r="O1386" t="s">
        <v>2996</v>
      </c>
      <c r="P1386">
        <v>0</v>
      </c>
      <c r="Q1386" t="s">
        <v>125</v>
      </c>
      <c r="R1386">
        <v>3</v>
      </c>
      <c r="S1386">
        <v>88</v>
      </c>
      <c r="T1386" t="s">
        <v>132</v>
      </c>
      <c r="U1386" t="s">
        <v>133</v>
      </c>
      <c r="V1386" s="1">
        <v>3300</v>
      </c>
      <c r="W1386" s="1">
        <v>2774.17</v>
      </c>
      <c r="X1386">
        <v>525.83000000000004</v>
      </c>
      <c r="Y1386">
        <v>7</v>
      </c>
      <c r="Z1386">
        <v>0</v>
      </c>
      <c r="AA1386">
        <v>7</v>
      </c>
      <c r="AB1386">
        <v>0</v>
      </c>
      <c r="AC1386">
        <v>0</v>
      </c>
      <c r="AD1386" t="s">
        <v>134</v>
      </c>
      <c r="AE1386" t="s">
        <v>134</v>
      </c>
      <c r="AF1386" s="2">
        <v>45845</v>
      </c>
      <c r="AG1386" s="2">
        <v>46018</v>
      </c>
      <c r="AH1386" s="1">
        <v>2512.88</v>
      </c>
      <c r="AI1386" s="1">
        <v>4992.76</v>
      </c>
      <c r="AJ1386" s="1">
        <v>32667.51</v>
      </c>
      <c r="AK1386" s="1">
        <v>2774.17</v>
      </c>
      <c r="AL1386">
        <v>0</v>
      </c>
      <c r="AM1386">
        <v>0</v>
      </c>
      <c r="AN1386" t="s">
        <v>135</v>
      </c>
      <c r="AO1386" t="s">
        <v>135</v>
      </c>
      <c r="AP1386" t="s">
        <v>136</v>
      </c>
      <c r="AQ1386" t="s">
        <v>137</v>
      </c>
      <c r="AR1386" t="s">
        <v>138</v>
      </c>
      <c r="AS1386" t="s">
        <v>139</v>
      </c>
      <c r="AT1386" t="s">
        <v>140</v>
      </c>
      <c r="AU1386">
        <v>104</v>
      </c>
      <c r="AV1386">
        <v>10</v>
      </c>
      <c r="AW1386">
        <v>1</v>
      </c>
      <c r="AX1386" s="2">
        <v>45924</v>
      </c>
      <c r="AY1386" t="s">
        <v>168</v>
      </c>
      <c r="AZ1386" s="2">
        <v>46022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 t="s">
        <v>135</v>
      </c>
      <c r="BH1386" t="s">
        <v>250</v>
      </c>
      <c r="BI1386" t="s">
        <v>135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 s="1">
        <v>10211.16</v>
      </c>
      <c r="BQ1386" s="1">
        <v>10211.16</v>
      </c>
      <c r="BR1386">
        <v>0</v>
      </c>
      <c r="BS1386">
        <v>3.82</v>
      </c>
      <c r="BT1386">
        <v>1.89</v>
      </c>
      <c r="BU1386" s="1">
        <v>7548.8</v>
      </c>
      <c r="BV1386" s="1">
        <v>7691.7</v>
      </c>
      <c r="BW1386" s="1">
        <v>15240.5</v>
      </c>
      <c r="BX1386">
        <v>0</v>
      </c>
      <c r="BY1386">
        <v>0</v>
      </c>
      <c r="BZ1386">
        <v>0</v>
      </c>
      <c r="CA1386">
        <v>0</v>
      </c>
      <c r="CB1386" s="1">
        <v>7523.62</v>
      </c>
      <c r="CC1386" t="s">
        <v>5433</v>
      </c>
    </row>
    <row r="1387" spans="1:81" x14ac:dyDescent="0.25">
      <c r="A1387">
        <v>345</v>
      </c>
      <c r="B1387">
        <v>2</v>
      </c>
      <c r="C1387">
        <v>3660</v>
      </c>
      <c r="D1387" t="s">
        <v>7914</v>
      </c>
      <c r="E1387" t="s">
        <v>5427</v>
      </c>
      <c r="F1387" t="s">
        <v>7915</v>
      </c>
      <c r="G1387" t="s">
        <v>7916</v>
      </c>
      <c r="H1387" t="s">
        <v>7917</v>
      </c>
      <c r="I1387" t="s">
        <v>7918</v>
      </c>
      <c r="J1387" t="s">
        <v>126</v>
      </c>
      <c r="K1387" t="s">
        <v>1853</v>
      </c>
      <c r="L1387" t="s">
        <v>128</v>
      </c>
      <c r="M1387" t="s">
        <v>1854</v>
      </c>
      <c r="N1387" t="s">
        <v>7919</v>
      </c>
      <c r="O1387" t="s">
        <v>149</v>
      </c>
      <c r="P1387">
        <v>0</v>
      </c>
      <c r="Q1387" t="s">
        <v>125</v>
      </c>
      <c r="R1387">
        <v>4</v>
      </c>
      <c r="S1387">
        <v>80</v>
      </c>
      <c r="T1387" t="s">
        <v>132</v>
      </c>
      <c r="U1387" t="s">
        <v>133</v>
      </c>
      <c r="V1387" s="1">
        <v>1000</v>
      </c>
      <c r="W1387">
        <v>0</v>
      </c>
      <c r="X1387" s="1">
        <v>1000</v>
      </c>
      <c r="Y1387">
        <v>7</v>
      </c>
      <c r="Z1387">
        <v>0</v>
      </c>
      <c r="AA1387">
        <v>0</v>
      </c>
      <c r="AB1387">
        <v>0</v>
      </c>
      <c r="AC1387">
        <v>0</v>
      </c>
      <c r="AD1387" t="s">
        <v>134</v>
      </c>
      <c r="AE1387" t="s">
        <v>134</v>
      </c>
      <c r="AF1387" s="2">
        <v>45845</v>
      </c>
      <c r="AG1387" s="2">
        <v>46007</v>
      </c>
      <c r="AH1387">
        <v>132.46</v>
      </c>
      <c r="AI1387">
        <v>192.5</v>
      </c>
      <c r="AJ1387">
        <v>397.38</v>
      </c>
      <c r="AK1387">
        <v>0</v>
      </c>
      <c r="AL1387">
        <v>0</v>
      </c>
      <c r="AM1387">
        <v>0</v>
      </c>
      <c r="AN1387" t="s">
        <v>135</v>
      </c>
      <c r="AO1387" t="s">
        <v>135</v>
      </c>
      <c r="AP1387" t="s">
        <v>136</v>
      </c>
      <c r="AQ1387" t="s">
        <v>137</v>
      </c>
      <c r="AR1387" t="s">
        <v>138</v>
      </c>
      <c r="AS1387" t="s">
        <v>139</v>
      </c>
      <c r="AT1387" t="s">
        <v>140</v>
      </c>
      <c r="AU1387">
        <v>103</v>
      </c>
      <c r="AV1387">
        <v>10</v>
      </c>
      <c r="AW1387">
        <v>1</v>
      </c>
      <c r="AX1387" s="2">
        <v>45978</v>
      </c>
      <c r="AY1387" t="s">
        <v>141</v>
      </c>
      <c r="AZ1387" s="2">
        <v>46027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 t="s">
        <v>135</v>
      </c>
      <c r="BH1387" t="s">
        <v>250</v>
      </c>
      <c r="BI1387" t="s">
        <v>135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111.3</v>
      </c>
      <c r="BQ1387">
        <v>111.3</v>
      </c>
      <c r="BR1387">
        <v>0</v>
      </c>
      <c r="BS1387">
        <v>0</v>
      </c>
      <c r="BT1387">
        <v>0</v>
      </c>
      <c r="BU1387">
        <v>0</v>
      </c>
      <c r="BV1387">
        <v>192.5</v>
      </c>
      <c r="BW1387">
        <v>192.5</v>
      </c>
      <c r="BX1387">
        <v>0</v>
      </c>
      <c r="BY1387">
        <v>0</v>
      </c>
      <c r="BZ1387">
        <v>0</v>
      </c>
      <c r="CA1387">
        <v>0</v>
      </c>
      <c r="CB1387">
        <v>259.33999999999997</v>
      </c>
      <c r="CC1387" t="s">
        <v>152</v>
      </c>
    </row>
    <row r="1388" spans="1:81" x14ac:dyDescent="0.25">
      <c r="A1388">
        <v>345</v>
      </c>
      <c r="B1388">
        <v>2</v>
      </c>
      <c r="C1388">
        <v>3661</v>
      </c>
      <c r="D1388" t="s">
        <v>7920</v>
      </c>
      <c r="E1388" t="s">
        <v>121</v>
      </c>
      <c r="F1388" t="s">
        <v>7921</v>
      </c>
      <c r="G1388" t="s">
        <v>7922</v>
      </c>
      <c r="H1388" t="s">
        <v>7923</v>
      </c>
      <c r="I1388" t="s">
        <v>7924</v>
      </c>
      <c r="J1388" t="s">
        <v>4913</v>
      </c>
      <c r="K1388" t="s">
        <v>1853</v>
      </c>
      <c r="L1388" t="s">
        <v>128</v>
      </c>
      <c r="M1388" t="s">
        <v>1854</v>
      </c>
      <c r="N1388" t="s">
        <v>7925</v>
      </c>
      <c r="O1388" t="s">
        <v>167</v>
      </c>
      <c r="P1388">
        <v>0</v>
      </c>
      <c r="Q1388" t="s">
        <v>125</v>
      </c>
      <c r="R1388">
        <v>3</v>
      </c>
      <c r="S1388">
        <v>83</v>
      </c>
      <c r="T1388" t="s">
        <v>132</v>
      </c>
      <c r="U1388" t="s">
        <v>133</v>
      </c>
      <c r="V1388" s="1">
        <v>2100</v>
      </c>
      <c r="W1388">
        <v>0</v>
      </c>
      <c r="X1388" s="1">
        <v>2100</v>
      </c>
      <c r="Y1388">
        <v>7</v>
      </c>
      <c r="Z1388">
        <v>0</v>
      </c>
      <c r="AA1388">
        <v>0</v>
      </c>
      <c r="AB1388">
        <v>0</v>
      </c>
      <c r="AC1388">
        <v>0</v>
      </c>
      <c r="AD1388" t="s">
        <v>134</v>
      </c>
      <c r="AE1388" t="s">
        <v>134</v>
      </c>
      <c r="AF1388" s="2">
        <v>45846</v>
      </c>
      <c r="AG1388" s="2">
        <v>46018</v>
      </c>
      <c r="AH1388" s="1">
        <v>1205.42</v>
      </c>
      <c r="AI1388" s="1">
        <v>1782.22</v>
      </c>
      <c r="AJ1388" s="1">
        <v>15670.51</v>
      </c>
      <c r="AK1388">
        <v>0</v>
      </c>
      <c r="AL1388">
        <v>0</v>
      </c>
      <c r="AM1388">
        <v>0</v>
      </c>
      <c r="AN1388" t="s">
        <v>135</v>
      </c>
      <c r="AO1388" t="s">
        <v>135</v>
      </c>
      <c r="AP1388" t="s">
        <v>136</v>
      </c>
      <c r="AQ1388" t="s">
        <v>137</v>
      </c>
      <c r="AR1388" t="s">
        <v>138</v>
      </c>
      <c r="AS1388" t="s">
        <v>139</v>
      </c>
      <c r="AT1388" t="s">
        <v>140</v>
      </c>
      <c r="AU1388">
        <v>103</v>
      </c>
      <c r="AV1388">
        <v>10</v>
      </c>
      <c r="AW1388">
        <v>1</v>
      </c>
      <c r="AX1388" s="2">
        <v>45847</v>
      </c>
      <c r="AY1388" t="s">
        <v>168</v>
      </c>
      <c r="AZ1388" s="2">
        <v>46022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 t="s">
        <v>135</v>
      </c>
      <c r="BH1388" t="s">
        <v>250</v>
      </c>
      <c r="BI1388" t="s">
        <v>135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 s="1">
        <v>4737.7</v>
      </c>
      <c r="BQ1388" s="1">
        <v>4737.7</v>
      </c>
      <c r="BR1388">
        <v>0</v>
      </c>
      <c r="BS1388">
        <v>0</v>
      </c>
      <c r="BT1388">
        <v>0</v>
      </c>
      <c r="BU1388">
        <v>0</v>
      </c>
      <c r="BV1388" s="1">
        <v>6275.99</v>
      </c>
      <c r="BW1388" s="1">
        <v>6275.99</v>
      </c>
      <c r="BX1388">
        <v>0</v>
      </c>
      <c r="BY1388">
        <v>0</v>
      </c>
      <c r="BZ1388">
        <v>0</v>
      </c>
      <c r="CA1388">
        <v>0</v>
      </c>
      <c r="CB1388" s="1">
        <v>4382.87</v>
      </c>
      <c r="CC1388" t="s">
        <v>161</v>
      </c>
    </row>
    <row r="1389" spans="1:81" x14ac:dyDescent="0.25">
      <c r="A1389">
        <v>345</v>
      </c>
      <c r="B1389">
        <v>2</v>
      </c>
      <c r="C1389">
        <v>3662</v>
      </c>
      <c r="D1389" t="s">
        <v>7926</v>
      </c>
      <c r="E1389" t="s">
        <v>121</v>
      </c>
      <c r="F1389" t="s">
        <v>7927</v>
      </c>
      <c r="G1389" t="s">
        <v>7928</v>
      </c>
      <c r="H1389" t="s">
        <v>7929</v>
      </c>
      <c r="I1389" t="s">
        <v>7930</v>
      </c>
      <c r="J1389" t="s">
        <v>459</v>
      </c>
      <c r="K1389" t="s">
        <v>336</v>
      </c>
      <c r="L1389" t="s">
        <v>128</v>
      </c>
      <c r="M1389" t="s">
        <v>337</v>
      </c>
      <c r="N1389" t="s">
        <v>7931</v>
      </c>
      <c r="O1389" t="s">
        <v>167</v>
      </c>
      <c r="P1389">
        <v>0</v>
      </c>
      <c r="Q1389" t="s">
        <v>125</v>
      </c>
      <c r="R1389">
        <v>3</v>
      </c>
      <c r="S1389">
        <v>83</v>
      </c>
      <c r="T1389" t="s">
        <v>132</v>
      </c>
      <c r="U1389" t="s">
        <v>133</v>
      </c>
      <c r="V1389" s="1">
        <v>1400</v>
      </c>
      <c r="W1389">
        <v>0</v>
      </c>
      <c r="X1389" s="1">
        <v>1400</v>
      </c>
      <c r="Y1389">
        <v>7</v>
      </c>
      <c r="Z1389">
        <v>0</v>
      </c>
      <c r="AA1389">
        <v>0</v>
      </c>
      <c r="AB1389">
        <v>0</v>
      </c>
      <c r="AC1389">
        <v>0</v>
      </c>
      <c r="AD1389" t="s">
        <v>134</v>
      </c>
      <c r="AE1389" t="s">
        <v>134</v>
      </c>
      <c r="AF1389" s="2">
        <v>45846</v>
      </c>
      <c r="AG1389" s="2">
        <v>46007</v>
      </c>
      <c r="AH1389">
        <v>64.5</v>
      </c>
      <c r="AI1389">
        <v>118.6</v>
      </c>
      <c r="AJ1389">
        <v>129</v>
      </c>
      <c r="AK1389">
        <v>0</v>
      </c>
      <c r="AL1389">
        <v>0</v>
      </c>
      <c r="AM1389">
        <v>0</v>
      </c>
      <c r="AN1389" t="s">
        <v>135</v>
      </c>
      <c r="AO1389" t="s">
        <v>135</v>
      </c>
      <c r="AP1389" t="s">
        <v>136</v>
      </c>
      <c r="AQ1389" t="s">
        <v>137</v>
      </c>
      <c r="AR1389" t="s">
        <v>138</v>
      </c>
      <c r="AS1389" t="s">
        <v>139</v>
      </c>
      <c r="AT1389" t="s">
        <v>140</v>
      </c>
      <c r="AU1389">
        <v>100</v>
      </c>
      <c r="AV1389">
        <v>10</v>
      </c>
      <c r="AW1389">
        <v>1</v>
      </c>
      <c r="AX1389" s="2">
        <v>45852</v>
      </c>
      <c r="AY1389" t="s">
        <v>141</v>
      </c>
      <c r="AZ1389" s="2">
        <v>46027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 t="s">
        <v>135</v>
      </c>
      <c r="BH1389" t="s">
        <v>250</v>
      </c>
      <c r="BI1389" t="s">
        <v>135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10.4</v>
      </c>
      <c r="BW1389">
        <v>10.4</v>
      </c>
      <c r="BX1389">
        <v>0</v>
      </c>
      <c r="BY1389">
        <v>0</v>
      </c>
      <c r="BZ1389">
        <v>0</v>
      </c>
      <c r="CA1389">
        <v>0</v>
      </c>
      <c r="CB1389">
        <v>39.53</v>
      </c>
      <c r="CC1389" t="s">
        <v>161</v>
      </c>
    </row>
    <row r="1390" spans="1:81" x14ac:dyDescent="0.25">
      <c r="A1390">
        <v>345</v>
      </c>
      <c r="B1390">
        <v>2</v>
      </c>
      <c r="C1390">
        <v>3663</v>
      </c>
      <c r="D1390" t="s">
        <v>7932</v>
      </c>
      <c r="E1390" t="s">
        <v>121</v>
      </c>
      <c r="F1390" t="s">
        <v>7933</v>
      </c>
      <c r="G1390" t="s">
        <v>7934</v>
      </c>
      <c r="H1390" t="s">
        <v>7935</v>
      </c>
      <c r="I1390" t="s">
        <v>7936</v>
      </c>
      <c r="J1390" t="s">
        <v>4569</v>
      </c>
      <c r="K1390" t="s">
        <v>336</v>
      </c>
      <c r="L1390" t="s">
        <v>128</v>
      </c>
      <c r="M1390" t="s">
        <v>337</v>
      </c>
      <c r="N1390" t="s">
        <v>7937</v>
      </c>
      <c r="O1390" t="s">
        <v>159</v>
      </c>
      <c r="P1390">
        <v>0</v>
      </c>
      <c r="Q1390" t="s">
        <v>125</v>
      </c>
      <c r="R1390">
        <v>3</v>
      </c>
      <c r="S1390">
        <v>82</v>
      </c>
      <c r="T1390" t="s">
        <v>132</v>
      </c>
      <c r="U1390" t="s">
        <v>133</v>
      </c>
      <c r="V1390" s="1">
        <v>1400</v>
      </c>
      <c r="W1390">
        <v>0</v>
      </c>
      <c r="X1390" s="1">
        <v>1400</v>
      </c>
      <c r="Y1390">
        <v>7</v>
      </c>
      <c r="Z1390">
        <v>0</v>
      </c>
      <c r="AA1390">
        <v>0</v>
      </c>
      <c r="AB1390">
        <v>0</v>
      </c>
      <c r="AC1390">
        <v>0</v>
      </c>
      <c r="AD1390" t="s">
        <v>134</v>
      </c>
      <c r="AE1390" t="s">
        <v>134</v>
      </c>
      <c r="AF1390" s="2">
        <v>45846</v>
      </c>
      <c r="AG1390" s="2">
        <v>46007</v>
      </c>
      <c r="AH1390">
        <v>19.440000000000001</v>
      </c>
      <c r="AI1390">
        <v>19.440000000000001</v>
      </c>
      <c r="AJ1390">
        <v>19.440000000000001</v>
      </c>
      <c r="AK1390">
        <v>0</v>
      </c>
      <c r="AL1390">
        <v>0</v>
      </c>
      <c r="AM1390">
        <v>0</v>
      </c>
      <c r="AN1390" t="s">
        <v>135</v>
      </c>
      <c r="AO1390" t="s">
        <v>135</v>
      </c>
      <c r="AP1390" t="s">
        <v>136</v>
      </c>
      <c r="AQ1390" t="s">
        <v>137</v>
      </c>
      <c r="AR1390" t="s">
        <v>138</v>
      </c>
      <c r="AS1390" t="s">
        <v>139</v>
      </c>
      <c r="AT1390" t="s">
        <v>140</v>
      </c>
      <c r="AU1390">
        <v>100</v>
      </c>
      <c r="AV1390">
        <v>10</v>
      </c>
      <c r="AW1390">
        <v>1</v>
      </c>
      <c r="AX1390" s="2">
        <v>45852</v>
      </c>
      <c r="AY1390" t="s">
        <v>141</v>
      </c>
      <c r="AZ1390" s="2">
        <v>46027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 t="s">
        <v>135</v>
      </c>
      <c r="BH1390" t="s">
        <v>250</v>
      </c>
      <c r="BI1390" t="s">
        <v>135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19.440000000000001</v>
      </c>
      <c r="BW1390">
        <v>19.440000000000001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 t="s">
        <v>161</v>
      </c>
    </row>
    <row r="1391" spans="1:81" x14ac:dyDescent="0.25">
      <c r="A1391">
        <v>345</v>
      </c>
      <c r="B1391">
        <v>2</v>
      </c>
      <c r="C1391">
        <v>3664</v>
      </c>
      <c r="D1391" t="s">
        <v>7938</v>
      </c>
      <c r="E1391" t="s">
        <v>121</v>
      </c>
      <c r="F1391" t="s">
        <v>7939</v>
      </c>
      <c r="G1391" t="s">
        <v>7940</v>
      </c>
      <c r="H1391" t="s">
        <v>7941</v>
      </c>
      <c r="I1391" t="s">
        <v>7942</v>
      </c>
      <c r="J1391" t="s">
        <v>4569</v>
      </c>
      <c r="K1391" t="s">
        <v>473</v>
      </c>
      <c r="L1391" t="s">
        <v>128</v>
      </c>
      <c r="M1391" t="s">
        <v>474</v>
      </c>
      <c r="N1391" t="s">
        <v>7943</v>
      </c>
      <c r="O1391" t="s">
        <v>167</v>
      </c>
      <c r="P1391">
        <v>0</v>
      </c>
      <c r="Q1391" t="s">
        <v>125</v>
      </c>
      <c r="R1391">
        <v>4</v>
      </c>
      <c r="S1391">
        <v>76</v>
      </c>
      <c r="T1391" t="s">
        <v>132</v>
      </c>
      <c r="U1391" t="s">
        <v>133</v>
      </c>
      <c r="V1391">
        <v>460</v>
      </c>
      <c r="W1391">
        <v>406.75</v>
      </c>
      <c r="X1391">
        <v>53.25</v>
      </c>
      <c r="Y1391">
        <v>0</v>
      </c>
      <c r="Z1391">
        <v>0</v>
      </c>
      <c r="AA1391">
        <v>7</v>
      </c>
      <c r="AB1391">
        <v>4</v>
      </c>
      <c r="AC1391">
        <v>25</v>
      </c>
      <c r="AD1391" t="s">
        <v>134</v>
      </c>
      <c r="AE1391" t="s">
        <v>134</v>
      </c>
      <c r="AF1391" s="2">
        <v>45847</v>
      </c>
      <c r="AG1391" s="2">
        <v>45995</v>
      </c>
      <c r="AH1391">
        <v>330.51</v>
      </c>
      <c r="AI1391">
        <v>430.01</v>
      </c>
      <c r="AJ1391" s="1">
        <v>1983.08</v>
      </c>
      <c r="AK1391">
        <v>406.75</v>
      </c>
      <c r="AL1391">
        <v>0</v>
      </c>
      <c r="AM1391">
        <v>0</v>
      </c>
      <c r="AN1391" t="s">
        <v>135</v>
      </c>
      <c r="AO1391" t="s">
        <v>135</v>
      </c>
      <c r="AP1391" t="s">
        <v>136</v>
      </c>
      <c r="AQ1391" t="s">
        <v>137</v>
      </c>
      <c r="AR1391" t="s">
        <v>138</v>
      </c>
      <c r="AS1391" t="s">
        <v>139</v>
      </c>
      <c r="AT1391" t="s">
        <v>140</v>
      </c>
      <c r="AU1391">
        <v>105</v>
      </c>
      <c r="AV1391">
        <v>10</v>
      </c>
      <c r="AW1391">
        <v>1</v>
      </c>
      <c r="AX1391" s="2">
        <v>45882</v>
      </c>
      <c r="AY1391" t="s">
        <v>168</v>
      </c>
      <c r="AZ1391" s="2">
        <v>46022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 t="s">
        <v>135</v>
      </c>
      <c r="BH1391" t="s">
        <v>250</v>
      </c>
      <c r="BI1391" t="s">
        <v>135</v>
      </c>
      <c r="BJ1391">
        <v>0</v>
      </c>
      <c r="BK1391">
        <v>0</v>
      </c>
      <c r="BL1391">
        <v>0</v>
      </c>
      <c r="BM1391">
        <v>7</v>
      </c>
      <c r="BN1391">
        <v>7</v>
      </c>
      <c r="BO1391" s="1">
        <v>1184.1600000000001</v>
      </c>
      <c r="BP1391">
        <v>0</v>
      </c>
      <c r="BQ1391" s="1">
        <v>1184.1600000000001</v>
      </c>
      <c r="BR1391">
        <v>430.01</v>
      </c>
      <c r="BS1391">
        <v>7</v>
      </c>
      <c r="BT1391">
        <v>7</v>
      </c>
      <c r="BU1391">
        <v>406.75</v>
      </c>
      <c r="BV1391">
        <v>0</v>
      </c>
      <c r="BW1391">
        <v>406.75</v>
      </c>
      <c r="BX1391">
        <v>0</v>
      </c>
      <c r="BY1391">
        <v>0</v>
      </c>
      <c r="BZ1391">
        <v>0</v>
      </c>
      <c r="CA1391">
        <v>0</v>
      </c>
      <c r="CB1391">
        <v>682.78</v>
      </c>
      <c r="CC1391" t="s">
        <v>161</v>
      </c>
    </row>
    <row r="1392" spans="1:81" x14ac:dyDescent="0.25">
      <c r="A1392">
        <v>345</v>
      </c>
      <c r="B1392">
        <v>2</v>
      </c>
      <c r="C1392">
        <v>3667</v>
      </c>
      <c r="D1392" t="s">
        <v>7944</v>
      </c>
      <c r="E1392" t="s">
        <v>121</v>
      </c>
      <c r="F1392" t="s">
        <v>7945</v>
      </c>
      <c r="G1392" t="s">
        <v>7946</v>
      </c>
      <c r="H1392" t="s">
        <v>7947</v>
      </c>
      <c r="I1392" t="s">
        <v>7948</v>
      </c>
      <c r="J1392" t="s">
        <v>3074</v>
      </c>
      <c r="K1392" t="s">
        <v>1853</v>
      </c>
      <c r="L1392" t="s">
        <v>128</v>
      </c>
      <c r="M1392" t="s">
        <v>1854</v>
      </c>
      <c r="N1392" t="s">
        <v>3501</v>
      </c>
      <c r="O1392" t="s">
        <v>3115</v>
      </c>
      <c r="P1392">
        <v>0</v>
      </c>
      <c r="Q1392" t="s">
        <v>125</v>
      </c>
      <c r="R1392">
        <v>3</v>
      </c>
      <c r="S1392">
        <v>82</v>
      </c>
      <c r="T1392" t="s">
        <v>132</v>
      </c>
      <c r="U1392" t="s">
        <v>133</v>
      </c>
      <c r="V1392" s="1">
        <v>1500</v>
      </c>
      <c r="W1392">
        <v>854.5</v>
      </c>
      <c r="X1392">
        <v>645.5</v>
      </c>
      <c r="Y1392">
        <v>0</v>
      </c>
      <c r="Z1392">
        <v>0</v>
      </c>
      <c r="AA1392">
        <v>7</v>
      </c>
      <c r="AB1392">
        <v>5</v>
      </c>
      <c r="AC1392">
        <v>0</v>
      </c>
      <c r="AD1392" t="s">
        <v>134</v>
      </c>
      <c r="AE1392" t="s">
        <v>134</v>
      </c>
      <c r="AF1392" s="2">
        <v>45848</v>
      </c>
      <c r="AG1392" s="2">
        <v>46010</v>
      </c>
      <c r="AH1392">
        <v>854.5</v>
      </c>
      <c r="AI1392">
        <v>854.5</v>
      </c>
      <c r="AJ1392">
        <v>854.5</v>
      </c>
      <c r="AK1392">
        <v>854.5</v>
      </c>
      <c r="AL1392">
        <v>0</v>
      </c>
      <c r="AM1392">
        <v>0</v>
      </c>
      <c r="AN1392" t="s">
        <v>135</v>
      </c>
      <c r="AO1392" t="s">
        <v>135</v>
      </c>
      <c r="AP1392" t="s">
        <v>136</v>
      </c>
      <c r="AQ1392" t="s">
        <v>137</v>
      </c>
      <c r="AR1392" t="s">
        <v>138</v>
      </c>
      <c r="AS1392" t="s">
        <v>150</v>
      </c>
      <c r="AT1392" t="s">
        <v>140</v>
      </c>
      <c r="AU1392">
        <v>106</v>
      </c>
      <c r="AV1392">
        <v>10</v>
      </c>
      <c r="AW1392">
        <v>1</v>
      </c>
      <c r="AX1392" s="2">
        <v>45854</v>
      </c>
      <c r="AY1392" t="s">
        <v>168</v>
      </c>
      <c r="AZ1392" s="2">
        <v>46022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 t="s">
        <v>135</v>
      </c>
      <c r="BH1392" t="s">
        <v>250</v>
      </c>
      <c r="BI1392" t="s">
        <v>135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7</v>
      </c>
      <c r="BT1392">
        <v>7</v>
      </c>
      <c r="BU1392">
        <v>854.5</v>
      </c>
      <c r="BV1392">
        <v>0</v>
      </c>
      <c r="BW1392">
        <v>854.5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 t="s">
        <v>161</v>
      </c>
    </row>
    <row r="1393" spans="1:81" x14ac:dyDescent="0.25">
      <c r="A1393">
        <v>345</v>
      </c>
      <c r="B1393">
        <v>2</v>
      </c>
      <c r="C1393">
        <v>3668</v>
      </c>
      <c r="D1393" t="s">
        <v>7949</v>
      </c>
      <c r="E1393" t="s">
        <v>121</v>
      </c>
      <c r="F1393" t="s">
        <v>7950</v>
      </c>
      <c r="G1393" t="s">
        <v>7951</v>
      </c>
      <c r="H1393" t="s">
        <v>7952</v>
      </c>
      <c r="I1393" t="s">
        <v>7953</v>
      </c>
      <c r="J1393" t="s">
        <v>5682</v>
      </c>
      <c r="K1393" t="s">
        <v>4248</v>
      </c>
      <c r="L1393" t="s">
        <v>128</v>
      </c>
      <c r="M1393" t="s">
        <v>1325</v>
      </c>
      <c r="N1393" t="s">
        <v>7954</v>
      </c>
      <c r="O1393" t="s">
        <v>167</v>
      </c>
      <c r="P1393">
        <v>0</v>
      </c>
      <c r="Q1393" t="s">
        <v>125</v>
      </c>
      <c r="R1393">
        <v>4</v>
      </c>
      <c r="S1393">
        <v>81</v>
      </c>
      <c r="T1393" t="s">
        <v>132</v>
      </c>
      <c r="U1393" t="s">
        <v>133</v>
      </c>
      <c r="V1393" s="1">
        <v>3100</v>
      </c>
      <c r="W1393">
        <v>0</v>
      </c>
      <c r="X1393" s="1">
        <v>3100</v>
      </c>
      <c r="Y1393">
        <v>7</v>
      </c>
      <c r="Z1393">
        <v>0</v>
      </c>
      <c r="AA1393">
        <v>0</v>
      </c>
      <c r="AB1393">
        <v>0</v>
      </c>
      <c r="AC1393">
        <v>0</v>
      </c>
      <c r="AD1393" t="s">
        <v>234</v>
      </c>
      <c r="AE1393" t="s">
        <v>134</v>
      </c>
      <c r="AF1393" s="2">
        <v>45848</v>
      </c>
      <c r="AG1393" s="2">
        <v>46018</v>
      </c>
      <c r="AH1393" s="1">
        <v>1727.06</v>
      </c>
      <c r="AI1393" s="1">
        <v>2136.4</v>
      </c>
      <c r="AJ1393" s="1">
        <v>15543.61</v>
      </c>
      <c r="AK1393">
        <v>0</v>
      </c>
      <c r="AL1393">
        <v>0</v>
      </c>
      <c r="AM1393">
        <v>0</v>
      </c>
      <c r="AN1393" t="s">
        <v>135</v>
      </c>
      <c r="AO1393" t="s">
        <v>135</v>
      </c>
      <c r="AP1393" t="s">
        <v>136</v>
      </c>
      <c r="AQ1393" t="s">
        <v>137</v>
      </c>
      <c r="AR1393" t="s">
        <v>138</v>
      </c>
      <c r="AS1393" t="s">
        <v>150</v>
      </c>
      <c r="AT1393" t="s">
        <v>140</v>
      </c>
      <c r="AU1393">
        <v>104</v>
      </c>
      <c r="AV1393">
        <v>10</v>
      </c>
      <c r="AW1393">
        <v>1</v>
      </c>
      <c r="AX1393" s="2">
        <v>45855</v>
      </c>
      <c r="AY1393" t="s">
        <v>308</v>
      </c>
      <c r="AZ1393" s="2">
        <v>46023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 t="s">
        <v>135</v>
      </c>
      <c r="BH1393" t="s">
        <v>250</v>
      </c>
      <c r="BI1393" t="s">
        <v>135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 s="1">
        <v>3729.84</v>
      </c>
      <c r="BQ1393" s="1">
        <v>3729.84</v>
      </c>
      <c r="BR1393">
        <v>0</v>
      </c>
      <c r="BS1393">
        <v>0</v>
      </c>
      <c r="BT1393">
        <v>0</v>
      </c>
      <c r="BU1393">
        <v>0</v>
      </c>
      <c r="BV1393" s="1">
        <v>4779.8</v>
      </c>
      <c r="BW1393" s="1">
        <v>4779.8</v>
      </c>
      <c r="BX1393">
        <v>0</v>
      </c>
      <c r="BY1393">
        <v>0</v>
      </c>
      <c r="BZ1393">
        <v>0</v>
      </c>
      <c r="CA1393">
        <v>0</v>
      </c>
      <c r="CB1393" s="1">
        <v>5004.17</v>
      </c>
      <c r="CC1393" t="s">
        <v>161</v>
      </c>
    </row>
    <row r="1394" spans="1:81" x14ac:dyDescent="0.25">
      <c r="A1394">
        <v>345</v>
      </c>
      <c r="B1394">
        <v>2</v>
      </c>
      <c r="C1394">
        <v>3670</v>
      </c>
      <c r="D1394" t="s">
        <v>7955</v>
      </c>
      <c r="E1394" t="s">
        <v>5780</v>
      </c>
      <c r="F1394" t="s">
        <v>7956</v>
      </c>
      <c r="G1394" t="s">
        <v>7957</v>
      </c>
      <c r="H1394" t="s">
        <v>7958</v>
      </c>
      <c r="I1394" t="s">
        <v>7959</v>
      </c>
      <c r="J1394" t="s">
        <v>3074</v>
      </c>
      <c r="K1394" t="s">
        <v>1853</v>
      </c>
      <c r="L1394" t="s">
        <v>128</v>
      </c>
      <c r="M1394" t="s">
        <v>1854</v>
      </c>
      <c r="N1394" t="s">
        <v>7960</v>
      </c>
      <c r="O1394" t="s">
        <v>3115</v>
      </c>
      <c r="P1394">
        <v>0</v>
      </c>
      <c r="Q1394" t="s">
        <v>125</v>
      </c>
      <c r="R1394">
        <v>4</v>
      </c>
      <c r="S1394">
        <v>77</v>
      </c>
      <c r="T1394" t="s">
        <v>132</v>
      </c>
      <c r="U1394" t="s">
        <v>133</v>
      </c>
      <c r="V1394" s="1">
        <v>1000</v>
      </c>
      <c r="W1394">
        <v>0</v>
      </c>
      <c r="X1394" s="1">
        <v>1000</v>
      </c>
      <c r="Y1394">
        <v>7</v>
      </c>
      <c r="Z1394">
        <v>0</v>
      </c>
      <c r="AA1394">
        <v>7</v>
      </c>
      <c r="AB1394">
        <v>0</v>
      </c>
      <c r="AC1394">
        <v>11</v>
      </c>
      <c r="AD1394" t="s">
        <v>134</v>
      </c>
      <c r="AE1394" t="s">
        <v>234</v>
      </c>
      <c r="AF1394" s="2">
        <v>45848</v>
      </c>
      <c r="AG1394" s="2">
        <v>46015</v>
      </c>
      <c r="AH1394">
        <v>367.01</v>
      </c>
      <c r="AI1394">
        <v>754.84</v>
      </c>
      <c r="AJ1394" s="1">
        <v>1101.05</v>
      </c>
      <c r="AK1394">
        <v>0</v>
      </c>
      <c r="AL1394">
        <v>0</v>
      </c>
      <c r="AM1394">
        <v>0</v>
      </c>
      <c r="AN1394" t="s">
        <v>135</v>
      </c>
      <c r="AO1394" t="s">
        <v>135</v>
      </c>
      <c r="AP1394" t="s">
        <v>136</v>
      </c>
      <c r="AQ1394" t="s">
        <v>137</v>
      </c>
      <c r="AR1394" t="s">
        <v>138</v>
      </c>
      <c r="AS1394" t="s">
        <v>150</v>
      </c>
      <c r="AT1394" t="s">
        <v>140</v>
      </c>
      <c r="AU1394">
        <v>106</v>
      </c>
      <c r="AV1394">
        <v>10</v>
      </c>
      <c r="AW1394">
        <v>1</v>
      </c>
      <c r="AX1394" s="2">
        <v>45860</v>
      </c>
      <c r="AY1394" t="s">
        <v>377</v>
      </c>
      <c r="AZ1394" s="2">
        <v>46028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 t="s">
        <v>135</v>
      </c>
      <c r="BH1394" t="s">
        <v>250</v>
      </c>
      <c r="BI1394" t="s">
        <v>135</v>
      </c>
      <c r="BJ1394">
        <v>0</v>
      </c>
      <c r="BK1394">
        <v>0</v>
      </c>
      <c r="BL1394">
        <v>0</v>
      </c>
      <c r="BM1394">
        <v>7</v>
      </c>
      <c r="BN1394">
        <v>7</v>
      </c>
      <c r="BO1394">
        <v>178.36</v>
      </c>
      <c r="BP1394">
        <v>0</v>
      </c>
      <c r="BQ1394">
        <v>178.36</v>
      </c>
      <c r="BR1394">
        <v>0</v>
      </c>
      <c r="BS1394">
        <v>5</v>
      </c>
      <c r="BT1394">
        <v>5</v>
      </c>
      <c r="BU1394">
        <v>754.84</v>
      </c>
      <c r="BV1394">
        <v>0</v>
      </c>
      <c r="BW1394">
        <v>754.84</v>
      </c>
      <c r="BX1394">
        <v>0</v>
      </c>
      <c r="BY1394">
        <v>0</v>
      </c>
      <c r="BZ1394">
        <v>0</v>
      </c>
      <c r="CA1394">
        <v>0</v>
      </c>
      <c r="CB1394">
        <v>221.39</v>
      </c>
      <c r="CC1394" t="s">
        <v>161</v>
      </c>
    </row>
    <row r="1395" spans="1:81" x14ac:dyDescent="0.25">
      <c r="A1395">
        <v>345</v>
      </c>
      <c r="B1395">
        <v>2</v>
      </c>
      <c r="C1395">
        <v>3675</v>
      </c>
      <c r="D1395" t="s">
        <v>7961</v>
      </c>
      <c r="E1395" t="s">
        <v>121</v>
      </c>
      <c r="F1395" t="s">
        <v>7962</v>
      </c>
      <c r="G1395" t="s">
        <v>7963</v>
      </c>
      <c r="H1395" t="s">
        <v>7964</v>
      </c>
      <c r="I1395" t="s">
        <v>7965</v>
      </c>
      <c r="J1395" t="s">
        <v>4610</v>
      </c>
      <c r="K1395" t="s">
        <v>4248</v>
      </c>
      <c r="L1395" t="s">
        <v>128</v>
      </c>
      <c r="M1395" t="s">
        <v>1325</v>
      </c>
      <c r="N1395" t="s">
        <v>7966</v>
      </c>
      <c r="O1395" t="s">
        <v>201</v>
      </c>
      <c r="P1395">
        <v>0</v>
      </c>
      <c r="Q1395" t="s">
        <v>125</v>
      </c>
      <c r="R1395">
        <v>3</v>
      </c>
      <c r="S1395">
        <v>84</v>
      </c>
      <c r="T1395" t="s">
        <v>132</v>
      </c>
      <c r="U1395" t="s">
        <v>133</v>
      </c>
      <c r="V1395" s="1">
        <v>1000</v>
      </c>
      <c r="W1395">
        <v>0</v>
      </c>
      <c r="X1395" s="1">
        <v>1000</v>
      </c>
      <c r="Y1395">
        <v>7</v>
      </c>
      <c r="Z1395">
        <v>0</v>
      </c>
      <c r="AA1395">
        <v>0</v>
      </c>
      <c r="AB1395">
        <v>0</v>
      </c>
      <c r="AC1395">
        <v>0</v>
      </c>
      <c r="AD1395" t="s">
        <v>134</v>
      </c>
      <c r="AE1395" t="s">
        <v>134</v>
      </c>
      <c r="AF1395" s="2">
        <v>45849</v>
      </c>
      <c r="AG1395" s="2">
        <v>45941</v>
      </c>
      <c r="AH1395">
        <v>237.01</v>
      </c>
      <c r="AI1395">
        <v>237.01</v>
      </c>
      <c r="AJ1395">
        <v>237.01</v>
      </c>
      <c r="AK1395">
        <v>0</v>
      </c>
      <c r="AL1395">
        <v>0</v>
      </c>
      <c r="AM1395">
        <v>0</v>
      </c>
      <c r="AN1395" t="s">
        <v>135</v>
      </c>
      <c r="AO1395" t="s">
        <v>135</v>
      </c>
      <c r="AP1395" t="s">
        <v>136</v>
      </c>
      <c r="AQ1395" t="s">
        <v>137</v>
      </c>
      <c r="AR1395" t="s">
        <v>138</v>
      </c>
      <c r="AS1395" t="s">
        <v>139</v>
      </c>
      <c r="AT1395" t="s">
        <v>140</v>
      </c>
      <c r="AU1395">
        <v>104</v>
      </c>
      <c r="AV1395">
        <v>10</v>
      </c>
      <c r="AW1395">
        <v>1</v>
      </c>
      <c r="AX1395" s="2">
        <v>45855</v>
      </c>
      <c r="AY1395" t="s">
        <v>308</v>
      </c>
      <c r="AZ1395" s="2">
        <v>46023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 t="s">
        <v>135</v>
      </c>
      <c r="BH1395" t="s">
        <v>250</v>
      </c>
      <c r="BI1395" t="s">
        <v>135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173.45</v>
      </c>
      <c r="CC1395" t="s">
        <v>161</v>
      </c>
    </row>
    <row r="1396" spans="1:81" x14ac:dyDescent="0.25">
      <c r="A1396">
        <v>345</v>
      </c>
      <c r="B1396">
        <v>2</v>
      </c>
      <c r="C1396">
        <v>3676</v>
      </c>
      <c r="D1396" t="s">
        <v>7967</v>
      </c>
      <c r="E1396" t="s">
        <v>121</v>
      </c>
      <c r="F1396" t="s">
        <v>7968</v>
      </c>
      <c r="G1396" t="s">
        <v>7969</v>
      </c>
      <c r="H1396" t="s">
        <v>7970</v>
      </c>
      <c r="I1396" t="s">
        <v>7971</v>
      </c>
      <c r="J1396" t="s">
        <v>4569</v>
      </c>
      <c r="K1396" t="s">
        <v>127</v>
      </c>
      <c r="L1396" t="s">
        <v>128</v>
      </c>
      <c r="M1396" t="s">
        <v>129</v>
      </c>
      <c r="N1396" t="s">
        <v>7972</v>
      </c>
      <c r="O1396" t="s">
        <v>201</v>
      </c>
      <c r="P1396">
        <v>0</v>
      </c>
      <c r="Q1396" t="s">
        <v>125</v>
      </c>
      <c r="R1396">
        <v>3</v>
      </c>
      <c r="S1396">
        <v>86</v>
      </c>
      <c r="T1396" t="s">
        <v>132</v>
      </c>
      <c r="U1396" t="s">
        <v>133</v>
      </c>
      <c r="V1396" s="1">
        <v>1000</v>
      </c>
      <c r="W1396">
        <v>0</v>
      </c>
      <c r="X1396" s="1">
        <v>1000</v>
      </c>
      <c r="Y1396">
        <v>7</v>
      </c>
      <c r="Z1396">
        <v>0</v>
      </c>
      <c r="AA1396">
        <v>0</v>
      </c>
      <c r="AB1396">
        <v>0</v>
      </c>
      <c r="AC1396">
        <v>0</v>
      </c>
      <c r="AD1396" t="s">
        <v>134</v>
      </c>
      <c r="AE1396" t="s">
        <v>134</v>
      </c>
      <c r="AF1396" s="2">
        <v>45849</v>
      </c>
      <c r="AG1396" s="2">
        <v>45955</v>
      </c>
      <c r="AH1396">
        <v>111.84</v>
      </c>
      <c r="AI1396">
        <v>117.05</v>
      </c>
      <c r="AJ1396">
        <v>223.69</v>
      </c>
      <c r="AK1396">
        <v>0</v>
      </c>
      <c r="AL1396">
        <v>0</v>
      </c>
      <c r="AM1396">
        <v>0</v>
      </c>
      <c r="AN1396" t="s">
        <v>135</v>
      </c>
      <c r="AO1396" t="s">
        <v>135</v>
      </c>
      <c r="AP1396" t="s">
        <v>136</v>
      </c>
      <c r="AQ1396" t="s">
        <v>137</v>
      </c>
      <c r="AR1396" t="s">
        <v>138</v>
      </c>
      <c r="AS1396" t="s">
        <v>139</v>
      </c>
      <c r="AT1396" t="s">
        <v>140</v>
      </c>
      <c r="AU1396">
        <v>102</v>
      </c>
      <c r="AV1396">
        <v>10</v>
      </c>
      <c r="AW1396">
        <v>1</v>
      </c>
      <c r="AX1396" s="2">
        <v>45855</v>
      </c>
      <c r="AY1396" t="s">
        <v>308</v>
      </c>
      <c r="AZ1396" s="2">
        <v>46023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 t="s">
        <v>135</v>
      </c>
      <c r="BH1396" t="s">
        <v>250</v>
      </c>
      <c r="BI1396" t="s">
        <v>135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116.97</v>
      </c>
      <c r="CC1396" t="s">
        <v>161</v>
      </c>
    </row>
    <row r="1397" spans="1:81" x14ac:dyDescent="0.25">
      <c r="A1397">
        <v>345</v>
      </c>
      <c r="B1397">
        <v>2</v>
      </c>
      <c r="C1397">
        <v>3682</v>
      </c>
      <c r="D1397" t="s">
        <v>7973</v>
      </c>
      <c r="E1397" t="s">
        <v>121</v>
      </c>
      <c r="F1397" t="s">
        <v>7974</v>
      </c>
      <c r="G1397" t="s">
        <v>7975</v>
      </c>
      <c r="H1397" t="s">
        <v>7976</v>
      </c>
      <c r="I1397" t="s">
        <v>7977</v>
      </c>
      <c r="J1397" t="s">
        <v>723</v>
      </c>
      <c r="K1397" t="s">
        <v>336</v>
      </c>
      <c r="L1397" t="s">
        <v>128</v>
      </c>
      <c r="M1397" t="s">
        <v>337</v>
      </c>
      <c r="N1397" t="s">
        <v>7978</v>
      </c>
      <c r="O1397" t="s">
        <v>201</v>
      </c>
      <c r="P1397">
        <v>0</v>
      </c>
      <c r="Q1397" t="s">
        <v>125</v>
      </c>
      <c r="R1397">
        <v>4</v>
      </c>
      <c r="S1397">
        <v>75</v>
      </c>
      <c r="T1397" t="s">
        <v>132</v>
      </c>
      <c r="U1397" t="s">
        <v>133</v>
      </c>
      <c r="V1397" s="1">
        <v>1000</v>
      </c>
      <c r="W1397">
        <v>0</v>
      </c>
      <c r="X1397" s="1">
        <v>1000</v>
      </c>
      <c r="Y1397">
        <v>7</v>
      </c>
      <c r="Z1397">
        <v>0</v>
      </c>
      <c r="AA1397">
        <v>2</v>
      </c>
      <c r="AB1397">
        <v>0</v>
      </c>
      <c r="AC1397">
        <v>20</v>
      </c>
      <c r="AD1397" t="s">
        <v>134</v>
      </c>
      <c r="AE1397" t="s">
        <v>134</v>
      </c>
      <c r="AF1397" s="2">
        <v>45852</v>
      </c>
      <c r="AG1397" s="2">
        <v>46018</v>
      </c>
      <c r="AH1397">
        <v>231.44</v>
      </c>
      <c r="AI1397">
        <v>286.5</v>
      </c>
      <c r="AJ1397">
        <v>925.76</v>
      </c>
      <c r="AK1397">
        <v>0</v>
      </c>
      <c r="AL1397">
        <v>0</v>
      </c>
      <c r="AM1397">
        <v>0</v>
      </c>
      <c r="AN1397" t="s">
        <v>135</v>
      </c>
      <c r="AO1397" t="s">
        <v>135</v>
      </c>
      <c r="AP1397" t="s">
        <v>136</v>
      </c>
      <c r="AQ1397" t="s">
        <v>137</v>
      </c>
      <c r="AR1397" t="s">
        <v>138</v>
      </c>
      <c r="AS1397" t="s">
        <v>139</v>
      </c>
      <c r="AT1397" t="s">
        <v>140</v>
      </c>
      <c r="AU1397">
        <v>101</v>
      </c>
      <c r="AV1397">
        <v>10</v>
      </c>
      <c r="AW1397">
        <v>1</v>
      </c>
      <c r="AX1397" s="2">
        <v>45883</v>
      </c>
      <c r="AY1397" t="s">
        <v>308</v>
      </c>
      <c r="AZ1397" s="2">
        <v>46023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 t="s">
        <v>135</v>
      </c>
      <c r="BH1397" t="s">
        <v>250</v>
      </c>
      <c r="BI1397" t="s">
        <v>135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352.76</v>
      </c>
      <c r="BQ1397">
        <v>352.76</v>
      </c>
      <c r="BR1397">
        <v>0</v>
      </c>
      <c r="BS1397">
        <v>0</v>
      </c>
      <c r="BT1397">
        <v>0</v>
      </c>
      <c r="BU1397">
        <v>0</v>
      </c>
      <c r="BV1397">
        <v>573</v>
      </c>
      <c r="BW1397">
        <v>573</v>
      </c>
      <c r="BX1397">
        <v>0</v>
      </c>
      <c r="BY1397">
        <v>0</v>
      </c>
      <c r="BZ1397">
        <v>0</v>
      </c>
      <c r="CA1397">
        <v>0</v>
      </c>
      <c r="CB1397">
        <v>167.47</v>
      </c>
      <c r="CC1397" t="s">
        <v>161</v>
      </c>
    </row>
    <row r="1398" spans="1:81" x14ac:dyDescent="0.25">
      <c r="A1398">
        <v>345</v>
      </c>
      <c r="B1398">
        <v>2</v>
      </c>
      <c r="C1398">
        <v>3683</v>
      </c>
      <c r="D1398" t="s">
        <v>7979</v>
      </c>
      <c r="E1398" t="s">
        <v>121</v>
      </c>
      <c r="F1398" t="s">
        <v>7980</v>
      </c>
      <c r="G1398" t="s">
        <v>7981</v>
      </c>
      <c r="H1398" t="s">
        <v>7952</v>
      </c>
      <c r="I1398" t="s">
        <v>7982</v>
      </c>
      <c r="J1398" t="s">
        <v>5682</v>
      </c>
      <c r="K1398" t="s">
        <v>4248</v>
      </c>
      <c r="L1398" t="s">
        <v>128</v>
      </c>
      <c r="M1398" t="s">
        <v>1325</v>
      </c>
      <c r="N1398" t="s">
        <v>7983</v>
      </c>
      <c r="O1398" t="s">
        <v>3115</v>
      </c>
      <c r="P1398">
        <v>0</v>
      </c>
      <c r="Q1398" t="s">
        <v>125</v>
      </c>
      <c r="R1398">
        <v>3</v>
      </c>
      <c r="S1398">
        <v>84</v>
      </c>
      <c r="T1398" t="s">
        <v>132</v>
      </c>
      <c r="U1398" t="s">
        <v>133</v>
      </c>
      <c r="V1398" s="1">
        <v>1500</v>
      </c>
      <c r="W1398" s="1">
        <v>1299.92</v>
      </c>
      <c r="X1398">
        <v>200.08</v>
      </c>
      <c r="Y1398">
        <v>7</v>
      </c>
      <c r="Z1398">
        <v>0</v>
      </c>
      <c r="AA1398">
        <v>9</v>
      </c>
      <c r="AB1398">
        <v>0</v>
      </c>
      <c r="AC1398">
        <v>0</v>
      </c>
      <c r="AD1398" t="s">
        <v>134</v>
      </c>
      <c r="AE1398" t="s">
        <v>134</v>
      </c>
      <c r="AF1398" s="2">
        <v>45852</v>
      </c>
      <c r="AG1398" s="2">
        <v>46018</v>
      </c>
      <c r="AH1398" s="1">
        <v>1299.92</v>
      </c>
      <c r="AI1398" s="1">
        <v>1299.92</v>
      </c>
      <c r="AJ1398" s="1">
        <v>1299.92</v>
      </c>
      <c r="AK1398">
        <v>0</v>
      </c>
      <c r="AL1398" s="1">
        <v>1299.92</v>
      </c>
      <c r="AM1398">
        <v>0</v>
      </c>
      <c r="AN1398" t="s">
        <v>135</v>
      </c>
      <c r="AO1398" t="s">
        <v>135</v>
      </c>
      <c r="AP1398" t="s">
        <v>136</v>
      </c>
      <c r="AQ1398" t="s">
        <v>137</v>
      </c>
      <c r="AR1398" t="s">
        <v>138</v>
      </c>
      <c r="AS1398" t="s">
        <v>150</v>
      </c>
      <c r="AT1398" t="s">
        <v>140</v>
      </c>
      <c r="AU1398">
        <v>999</v>
      </c>
      <c r="AV1398">
        <v>99</v>
      </c>
      <c r="AW1398">
        <v>9</v>
      </c>
      <c r="AX1398" t="s">
        <v>135</v>
      </c>
      <c r="AY1398" t="s">
        <v>250</v>
      </c>
      <c r="AZ1398" t="s">
        <v>135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 t="s">
        <v>135</v>
      </c>
      <c r="BH1398" t="s">
        <v>250</v>
      </c>
      <c r="BI1398" t="s">
        <v>135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9</v>
      </c>
      <c r="BT1398">
        <v>9</v>
      </c>
      <c r="BU1398" s="1">
        <v>1299.92</v>
      </c>
      <c r="BV1398">
        <v>0</v>
      </c>
      <c r="BW1398" s="1">
        <v>1299.92</v>
      </c>
      <c r="BX1398" s="1">
        <v>1299.92</v>
      </c>
      <c r="BY1398">
        <v>100</v>
      </c>
      <c r="BZ1398">
        <v>0</v>
      </c>
      <c r="CA1398">
        <v>0</v>
      </c>
      <c r="CB1398">
        <v>0</v>
      </c>
      <c r="CC1398" t="s">
        <v>161</v>
      </c>
    </row>
    <row r="1399" spans="1:81" x14ac:dyDescent="0.25">
      <c r="A1399">
        <v>345</v>
      </c>
      <c r="B1399">
        <v>2</v>
      </c>
      <c r="C1399">
        <v>3686</v>
      </c>
      <c r="D1399" t="s">
        <v>7984</v>
      </c>
      <c r="E1399" t="s">
        <v>121</v>
      </c>
      <c r="F1399" t="s">
        <v>7985</v>
      </c>
      <c r="G1399" t="s">
        <v>7986</v>
      </c>
      <c r="H1399" t="s">
        <v>3505</v>
      </c>
      <c r="I1399" t="s">
        <v>7987</v>
      </c>
      <c r="J1399" t="s">
        <v>3080</v>
      </c>
      <c r="K1399" t="s">
        <v>336</v>
      </c>
      <c r="L1399" t="s">
        <v>128</v>
      </c>
      <c r="M1399" t="s">
        <v>337</v>
      </c>
      <c r="N1399" t="s">
        <v>7988</v>
      </c>
      <c r="O1399" t="s">
        <v>159</v>
      </c>
      <c r="P1399">
        <v>0</v>
      </c>
      <c r="Q1399" t="s">
        <v>125</v>
      </c>
      <c r="R1399">
        <v>4</v>
      </c>
      <c r="S1399">
        <v>76</v>
      </c>
      <c r="T1399" t="s">
        <v>132</v>
      </c>
      <c r="U1399" t="s">
        <v>133</v>
      </c>
      <c r="V1399">
        <v>833</v>
      </c>
      <c r="W1399">
        <v>0</v>
      </c>
      <c r="X1399">
        <v>833</v>
      </c>
      <c r="Y1399">
        <v>7</v>
      </c>
      <c r="Z1399">
        <v>0</v>
      </c>
      <c r="AA1399">
        <v>7</v>
      </c>
      <c r="AB1399">
        <v>0</v>
      </c>
      <c r="AC1399">
        <v>0</v>
      </c>
      <c r="AD1399" t="s">
        <v>134</v>
      </c>
      <c r="AE1399" t="s">
        <v>134</v>
      </c>
      <c r="AF1399" s="2">
        <v>45854</v>
      </c>
      <c r="AG1399" s="2">
        <v>46015</v>
      </c>
      <c r="AH1399">
        <v>621.83000000000004</v>
      </c>
      <c r="AI1399">
        <v>931.53</v>
      </c>
      <c r="AJ1399" s="1">
        <v>3109.18</v>
      </c>
      <c r="AK1399">
        <v>0</v>
      </c>
      <c r="AL1399">
        <v>0</v>
      </c>
      <c r="AM1399">
        <v>0</v>
      </c>
      <c r="AN1399" t="s">
        <v>135</v>
      </c>
      <c r="AO1399" t="s">
        <v>135</v>
      </c>
      <c r="AP1399" t="s">
        <v>136</v>
      </c>
      <c r="AQ1399" t="s">
        <v>137</v>
      </c>
      <c r="AR1399" t="s">
        <v>138</v>
      </c>
      <c r="AS1399" t="s">
        <v>139</v>
      </c>
      <c r="AT1399" t="s">
        <v>140</v>
      </c>
      <c r="AU1399">
        <v>100</v>
      </c>
      <c r="AV1399">
        <v>10</v>
      </c>
      <c r="AW1399">
        <v>1</v>
      </c>
      <c r="AX1399" s="2">
        <v>45860</v>
      </c>
      <c r="AY1399" t="s">
        <v>377</v>
      </c>
      <c r="AZ1399" s="2">
        <v>46028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 t="s">
        <v>135</v>
      </c>
      <c r="BH1399" t="s">
        <v>250</v>
      </c>
      <c r="BI1399" t="s">
        <v>135</v>
      </c>
      <c r="BJ1399">
        <v>0</v>
      </c>
      <c r="BK1399">
        <v>0</v>
      </c>
      <c r="BL1399">
        <v>0</v>
      </c>
      <c r="BM1399">
        <v>7</v>
      </c>
      <c r="BN1399">
        <v>7</v>
      </c>
      <c r="BO1399">
        <v>866.4</v>
      </c>
      <c r="BP1399">
        <v>0</v>
      </c>
      <c r="BQ1399">
        <v>866.4</v>
      </c>
      <c r="BR1399">
        <v>0</v>
      </c>
      <c r="BS1399">
        <v>0</v>
      </c>
      <c r="BT1399">
        <v>0</v>
      </c>
      <c r="BU1399">
        <v>0</v>
      </c>
      <c r="BV1399" s="1">
        <v>1520.88</v>
      </c>
      <c r="BW1399" s="1">
        <v>1520.88</v>
      </c>
      <c r="BX1399">
        <v>0</v>
      </c>
      <c r="BY1399">
        <v>0</v>
      </c>
      <c r="BZ1399">
        <v>0</v>
      </c>
      <c r="CA1399">
        <v>0</v>
      </c>
      <c r="CB1399">
        <v>925.83</v>
      </c>
      <c r="CC1399" t="s">
        <v>161</v>
      </c>
    </row>
    <row r="1400" spans="1:81" x14ac:dyDescent="0.25">
      <c r="A1400">
        <v>345</v>
      </c>
      <c r="B1400">
        <v>2</v>
      </c>
      <c r="C1400">
        <v>3687</v>
      </c>
      <c r="D1400" t="s">
        <v>7989</v>
      </c>
      <c r="E1400" t="s">
        <v>121</v>
      </c>
      <c r="F1400" t="s">
        <v>7990</v>
      </c>
      <c r="G1400" t="s">
        <v>7991</v>
      </c>
      <c r="H1400" t="s">
        <v>7992</v>
      </c>
      <c r="I1400" t="s">
        <v>7993</v>
      </c>
      <c r="J1400" t="s">
        <v>4569</v>
      </c>
      <c r="K1400" t="s">
        <v>466</v>
      </c>
      <c r="L1400" t="s">
        <v>128</v>
      </c>
      <c r="M1400" t="s">
        <v>467</v>
      </c>
      <c r="N1400" t="s">
        <v>7994</v>
      </c>
      <c r="O1400" t="s">
        <v>201</v>
      </c>
      <c r="P1400">
        <v>0</v>
      </c>
      <c r="Q1400" t="s">
        <v>125</v>
      </c>
      <c r="R1400">
        <v>3</v>
      </c>
      <c r="S1400">
        <v>83</v>
      </c>
      <c r="T1400" t="s">
        <v>132</v>
      </c>
      <c r="U1400" t="s">
        <v>133</v>
      </c>
      <c r="V1400" s="1">
        <v>1200</v>
      </c>
      <c r="W1400">
        <v>0</v>
      </c>
      <c r="X1400" s="1">
        <v>1200</v>
      </c>
      <c r="Y1400">
        <v>7</v>
      </c>
      <c r="Z1400">
        <v>0</v>
      </c>
      <c r="AA1400">
        <v>0</v>
      </c>
      <c r="AB1400">
        <v>0</v>
      </c>
      <c r="AC1400">
        <v>0</v>
      </c>
      <c r="AD1400" t="s">
        <v>134</v>
      </c>
      <c r="AE1400" t="s">
        <v>134</v>
      </c>
      <c r="AF1400" s="2">
        <v>45854</v>
      </c>
      <c r="AG1400" s="2">
        <v>46007</v>
      </c>
      <c r="AH1400">
        <v>640.44000000000005</v>
      </c>
      <c r="AI1400" s="1">
        <v>1108.08</v>
      </c>
      <c r="AJ1400" s="1">
        <v>5123.59</v>
      </c>
      <c r="AK1400">
        <v>0</v>
      </c>
      <c r="AL1400">
        <v>583.32000000000005</v>
      </c>
      <c r="AM1400">
        <v>0</v>
      </c>
      <c r="AN1400" t="s">
        <v>135</v>
      </c>
      <c r="AO1400" t="s">
        <v>135</v>
      </c>
      <c r="AP1400" t="s">
        <v>136</v>
      </c>
      <c r="AQ1400" t="s">
        <v>137</v>
      </c>
      <c r="AR1400" t="s">
        <v>138</v>
      </c>
      <c r="AS1400" t="s">
        <v>150</v>
      </c>
      <c r="AT1400" t="s">
        <v>140</v>
      </c>
      <c r="AU1400">
        <v>105</v>
      </c>
      <c r="AV1400">
        <v>10</v>
      </c>
      <c r="AW1400">
        <v>1</v>
      </c>
      <c r="AX1400" s="2">
        <v>45859</v>
      </c>
      <c r="AY1400" t="s">
        <v>141</v>
      </c>
      <c r="AZ1400" s="2">
        <v>46027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 t="s">
        <v>135</v>
      </c>
      <c r="BH1400" t="s">
        <v>250</v>
      </c>
      <c r="BI1400" t="s">
        <v>135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 s="1">
        <v>1588.5</v>
      </c>
      <c r="BQ1400" s="1">
        <v>1588.5</v>
      </c>
      <c r="BR1400">
        <v>0</v>
      </c>
      <c r="BS1400">
        <v>0</v>
      </c>
      <c r="BT1400">
        <v>0</v>
      </c>
      <c r="BU1400">
        <v>0</v>
      </c>
      <c r="BV1400" s="1">
        <v>2369.85</v>
      </c>
      <c r="BW1400" s="1">
        <v>2369.85</v>
      </c>
      <c r="BX1400">
        <v>0</v>
      </c>
      <c r="BY1400">
        <v>0</v>
      </c>
      <c r="BZ1400">
        <v>0</v>
      </c>
      <c r="CA1400">
        <v>0</v>
      </c>
      <c r="CB1400" s="1">
        <v>1690.81</v>
      </c>
      <c r="CC1400" t="s">
        <v>161</v>
      </c>
    </row>
    <row r="1401" spans="1:81" x14ac:dyDescent="0.25">
      <c r="A1401">
        <v>345</v>
      </c>
      <c r="B1401">
        <v>2</v>
      </c>
      <c r="C1401">
        <v>3688</v>
      </c>
      <c r="D1401" t="s">
        <v>7995</v>
      </c>
      <c r="E1401" t="s">
        <v>121</v>
      </c>
      <c r="F1401" t="s">
        <v>7996</v>
      </c>
      <c r="G1401" t="s">
        <v>7997</v>
      </c>
      <c r="H1401" t="s">
        <v>7998</v>
      </c>
      <c r="I1401" t="s">
        <v>7999</v>
      </c>
      <c r="J1401" t="s">
        <v>1009</v>
      </c>
      <c r="K1401" t="s">
        <v>336</v>
      </c>
      <c r="L1401" t="s">
        <v>128</v>
      </c>
      <c r="M1401" t="s">
        <v>337</v>
      </c>
      <c r="N1401" t="s">
        <v>8000</v>
      </c>
      <c r="O1401" t="s">
        <v>201</v>
      </c>
      <c r="P1401">
        <v>0</v>
      </c>
      <c r="Q1401" t="s">
        <v>125</v>
      </c>
      <c r="R1401">
        <v>3</v>
      </c>
      <c r="S1401">
        <v>85</v>
      </c>
      <c r="T1401" t="s">
        <v>132</v>
      </c>
      <c r="U1401" t="s">
        <v>133</v>
      </c>
      <c r="V1401" s="1">
        <v>1600</v>
      </c>
      <c r="W1401">
        <v>0</v>
      </c>
      <c r="X1401" s="1">
        <v>1600</v>
      </c>
      <c r="Y1401">
        <v>7</v>
      </c>
      <c r="Z1401">
        <v>0</v>
      </c>
      <c r="AA1401">
        <v>0</v>
      </c>
      <c r="AB1401">
        <v>0</v>
      </c>
      <c r="AC1401">
        <v>0</v>
      </c>
      <c r="AD1401" t="s">
        <v>134</v>
      </c>
      <c r="AE1401" t="s">
        <v>134</v>
      </c>
      <c r="AF1401" s="2">
        <v>45855</v>
      </c>
      <c r="AG1401" s="2">
        <v>46008</v>
      </c>
      <c r="AH1401">
        <v>786.95</v>
      </c>
      <c r="AI1401" s="1">
        <v>2359.9</v>
      </c>
      <c r="AJ1401" s="1">
        <v>8656.49</v>
      </c>
      <c r="AK1401">
        <v>0</v>
      </c>
      <c r="AL1401">
        <v>0</v>
      </c>
      <c r="AM1401">
        <v>0</v>
      </c>
      <c r="AN1401" t="s">
        <v>135</v>
      </c>
      <c r="AO1401" t="s">
        <v>135</v>
      </c>
      <c r="AP1401" t="s">
        <v>136</v>
      </c>
      <c r="AQ1401" t="s">
        <v>137</v>
      </c>
      <c r="AR1401" t="s">
        <v>138</v>
      </c>
      <c r="AS1401" t="s">
        <v>139</v>
      </c>
      <c r="AT1401" t="s">
        <v>140</v>
      </c>
      <c r="AU1401">
        <v>101</v>
      </c>
      <c r="AV1401">
        <v>10</v>
      </c>
      <c r="AW1401">
        <v>1</v>
      </c>
      <c r="AX1401" s="2">
        <v>45860</v>
      </c>
      <c r="AY1401" t="s">
        <v>377</v>
      </c>
      <c r="AZ1401" s="2">
        <v>46028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 t="s">
        <v>135</v>
      </c>
      <c r="BH1401" t="s">
        <v>250</v>
      </c>
      <c r="BI1401" t="s">
        <v>135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 s="1">
        <v>1676.73</v>
      </c>
      <c r="BQ1401" s="1">
        <v>1676.73</v>
      </c>
      <c r="BR1401">
        <v>0</v>
      </c>
      <c r="BS1401">
        <v>0</v>
      </c>
      <c r="BT1401">
        <v>0</v>
      </c>
      <c r="BU1401">
        <v>0</v>
      </c>
      <c r="BV1401" s="1">
        <v>2237.54</v>
      </c>
      <c r="BW1401" s="1">
        <v>2237.54</v>
      </c>
      <c r="BX1401">
        <v>0</v>
      </c>
      <c r="BY1401">
        <v>0</v>
      </c>
      <c r="BZ1401">
        <v>0</v>
      </c>
      <c r="CA1401">
        <v>0</v>
      </c>
      <c r="CB1401" s="1">
        <v>2970.88</v>
      </c>
      <c r="CC1401" t="s">
        <v>161</v>
      </c>
    </row>
    <row r="1402" spans="1:81" x14ac:dyDescent="0.25">
      <c r="A1402">
        <v>345</v>
      </c>
      <c r="B1402">
        <v>2</v>
      </c>
      <c r="C1402">
        <v>3689</v>
      </c>
      <c r="D1402" t="s">
        <v>8001</v>
      </c>
      <c r="E1402" t="s">
        <v>121</v>
      </c>
      <c r="F1402" t="s">
        <v>8002</v>
      </c>
      <c r="G1402" t="s">
        <v>8003</v>
      </c>
      <c r="H1402" t="s">
        <v>8004</v>
      </c>
      <c r="I1402" t="s">
        <v>8005</v>
      </c>
      <c r="J1402" t="s">
        <v>589</v>
      </c>
      <c r="K1402" t="s">
        <v>336</v>
      </c>
      <c r="L1402" t="s">
        <v>128</v>
      </c>
      <c r="M1402" t="s">
        <v>337</v>
      </c>
      <c r="N1402" t="s">
        <v>8006</v>
      </c>
      <c r="O1402" t="s">
        <v>167</v>
      </c>
      <c r="P1402">
        <v>0</v>
      </c>
      <c r="Q1402" t="s">
        <v>125</v>
      </c>
      <c r="R1402">
        <v>3</v>
      </c>
      <c r="S1402">
        <v>83</v>
      </c>
      <c r="T1402" t="s">
        <v>132</v>
      </c>
      <c r="U1402" t="s">
        <v>133</v>
      </c>
      <c r="V1402" s="1">
        <v>1400</v>
      </c>
      <c r="W1402">
        <v>613.05999999999995</v>
      </c>
      <c r="X1402">
        <v>786.94</v>
      </c>
      <c r="Y1402">
        <v>7</v>
      </c>
      <c r="Z1402">
        <v>0</v>
      </c>
      <c r="AA1402">
        <v>7</v>
      </c>
      <c r="AB1402">
        <v>0</v>
      </c>
      <c r="AC1402">
        <v>0</v>
      </c>
      <c r="AD1402" t="s">
        <v>134</v>
      </c>
      <c r="AE1402" t="s">
        <v>134</v>
      </c>
      <c r="AF1402" s="2">
        <v>45856</v>
      </c>
      <c r="AG1402" s="2">
        <v>46020</v>
      </c>
      <c r="AH1402">
        <v>584.76</v>
      </c>
      <c r="AI1402">
        <v>900.06</v>
      </c>
      <c r="AJ1402" s="1">
        <v>7601.98</v>
      </c>
      <c r="AK1402">
        <v>0</v>
      </c>
      <c r="AL1402">
        <v>613.05999999999995</v>
      </c>
      <c r="AM1402">
        <v>0</v>
      </c>
      <c r="AN1402" t="s">
        <v>135</v>
      </c>
      <c r="AO1402" t="s">
        <v>135</v>
      </c>
      <c r="AP1402" t="s">
        <v>136</v>
      </c>
      <c r="AQ1402" t="s">
        <v>137</v>
      </c>
      <c r="AR1402" t="s">
        <v>138</v>
      </c>
      <c r="AS1402" t="s">
        <v>139</v>
      </c>
      <c r="AT1402" t="s">
        <v>140</v>
      </c>
      <c r="AU1402">
        <v>101</v>
      </c>
      <c r="AV1402">
        <v>10</v>
      </c>
      <c r="AW1402">
        <v>1</v>
      </c>
      <c r="AX1402" s="2">
        <v>45920</v>
      </c>
      <c r="AY1402" t="s">
        <v>160</v>
      </c>
      <c r="AZ1402" s="2">
        <v>46025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 t="s">
        <v>135</v>
      </c>
      <c r="BH1402" t="s">
        <v>250</v>
      </c>
      <c r="BI1402" t="s">
        <v>135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 s="1">
        <v>2449.19</v>
      </c>
      <c r="BQ1402" s="1">
        <v>2449.19</v>
      </c>
      <c r="BR1402">
        <v>0</v>
      </c>
      <c r="BS1402">
        <v>7</v>
      </c>
      <c r="BT1402">
        <v>5.48</v>
      </c>
      <c r="BU1402" s="1">
        <v>2244.19</v>
      </c>
      <c r="BV1402">
        <v>620.47</v>
      </c>
      <c r="BW1402" s="1">
        <v>2864.66</v>
      </c>
      <c r="BX1402">
        <v>613.05999999999995</v>
      </c>
      <c r="BY1402">
        <v>27.32</v>
      </c>
      <c r="BZ1402">
        <v>0</v>
      </c>
      <c r="CA1402">
        <v>0</v>
      </c>
      <c r="CB1402" s="1">
        <v>2299.16</v>
      </c>
      <c r="CC1402" t="s">
        <v>161</v>
      </c>
    </row>
    <row r="1403" spans="1:81" x14ac:dyDescent="0.25">
      <c r="A1403">
        <v>345</v>
      </c>
      <c r="B1403">
        <v>2</v>
      </c>
      <c r="C1403">
        <v>3691</v>
      </c>
      <c r="D1403" t="s">
        <v>8007</v>
      </c>
      <c r="E1403" t="s">
        <v>121</v>
      </c>
      <c r="F1403" t="s">
        <v>8008</v>
      </c>
      <c r="G1403" t="s">
        <v>8009</v>
      </c>
      <c r="H1403" t="s">
        <v>8010</v>
      </c>
      <c r="I1403" t="s">
        <v>8011</v>
      </c>
      <c r="J1403" t="s">
        <v>1263</v>
      </c>
      <c r="K1403" t="s">
        <v>1853</v>
      </c>
      <c r="L1403" t="s">
        <v>128</v>
      </c>
      <c r="M1403" t="s">
        <v>1854</v>
      </c>
      <c r="N1403" t="s">
        <v>8012</v>
      </c>
      <c r="O1403" t="s">
        <v>296</v>
      </c>
      <c r="P1403">
        <v>0</v>
      </c>
      <c r="Q1403" t="s">
        <v>125</v>
      </c>
      <c r="R1403">
        <v>3</v>
      </c>
      <c r="S1403">
        <v>85</v>
      </c>
      <c r="T1403" t="s">
        <v>132</v>
      </c>
      <c r="U1403" t="s">
        <v>133</v>
      </c>
      <c r="V1403" s="1">
        <v>1800</v>
      </c>
      <c r="W1403">
        <v>0</v>
      </c>
      <c r="X1403" s="1">
        <v>1800</v>
      </c>
      <c r="Y1403">
        <v>7</v>
      </c>
      <c r="Z1403">
        <v>0</v>
      </c>
      <c r="AA1403">
        <v>0</v>
      </c>
      <c r="AB1403">
        <v>0</v>
      </c>
      <c r="AC1403">
        <v>0</v>
      </c>
      <c r="AD1403" t="s">
        <v>134</v>
      </c>
      <c r="AE1403" t="s">
        <v>134</v>
      </c>
      <c r="AF1403" s="2">
        <v>45859</v>
      </c>
      <c r="AG1403" s="2">
        <v>46020</v>
      </c>
      <c r="AH1403">
        <v>78.75</v>
      </c>
      <c r="AI1403">
        <v>86.72</v>
      </c>
      <c r="AJ1403">
        <v>236.26</v>
      </c>
      <c r="AK1403">
        <v>0</v>
      </c>
      <c r="AL1403">
        <v>0</v>
      </c>
      <c r="AM1403">
        <v>0</v>
      </c>
      <c r="AN1403" t="s">
        <v>135</v>
      </c>
      <c r="AO1403" t="s">
        <v>135</v>
      </c>
      <c r="AP1403" t="s">
        <v>136</v>
      </c>
      <c r="AQ1403" t="s">
        <v>137</v>
      </c>
      <c r="AR1403" t="s">
        <v>138</v>
      </c>
      <c r="AS1403" t="s">
        <v>150</v>
      </c>
      <c r="AT1403" t="s">
        <v>140</v>
      </c>
      <c r="AU1403">
        <v>106</v>
      </c>
      <c r="AV1403">
        <v>10</v>
      </c>
      <c r="AW1403">
        <v>1</v>
      </c>
      <c r="AX1403" s="2">
        <v>45863</v>
      </c>
      <c r="AY1403" t="s">
        <v>151</v>
      </c>
      <c r="AZ1403" s="2">
        <v>46024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 t="s">
        <v>135</v>
      </c>
      <c r="BH1403" t="s">
        <v>250</v>
      </c>
      <c r="BI1403" t="s">
        <v>135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86.72</v>
      </c>
      <c r="BQ1403">
        <v>86.72</v>
      </c>
      <c r="BR1403">
        <v>0</v>
      </c>
      <c r="BS1403">
        <v>0</v>
      </c>
      <c r="BT1403">
        <v>0</v>
      </c>
      <c r="BU1403">
        <v>0</v>
      </c>
      <c r="BV1403">
        <v>81.38</v>
      </c>
      <c r="BW1403">
        <v>81.38</v>
      </c>
      <c r="BX1403">
        <v>0</v>
      </c>
      <c r="BY1403">
        <v>0</v>
      </c>
      <c r="BZ1403">
        <v>0</v>
      </c>
      <c r="CA1403">
        <v>0</v>
      </c>
      <c r="CB1403">
        <v>86.72</v>
      </c>
      <c r="CC1403" t="s">
        <v>161</v>
      </c>
    </row>
    <row r="1404" spans="1:81" x14ac:dyDescent="0.25">
      <c r="A1404">
        <v>345</v>
      </c>
      <c r="B1404">
        <v>2</v>
      </c>
      <c r="C1404">
        <v>3694</v>
      </c>
      <c r="D1404" t="s">
        <v>8013</v>
      </c>
      <c r="E1404" t="s">
        <v>121</v>
      </c>
      <c r="F1404" t="s">
        <v>8014</v>
      </c>
      <c r="G1404" t="s">
        <v>8015</v>
      </c>
      <c r="H1404" t="s">
        <v>8016</v>
      </c>
      <c r="I1404" t="s">
        <v>8017</v>
      </c>
      <c r="J1404" t="s">
        <v>5604</v>
      </c>
      <c r="K1404" t="s">
        <v>127</v>
      </c>
      <c r="L1404" t="s">
        <v>128</v>
      </c>
      <c r="M1404" t="s">
        <v>129</v>
      </c>
      <c r="N1404" t="s">
        <v>8018</v>
      </c>
      <c r="O1404" t="s">
        <v>149</v>
      </c>
      <c r="P1404">
        <v>0</v>
      </c>
      <c r="Q1404" t="s">
        <v>125</v>
      </c>
      <c r="R1404">
        <v>3</v>
      </c>
      <c r="S1404">
        <v>86</v>
      </c>
      <c r="T1404" t="s">
        <v>132</v>
      </c>
      <c r="U1404" t="s">
        <v>133</v>
      </c>
      <c r="V1404" s="1">
        <v>2000</v>
      </c>
      <c r="W1404">
        <v>0</v>
      </c>
      <c r="X1404" s="1">
        <v>2000</v>
      </c>
      <c r="Y1404">
        <v>7</v>
      </c>
      <c r="Z1404">
        <v>0</v>
      </c>
      <c r="AA1404">
        <v>0</v>
      </c>
      <c r="AB1404">
        <v>0</v>
      </c>
      <c r="AC1404">
        <v>0</v>
      </c>
      <c r="AD1404" t="s">
        <v>134</v>
      </c>
      <c r="AE1404" t="s">
        <v>134</v>
      </c>
      <c r="AF1404" s="2">
        <v>45859</v>
      </c>
      <c r="AG1404" s="2">
        <v>46020</v>
      </c>
      <c r="AH1404">
        <v>769.62</v>
      </c>
      <c r="AI1404" s="1">
        <v>1496.77</v>
      </c>
      <c r="AJ1404" s="1">
        <v>6156.98</v>
      </c>
      <c r="AK1404">
        <v>0</v>
      </c>
      <c r="AL1404">
        <v>0</v>
      </c>
      <c r="AM1404">
        <v>0</v>
      </c>
      <c r="AN1404" t="s">
        <v>135</v>
      </c>
      <c r="AO1404" t="s">
        <v>135</v>
      </c>
      <c r="AP1404" t="s">
        <v>136</v>
      </c>
      <c r="AQ1404" t="s">
        <v>137</v>
      </c>
      <c r="AR1404" t="s">
        <v>138</v>
      </c>
      <c r="AS1404" t="s">
        <v>139</v>
      </c>
      <c r="AT1404" t="s">
        <v>140</v>
      </c>
      <c r="AU1404">
        <v>102</v>
      </c>
      <c r="AV1404">
        <v>10</v>
      </c>
      <c r="AW1404">
        <v>1</v>
      </c>
      <c r="AX1404" s="2">
        <v>45864</v>
      </c>
      <c r="AY1404" t="s">
        <v>160</v>
      </c>
      <c r="AZ1404" s="2">
        <v>46025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t="s">
        <v>135</v>
      </c>
      <c r="BH1404" t="s">
        <v>250</v>
      </c>
      <c r="BI1404" t="s">
        <v>135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 s="1">
        <v>2012.47</v>
      </c>
      <c r="BQ1404" s="1">
        <v>2012.47</v>
      </c>
      <c r="BR1404">
        <v>0</v>
      </c>
      <c r="BS1404">
        <v>0</v>
      </c>
      <c r="BT1404">
        <v>0</v>
      </c>
      <c r="BU1404">
        <v>0</v>
      </c>
      <c r="BV1404" s="1">
        <v>2659.72</v>
      </c>
      <c r="BW1404" s="1">
        <v>2659.72</v>
      </c>
      <c r="BX1404">
        <v>0</v>
      </c>
      <c r="BY1404">
        <v>0</v>
      </c>
      <c r="BZ1404">
        <v>0</v>
      </c>
      <c r="CA1404">
        <v>0</v>
      </c>
      <c r="CB1404" s="1">
        <v>3221.56</v>
      </c>
      <c r="CC1404" t="s">
        <v>152</v>
      </c>
    </row>
    <row r="1405" spans="1:81" x14ac:dyDescent="0.25">
      <c r="A1405">
        <v>345</v>
      </c>
      <c r="B1405">
        <v>2</v>
      </c>
      <c r="C1405">
        <v>3695</v>
      </c>
      <c r="D1405" t="s">
        <v>8019</v>
      </c>
      <c r="E1405" t="s">
        <v>121</v>
      </c>
      <c r="F1405" t="s">
        <v>8020</v>
      </c>
      <c r="G1405" t="s">
        <v>8021</v>
      </c>
      <c r="H1405" t="s">
        <v>8022</v>
      </c>
      <c r="I1405" t="s">
        <v>8023</v>
      </c>
      <c r="J1405" t="s">
        <v>126</v>
      </c>
      <c r="K1405" t="s">
        <v>473</v>
      </c>
      <c r="L1405" t="s">
        <v>128</v>
      </c>
      <c r="M1405" t="s">
        <v>474</v>
      </c>
      <c r="N1405" t="s">
        <v>8024</v>
      </c>
      <c r="O1405" t="s">
        <v>3269</v>
      </c>
      <c r="P1405">
        <v>0</v>
      </c>
      <c r="Q1405" t="s">
        <v>125</v>
      </c>
      <c r="R1405">
        <v>3</v>
      </c>
      <c r="S1405">
        <v>83</v>
      </c>
      <c r="T1405" t="s">
        <v>132</v>
      </c>
      <c r="U1405" t="s">
        <v>133</v>
      </c>
      <c r="V1405" s="1">
        <v>1400</v>
      </c>
      <c r="W1405">
        <v>0</v>
      </c>
      <c r="X1405" s="1">
        <v>1400</v>
      </c>
      <c r="Y1405">
        <v>7</v>
      </c>
      <c r="Z1405">
        <v>0</v>
      </c>
      <c r="AA1405">
        <v>0</v>
      </c>
      <c r="AB1405">
        <v>0</v>
      </c>
      <c r="AC1405">
        <v>0</v>
      </c>
      <c r="AD1405" t="s">
        <v>134</v>
      </c>
      <c r="AE1405" t="s">
        <v>134</v>
      </c>
      <c r="AF1405" s="2">
        <v>45859</v>
      </c>
      <c r="AG1405" s="2">
        <v>46017</v>
      </c>
      <c r="AH1405">
        <v>847.71</v>
      </c>
      <c r="AI1405" s="1">
        <v>1074.4000000000001</v>
      </c>
      <c r="AJ1405" s="1">
        <v>5086.2700000000004</v>
      </c>
      <c r="AK1405">
        <v>0</v>
      </c>
      <c r="AL1405">
        <v>0</v>
      </c>
      <c r="AM1405">
        <v>0</v>
      </c>
      <c r="AN1405" t="s">
        <v>135</v>
      </c>
      <c r="AO1405" t="s">
        <v>135</v>
      </c>
      <c r="AP1405" t="s">
        <v>136</v>
      </c>
      <c r="AQ1405" t="s">
        <v>137</v>
      </c>
      <c r="AR1405" t="s">
        <v>138</v>
      </c>
      <c r="AS1405" t="s">
        <v>150</v>
      </c>
      <c r="AT1405" t="s">
        <v>140</v>
      </c>
      <c r="AU1405">
        <v>102</v>
      </c>
      <c r="AV1405">
        <v>10</v>
      </c>
      <c r="AW1405">
        <v>1</v>
      </c>
      <c r="AX1405" s="2">
        <v>45860</v>
      </c>
      <c r="AY1405" t="s">
        <v>377</v>
      </c>
      <c r="AZ1405" s="2">
        <v>46028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 t="s">
        <v>135</v>
      </c>
      <c r="BH1405" t="s">
        <v>250</v>
      </c>
      <c r="BI1405" t="s">
        <v>135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 s="1">
        <v>2638.72</v>
      </c>
      <c r="BQ1405" s="1">
        <v>2638.72</v>
      </c>
      <c r="BR1405">
        <v>0</v>
      </c>
      <c r="BS1405">
        <v>0</v>
      </c>
      <c r="BT1405">
        <v>0</v>
      </c>
      <c r="BU1405">
        <v>0</v>
      </c>
      <c r="BV1405" s="1">
        <v>2044.59</v>
      </c>
      <c r="BW1405" s="1">
        <v>2044.59</v>
      </c>
      <c r="BX1405">
        <v>0</v>
      </c>
      <c r="BY1405">
        <v>0</v>
      </c>
      <c r="BZ1405">
        <v>0</v>
      </c>
      <c r="CA1405">
        <v>0</v>
      </c>
      <c r="CB1405" s="1">
        <v>1380.64</v>
      </c>
      <c r="CC1405" t="s">
        <v>161</v>
      </c>
    </row>
    <row r="1406" spans="1:81" x14ac:dyDescent="0.25">
      <c r="A1406">
        <v>345</v>
      </c>
      <c r="B1406">
        <v>2</v>
      </c>
      <c r="C1406">
        <v>3696</v>
      </c>
      <c r="D1406" t="s">
        <v>8025</v>
      </c>
      <c r="E1406" t="s">
        <v>121</v>
      </c>
      <c r="F1406" t="s">
        <v>8026</v>
      </c>
      <c r="G1406" t="s">
        <v>8027</v>
      </c>
      <c r="H1406" t="s">
        <v>8028</v>
      </c>
      <c r="I1406" t="s">
        <v>8029</v>
      </c>
      <c r="J1406" t="s">
        <v>459</v>
      </c>
      <c r="K1406" t="s">
        <v>336</v>
      </c>
      <c r="L1406" t="s">
        <v>128</v>
      </c>
      <c r="M1406" t="s">
        <v>337</v>
      </c>
      <c r="N1406" t="s">
        <v>8030</v>
      </c>
      <c r="O1406" t="s">
        <v>167</v>
      </c>
      <c r="P1406">
        <v>0</v>
      </c>
      <c r="Q1406" t="s">
        <v>125</v>
      </c>
      <c r="R1406">
        <v>3</v>
      </c>
      <c r="S1406">
        <v>82</v>
      </c>
      <c r="T1406" t="s">
        <v>132</v>
      </c>
      <c r="U1406" t="s">
        <v>133</v>
      </c>
      <c r="V1406" s="1">
        <v>1700</v>
      </c>
      <c r="W1406">
        <v>0</v>
      </c>
      <c r="X1406" s="1">
        <v>1700</v>
      </c>
      <c r="Y1406">
        <v>7</v>
      </c>
      <c r="Z1406">
        <v>0</v>
      </c>
      <c r="AA1406">
        <v>0</v>
      </c>
      <c r="AB1406">
        <v>0</v>
      </c>
      <c r="AC1406">
        <v>0</v>
      </c>
      <c r="AD1406" t="s">
        <v>134</v>
      </c>
      <c r="AE1406" t="s">
        <v>134</v>
      </c>
      <c r="AF1406" s="2">
        <v>45860</v>
      </c>
      <c r="AG1406" s="2">
        <v>46015</v>
      </c>
      <c r="AH1406">
        <v>808.41</v>
      </c>
      <c r="AI1406" s="1">
        <v>1339.6</v>
      </c>
      <c r="AJ1406" s="1">
        <v>9700.9500000000007</v>
      </c>
      <c r="AK1406">
        <v>0</v>
      </c>
      <c r="AL1406">
        <v>367.66</v>
      </c>
      <c r="AM1406">
        <v>0</v>
      </c>
      <c r="AN1406" t="s">
        <v>135</v>
      </c>
      <c r="AO1406" t="s">
        <v>135</v>
      </c>
      <c r="AP1406" t="s">
        <v>136</v>
      </c>
      <c r="AQ1406" t="s">
        <v>137</v>
      </c>
      <c r="AR1406" t="s">
        <v>138</v>
      </c>
      <c r="AS1406" t="s">
        <v>139</v>
      </c>
      <c r="AT1406" t="s">
        <v>140</v>
      </c>
      <c r="AU1406">
        <v>100</v>
      </c>
      <c r="AV1406">
        <v>10</v>
      </c>
      <c r="AW1406">
        <v>1</v>
      </c>
      <c r="AX1406" s="2">
        <v>45866</v>
      </c>
      <c r="AY1406" t="s">
        <v>141</v>
      </c>
      <c r="AZ1406" s="2">
        <v>46027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 t="s">
        <v>135</v>
      </c>
      <c r="BH1406" t="s">
        <v>250</v>
      </c>
      <c r="BI1406" t="s">
        <v>135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 s="1">
        <v>3892.39</v>
      </c>
      <c r="BQ1406" s="1">
        <v>3892.39</v>
      </c>
      <c r="BR1406">
        <v>0</v>
      </c>
      <c r="BS1406">
        <v>0</v>
      </c>
      <c r="BT1406">
        <v>0</v>
      </c>
      <c r="BU1406">
        <v>0</v>
      </c>
      <c r="BV1406" s="1">
        <v>3560.85</v>
      </c>
      <c r="BW1406" s="1">
        <v>3560.85</v>
      </c>
      <c r="BX1406">
        <v>0</v>
      </c>
      <c r="BY1406">
        <v>0</v>
      </c>
      <c r="BZ1406">
        <v>0</v>
      </c>
      <c r="CA1406">
        <v>0</v>
      </c>
      <c r="CB1406" s="1">
        <v>2438.2600000000002</v>
      </c>
      <c r="CC1406" t="s">
        <v>161</v>
      </c>
    </row>
    <row r="1407" spans="1:81" x14ac:dyDescent="0.25">
      <c r="A1407">
        <v>345</v>
      </c>
      <c r="B1407">
        <v>2</v>
      </c>
      <c r="C1407">
        <v>3697</v>
      </c>
      <c r="D1407" t="s">
        <v>8031</v>
      </c>
      <c r="E1407" t="s">
        <v>121</v>
      </c>
      <c r="F1407" t="s">
        <v>8032</v>
      </c>
      <c r="G1407" t="s">
        <v>8033</v>
      </c>
      <c r="H1407" t="s">
        <v>8034</v>
      </c>
      <c r="I1407" t="s">
        <v>8035</v>
      </c>
      <c r="J1407" t="s">
        <v>499</v>
      </c>
      <c r="K1407" t="s">
        <v>336</v>
      </c>
      <c r="L1407" t="s">
        <v>128</v>
      </c>
      <c r="M1407" t="s">
        <v>6133</v>
      </c>
      <c r="N1407" t="s">
        <v>8036</v>
      </c>
      <c r="O1407" t="s">
        <v>201</v>
      </c>
      <c r="P1407">
        <v>0</v>
      </c>
      <c r="Q1407" t="s">
        <v>125</v>
      </c>
      <c r="R1407">
        <v>3</v>
      </c>
      <c r="S1407">
        <v>86</v>
      </c>
      <c r="T1407" t="s">
        <v>132</v>
      </c>
      <c r="U1407" t="s">
        <v>133</v>
      </c>
      <c r="V1407" s="1">
        <v>1000</v>
      </c>
      <c r="W1407">
        <v>0</v>
      </c>
      <c r="X1407" s="1">
        <v>1000</v>
      </c>
      <c r="Y1407">
        <v>7</v>
      </c>
      <c r="Z1407">
        <v>0</v>
      </c>
      <c r="AA1407">
        <v>0</v>
      </c>
      <c r="AB1407">
        <v>0</v>
      </c>
      <c r="AC1407">
        <v>0</v>
      </c>
      <c r="AD1407" t="s">
        <v>134</v>
      </c>
      <c r="AE1407" t="s">
        <v>134</v>
      </c>
      <c r="AF1407" s="2">
        <v>45860</v>
      </c>
      <c r="AG1407" s="2">
        <v>46020</v>
      </c>
      <c r="AH1407">
        <v>130.82</v>
      </c>
      <c r="AI1407">
        <v>184.05</v>
      </c>
      <c r="AJ1407" s="1">
        <v>1046.57</v>
      </c>
      <c r="AK1407">
        <v>0</v>
      </c>
      <c r="AL1407">
        <v>0</v>
      </c>
      <c r="AM1407">
        <v>0</v>
      </c>
      <c r="AN1407" t="s">
        <v>135</v>
      </c>
      <c r="AO1407" t="s">
        <v>135</v>
      </c>
      <c r="AP1407" t="s">
        <v>136</v>
      </c>
      <c r="AQ1407" t="s">
        <v>137</v>
      </c>
      <c r="AR1407" t="s">
        <v>138</v>
      </c>
      <c r="AS1407" t="s">
        <v>139</v>
      </c>
      <c r="AT1407" t="s">
        <v>140</v>
      </c>
      <c r="AU1407">
        <v>101</v>
      </c>
      <c r="AV1407">
        <v>10</v>
      </c>
      <c r="AW1407">
        <v>1</v>
      </c>
      <c r="AX1407" s="2">
        <v>45864</v>
      </c>
      <c r="AY1407" t="s">
        <v>160</v>
      </c>
      <c r="AZ1407" s="2">
        <v>46025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 t="s">
        <v>135</v>
      </c>
      <c r="BH1407" t="s">
        <v>250</v>
      </c>
      <c r="BI1407" t="s">
        <v>135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350.34</v>
      </c>
      <c r="BQ1407">
        <v>350.34</v>
      </c>
      <c r="BR1407">
        <v>0</v>
      </c>
      <c r="BS1407">
        <v>0</v>
      </c>
      <c r="BT1407">
        <v>0</v>
      </c>
      <c r="BU1407">
        <v>0</v>
      </c>
      <c r="BV1407">
        <v>512.17999999999995</v>
      </c>
      <c r="BW1407">
        <v>512.17999999999995</v>
      </c>
      <c r="BX1407">
        <v>0</v>
      </c>
      <c r="BY1407">
        <v>0</v>
      </c>
      <c r="BZ1407">
        <v>0</v>
      </c>
      <c r="CA1407">
        <v>0</v>
      </c>
      <c r="CB1407">
        <v>216.81</v>
      </c>
      <c r="CC1407" t="s">
        <v>161</v>
      </c>
    </row>
    <row r="1408" spans="1:81" x14ac:dyDescent="0.25">
      <c r="A1408">
        <v>345</v>
      </c>
      <c r="B1408">
        <v>2</v>
      </c>
      <c r="C1408">
        <v>3698</v>
      </c>
      <c r="D1408" t="s">
        <v>8037</v>
      </c>
      <c r="E1408" t="s">
        <v>121</v>
      </c>
      <c r="F1408" t="s">
        <v>8038</v>
      </c>
      <c r="G1408" t="s">
        <v>8039</v>
      </c>
      <c r="H1408" t="s">
        <v>8040</v>
      </c>
      <c r="I1408" t="s">
        <v>8041</v>
      </c>
      <c r="J1408" t="s">
        <v>4591</v>
      </c>
      <c r="K1408" t="s">
        <v>4248</v>
      </c>
      <c r="L1408" t="s">
        <v>128</v>
      </c>
      <c r="M1408" t="s">
        <v>1325</v>
      </c>
      <c r="N1408" t="s">
        <v>8042</v>
      </c>
      <c r="O1408" t="s">
        <v>159</v>
      </c>
      <c r="P1408">
        <v>0</v>
      </c>
      <c r="Q1408" t="s">
        <v>125</v>
      </c>
      <c r="R1408">
        <v>4</v>
      </c>
      <c r="S1408">
        <v>79</v>
      </c>
      <c r="T1408" t="s">
        <v>132</v>
      </c>
      <c r="U1408" t="s">
        <v>133</v>
      </c>
      <c r="V1408" s="1">
        <v>1200</v>
      </c>
      <c r="W1408">
        <v>0</v>
      </c>
      <c r="X1408" s="1">
        <v>1200</v>
      </c>
      <c r="Y1408">
        <v>5</v>
      </c>
      <c r="Z1408">
        <v>0</v>
      </c>
      <c r="AA1408">
        <v>5</v>
      </c>
      <c r="AB1408">
        <v>0</v>
      </c>
      <c r="AC1408">
        <v>0</v>
      </c>
      <c r="AD1408" t="s">
        <v>134</v>
      </c>
      <c r="AE1408" t="s">
        <v>134</v>
      </c>
      <c r="AF1408" s="2">
        <v>45860</v>
      </c>
      <c r="AG1408" s="2">
        <v>45989</v>
      </c>
      <c r="AH1408">
        <v>583.20000000000005</v>
      </c>
      <c r="AI1408">
        <v>850.14</v>
      </c>
      <c r="AJ1408" s="1">
        <v>2332.83</v>
      </c>
      <c r="AK1408">
        <v>0</v>
      </c>
      <c r="AL1408">
        <v>0</v>
      </c>
      <c r="AM1408">
        <v>0</v>
      </c>
      <c r="AN1408" t="s">
        <v>135</v>
      </c>
      <c r="AO1408" t="s">
        <v>135</v>
      </c>
      <c r="AP1408" t="s">
        <v>136</v>
      </c>
      <c r="AQ1408" t="s">
        <v>137</v>
      </c>
      <c r="AR1408" t="s">
        <v>138</v>
      </c>
      <c r="AS1408" t="s">
        <v>150</v>
      </c>
      <c r="AT1408" t="s">
        <v>140</v>
      </c>
      <c r="AU1408">
        <v>104</v>
      </c>
      <c r="AV1408">
        <v>10</v>
      </c>
      <c r="AW1408">
        <v>1</v>
      </c>
      <c r="AX1408" s="2">
        <v>45862</v>
      </c>
      <c r="AY1408" t="s">
        <v>308</v>
      </c>
      <c r="AZ1408" s="2">
        <v>46023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 t="s">
        <v>135</v>
      </c>
      <c r="BH1408" t="s">
        <v>250</v>
      </c>
      <c r="BI1408" t="s">
        <v>135</v>
      </c>
      <c r="BJ1408">
        <v>0</v>
      </c>
      <c r="BK1408">
        <v>0</v>
      </c>
      <c r="BL1408">
        <v>0</v>
      </c>
      <c r="BM1408">
        <v>5</v>
      </c>
      <c r="BN1408">
        <v>5</v>
      </c>
      <c r="BO1408" s="1">
        <v>1578.08</v>
      </c>
      <c r="BP1408">
        <v>0</v>
      </c>
      <c r="BQ1408" s="1">
        <v>1578.08</v>
      </c>
      <c r="BR1408">
        <v>727.94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972.86</v>
      </c>
      <c r="CC1408" t="s">
        <v>161</v>
      </c>
    </row>
    <row r="1409" spans="1:81" x14ac:dyDescent="0.25">
      <c r="A1409">
        <v>345</v>
      </c>
      <c r="B1409">
        <v>2</v>
      </c>
      <c r="C1409">
        <v>3699</v>
      </c>
      <c r="D1409" t="s">
        <v>8043</v>
      </c>
      <c r="E1409" t="s">
        <v>121</v>
      </c>
      <c r="F1409" t="s">
        <v>8044</v>
      </c>
      <c r="G1409" t="s">
        <v>8045</v>
      </c>
      <c r="H1409" t="s">
        <v>8046</v>
      </c>
      <c r="I1409" t="s">
        <v>7238</v>
      </c>
      <c r="J1409" t="s">
        <v>572</v>
      </c>
      <c r="K1409" t="s">
        <v>466</v>
      </c>
      <c r="L1409" t="s">
        <v>128</v>
      </c>
      <c r="M1409" t="s">
        <v>467</v>
      </c>
      <c r="N1409" t="s">
        <v>8047</v>
      </c>
      <c r="O1409" t="s">
        <v>296</v>
      </c>
      <c r="P1409">
        <v>0</v>
      </c>
      <c r="Q1409" t="s">
        <v>125</v>
      </c>
      <c r="R1409">
        <v>3</v>
      </c>
      <c r="S1409">
        <v>84</v>
      </c>
      <c r="T1409" t="s">
        <v>132</v>
      </c>
      <c r="U1409" t="s">
        <v>133</v>
      </c>
      <c r="V1409" s="1">
        <v>1000</v>
      </c>
      <c r="W1409">
        <v>0</v>
      </c>
      <c r="X1409" s="1">
        <v>1000</v>
      </c>
      <c r="Y1409">
        <v>7</v>
      </c>
      <c r="Z1409">
        <v>0</v>
      </c>
      <c r="AA1409">
        <v>2</v>
      </c>
      <c r="AB1409">
        <v>0</v>
      </c>
      <c r="AC1409">
        <v>0</v>
      </c>
      <c r="AD1409" t="s">
        <v>134</v>
      </c>
      <c r="AE1409" t="s">
        <v>134</v>
      </c>
      <c r="AF1409" s="2">
        <v>45860</v>
      </c>
      <c r="AG1409" s="2">
        <v>46007</v>
      </c>
      <c r="AH1409">
        <v>181.2</v>
      </c>
      <c r="AI1409">
        <v>251.09</v>
      </c>
      <c r="AJ1409" s="1">
        <v>1449.6</v>
      </c>
      <c r="AK1409">
        <v>0</v>
      </c>
      <c r="AL1409">
        <v>0</v>
      </c>
      <c r="AM1409">
        <v>0</v>
      </c>
      <c r="AN1409" t="s">
        <v>135</v>
      </c>
      <c r="AO1409" t="s">
        <v>135</v>
      </c>
      <c r="AP1409" t="s">
        <v>136</v>
      </c>
      <c r="AQ1409" t="s">
        <v>137</v>
      </c>
      <c r="AR1409" t="s">
        <v>138</v>
      </c>
      <c r="AS1409" t="s">
        <v>150</v>
      </c>
      <c r="AT1409" t="s">
        <v>140</v>
      </c>
      <c r="AU1409">
        <v>105</v>
      </c>
      <c r="AV1409">
        <v>10</v>
      </c>
      <c r="AW1409">
        <v>1</v>
      </c>
      <c r="AX1409" s="2">
        <v>45866</v>
      </c>
      <c r="AY1409" t="s">
        <v>141</v>
      </c>
      <c r="AZ1409" s="2">
        <v>46027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 t="s">
        <v>135</v>
      </c>
      <c r="BH1409" t="s">
        <v>250</v>
      </c>
      <c r="BI1409" t="s">
        <v>135</v>
      </c>
      <c r="BJ1409">
        <v>0</v>
      </c>
      <c r="BK1409">
        <v>0</v>
      </c>
      <c r="BL1409">
        <v>0</v>
      </c>
      <c r="BM1409">
        <v>2</v>
      </c>
      <c r="BN1409">
        <v>1</v>
      </c>
      <c r="BO1409">
        <v>251.09</v>
      </c>
      <c r="BP1409">
        <v>251.4</v>
      </c>
      <c r="BQ1409">
        <v>502.49</v>
      </c>
      <c r="BR1409">
        <v>0</v>
      </c>
      <c r="BS1409">
        <v>0</v>
      </c>
      <c r="BT1409">
        <v>0</v>
      </c>
      <c r="BU1409">
        <v>0</v>
      </c>
      <c r="BV1409">
        <v>345.42</v>
      </c>
      <c r="BW1409">
        <v>345.42</v>
      </c>
      <c r="BX1409">
        <v>0</v>
      </c>
      <c r="BY1409">
        <v>0</v>
      </c>
      <c r="BZ1409">
        <v>0</v>
      </c>
      <c r="CA1409">
        <v>0</v>
      </c>
      <c r="CB1409">
        <v>579.83000000000004</v>
      </c>
      <c r="CC1409" t="s">
        <v>161</v>
      </c>
    </row>
    <row r="1410" spans="1:81" x14ac:dyDescent="0.25">
      <c r="A1410">
        <v>345</v>
      </c>
      <c r="B1410">
        <v>2</v>
      </c>
      <c r="C1410">
        <v>3701</v>
      </c>
      <c r="D1410" t="s">
        <v>8048</v>
      </c>
      <c r="E1410" t="s">
        <v>121</v>
      </c>
      <c r="F1410" t="s">
        <v>8049</v>
      </c>
      <c r="G1410" t="s">
        <v>8050</v>
      </c>
      <c r="H1410" t="s">
        <v>8051</v>
      </c>
      <c r="I1410" t="s">
        <v>8052</v>
      </c>
      <c r="J1410" t="s">
        <v>967</v>
      </c>
      <c r="K1410" t="s">
        <v>466</v>
      </c>
      <c r="L1410" t="s">
        <v>128</v>
      </c>
      <c r="M1410" t="s">
        <v>467</v>
      </c>
      <c r="N1410" t="s">
        <v>8053</v>
      </c>
      <c r="O1410" t="s">
        <v>195</v>
      </c>
      <c r="P1410">
        <v>0</v>
      </c>
      <c r="Q1410" t="s">
        <v>125</v>
      </c>
      <c r="R1410">
        <v>3</v>
      </c>
      <c r="S1410">
        <v>84</v>
      </c>
      <c r="T1410" t="s">
        <v>132</v>
      </c>
      <c r="U1410" t="s">
        <v>133</v>
      </c>
      <c r="V1410" s="1">
        <v>1000</v>
      </c>
      <c r="W1410">
        <v>0</v>
      </c>
      <c r="X1410" s="1">
        <v>1000</v>
      </c>
      <c r="Y1410">
        <v>7</v>
      </c>
      <c r="Z1410">
        <v>0</v>
      </c>
      <c r="AA1410">
        <v>0</v>
      </c>
      <c r="AB1410">
        <v>0</v>
      </c>
      <c r="AC1410">
        <v>0</v>
      </c>
      <c r="AD1410" t="s">
        <v>134</v>
      </c>
      <c r="AE1410" t="s">
        <v>134</v>
      </c>
      <c r="AF1410" s="2">
        <v>45862</v>
      </c>
      <c r="AG1410" s="2">
        <v>46013</v>
      </c>
      <c r="AH1410">
        <v>179.38</v>
      </c>
      <c r="AI1410">
        <v>253.34</v>
      </c>
      <c r="AJ1410">
        <v>717.52</v>
      </c>
      <c r="AK1410">
        <v>0</v>
      </c>
      <c r="AL1410">
        <v>0</v>
      </c>
      <c r="AM1410">
        <v>0</v>
      </c>
      <c r="AN1410" t="s">
        <v>135</v>
      </c>
      <c r="AO1410" t="s">
        <v>135</v>
      </c>
      <c r="AP1410" t="s">
        <v>136</v>
      </c>
      <c r="AQ1410" t="s">
        <v>137</v>
      </c>
      <c r="AR1410" t="s">
        <v>138</v>
      </c>
      <c r="AS1410" t="s">
        <v>139</v>
      </c>
      <c r="AT1410" t="s">
        <v>140</v>
      </c>
      <c r="AU1410">
        <v>100</v>
      </c>
      <c r="AV1410">
        <v>10</v>
      </c>
      <c r="AW1410">
        <v>1</v>
      </c>
      <c r="AX1410" s="2">
        <v>45863</v>
      </c>
      <c r="AY1410" t="s">
        <v>151</v>
      </c>
      <c r="AZ1410" s="2">
        <v>46024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 t="s">
        <v>135</v>
      </c>
      <c r="BH1410" t="s">
        <v>250</v>
      </c>
      <c r="BI1410" t="s">
        <v>135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293.93</v>
      </c>
      <c r="BQ1410">
        <v>293.93</v>
      </c>
      <c r="BR1410">
        <v>0</v>
      </c>
      <c r="BS1410">
        <v>0</v>
      </c>
      <c r="BT1410">
        <v>0</v>
      </c>
      <c r="BU1410">
        <v>0</v>
      </c>
      <c r="BV1410">
        <v>423.59</v>
      </c>
      <c r="BW1410">
        <v>423.59</v>
      </c>
      <c r="BX1410">
        <v>0</v>
      </c>
      <c r="BY1410">
        <v>0</v>
      </c>
      <c r="BZ1410">
        <v>0</v>
      </c>
      <c r="CA1410">
        <v>0</v>
      </c>
      <c r="CB1410">
        <v>97.97</v>
      </c>
      <c r="CC1410" t="s">
        <v>161</v>
      </c>
    </row>
    <row r="1411" spans="1:81" x14ac:dyDescent="0.25">
      <c r="A1411">
        <v>345</v>
      </c>
      <c r="B1411">
        <v>2</v>
      </c>
      <c r="C1411">
        <v>3702</v>
      </c>
      <c r="D1411" t="s">
        <v>8054</v>
      </c>
      <c r="E1411" t="s">
        <v>121</v>
      </c>
      <c r="F1411" t="s">
        <v>8055</v>
      </c>
      <c r="G1411" t="s">
        <v>8056</v>
      </c>
      <c r="H1411" t="s">
        <v>8057</v>
      </c>
      <c r="I1411" t="s">
        <v>8058</v>
      </c>
      <c r="J1411" t="s">
        <v>126</v>
      </c>
      <c r="K1411" t="s">
        <v>466</v>
      </c>
      <c r="L1411" t="s">
        <v>128</v>
      </c>
      <c r="M1411" t="s">
        <v>467</v>
      </c>
      <c r="N1411" t="s">
        <v>8059</v>
      </c>
      <c r="O1411" t="s">
        <v>201</v>
      </c>
      <c r="P1411">
        <v>0</v>
      </c>
      <c r="Q1411" t="s">
        <v>125</v>
      </c>
      <c r="R1411">
        <v>3</v>
      </c>
      <c r="S1411">
        <v>82</v>
      </c>
      <c r="T1411" t="s">
        <v>132</v>
      </c>
      <c r="U1411" t="s">
        <v>133</v>
      </c>
      <c r="V1411" s="1">
        <v>1600</v>
      </c>
      <c r="W1411">
        <v>0</v>
      </c>
      <c r="X1411" s="1">
        <v>1600</v>
      </c>
      <c r="Y1411">
        <v>7</v>
      </c>
      <c r="Z1411">
        <v>0</v>
      </c>
      <c r="AA1411">
        <v>0</v>
      </c>
      <c r="AB1411">
        <v>0</v>
      </c>
      <c r="AC1411">
        <v>0</v>
      </c>
      <c r="AD1411" t="s">
        <v>134</v>
      </c>
      <c r="AE1411" t="s">
        <v>134</v>
      </c>
      <c r="AF1411" s="2">
        <v>45862</v>
      </c>
      <c r="AG1411" s="2">
        <v>45994</v>
      </c>
      <c r="AH1411" s="1">
        <v>1157.1099999999999</v>
      </c>
      <c r="AI1411" s="1">
        <v>1168.22</v>
      </c>
      <c r="AJ1411" s="1">
        <v>2314.2199999999998</v>
      </c>
      <c r="AK1411">
        <v>0</v>
      </c>
      <c r="AL1411">
        <v>0</v>
      </c>
      <c r="AM1411">
        <v>0</v>
      </c>
      <c r="AN1411" t="s">
        <v>135</v>
      </c>
      <c r="AO1411" t="s">
        <v>135</v>
      </c>
      <c r="AP1411" t="s">
        <v>136</v>
      </c>
      <c r="AQ1411" t="s">
        <v>137</v>
      </c>
      <c r="AR1411" t="s">
        <v>138</v>
      </c>
      <c r="AS1411" t="s">
        <v>150</v>
      </c>
      <c r="AT1411" t="s">
        <v>140</v>
      </c>
      <c r="AU1411">
        <v>105</v>
      </c>
      <c r="AV1411">
        <v>10</v>
      </c>
      <c r="AW1411">
        <v>1</v>
      </c>
      <c r="AX1411" s="2">
        <v>45867</v>
      </c>
      <c r="AY1411" t="s">
        <v>377</v>
      </c>
      <c r="AZ1411" s="2">
        <v>46028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 t="s">
        <v>135</v>
      </c>
      <c r="BH1411" t="s">
        <v>250</v>
      </c>
      <c r="BI1411" t="s">
        <v>135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 s="1">
        <v>1168.22</v>
      </c>
      <c r="BQ1411" s="1">
        <v>1168.22</v>
      </c>
      <c r="BR1411">
        <v>0</v>
      </c>
      <c r="BS1411">
        <v>0</v>
      </c>
      <c r="BT1411">
        <v>0</v>
      </c>
      <c r="BU1411">
        <v>0</v>
      </c>
      <c r="BV1411" s="1">
        <v>1146</v>
      </c>
      <c r="BW1411" s="1">
        <v>1146</v>
      </c>
      <c r="BX1411">
        <v>0</v>
      </c>
      <c r="BY1411">
        <v>0</v>
      </c>
      <c r="BZ1411">
        <v>0</v>
      </c>
      <c r="CA1411">
        <v>0</v>
      </c>
      <c r="CB1411">
        <v>771.4</v>
      </c>
      <c r="CC1411" t="s">
        <v>161</v>
      </c>
    </row>
    <row r="1412" spans="1:81" x14ac:dyDescent="0.25">
      <c r="A1412">
        <v>345</v>
      </c>
      <c r="B1412">
        <v>2</v>
      </c>
      <c r="C1412">
        <v>3703</v>
      </c>
      <c r="D1412" t="s">
        <v>8060</v>
      </c>
      <c r="E1412" t="s">
        <v>5780</v>
      </c>
      <c r="F1412" t="s">
        <v>8061</v>
      </c>
      <c r="G1412" t="s">
        <v>8062</v>
      </c>
      <c r="H1412" t="s">
        <v>8063</v>
      </c>
      <c r="I1412" t="s">
        <v>8064</v>
      </c>
      <c r="J1412" t="s">
        <v>126</v>
      </c>
      <c r="K1412" t="s">
        <v>4248</v>
      </c>
      <c r="L1412" t="s">
        <v>128</v>
      </c>
      <c r="M1412" t="s">
        <v>1325</v>
      </c>
      <c r="N1412" t="s">
        <v>8065</v>
      </c>
      <c r="O1412" t="s">
        <v>3115</v>
      </c>
      <c r="P1412">
        <v>0</v>
      </c>
      <c r="Q1412" t="s">
        <v>125</v>
      </c>
      <c r="R1412">
        <v>3</v>
      </c>
      <c r="S1412">
        <v>85</v>
      </c>
      <c r="T1412" t="s">
        <v>132</v>
      </c>
      <c r="U1412" t="s">
        <v>133</v>
      </c>
      <c r="V1412" s="1">
        <v>1000</v>
      </c>
      <c r="W1412">
        <v>0</v>
      </c>
      <c r="X1412" s="1">
        <v>1000</v>
      </c>
      <c r="Y1412">
        <v>7</v>
      </c>
      <c r="Z1412">
        <v>0</v>
      </c>
      <c r="AA1412">
        <v>0</v>
      </c>
      <c r="AB1412">
        <v>0</v>
      </c>
      <c r="AC1412">
        <v>0</v>
      </c>
      <c r="AD1412" t="s">
        <v>134</v>
      </c>
      <c r="AE1412" t="s">
        <v>234</v>
      </c>
      <c r="AF1412" s="2">
        <v>45862</v>
      </c>
      <c r="AG1412" s="2">
        <v>46018</v>
      </c>
      <c r="AH1412">
        <v>491.61</v>
      </c>
      <c r="AI1412">
        <v>806.16</v>
      </c>
      <c r="AJ1412">
        <v>983.22</v>
      </c>
      <c r="AK1412">
        <v>0</v>
      </c>
      <c r="AL1412">
        <v>0</v>
      </c>
      <c r="AM1412">
        <v>0</v>
      </c>
      <c r="AN1412" t="s">
        <v>135</v>
      </c>
      <c r="AO1412" t="s">
        <v>135</v>
      </c>
      <c r="AP1412" t="s">
        <v>136</v>
      </c>
      <c r="AQ1412" t="s">
        <v>137</v>
      </c>
      <c r="AR1412" t="s">
        <v>138</v>
      </c>
      <c r="AS1412" t="s">
        <v>150</v>
      </c>
      <c r="AT1412" t="s">
        <v>140</v>
      </c>
      <c r="AU1412">
        <v>104</v>
      </c>
      <c r="AV1412">
        <v>10</v>
      </c>
      <c r="AW1412">
        <v>1</v>
      </c>
      <c r="AX1412" s="2">
        <v>45869</v>
      </c>
      <c r="AY1412" t="s">
        <v>308</v>
      </c>
      <c r="AZ1412" s="2">
        <v>46023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 t="s">
        <v>135</v>
      </c>
      <c r="BH1412" t="s">
        <v>250</v>
      </c>
      <c r="BI1412" t="s">
        <v>135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983.22</v>
      </c>
      <c r="BW1412">
        <v>983.22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 t="s">
        <v>161</v>
      </c>
    </row>
    <row r="1413" spans="1:81" x14ac:dyDescent="0.25">
      <c r="A1413">
        <v>345</v>
      </c>
      <c r="B1413">
        <v>2</v>
      </c>
      <c r="C1413">
        <v>3706</v>
      </c>
      <c r="D1413" t="s">
        <v>8066</v>
      </c>
      <c r="E1413" t="s">
        <v>121</v>
      </c>
      <c r="F1413" t="s">
        <v>8067</v>
      </c>
      <c r="G1413" t="s">
        <v>8068</v>
      </c>
      <c r="H1413" t="s">
        <v>8069</v>
      </c>
      <c r="I1413" t="s">
        <v>8070</v>
      </c>
      <c r="J1413" t="s">
        <v>1263</v>
      </c>
      <c r="K1413" t="s">
        <v>466</v>
      </c>
      <c r="L1413" t="s">
        <v>128</v>
      </c>
      <c r="M1413" t="s">
        <v>467</v>
      </c>
      <c r="N1413" t="s">
        <v>8071</v>
      </c>
      <c r="O1413" t="s">
        <v>149</v>
      </c>
      <c r="P1413">
        <v>0</v>
      </c>
      <c r="Q1413" t="s">
        <v>125</v>
      </c>
      <c r="R1413">
        <v>3</v>
      </c>
      <c r="S1413">
        <v>87</v>
      </c>
      <c r="T1413" t="s">
        <v>132</v>
      </c>
      <c r="U1413" t="s">
        <v>133</v>
      </c>
      <c r="V1413" s="1">
        <v>3700</v>
      </c>
      <c r="W1413">
        <v>0</v>
      </c>
      <c r="X1413" s="1">
        <v>3700</v>
      </c>
      <c r="Y1413">
        <v>7</v>
      </c>
      <c r="Z1413">
        <v>0</v>
      </c>
      <c r="AA1413">
        <v>5</v>
      </c>
      <c r="AB1413">
        <v>0</v>
      </c>
      <c r="AC1413">
        <v>0</v>
      </c>
      <c r="AD1413" t="s">
        <v>134</v>
      </c>
      <c r="AE1413" t="s">
        <v>134</v>
      </c>
      <c r="AF1413" s="2">
        <v>45863</v>
      </c>
      <c r="AG1413" s="2">
        <v>46017</v>
      </c>
      <c r="AH1413" s="1">
        <v>2329.8000000000002</v>
      </c>
      <c r="AI1413" s="1">
        <v>5588.19</v>
      </c>
      <c r="AJ1413" s="1">
        <v>25627.87</v>
      </c>
      <c r="AK1413">
        <v>0</v>
      </c>
      <c r="AL1413">
        <v>0</v>
      </c>
      <c r="AM1413">
        <v>0</v>
      </c>
      <c r="AN1413" t="s">
        <v>135</v>
      </c>
      <c r="AO1413" t="s">
        <v>135</v>
      </c>
      <c r="AP1413" t="s">
        <v>136</v>
      </c>
      <c r="AQ1413" t="s">
        <v>137</v>
      </c>
      <c r="AR1413" t="s">
        <v>138</v>
      </c>
      <c r="AS1413" t="s">
        <v>139</v>
      </c>
      <c r="AT1413" t="s">
        <v>140</v>
      </c>
      <c r="AU1413">
        <v>106</v>
      </c>
      <c r="AV1413">
        <v>10</v>
      </c>
      <c r="AW1413">
        <v>1</v>
      </c>
      <c r="AX1413" s="2">
        <v>45869</v>
      </c>
      <c r="AY1413" t="s">
        <v>308</v>
      </c>
      <c r="AZ1413" s="2">
        <v>46023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 t="s">
        <v>135</v>
      </c>
      <c r="BH1413" t="s">
        <v>250</v>
      </c>
      <c r="BI1413" t="s">
        <v>135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 s="1">
        <v>5119.24</v>
      </c>
      <c r="BQ1413" s="1">
        <v>5119.24</v>
      </c>
      <c r="BR1413">
        <v>0</v>
      </c>
      <c r="BS1413">
        <v>0</v>
      </c>
      <c r="BT1413">
        <v>0</v>
      </c>
      <c r="BU1413">
        <v>0</v>
      </c>
      <c r="BV1413" s="1">
        <v>11268.25</v>
      </c>
      <c r="BW1413" s="1">
        <v>11268.25</v>
      </c>
      <c r="BX1413">
        <v>0</v>
      </c>
      <c r="BY1413">
        <v>0</v>
      </c>
      <c r="BZ1413">
        <v>0</v>
      </c>
      <c r="CA1413">
        <v>0</v>
      </c>
      <c r="CB1413" s="1">
        <v>6650.98</v>
      </c>
      <c r="CC1413" t="s">
        <v>5072</v>
      </c>
    </row>
    <row r="1414" spans="1:81" x14ac:dyDescent="0.25">
      <c r="A1414">
        <v>345</v>
      </c>
      <c r="B1414">
        <v>2</v>
      </c>
      <c r="C1414">
        <v>3707</v>
      </c>
      <c r="D1414" t="s">
        <v>8072</v>
      </c>
      <c r="E1414" t="s">
        <v>121</v>
      </c>
      <c r="F1414" t="s">
        <v>8073</v>
      </c>
      <c r="G1414" t="s">
        <v>8074</v>
      </c>
      <c r="H1414" t="s">
        <v>8075</v>
      </c>
      <c r="I1414" t="s">
        <v>8076</v>
      </c>
      <c r="J1414" t="s">
        <v>126</v>
      </c>
      <c r="K1414" t="s">
        <v>4248</v>
      </c>
      <c r="L1414" t="s">
        <v>128</v>
      </c>
      <c r="M1414" t="s">
        <v>1325</v>
      </c>
      <c r="N1414" t="s">
        <v>8077</v>
      </c>
      <c r="O1414" t="s">
        <v>159</v>
      </c>
      <c r="P1414">
        <v>0</v>
      </c>
      <c r="Q1414" t="s">
        <v>125</v>
      </c>
      <c r="R1414">
        <v>4</v>
      </c>
      <c r="S1414">
        <v>75</v>
      </c>
      <c r="T1414" t="s">
        <v>132</v>
      </c>
      <c r="U1414" t="s">
        <v>133</v>
      </c>
      <c r="V1414" s="1">
        <v>2498</v>
      </c>
      <c r="W1414" s="1">
        <v>2115.3000000000002</v>
      </c>
      <c r="X1414">
        <v>382.7</v>
      </c>
      <c r="Y1414">
        <v>7</v>
      </c>
      <c r="Z1414">
        <v>0</v>
      </c>
      <c r="AA1414">
        <v>9</v>
      </c>
      <c r="AB1414">
        <v>0</v>
      </c>
      <c r="AC1414">
        <v>20</v>
      </c>
      <c r="AD1414" t="s">
        <v>134</v>
      </c>
      <c r="AE1414" t="s">
        <v>134</v>
      </c>
      <c r="AF1414" s="2">
        <v>45863</v>
      </c>
      <c r="AG1414" s="2">
        <v>46018</v>
      </c>
      <c r="AH1414" s="1">
        <v>1647.58</v>
      </c>
      <c r="AI1414" s="1">
        <v>2958.17</v>
      </c>
      <c r="AJ1414" s="1">
        <v>14828.28</v>
      </c>
      <c r="AK1414">
        <v>0</v>
      </c>
      <c r="AL1414" s="1">
        <v>2115.3000000000002</v>
      </c>
      <c r="AM1414">
        <v>67.209999999999994</v>
      </c>
      <c r="AN1414" t="s">
        <v>135</v>
      </c>
      <c r="AO1414" t="s">
        <v>135</v>
      </c>
      <c r="AP1414" t="s">
        <v>136</v>
      </c>
      <c r="AQ1414" t="s">
        <v>137</v>
      </c>
      <c r="AR1414" t="s">
        <v>138</v>
      </c>
      <c r="AS1414" t="s">
        <v>150</v>
      </c>
      <c r="AT1414" t="s">
        <v>140</v>
      </c>
      <c r="AU1414">
        <v>104</v>
      </c>
      <c r="AV1414">
        <v>10</v>
      </c>
      <c r="AW1414">
        <v>1</v>
      </c>
      <c r="AX1414" s="2">
        <v>45867</v>
      </c>
      <c r="AY1414" t="s">
        <v>377</v>
      </c>
      <c r="AZ1414" s="2">
        <v>46028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 t="s">
        <v>135</v>
      </c>
      <c r="BH1414" t="s">
        <v>250</v>
      </c>
      <c r="BI1414" t="s">
        <v>135</v>
      </c>
      <c r="BJ1414">
        <v>0</v>
      </c>
      <c r="BK1414">
        <v>0</v>
      </c>
      <c r="BL1414">
        <v>0</v>
      </c>
      <c r="BM1414">
        <v>7.13</v>
      </c>
      <c r="BN1414">
        <v>7.13</v>
      </c>
      <c r="BO1414" s="1">
        <v>5850.45</v>
      </c>
      <c r="BP1414">
        <v>0</v>
      </c>
      <c r="BQ1414" s="1">
        <v>5850.45</v>
      </c>
      <c r="BR1414" s="1">
        <v>1421.71</v>
      </c>
      <c r="BS1414">
        <v>8.14</v>
      </c>
      <c r="BT1414">
        <v>8.14</v>
      </c>
      <c r="BU1414" s="1">
        <v>3723.83</v>
      </c>
      <c r="BV1414">
        <v>0</v>
      </c>
      <c r="BW1414" s="1">
        <v>3723.83</v>
      </c>
      <c r="BX1414" s="1">
        <v>2115.3000000000002</v>
      </c>
      <c r="BY1414">
        <v>56.8</v>
      </c>
      <c r="BZ1414">
        <v>0</v>
      </c>
      <c r="CA1414">
        <v>0</v>
      </c>
      <c r="CB1414" s="1">
        <v>4997.4799999999996</v>
      </c>
      <c r="CC1414" t="s">
        <v>161</v>
      </c>
    </row>
    <row r="1415" spans="1:81" x14ac:dyDescent="0.25">
      <c r="A1415">
        <v>345</v>
      </c>
      <c r="B1415">
        <v>2</v>
      </c>
      <c r="C1415">
        <v>3709</v>
      </c>
      <c r="D1415" t="s">
        <v>8078</v>
      </c>
      <c r="E1415" t="s">
        <v>121</v>
      </c>
      <c r="F1415" t="s">
        <v>8079</v>
      </c>
      <c r="G1415" t="s">
        <v>8080</v>
      </c>
      <c r="H1415" t="s">
        <v>3066</v>
      </c>
      <c r="I1415" t="s">
        <v>8081</v>
      </c>
      <c r="J1415" t="s">
        <v>1263</v>
      </c>
      <c r="K1415" t="s">
        <v>466</v>
      </c>
      <c r="L1415" t="s">
        <v>128</v>
      </c>
      <c r="M1415" t="s">
        <v>467</v>
      </c>
      <c r="N1415" t="s">
        <v>8082</v>
      </c>
      <c r="O1415" t="s">
        <v>159</v>
      </c>
      <c r="P1415">
        <v>0</v>
      </c>
      <c r="Q1415" t="s">
        <v>125</v>
      </c>
      <c r="R1415">
        <v>4</v>
      </c>
      <c r="S1415">
        <v>80</v>
      </c>
      <c r="T1415" t="s">
        <v>132</v>
      </c>
      <c r="U1415" t="s">
        <v>133</v>
      </c>
      <c r="V1415" s="1">
        <v>3800</v>
      </c>
      <c r="W1415">
        <v>350.96</v>
      </c>
      <c r="X1415" s="1">
        <v>3449.04</v>
      </c>
      <c r="Y1415">
        <v>0</v>
      </c>
      <c r="Z1415">
        <v>0</v>
      </c>
      <c r="AA1415">
        <v>7</v>
      </c>
      <c r="AB1415">
        <v>1</v>
      </c>
      <c r="AC1415">
        <v>33</v>
      </c>
      <c r="AD1415" t="s">
        <v>234</v>
      </c>
      <c r="AE1415" t="s">
        <v>134</v>
      </c>
      <c r="AF1415" s="2">
        <v>45866</v>
      </c>
      <c r="AG1415" s="2">
        <v>46010</v>
      </c>
      <c r="AH1415">
        <v>400.42</v>
      </c>
      <c r="AI1415">
        <v>449.89</v>
      </c>
      <c r="AJ1415">
        <v>800.85</v>
      </c>
      <c r="AK1415">
        <v>350.96</v>
      </c>
      <c r="AL1415">
        <v>0</v>
      </c>
      <c r="AM1415">
        <v>0</v>
      </c>
      <c r="AN1415" t="s">
        <v>135</v>
      </c>
      <c r="AO1415" t="s">
        <v>135</v>
      </c>
      <c r="AP1415" t="s">
        <v>136</v>
      </c>
      <c r="AQ1415" t="s">
        <v>137</v>
      </c>
      <c r="AR1415" t="s">
        <v>138</v>
      </c>
      <c r="AS1415" t="s">
        <v>150</v>
      </c>
      <c r="AT1415" t="s">
        <v>140</v>
      </c>
      <c r="AU1415">
        <v>106</v>
      </c>
      <c r="AV1415">
        <v>10</v>
      </c>
      <c r="AW1415">
        <v>1</v>
      </c>
      <c r="AX1415" s="2">
        <v>45869</v>
      </c>
      <c r="AY1415" t="s">
        <v>308</v>
      </c>
      <c r="AZ1415" s="2">
        <v>46023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 t="s">
        <v>135</v>
      </c>
      <c r="BH1415" t="s">
        <v>250</v>
      </c>
      <c r="BI1415" t="s">
        <v>135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7</v>
      </c>
      <c r="BT1415">
        <v>7</v>
      </c>
      <c r="BU1415">
        <v>800.85</v>
      </c>
      <c r="BV1415">
        <v>0</v>
      </c>
      <c r="BW1415">
        <v>800.85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 t="s">
        <v>161</v>
      </c>
    </row>
    <row r="1416" spans="1:81" x14ac:dyDescent="0.25">
      <c r="A1416">
        <v>345</v>
      </c>
      <c r="B1416">
        <v>2</v>
      </c>
      <c r="C1416">
        <v>3710</v>
      </c>
      <c r="D1416" t="s">
        <v>8083</v>
      </c>
      <c r="E1416" t="s">
        <v>121</v>
      </c>
      <c r="F1416" t="s">
        <v>8084</v>
      </c>
      <c r="G1416" t="s">
        <v>8085</v>
      </c>
      <c r="H1416" t="s">
        <v>8086</v>
      </c>
      <c r="I1416" t="s">
        <v>8087</v>
      </c>
      <c r="J1416" t="s">
        <v>8088</v>
      </c>
      <c r="K1416" t="s">
        <v>336</v>
      </c>
      <c r="L1416" t="s">
        <v>128</v>
      </c>
      <c r="M1416" t="s">
        <v>337</v>
      </c>
      <c r="N1416" t="s">
        <v>8089</v>
      </c>
      <c r="O1416" t="s">
        <v>159</v>
      </c>
      <c r="P1416">
        <v>0</v>
      </c>
      <c r="Q1416" t="s">
        <v>125</v>
      </c>
      <c r="R1416">
        <v>4</v>
      </c>
      <c r="S1416">
        <v>80</v>
      </c>
      <c r="T1416" t="s">
        <v>132</v>
      </c>
      <c r="U1416" t="s">
        <v>133</v>
      </c>
      <c r="V1416" s="1">
        <v>1400</v>
      </c>
      <c r="W1416">
        <v>0</v>
      </c>
      <c r="X1416" s="1">
        <v>1400</v>
      </c>
      <c r="Y1416">
        <v>7</v>
      </c>
      <c r="Z1416">
        <v>0</v>
      </c>
      <c r="AA1416">
        <v>0</v>
      </c>
      <c r="AB1416">
        <v>0</v>
      </c>
      <c r="AC1416">
        <v>0</v>
      </c>
      <c r="AD1416" t="s">
        <v>134</v>
      </c>
      <c r="AE1416" t="s">
        <v>134</v>
      </c>
      <c r="AF1416" s="2">
        <v>45866</v>
      </c>
      <c r="AG1416" s="2">
        <v>46015</v>
      </c>
      <c r="AH1416">
        <v>224.65</v>
      </c>
      <c r="AI1416">
        <v>363.56</v>
      </c>
      <c r="AJ1416" s="1">
        <v>2246.54</v>
      </c>
      <c r="AK1416">
        <v>0</v>
      </c>
      <c r="AL1416">
        <v>0</v>
      </c>
      <c r="AM1416">
        <v>0</v>
      </c>
      <c r="AN1416" t="s">
        <v>135</v>
      </c>
      <c r="AO1416" t="s">
        <v>135</v>
      </c>
      <c r="AP1416" t="s">
        <v>136</v>
      </c>
      <c r="AQ1416" t="s">
        <v>137</v>
      </c>
      <c r="AR1416" t="s">
        <v>138</v>
      </c>
      <c r="AS1416" t="s">
        <v>150</v>
      </c>
      <c r="AT1416" t="s">
        <v>140</v>
      </c>
      <c r="AU1416">
        <v>101</v>
      </c>
      <c r="AV1416">
        <v>10</v>
      </c>
      <c r="AW1416">
        <v>1</v>
      </c>
      <c r="AX1416" s="2">
        <v>45867</v>
      </c>
      <c r="AY1416" t="s">
        <v>377</v>
      </c>
      <c r="AZ1416" s="2">
        <v>46028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 t="s">
        <v>135</v>
      </c>
      <c r="BH1416" t="s">
        <v>250</v>
      </c>
      <c r="BI1416" t="s">
        <v>135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561.09</v>
      </c>
      <c r="BQ1416">
        <v>561.09</v>
      </c>
      <c r="BR1416">
        <v>0</v>
      </c>
      <c r="BS1416">
        <v>0</v>
      </c>
      <c r="BT1416">
        <v>0</v>
      </c>
      <c r="BU1416">
        <v>0</v>
      </c>
      <c r="BV1416">
        <v>845.82</v>
      </c>
      <c r="BW1416">
        <v>845.82</v>
      </c>
      <c r="BX1416">
        <v>0</v>
      </c>
      <c r="BY1416">
        <v>0</v>
      </c>
      <c r="BZ1416">
        <v>0</v>
      </c>
      <c r="CA1416">
        <v>0</v>
      </c>
      <c r="CB1416">
        <v>620.04</v>
      </c>
      <c r="CC1416" t="s">
        <v>161</v>
      </c>
    </row>
    <row r="1417" spans="1:81" x14ac:dyDescent="0.25">
      <c r="A1417">
        <v>345</v>
      </c>
      <c r="B1417">
        <v>2</v>
      </c>
      <c r="C1417">
        <v>3712</v>
      </c>
      <c r="D1417" t="s">
        <v>8090</v>
      </c>
      <c r="E1417" t="s">
        <v>121</v>
      </c>
      <c r="F1417" t="s">
        <v>8091</v>
      </c>
      <c r="G1417" t="s">
        <v>8092</v>
      </c>
      <c r="H1417" t="s">
        <v>8093</v>
      </c>
      <c r="I1417" t="s">
        <v>8094</v>
      </c>
      <c r="J1417" t="s">
        <v>4569</v>
      </c>
      <c r="K1417" t="s">
        <v>127</v>
      </c>
      <c r="L1417" t="s">
        <v>128</v>
      </c>
      <c r="M1417" t="s">
        <v>129</v>
      </c>
      <c r="N1417" t="s">
        <v>8095</v>
      </c>
      <c r="O1417" t="s">
        <v>167</v>
      </c>
      <c r="P1417">
        <v>0</v>
      </c>
      <c r="Q1417" t="s">
        <v>125</v>
      </c>
      <c r="R1417">
        <v>3</v>
      </c>
      <c r="S1417">
        <v>82</v>
      </c>
      <c r="T1417" t="s">
        <v>132</v>
      </c>
      <c r="U1417" t="s">
        <v>133</v>
      </c>
      <c r="V1417" s="1">
        <v>1400</v>
      </c>
      <c r="W1417">
        <v>0</v>
      </c>
      <c r="X1417" s="1">
        <v>1400</v>
      </c>
      <c r="Y1417">
        <v>7</v>
      </c>
      <c r="Z1417">
        <v>0</v>
      </c>
      <c r="AA1417">
        <v>0</v>
      </c>
      <c r="AB1417">
        <v>0</v>
      </c>
      <c r="AC1417">
        <v>0</v>
      </c>
      <c r="AD1417" t="s">
        <v>134</v>
      </c>
      <c r="AE1417" t="s">
        <v>134</v>
      </c>
      <c r="AF1417" s="2">
        <v>45867</v>
      </c>
      <c r="AG1417" s="2">
        <v>46020</v>
      </c>
      <c r="AH1417">
        <v>811.47</v>
      </c>
      <c r="AI1417" s="1">
        <v>1497.04</v>
      </c>
      <c r="AJ1417" s="1">
        <v>8926.23</v>
      </c>
      <c r="AK1417">
        <v>0</v>
      </c>
      <c r="AL1417">
        <v>0</v>
      </c>
      <c r="AM1417">
        <v>0</v>
      </c>
      <c r="AN1417" t="s">
        <v>135</v>
      </c>
      <c r="AO1417" t="s">
        <v>135</v>
      </c>
      <c r="AP1417" t="s">
        <v>136</v>
      </c>
      <c r="AQ1417" t="s">
        <v>137</v>
      </c>
      <c r="AR1417" t="s">
        <v>138</v>
      </c>
      <c r="AS1417" t="s">
        <v>139</v>
      </c>
      <c r="AT1417" t="s">
        <v>140</v>
      </c>
      <c r="AU1417">
        <v>102</v>
      </c>
      <c r="AV1417">
        <v>10</v>
      </c>
      <c r="AW1417">
        <v>1</v>
      </c>
      <c r="AX1417" s="2">
        <v>45871</v>
      </c>
      <c r="AY1417" t="s">
        <v>160</v>
      </c>
      <c r="AZ1417" s="2">
        <v>46025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 t="s">
        <v>135</v>
      </c>
      <c r="BH1417" t="s">
        <v>250</v>
      </c>
      <c r="BI1417" t="s">
        <v>135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 s="1">
        <v>2610.27</v>
      </c>
      <c r="BQ1417" s="1">
        <v>2610.27</v>
      </c>
      <c r="BR1417">
        <v>0</v>
      </c>
      <c r="BS1417">
        <v>0</v>
      </c>
      <c r="BT1417">
        <v>0</v>
      </c>
      <c r="BU1417">
        <v>0</v>
      </c>
      <c r="BV1417" s="1">
        <v>4816.78</v>
      </c>
      <c r="BW1417" s="1">
        <v>4816.78</v>
      </c>
      <c r="BX1417">
        <v>0</v>
      </c>
      <c r="BY1417">
        <v>0</v>
      </c>
      <c r="BZ1417">
        <v>0</v>
      </c>
      <c r="CA1417">
        <v>0</v>
      </c>
      <c r="CB1417" s="1">
        <v>2057.31</v>
      </c>
      <c r="CC1417" t="s">
        <v>161</v>
      </c>
    </row>
    <row r="1418" spans="1:81" x14ac:dyDescent="0.25">
      <c r="A1418">
        <v>345</v>
      </c>
      <c r="B1418">
        <v>2</v>
      </c>
      <c r="C1418">
        <v>3713</v>
      </c>
      <c r="D1418" t="s">
        <v>8096</v>
      </c>
      <c r="E1418" t="s">
        <v>121</v>
      </c>
      <c r="F1418" t="s">
        <v>8097</v>
      </c>
      <c r="G1418" t="s">
        <v>8098</v>
      </c>
      <c r="H1418" t="s">
        <v>8099</v>
      </c>
      <c r="I1418" t="s">
        <v>8100</v>
      </c>
      <c r="J1418" t="s">
        <v>1852</v>
      </c>
      <c r="K1418" t="s">
        <v>336</v>
      </c>
      <c r="L1418" t="s">
        <v>128</v>
      </c>
      <c r="M1418" t="s">
        <v>337</v>
      </c>
      <c r="N1418" t="s">
        <v>8101</v>
      </c>
      <c r="O1418" t="s">
        <v>167</v>
      </c>
      <c r="P1418">
        <v>0</v>
      </c>
      <c r="Q1418" t="s">
        <v>125</v>
      </c>
      <c r="R1418">
        <v>3</v>
      </c>
      <c r="S1418">
        <v>82</v>
      </c>
      <c r="T1418" t="s">
        <v>132</v>
      </c>
      <c r="U1418" t="s">
        <v>133</v>
      </c>
      <c r="V1418" s="1">
        <v>1400</v>
      </c>
      <c r="W1418">
        <v>0</v>
      </c>
      <c r="X1418" s="1">
        <v>1400</v>
      </c>
      <c r="Y1418">
        <v>7</v>
      </c>
      <c r="Z1418">
        <v>0</v>
      </c>
      <c r="AA1418">
        <v>0</v>
      </c>
      <c r="AB1418">
        <v>0</v>
      </c>
      <c r="AC1418">
        <v>0</v>
      </c>
      <c r="AD1418" t="s">
        <v>134</v>
      </c>
      <c r="AE1418" t="s">
        <v>134</v>
      </c>
      <c r="AF1418" s="2">
        <v>45868</v>
      </c>
      <c r="AG1418" s="2">
        <v>46017</v>
      </c>
      <c r="AH1418">
        <v>564.92999999999995</v>
      </c>
      <c r="AI1418" s="1">
        <v>1121.31</v>
      </c>
      <c r="AJ1418" s="1">
        <v>5084.4399999999996</v>
      </c>
      <c r="AK1418">
        <v>0</v>
      </c>
      <c r="AL1418">
        <v>0</v>
      </c>
      <c r="AM1418">
        <v>0</v>
      </c>
      <c r="AN1418" t="s">
        <v>135</v>
      </c>
      <c r="AO1418" t="s">
        <v>135</v>
      </c>
      <c r="AP1418" t="s">
        <v>136</v>
      </c>
      <c r="AQ1418" t="s">
        <v>137</v>
      </c>
      <c r="AR1418" t="s">
        <v>138</v>
      </c>
      <c r="AS1418" t="s">
        <v>139</v>
      </c>
      <c r="AT1418" t="s">
        <v>140</v>
      </c>
      <c r="AU1418">
        <v>100</v>
      </c>
      <c r="AV1418">
        <v>10</v>
      </c>
      <c r="AW1418">
        <v>1</v>
      </c>
      <c r="AX1418" s="2">
        <v>45874</v>
      </c>
      <c r="AY1418" t="s">
        <v>377</v>
      </c>
      <c r="AZ1418" s="2">
        <v>46028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 t="s">
        <v>135</v>
      </c>
      <c r="BH1418" t="s">
        <v>250</v>
      </c>
      <c r="BI1418" t="s">
        <v>135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 s="1">
        <v>1853.04</v>
      </c>
      <c r="BQ1418" s="1">
        <v>1853.04</v>
      </c>
      <c r="BR1418">
        <v>0</v>
      </c>
      <c r="BS1418">
        <v>0</v>
      </c>
      <c r="BT1418">
        <v>0</v>
      </c>
      <c r="BU1418">
        <v>0</v>
      </c>
      <c r="BV1418" s="1">
        <v>1974.7</v>
      </c>
      <c r="BW1418" s="1">
        <v>1974.7</v>
      </c>
      <c r="BX1418">
        <v>0</v>
      </c>
      <c r="BY1418">
        <v>0</v>
      </c>
      <c r="BZ1418">
        <v>0</v>
      </c>
      <c r="CA1418">
        <v>0</v>
      </c>
      <c r="CB1418" s="1">
        <v>1643.15</v>
      </c>
      <c r="CC1418" t="s">
        <v>161</v>
      </c>
    </row>
    <row r="1419" spans="1:81" x14ac:dyDescent="0.25">
      <c r="A1419">
        <v>345</v>
      </c>
      <c r="B1419">
        <v>2</v>
      </c>
      <c r="C1419">
        <v>3714</v>
      </c>
      <c r="D1419" t="s">
        <v>8102</v>
      </c>
      <c r="E1419" t="s">
        <v>121</v>
      </c>
      <c r="F1419" t="s">
        <v>8103</v>
      </c>
      <c r="G1419" t="s">
        <v>8104</v>
      </c>
      <c r="H1419" t="s">
        <v>8099</v>
      </c>
      <c r="I1419" t="s">
        <v>8105</v>
      </c>
      <c r="J1419" t="s">
        <v>1852</v>
      </c>
      <c r="K1419" t="s">
        <v>336</v>
      </c>
      <c r="L1419" t="s">
        <v>128</v>
      </c>
      <c r="M1419" t="s">
        <v>337</v>
      </c>
      <c r="N1419" t="s">
        <v>8106</v>
      </c>
      <c r="O1419" t="s">
        <v>201</v>
      </c>
      <c r="P1419">
        <v>0</v>
      </c>
      <c r="Q1419" t="s">
        <v>125</v>
      </c>
      <c r="R1419">
        <v>3</v>
      </c>
      <c r="S1419">
        <v>85</v>
      </c>
      <c r="T1419" t="s">
        <v>132</v>
      </c>
      <c r="U1419" t="s">
        <v>133</v>
      </c>
      <c r="V1419" s="1">
        <v>1100</v>
      </c>
      <c r="W1419">
        <v>0</v>
      </c>
      <c r="X1419" s="1">
        <v>1100</v>
      </c>
      <c r="Y1419">
        <v>7</v>
      </c>
      <c r="Z1419">
        <v>0</v>
      </c>
      <c r="AA1419">
        <v>0</v>
      </c>
      <c r="AB1419">
        <v>0</v>
      </c>
      <c r="AC1419">
        <v>0</v>
      </c>
      <c r="AD1419" t="s">
        <v>134</v>
      </c>
      <c r="AE1419" t="s">
        <v>134</v>
      </c>
      <c r="AF1419" s="2">
        <v>45868</v>
      </c>
      <c r="AG1419" s="2">
        <v>46008</v>
      </c>
      <c r="AH1419">
        <v>417.15</v>
      </c>
      <c r="AI1419">
        <v>783.97</v>
      </c>
      <c r="AJ1419" s="1">
        <v>2502.94</v>
      </c>
      <c r="AK1419">
        <v>0</v>
      </c>
      <c r="AL1419">
        <v>0</v>
      </c>
      <c r="AM1419">
        <v>0</v>
      </c>
      <c r="AN1419" t="s">
        <v>135</v>
      </c>
      <c r="AO1419" t="s">
        <v>135</v>
      </c>
      <c r="AP1419" t="s">
        <v>136</v>
      </c>
      <c r="AQ1419" t="s">
        <v>137</v>
      </c>
      <c r="AR1419" t="s">
        <v>138</v>
      </c>
      <c r="AS1419" t="s">
        <v>139</v>
      </c>
      <c r="AT1419" t="s">
        <v>140</v>
      </c>
      <c r="AU1419">
        <v>100</v>
      </c>
      <c r="AV1419">
        <v>10</v>
      </c>
      <c r="AW1419">
        <v>1</v>
      </c>
      <c r="AX1419" s="2">
        <v>45874</v>
      </c>
      <c r="AY1419" t="s">
        <v>377</v>
      </c>
      <c r="AZ1419" s="2">
        <v>46028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 t="s">
        <v>135</v>
      </c>
      <c r="BH1419" t="s">
        <v>250</v>
      </c>
      <c r="BI1419" t="s">
        <v>135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783.97</v>
      </c>
      <c r="BQ1419">
        <v>783.97</v>
      </c>
      <c r="BR1419">
        <v>0</v>
      </c>
      <c r="BS1419">
        <v>0</v>
      </c>
      <c r="BT1419">
        <v>0</v>
      </c>
      <c r="BU1419">
        <v>0</v>
      </c>
      <c r="BV1419">
        <v>332.82</v>
      </c>
      <c r="BW1419">
        <v>332.82</v>
      </c>
      <c r="BX1419">
        <v>0</v>
      </c>
      <c r="BY1419">
        <v>0</v>
      </c>
      <c r="BZ1419">
        <v>0</v>
      </c>
      <c r="CA1419">
        <v>0</v>
      </c>
      <c r="CB1419" s="1">
        <v>1181.95</v>
      </c>
      <c r="CC1419" t="s">
        <v>161</v>
      </c>
    </row>
    <row r="1420" spans="1:81" x14ac:dyDescent="0.25">
      <c r="A1420">
        <v>345</v>
      </c>
      <c r="B1420">
        <v>2</v>
      </c>
      <c r="C1420">
        <v>3715</v>
      </c>
      <c r="D1420" t="s">
        <v>8107</v>
      </c>
      <c r="E1420" t="s">
        <v>121</v>
      </c>
      <c r="F1420" t="s">
        <v>6919</v>
      </c>
      <c r="G1420" t="s">
        <v>8108</v>
      </c>
      <c r="H1420" t="s">
        <v>8109</v>
      </c>
      <c r="I1420" t="s">
        <v>7238</v>
      </c>
      <c r="J1420" t="s">
        <v>126</v>
      </c>
      <c r="K1420" t="s">
        <v>1853</v>
      </c>
      <c r="L1420" t="s">
        <v>128</v>
      </c>
      <c r="M1420" t="s">
        <v>1854</v>
      </c>
      <c r="N1420" t="s">
        <v>8110</v>
      </c>
      <c r="O1420" t="s">
        <v>619</v>
      </c>
      <c r="P1420">
        <v>0</v>
      </c>
      <c r="Q1420" t="s">
        <v>125</v>
      </c>
      <c r="R1420">
        <v>3</v>
      </c>
      <c r="S1420">
        <v>84</v>
      </c>
      <c r="T1420" t="s">
        <v>132</v>
      </c>
      <c r="U1420" t="s">
        <v>133</v>
      </c>
      <c r="V1420" s="1">
        <v>1500</v>
      </c>
      <c r="W1420" s="1">
        <v>1316.9</v>
      </c>
      <c r="X1420">
        <v>183.1</v>
      </c>
      <c r="Y1420">
        <v>7</v>
      </c>
      <c r="Z1420">
        <v>0</v>
      </c>
      <c r="AA1420">
        <v>7</v>
      </c>
      <c r="AB1420">
        <v>0</v>
      </c>
      <c r="AC1420">
        <v>18</v>
      </c>
      <c r="AD1420" t="s">
        <v>134</v>
      </c>
      <c r="AE1420" t="s">
        <v>134</v>
      </c>
      <c r="AF1420" s="2">
        <v>45868</v>
      </c>
      <c r="AG1420" s="2">
        <v>46021</v>
      </c>
      <c r="AH1420">
        <v>470.14</v>
      </c>
      <c r="AI1420">
        <v>806.55</v>
      </c>
      <c r="AJ1420" s="1">
        <v>3761.18</v>
      </c>
      <c r="AK1420">
        <v>510.35</v>
      </c>
      <c r="AL1420">
        <v>806.55</v>
      </c>
      <c r="AM1420">
        <v>0</v>
      </c>
      <c r="AN1420" t="s">
        <v>135</v>
      </c>
      <c r="AO1420" t="s">
        <v>135</v>
      </c>
      <c r="AP1420" t="s">
        <v>136</v>
      </c>
      <c r="AQ1420" t="s">
        <v>137</v>
      </c>
      <c r="AR1420" t="s">
        <v>138</v>
      </c>
      <c r="AS1420" t="s">
        <v>150</v>
      </c>
      <c r="AT1420" t="s">
        <v>140</v>
      </c>
      <c r="AU1420">
        <v>103</v>
      </c>
      <c r="AV1420">
        <v>10</v>
      </c>
      <c r="AW1420">
        <v>1</v>
      </c>
      <c r="AX1420" s="2">
        <v>45873</v>
      </c>
      <c r="AY1420" t="s">
        <v>141</v>
      </c>
      <c r="AZ1420" s="2">
        <v>46027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 t="s">
        <v>135</v>
      </c>
      <c r="BH1420" t="s">
        <v>250</v>
      </c>
      <c r="BI1420" t="s">
        <v>135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 s="1">
        <v>1013.67</v>
      </c>
      <c r="BQ1420" s="1">
        <v>1013.67</v>
      </c>
      <c r="BR1420">
        <v>0</v>
      </c>
      <c r="BS1420">
        <v>7</v>
      </c>
      <c r="BT1420">
        <v>5.37</v>
      </c>
      <c r="BU1420" s="1">
        <v>1841.81</v>
      </c>
      <c r="BV1420">
        <v>557.74</v>
      </c>
      <c r="BW1420" s="1">
        <v>2399.5500000000002</v>
      </c>
      <c r="BX1420">
        <v>806.55</v>
      </c>
      <c r="BY1420">
        <v>43.79</v>
      </c>
      <c r="BZ1420">
        <v>0</v>
      </c>
      <c r="CA1420">
        <v>0</v>
      </c>
      <c r="CB1420">
        <v>775.37</v>
      </c>
      <c r="CC1420" t="s">
        <v>161</v>
      </c>
    </row>
    <row r="1421" spans="1:81" x14ac:dyDescent="0.25">
      <c r="A1421">
        <v>345</v>
      </c>
      <c r="B1421">
        <v>2</v>
      </c>
      <c r="C1421">
        <v>3718</v>
      </c>
      <c r="D1421" t="s">
        <v>8111</v>
      </c>
      <c r="E1421" t="s">
        <v>121</v>
      </c>
      <c r="F1421" t="s">
        <v>8112</v>
      </c>
      <c r="G1421" t="s">
        <v>8113</v>
      </c>
      <c r="H1421" t="s">
        <v>8114</v>
      </c>
      <c r="I1421" t="s">
        <v>8115</v>
      </c>
      <c r="J1421" t="s">
        <v>1556</v>
      </c>
      <c r="K1421" t="s">
        <v>473</v>
      </c>
      <c r="L1421" t="s">
        <v>128</v>
      </c>
      <c r="M1421" t="s">
        <v>474</v>
      </c>
      <c r="N1421" t="s">
        <v>8116</v>
      </c>
      <c r="O1421" t="s">
        <v>201</v>
      </c>
      <c r="P1421">
        <v>0</v>
      </c>
      <c r="Q1421" t="s">
        <v>125</v>
      </c>
      <c r="R1421">
        <v>3</v>
      </c>
      <c r="S1421">
        <v>84</v>
      </c>
      <c r="T1421" t="s">
        <v>132</v>
      </c>
      <c r="U1421" t="s">
        <v>133</v>
      </c>
      <c r="V1421" s="1">
        <v>1000</v>
      </c>
      <c r="W1421">
        <v>0</v>
      </c>
      <c r="X1421" s="1">
        <v>1000</v>
      </c>
      <c r="Y1421">
        <v>7</v>
      </c>
      <c r="Z1421">
        <v>0</v>
      </c>
      <c r="AA1421">
        <v>7</v>
      </c>
      <c r="AB1421">
        <v>0</v>
      </c>
      <c r="AC1421">
        <v>0</v>
      </c>
      <c r="AD1421" t="s">
        <v>134</v>
      </c>
      <c r="AE1421" t="s">
        <v>134</v>
      </c>
      <c r="AF1421" s="2">
        <v>45869</v>
      </c>
      <c r="AG1421" s="2">
        <v>46003</v>
      </c>
      <c r="AH1421">
        <v>206.03</v>
      </c>
      <c r="AI1421">
        <v>334.47</v>
      </c>
      <c r="AJ1421" s="1">
        <v>1030.19</v>
      </c>
      <c r="AK1421">
        <v>0</v>
      </c>
      <c r="AL1421">
        <v>0</v>
      </c>
      <c r="AM1421">
        <v>0</v>
      </c>
      <c r="AN1421" t="s">
        <v>135</v>
      </c>
      <c r="AO1421" t="s">
        <v>135</v>
      </c>
      <c r="AP1421" t="s">
        <v>136</v>
      </c>
      <c r="AQ1421" t="s">
        <v>137</v>
      </c>
      <c r="AR1421" t="s">
        <v>138</v>
      </c>
      <c r="AS1421" t="s">
        <v>139</v>
      </c>
      <c r="AT1421" t="s">
        <v>140</v>
      </c>
      <c r="AU1421">
        <v>102</v>
      </c>
      <c r="AV1421">
        <v>10</v>
      </c>
      <c r="AW1421">
        <v>1</v>
      </c>
      <c r="AX1421" s="2">
        <v>45876</v>
      </c>
      <c r="AY1421" t="s">
        <v>308</v>
      </c>
      <c r="AZ1421" s="2">
        <v>46023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 t="s">
        <v>135</v>
      </c>
      <c r="BH1421" t="s">
        <v>250</v>
      </c>
      <c r="BI1421" t="s">
        <v>135</v>
      </c>
      <c r="BJ1421">
        <v>0</v>
      </c>
      <c r="BK1421">
        <v>0</v>
      </c>
      <c r="BL1421">
        <v>0</v>
      </c>
      <c r="BM1421">
        <v>7</v>
      </c>
      <c r="BN1421">
        <v>1.79</v>
      </c>
      <c r="BO1421">
        <v>170.66</v>
      </c>
      <c r="BP1421">
        <v>498.39</v>
      </c>
      <c r="BQ1421">
        <v>669.05</v>
      </c>
      <c r="BR1421">
        <v>170.66</v>
      </c>
      <c r="BS1421">
        <v>0</v>
      </c>
      <c r="BT1421">
        <v>0</v>
      </c>
      <c r="BU1421">
        <v>0</v>
      </c>
      <c r="BV1421">
        <v>78.12</v>
      </c>
      <c r="BW1421">
        <v>78.12</v>
      </c>
      <c r="BX1421">
        <v>0</v>
      </c>
      <c r="BY1421">
        <v>0</v>
      </c>
      <c r="BZ1421">
        <v>0</v>
      </c>
      <c r="CA1421">
        <v>0</v>
      </c>
      <c r="CB1421">
        <v>366.55</v>
      </c>
      <c r="CC1421" t="s">
        <v>161</v>
      </c>
    </row>
    <row r="1422" spans="1:81" x14ac:dyDescent="0.25">
      <c r="A1422">
        <v>345</v>
      </c>
      <c r="B1422">
        <v>2</v>
      </c>
      <c r="C1422">
        <v>3719</v>
      </c>
      <c r="D1422" t="s">
        <v>8117</v>
      </c>
      <c r="E1422" t="s">
        <v>5427</v>
      </c>
      <c r="F1422" t="s">
        <v>8118</v>
      </c>
      <c r="G1422" t="s">
        <v>8119</v>
      </c>
      <c r="H1422" t="s">
        <v>8120</v>
      </c>
      <c r="I1422" t="s">
        <v>8121</v>
      </c>
      <c r="J1422" t="s">
        <v>126</v>
      </c>
      <c r="K1422" t="s">
        <v>336</v>
      </c>
      <c r="L1422" t="s">
        <v>128</v>
      </c>
      <c r="M1422" t="s">
        <v>337</v>
      </c>
      <c r="N1422" t="s">
        <v>8122</v>
      </c>
      <c r="O1422" t="s">
        <v>167</v>
      </c>
      <c r="P1422">
        <v>0</v>
      </c>
      <c r="Q1422" t="s">
        <v>125</v>
      </c>
      <c r="R1422">
        <v>3</v>
      </c>
      <c r="S1422">
        <v>85</v>
      </c>
      <c r="T1422" t="s">
        <v>132</v>
      </c>
      <c r="U1422" t="s">
        <v>133</v>
      </c>
      <c r="V1422" s="1">
        <v>3300</v>
      </c>
      <c r="W1422" s="1">
        <v>1424.5</v>
      </c>
      <c r="X1422" s="1">
        <v>1875.5</v>
      </c>
      <c r="Y1422">
        <v>7</v>
      </c>
      <c r="Z1422">
        <v>0</v>
      </c>
      <c r="AA1422">
        <v>7</v>
      </c>
      <c r="AB1422">
        <v>0</v>
      </c>
      <c r="AC1422">
        <v>0</v>
      </c>
      <c r="AD1422" t="s">
        <v>134</v>
      </c>
      <c r="AE1422" t="s">
        <v>134</v>
      </c>
      <c r="AF1422" s="2">
        <v>45869</v>
      </c>
      <c r="AG1422" s="2">
        <v>46021</v>
      </c>
      <c r="AH1422" s="1">
        <v>1380.48</v>
      </c>
      <c r="AI1422" s="1">
        <v>1853.42</v>
      </c>
      <c r="AJ1422" s="1">
        <v>12424.36</v>
      </c>
      <c r="AK1422">
        <v>0</v>
      </c>
      <c r="AL1422" s="1">
        <v>1424.5</v>
      </c>
      <c r="AM1422">
        <v>121.3</v>
      </c>
      <c r="AN1422" t="s">
        <v>135</v>
      </c>
      <c r="AO1422" t="s">
        <v>135</v>
      </c>
      <c r="AP1422" t="s">
        <v>136</v>
      </c>
      <c r="AQ1422" t="s">
        <v>137</v>
      </c>
      <c r="AR1422" t="s">
        <v>138</v>
      </c>
      <c r="AS1422" t="s">
        <v>139</v>
      </c>
      <c r="AT1422" t="s">
        <v>140</v>
      </c>
      <c r="AU1422">
        <v>101</v>
      </c>
      <c r="AV1422">
        <v>10</v>
      </c>
      <c r="AW1422">
        <v>1</v>
      </c>
      <c r="AX1422" s="2">
        <v>45873</v>
      </c>
      <c r="AY1422" t="s">
        <v>141</v>
      </c>
      <c r="AZ1422" s="2">
        <v>46027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 t="s">
        <v>135</v>
      </c>
      <c r="BH1422" t="s">
        <v>250</v>
      </c>
      <c r="BI1422" t="s">
        <v>135</v>
      </c>
      <c r="BJ1422">
        <v>0</v>
      </c>
      <c r="BK1422">
        <v>0</v>
      </c>
      <c r="BL1422">
        <v>0</v>
      </c>
      <c r="BM1422">
        <v>6.35</v>
      </c>
      <c r="BN1422">
        <v>6.35</v>
      </c>
      <c r="BO1422" s="1">
        <v>2652.14</v>
      </c>
      <c r="BP1422">
        <v>0</v>
      </c>
      <c r="BQ1422" s="1">
        <v>2652.14</v>
      </c>
      <c r="BR1422" s="1">
        <v>1727.93</v>
      </c>
      <c r="BS1422">
        <v>6</v>
      </c>
      <c r="BT1422">
        <v>6</v>
      </c>
      <c r="BU1422" s="1">
        <v>3583.34</v>
      </c>
      <c r="BV1422">
        <v>0</v>
      </c>
      <c r="BW1422" s="1">
        <v>3583.34</v>
      </c>
      <c r="BX1422" s="1">
        <v>1424.5</v>
      </c>
      <c r="BY1422">
        <v>39.75</v>
      </c>
      <c r="BZ1422">
        <v>0</v>
      </c>
      <c r="CA1422">
        <v>0</v>
      </c>
      <c r="CB1422" s="1">
        <v>5190.91</v>
      </c>
      <c r="CC1422" t="s">
        <v>161</v>
      </c>
    </row>
    <row r="1423" spans="1:81" x14ac:dyDescent="0.25">
      <c r="A1423">
        <v>345</v>
      </c>
      <c r="B1423">
        <v>2</v>
      </c>
      <c r="C1423">
        <v>3723</v>
      </c>
      <c r="D1423" t="s">
        <v>8123</v>
      </c>
      <c r="E1423" t="s">
        <v>121</v>
      </c>
      <c r="F1423" t="s">
        <v>8124</v>
      </c>
      <c r="G1423" t="s">
        <v>8125</v>
      </c>
      <c r="H1423" t="s">
        <v>8126</v>
      </c>
      <c r="I1423" t="s">
        <v>8127</v>
      </c>
      <c r="J1423" t="s">
        <v>126</v>
      </c>
      <c r="K1423" t="s">
        <v>466</v>
      </c>
      <c r="L1423" t="s">
        <v>128</v>
      </c>
      <c r="M1423" t="s">
        <v>467</v>
      </c>
      <c r="N1423" t="s">
        <v>8128</v>
      </c>
      <c r="O1423" t="s">
        <v>167</v>
      </c>
      <c r="P1423">
        <v>0</v>
      </c>
      <c r="Q1423" t="s">
        <v>125</v>
      </c>
      <c r="R1423">
        <v>4</v>
      </c>
      <c r="S1423">
        <v>81</v>
      </c>
      <c r="T1423" t="s">
        <v>132</v>
      </c>
      <c r="U1423" t="s">
        <v>133</v>
      </c>
      <c r="V1423" s="1">
        <v>1400</v>
      </c>
      <c r="W1423">
        <v>0</v>
      </c>
      <c r="X1423" s="1">
        <v>1400</v>
      </c>
      <c r="Y1423">
        <v>7</v>
      </c>
      <c r="Z1423">
        <v>0</v>
      </c>
      <c r="AA1423">
        <v>0</v>
      </c>
      <c r="AB1423">
        <v>0</v>
      </c>
      <c r="AC1423">
        <v>0</v>
      </c>
      <c r="AD1423" t="s">
        <v>134</v>
      </c>
      <c r="AE1423" t="s">
        <v>134</v>
      </c>
      <c r="AF1423" s="2">
        <v>45873</v>
      </c>
      <c r="AG1423" s="2">
        <v>45999</v>
      </c>
      <c r="AH1423">
        <v>247.72</v>
      </c>
      <c r="AI1423">
        <v>325.94</v>
      </c>
      <c r="AJ1423" s="1">
        <v>1238.6400000000001</v>
      </c>
      <c r="AK1423">
        <v>0</v>
      </c>
      <c r="AL1423">
        <v>0</v>
      </c>
      <c r="AM1423">
        <v>0</v>
      </c>
      <c r="AN1423" t="s">
        <v>135</v>
      </c>
      <c r="AO1423" t="s">
        <v>135</v>
      </c>
      <c r="AP1423" t="s">
        <v>136</v>
      </c>
      <c r="AQ1423" t="s">
        <v>137</v>
      </c>
      <c r="AR1423" t="s">
        <v>138</v>
      </c>
      <c r="AS1423" t="s">
        <v>139</v>
      </c>
      <c r="AT1423" t="s">
        <v>140</v>
      </c>
      <c r="AU1423">
        <v>105</v>
      </c>
      <c r="AV1423">
        <v>10</v>
      </c>
      <c r="AW1423">
        <v>1</v>
      </c>
      <c r="AX1423" s="2">
        <v>45878</v>
      </c>
      <c r="AY1423" t="s">
        <v>160</v>
      </c>
      <c r="AZ1423" s="2">
        <v>46025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 t="s">
        <v>135</v>
      </c>
      <c r="BH1423" t="s">
        <v>250</v>
      </c>
      <c r="BI1423" t="s">
        <v>135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438.9</v>
      </c>
      <c r="BQ1423">
        <v>438.9</v>
      </c>
      <c r="BR1423">
        <v>0</v>
      </c>
      <c r="BS1423">
        <v>0</v>
      </c>
      <c r="BT1423">
        <v>0</v>
      </c>
      <c r="BU1423">
        <v>0</v>
      </c>
      <c r="BV1423">
        <v>325.94</v>
      </c>
      <c r="BW1423">
        <v>325.94</v>
      </c>
      <c r="BX1423">
        <v>0</v>
      </c>
      <c r="BY1423">
        <v>0</v>
      </c>
      <c r="BZ1423">
        <v>0</v>
      </c>
      <c r="CA1423">
        <v>0</v>
      </c>
      <c r="CB1423">
        <v>418.83</v>
      </c>
      <c r="CC1423" t="s">
        <v>161</v>
      </c>
    </row>
    <row r="1424" spans="1:81" x14ac:dyDescent="0.25">
      <c r="A1424">
        <v>345</v>
      </c>
      <c r="B1424">
        <v>2</v>
      </c>
      <c r="C1424">
        <v>3725</v>
      </c>
      <c r="D1424" t="s">
        <v>8129</v>
      </c>
      <c r="E1424" t="s">
        <v>121</v>
      </c>
      <c r="F1424" t="s">
        <v>8130</v>
      </c>
      <c r="G1424" t="s">
        <v>8131</v>
      </c>
      <c r="H1424" t="s">
        <v>8132</v>
      </c>
      <c r="I1424" t="s">
        <v>8133</v>
      </c>
      <c r="J1424" t="s">
        <v>1263</v>
      </c>
      <c r="K1424" t="s">
        <v>466</v>
      </c>
      <c r="L1424" t="s">
        <v>128</v>
      </c>
      <c r="M1424" t="s">
        <v>467</v>
      </c>
      <c r="N1424" t="s">
        <v>6311</v>
      </c>
      <c r="O1424" t="s">
        <v>159</v>
      </c>
      <c r="P1424">
        <v>0</v>
      </c>
      <c r="Q1424" t="s">
        <v>125</v>
      </c>
      <c r="R1424">
        <v>4</v>
      </c>
      <c r="S1424">
        <v>77</v>
      </c>
      <c r="T1424" t="s">
        <v>132</v>
      </c>
      <c r="U1424" t="s">
        <v>133</v>
      </c>
      <c r="V1424" s="1">
        <v>2500</v>
      </c>
      <c r="W1424">
        <v>0</v>
      </c>
      <c r="X1424" s="1">
        <v>2500</v>
      </c>
      <c r="Y1424">
        <v>7</v>
      </c>
      <c r="Z1424">
        <v>0</v>
      </c>
      <c r="AA1424">
        <v>4</v>
      </c>
      <c r="AB1424">
        <v>0</v>
      </c>
      <c r="AC1424">
        <v>20</v>
      </c>
      <c r="AD1424" t="s">
        <v>234</v>
      </c>
      <c r="AE1424" t="s">
        <v>134</v>
      </c>
      <c r="AF1424" s="2">
        <v>45873</v>
      </c>
      <c r="AG1424" s="2">
        <v>46015</v>
      </c>
      <c r="AH1424" s="1">
        <v>1005.41</v>
      </c>
      <c r="AI1424" s="1">
        <v>2406.9</v>
      </c>
      <c r="AJ1424" s="1">
        <v>12065.03</v>
      </c>
      <c r="AK1424">
        <v>0</v>
      </c>
      <c r="AL1424" s="1">
        <v>2406.9</v>
      </c>
      <c r="AM1424">
        <v>0</v>
      </c>
      <c r="AN1424" t="s">
        <v>135</v>
      </c>
      <c r="AO1424" t="s">
        <v>135</v>
      </c>
      <c r="AP1424" t="s">
        <v>136</v>
      </c>
      <c r="AQ1424" t="s">
        <v>137</v>
      </c>
      <c r="AR1424" t="s">
        <v>138</v>
      </c>
      <c r="AS1424" t="s">
        <v>150</v>
      </c>
      <c r="AT1424" t="s">
        <v>140</v>
      </c>
      <c r="AU1424">
        <v>500</v>
      </c>
      <c r="AV1424">
        <v>10</v>
      </c>
      <c r="AW1424">
        <v>1</v>
      </c>
      <c r="AX1424" s="2">
        <v>45874</v>
      </c>
      <c r="AY1424" t="s">
        <v>377</v>
      </c>
      <c r="AZ1424" s="2">
        <v>46028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 t="s">
        <v>135</v>
      </c>
      <c r="BH1424" t="s">
        <v>250</v>
      </c>
      <c r="BI1424" t="s">
        <v>135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 s="1">
        <v>3004.8</v>
      </c>
      <c r="BP1424">
        <v>0</v>
      </c>
      <c r="BQ1424" s="1">
        <v>3004.8</v>
      </c>
      <c r="BR1424">
        <v>0</v>
      </c>
      <c r="BS1424">
        <v>2.5</v>
      </c>
      <c r="BT1424">
        <v>1.33</v>
      </c>
      <c r="BU1424" s="1">
        <v>2751.39</v>
      </c>
      <c r="BV1424" s="1">
        <v>2406.9</v>
      </c>
      <c r="BW1424" s="1">
        <v>5158.29</v>
      </c>
      <c r="BX1424">
        <v>0</v>
      </c>
      <c r="BY1424">
        <v>0</v>
      </c>
      <c r="BZ1424">
        <v>0</v>
      </c>
      <c r="CA1424">
        <v>0</v>
      </c>
      <c r="CB1424" s="1">
        <v>4103</v>
      </c>
      <c r="CC1424" t="s">
        <v>161</v>
      </c>
    </row>
    <row r="1425" spans="1:81" x14ac:dyDescent="0.25">
      <c r="A1425">
        <v>345</v>
      </c>
      <c r="B1425">
        <v>2</v>
      </c>
      <c r="C1425">
        <v>3727</v>
      </c>
      <c r="D1425" t="s">
        <v>8134</v>
      </c>
      <c r="E1425" t="s">
        <v>121</v>
      </c>
      <c r="F1425" t="s">
        <v>8135</v>
      </c>
      <c r="G1425" t="s">
        <v>8136</v>
      </c>
      <c r="H1425" t="s">
        <v>7889</v>
      </c>
      <c r="I1425" t="s">
        <v>8137</v>
      </c>
      <c r="J1425" t="s">
        <v>126</v>
      </c>
      <c r="K1425" t="s">
        <v>1853</v>
      </c>
      <c r="L1425" t="s">
        <v>128</v>
      </c>
      <c r="M1425" t="s">
        <v>1854</v>
      </c>
      <c r="N1425" t="s">
        <v>8138</v>
      </c>
      <c r="O1425" t="s">
        <v>1146</v>
      </c>
      <c r="P1425">
        <v>0</v>
      </c>
      <c r="Q1425" t="s">
        <v>125</v>
      </c>
      <c r="R1425">
        <v>3</v>
      </c>
      <c r="S1425">
        <v>83</v>
      </c>
      <c r="T1425" t="s">
        <v>132</v>
      </c>
      <c r="U1425" t="s">
        <v>133</v>
      </c>
      <c r="V1425" s="1">
        <v>1100</v>
      </c>
      <c r="W1425">
        <v>334.53</v>
      </c>
      <c r="X1425">
        <v>765.47</v>
      </c>
      <c r="Y1425">
        <v>7</v>
      </c>
      <c r="Z1425">
        <v>0</v>
      </c>
      <c r="AA1425">
        <v>7</v>
      </c>
      <c r="AB1425">
        <v>0</v>
      </c>
      <c r="AC1425">
        <v>0</v>
      </c>
      <c r="AD1425" t="s">
        <v>134</v>
      </c>
      <c r="AE1425" t="s">
        <v>134</v>
      </c>
      <c r="AF1425" s="2">
        <v>45873</v>
      </c>
      <c r="AG1425" s="2">
        <v>46015</v>
      </c>
      <c r="AH1425">
        <v>200.26</v>
      </c>
      <c r="AI1425">
        <v>334.53</v>
      </c>
      <c r="AJ1425">
        <v>400.53</v>
      </c>
      <c r="AK1425">
        <v>0</v>
      </c>
      <c r="AL1425">
        <v>334.53</v>
      </c>
      <c r="AM1425">
        <v>0</v>
      </c>
      <c r="AN1425" t="s">
        <v>135</v>
      </c>
      <c r="AO1425" t="s">
        <v>135</v>
      </c>
      <c r="AP1425" t="s">
        <v>136</v>
      </c>
      <c r="AQ1425" t="s">
        <v>137</v>
      </c>
      <c r="AR1425" t="s">
        <v>138</v>
      </c>
      <c r="AS1425" t="s">
        <v>150</v>
      </c>
      <c r="AT1425" t="s">
        <v>140</v>
      </c>
      <c r="AU1425">
        <v>106</v>
      </c>
      <c r="AV1425">
        <v>10</v>
      </c>
      <c r="AW1425">
        <v>1</v>
      </c>
      <c r="AX1425" s="2">
        <v>45880</v>
      </c>
      <c r="AY1425" t="s">
        <v>141</v>
      </c>
      <c r="AZ1425" s="2">
        <v>46027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 t="s">
        <v>135</v>
      </c>
      <c r="BH1425" t="s">
        <v>250</v>
      </c>
      <c r="BI1425" t="s">
        <v>135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66</v>
      </c>
      <c r="BQ1425">
        <v>66</v>
      </c>
      <c r="BR1425">
        <v>0</v>
      </c>
      <c r="BS1425">
        <v>7</v>
      </c>
      <c r="BT1425">
        <v>7</v>
      </c>
      <c r="BU1425">
        <v>334.53</v>
      </c>
      <c r="BV1425">
        <v>0</v>
      </c>
      <c r="BW1425">
        <v>334.53</v>
      </c>
      <c r="BX1425">
        <v>0</v>
      </c>
      <c r="BY1425">
        <v>0</v>
      </c>
      <c r="BZ1425">
        <v>0</v>
      </c>
      <c r="CA1425">
        <v>0</v>
      </c>
      <c r="CB1425">
        <v>22</v>
      </c>
      <c r="CC1425" t="s">
        <v>161</v>
      </c>
    </row>
    <row r="1426" spans="1:81" x14ac:dyDescent="0.25">
      <c r="A1426">
        <v>345</v>
      </c>
      <c r="B1426">
        <v>2</v>
      </c>
      <c r="C1426">
        <v>3729</v>
      </c>
      <c r="D1426" t="s">
        <v>8139</v>
      </c>
      <c r="E1426" t="s">
        <v>121</v>
      </c>
      <c r="F1426" t="s">
        <v>8140</v>
      </c>
      <c r="G1426" t="s">
        <v>8141</v>
      </c>
      <c r="H1426" t="s">
        <v>7889</v>
      </c>
      <c r="I1426" t="s">
        <v>8142</v>
      </c>
      <c r="J1426" t="s">
        <v>126</v>
      </c>
      <c r="K1426" t="s">
        <v>1853</v>
      </c>
      <c r="L1426" t="s">
        <v>128</v>
      </c>
      <c r="M1426" t="s">
        <v>1854</v>
      </c>
      <c r="N1426" t="s">
        <v>8143</v>
      </c>
      <c r="O1426" t="s">
        <v>201</v>
      </c>
      <c r="P1426">
        <v>0</v>
      </c>
      <c r="Q1426" t="s">
        <v>125</v>
      </c>
      <c r="R1426">
        <v>3</v>
      </c>
      <c r="S1426">
        <v>82</v>
      </c>
      <c r="T1426" t="s">
        <v>132</v>
      </c>
      <c r="U1426" t="s">
        <v>133</v>
      </c>
      <c r="V1426" s="1">
        <v>1800</v>
      </c>
      <c r="W1426">
        <v>0</v>
      </c>
      <c r="X1426" s="1">
        <v>1800</v>
      </c>
      <c r="Y1426">
        <v>7</v>
      </c>
      <c r="Z1426">
        <v>0</v>
      </c>
      <c r="AA1426">
        <v>7</v>
      </c>
      <c r="AB1426">
        <v>0</v>
      </c>
      <c r="AC1426">
        <v>0</v>
      </c>
      <c r="AD1426" t="s">
        <v>134</v>
      </c>
      <c r="AE1426" t="s">
        <v>134</v>
      </c>
      <c r="AF1426" s="2">
        <v>45875</v>
      </c>
      <c r="AG1426" s="2">
        <v>46001</v>
      </c>
      <c r="AH1426" s="1">
        <v>1126.33</v>
      </c>
      <c r="AI1426" s="1">
        <v>2019.05</v>
      </c>
      <c r="AJ1426" s="1">
        <v>5631.66</v>
      </c>
      <c r="AK1426">
        <v>0</v>
      </c>
      <c r="AL1426">
        <v>0</v>
      </c>
      <c r="AM1426">
        <v>0</v>
      </c>
      <c r="AN1426" t="s">
        <v>135</v>
      </c>
      <c r="AO1426" t="s">
        <v>135</v>
      </c>
      <c r="AP1426" t="s">
        <v>136</v>
      </c>
      <c r="AQ1426" t="s">
        <v>137</v>
      </c>
      <c r="AR1426" t="s">
        <v>138</v>
      </c>
      <c r="AS1426" t="s">
        <v>150</v>
      </c>
      <c r="AT1426" t="s">
        <v>140</v>
      </c>
      <c r="AU1426">
        <v>106</v>
      </c>
      <c r="AV1426">
        <v>10</v>
      </c>
      <c r="AW1426">
        <v>1</v>
      </c>
      <c r="AX1426" s="2">
        <v>45881</v>
      </c>
      <c r="AY1426" t="s">
        <v>377</v>
      </c>
      <c r="AZ1426" s="2">
        <v>46028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 t="s">
        <v>135</v>
      </c>
      <c r="BH1426" t="s">
        <v>250</v>
      </c>
      <c r="BI1426" t="s">
        <v>135</v>
      </c>
      <c r="BJ1426">
        <v>0</v>
      </c>
      <c r="BK1426">
        <v>0</v>
      </c>
      <c r="BL1426">
        <v>0</v>
      </c>
      <c r="BM1426">
        <v>7</v>
      </c>
      <c r="BN1426">
        <v>7</v>
      </c>
      <c r="BO1426" s="1">
        <v>1043.01</v>
      </c>
      <c r="BP1426">
        <v>0</v>
      </c>
      <c r="BQ1426" s="1">
        <v>1043.01</v>
      </c>
      <c r="BR1426">
        <v>0</v>
      </c>
      <c r="BS1426">
        <v>0</v>
      </c>
      <c r="BT1426">
        <v>0</v>
      </c>
      <c r="BU1426">
        <v>0</v>
      </c>
      <c r="BV1426" s="1">
        <v>2019.05</v>
      </c>
      <c r="BW1426" s="1">
        <v>2019.05</v>
      </c>
      <c r="BX1426">
        <v>0</v>
      </c>
      <c r="BY1426">
        <v>0</v>
      </c>
      <c r="BZ1426">
        <v>0</v>
      </c>
      <c r="CA1426">
        <v>0</v>
      </c>
      <c r="CB1426" s="1">
        <v>1494.49</v>
      </c>
      <c r="CC1426" t="s">
        <v>161</v>
      </c>
    </row>
    <row r="1427" spans="1:81" x14ac:dyDescent="0.25">
      <c r="A1427">
        <v>345</v>
      </c>
      <c r="B1427">
        <v>2</v>
      </c>
      <c r="C1427">
        <v>3730</v>
      </c>
      <c r="D1427" t="s">
        <v>8144</v>
      </c>
      <c r="E1427" t="s">
        <v>121</v>
      </c>
      <c r="F1427" t="s">
        <v>8145</v>
      </c>
      <c r="G1427" t="s">
        <v>8146</v>
      </c>
      <c r="H1427" t="s">
        <v>8147</v>
      </c>
      <c r="I1427" t="s">
        <v>8148</v>
      </c>
      <c r="J1427" t="s">
        <v>1263</v>
      </c>
      <c r="K1427" t="s">
        <v>466</v>
      </c>
      <c r="L1427" t="s">
        <v>128</v>
      </c>
      <c r="M1427" t="s">
        <v>467</v>
      </c>
      <c r="N1427" t="s">
        <v>8149</v>
      </c>
      <c r="O1427" t="s">
        <v>296</v>
      </c>
      <c r="P1427">
        <v>0</v>
      </c>
      <c r="Q1427" t="s">
        <v>125</v>
      </c>
      <c r="R1427">
        <v>3</v>
      </c>
      <c r="S1427">
        <v>86</v>
      </c>
      <c r="T1427" t="s">
        <v>132</v>
      </c>
      <c r="U1427" t="s">
        <v>133</v>
      </c>
      <c r="V1427" s="1">
        <v>1700</v>
      </c>
      <c r="W1427" s="1">
        <v>1302.6500000000001</v>
      </c>
      <c r="X1427">
        <v>397.35</v>
      </c>
      <c r="Y1427">
        <v>7</v>
      </c>
      <c r="Z1427">
        <v>0</v>
      </c>
      <c r="AA1427">
        <v>9</v>
      </c>
      <c r="AB1427">
        <v>0</v>
      </c>
      <c r="AC1427">
        <v>0</v>
      </c>
      <c r="AD1427" t="s">
        <v>134</v>
      </c>
      <c r="AE1427" t="s">
        <v>134</v>
      </c>
      <c r="AF1427" s="2">
        <v>45875</v>
      </c>
      <c r="AG1427" s="2">
        <v>46018</v>
      </c>
      <c r="AH1427" s="1">
        <v>1302.6500000000001</v>
      </c>
      <c r="AI1427" s="1">
        <v>1302.6500000000001</v>
      </c>
      <c r="AJ1427" s="1">
        <v>1302.6500000000001</v>
      </c>
      <c r="AK1427">
        <v>166.4</v>
      </c>
      <c r="AL1427" s="1">
        <v>1136.25</v>
      </c>
      <c r="AM1427">
        <v>0</v>
      </c>
      <c r="AN1427" t="s">
        <v>135</v>
      </c>
      <c r="AO1427" t="s">
        <v>135</v>
      </c>
      <c r="AP1427" t="s">
        <v>136</v>
      </c>
      <c r="AQ1427" t="s">
        <v>137</v>
      </c>
      <c r="AR1427" t="s">
        <v>138</v>
      </c>
      <c r="AS1427" t="s">
        <v>139</v>
      </c>
      <c r="AT1427" t="s">
        <v>140</v>
      </c>
      <c r="AU1427">
        <v>999</v>
      </c>
      <c r="AV1427">
        <v>99</v>
      </c>
      <c r="AW1427">
        <v>9</v>
      </c>
      <c r="AX1427" t="s">
        <v>135</v>
      </c>
      <c r="AY1427" t="s">
        <v>250</v>
      </c>
      <c r="AZ1427" t="s">
        <v>135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 t="s">
        <v>135</v>
      </c>
      <c r="BH1427" t="s">
        <v>250</v>
      </c>
      <c r="BI1427" t="s">
        <v>135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8.23</v>
      </c>
      <c r="BT1427">
        <v>8.23</v>
      </c>
      <c r="BU1427" s="1">
        <v>1302.6500000000001</v>
      </c>
      <c r="BV1427">
        <v>0</v>
      </c>
      <c r="BW1427" s="1">
        <v>1302.6500000000001</v>
      </c>
      <c r="BX1427" s="1">
        <v>1136.25</v>
      </c>
      <c r="BY1427">
        <v>87.23</v>
      </c>
      <c r="BZ1427">
        <v>0</v>
      </c>
      <c r="CA1427">
        <v>0</v>
      </c>
      <c r="CB1427">
        <v>0</v>
      </c>
      <c r="CC1427" t="s">
        <v>161</v>
      </c>
    </row>
    <row r="1428" spans="1:81" x14ac:dyDescent="0.25">
      <c r="A1428">
        <v>345</v>
      </c>
      <c r="B1428">
        <v>2</v>
      </c>
      <c r="C1428">
        <v>3732</v>
      </c>
      <c r="D1428" t="s">
        <v>8150</v>
      </c>
      <c r="E1428" t="s">
        <v>121</v>
      </c>
      <c r="F1428" t="s">
        <v>8151</v>
      </c>
      <c r="G1428" t="s">
        <v>5980</v>
      </c>
      <c r="H1428" t="s">
        <v>7202</v>
      </c>
      <c r="I1428" t="s">
        <v>8152</v>
      </c>
      <c r="J1428" t="s">
        <v>3074</v>
      </c>
      <c r="K1428" t="s">
        <v>1853</v>
      </c>
      <c r="L1428" t="s">
        <v>128</v>
      </c>
      <c r="M1428" t="s">
        <v>1854</v>
      </c>
      <c r="N1428" t="s">
        <v>8153</v>
      </c>
      <c r="O1428" t="s">
        <v>167</v>
      </c>
      <c r="P1428">
        <v>0</v>
      </c>
      <c r="Q1428" t="s">
        <v>125</v>
      </c>
      <c r="R1428">
        <v>4</v>
      </c>
      <c r="S1428">
        <v>79</v>
      </c>
      <c r="T1428" t="s">
        <v>132</v>
      </c>
      <c r="U1428" t="s">
        <v>133</v>
      </c>
      <c r="V1428" s="1">
        <v>4700</v>
      </c>
      <c r="W1428" s="1">
        <v>4596</v>
      </c>
      <c r="X1428">
        <v>104</v>
      </c>
      <c r="Y1428">
        <v>21</v>
      </c>
      <c r="Z1428">
        <v>0</v>
      </c>
      <c r="AA1428">
        <v>21</v>
      </c>
      <c r="AB1428">
        <v>0</v>
      </c>
      <c r="AC1428">
        <v>0</v>
      </c>
      <c r="AD1428" t="s">
        <v>134</v>
      </c>
      <c r="AE1428" t="s">
        <v>134</v>
      </c>
      <c r="AF1428" s="2">
        <v>45876</v>
      </c>
      <c r="AG1428" s="2">
        <v>46008</v>
      </c>
      <c r="AH1428" s="1">
        <v>2548.46</v>
      </c>
      <c r="AI1428" s="1">
        <v>4607.8500000000004</v>
      </c>
      <c r="AJ1428" s="1">
        <v>10193.85</v>
      </c>
      <c r="AK1428">
        <v>0</v>
      </c>
      <c r="AL1428" s="1">
        <v>4596</v>
      </c>
      <c r="AM1428">
        <v>0</v>
      </c>
      <c r="AN1428" t="s">
        <v>135</v>
      </c>
      <c r="AO1428" t="s">
        <v>135</v>
      </c>
      <c r="AP1428" t="s">
        <v>136</v>
      </c>
      <c r="AQ1428" t="s">
        <v>137</v>
      </c>
      <c r="AR1428" t="s">
        <v>138</v>
      </c>
      <c r="AS1428" t="s">
        <v>150</v>
      </c>
      <c r="AT1428" t="s">
        <v>140</v>
      </c>
      <c r="AU1428">
        <v>500</v>
      </c>
      <c r="AV1428">
        <v>10</v>
      </c>
      <c r="AW1428">
        <v>1</v>
      </c>
      <c r="AX1428" s="2">
        <v>45880</v>
      </c>
      <c r="AY1428" t="s">
        <v>141</v>
      </c>
      <c r="AZ1428" s="2">
        <v>46027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 t="s">
        <v>135</v>
      </c>
      <c r="BH1428" t="s">
        <v>250</v>
      </c>
      <c r="BI1428" t="s">
        <v>135</v>
      </c>
      <c r="BJ1428">
        <v>0</v>
      </c>
      <c r="BK1428">
        <v>0</v>
      </c>
      <c r="BL1428">
        <v>0</v>
      </c>
      <c r="BM1428">
        <v>21</v>
      </c>
      <c r="BN1428">
        <v>21</v>
      </c>
      <c r="BO1428" s="1">
        <v>4607.8500000000004</v>
      </c>
      <c r="BP1428">
        <v>0</v>
      </c>
      <c r="BQ1428" s="1">
        <v>4607.8500000000004</v>
      </c>
      <c r="BR1428">
        <v>0</v>
      </c>
      <c r="BS1428">
        <v>21</v>
      </c>
      <c r="BT1428">
        <v>21</v>
      </c>
      <c r="BU1428" s="1">
        <v>4596</v>
      </c>
      <c r="BV1428">
        <v>0</v>
      </c>
      <c r="BW1428" s="1">
        <v>4596</v>
      </c>
      <c r="BX1428" s="1">
        <v>4596</v>
      </c>
      <c r="BY1428">
        <v>100</v>
      </c>
      <c r="BZ1428">
        <v>0</v>
      </c>
      <c r="CA1428">
        <v>0</v>
      </c>
      <c r="CB1428" s="1">
        <v>2082.4499999999998</v>
      </c>
      <c r="CC1428" t="s">
        <v>161</v>
      </c>
    </row>
    <row r="1429" spans="1:81" x14ac:dyDescent="0.25">
      <c r="A1429">
        <v>345</v>
      </c>
      <c r="B1429">
        <v>2</v>
      </c>
      <c r="C1429">
        <v>3733</v>
      </c>
      <c r="D1429" t="s">
        <v>8154</v>
      </c>
      <c r="E1429" t="s">
        <v>121</v>
      </c>
      <c r="F1429" t="s">
        <v>8155</v>
      </c>
      <c r="G1429" t="s">
        <v>8156</v>
      </c>
      <c r="H1429" t="s">
        <v>8157</v>
      </c>
      <c r="I1429" t="s">
        <v>8158</v>
      </c>
      <c r="J1429" t="s">
        <v>6756</v>
      </c>
      <c r="K1429" t="s">
        <v>1853</v>
      </c>
      <c r="L1429" t="s">
        <v>128</v>
      </c>
      <c r="M1429" t="s">
        <v>1854</v>
      </c>
      <c r="N1429" t="s">
        <v>8159</v>
      </c>
      <c r="O1429" t="s">
        <v>296</v>
      </c>
      <c r="P1429">
        <v>0</v>
      </c>
      <c r="Q1429" t="s">
        <v>125</v>
      </c>
      <c r="R1429">
        <v>3</v>
      </c>
      <c r="S1429">
        <v>84</v>
      </c>
      <c r="T1429" t="s">
        <v>132</v>
      </c>
      <c r="U1429" t="s">
        <v>133</v>
      </c>
      <c r="V1429" s="1">
        <v>1700</v>
      </c>
      <c r="W1429">
        <v>0</v>
      </c>
      <c r="X1429" s="1">
        <v>1700</v>
      </c>
      <c r="Y1429">
        <v>7</v>
      </c>
      <c r="Z1429">
        <v>0</v>
      </c>
      <c r="AA1429">
        <v>0</v>
      </c>
      <c r="AB1429">
        <v>0</v>
      </c>
      <c r="AC1429">
        <v>0</v>
      </c>
      <c r="AD1429" t="s">
        <v>134</v>
      </c>
      <c r="AE1429" t="s">
        <v>134</v>
      </c>
      <c r="AF1429" s="2">
        <v>45876</v>
      </c>
      <c r="AG1429" s="2">
        <v>45988</v>
      </c>
      <c r="AH1429">
        <v>360.76</v>
      </c>
      <c r="AI1429">
        <v>662.26</v>
      </c>
      <c r="AJ1429" s="1">
        <v>1082.3</v>
      </c>
      <c r="AK1429">
        <v>0</v>
      </c>
      <c r="AL1429">
        <v>0</v>
      </c>
      <c r="AM1429">
        <v>0</v>
      </c>
      <c r="AN1429" t="s">
        <v>135</v>
      </c>
      <c r="AO1429" t="s">
        <v>135</v>
      </c>
      <c r="AP1429" t="s">
        <v>136</v>
      </c>
      <c r="AQ1429" t="s">
        <v>137</v>
      </c>
      <c r="AR1429" t="s">
        <v>138</v>
      </c>
      <c r="AS1429" t="s">
        <v>150</v>
      </c>
      <c r="AT1429" t="s">
        <v>140</v>
      </c>
      <c r="AU1429">
        <v>103</v>
      </c>
      <c r="AV1429">
        <v>10</v>
      </c>
      <c r="AW1429">
        <v>1</v>
      </c>
      <c r="AX1429" s="2">
        <v>45889</v>
      </c>
      <c r="AY1429" t="s">
        <v>168</v>
      </c>
      <c r="AZ1429" s="2">
        <v>46022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 t="s">
        <v>135</v>
      </c>
      <c r="BH1429" t="s">
        <v>250</v>
      </c>
      <c r="BI1429" t="s">
        <v>135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 s="1">
        <v>1082.3</v>
      </c>
      <c r="BQ1429" s="1">
        <v>1082.3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 s="1">
        <v>1113.05</v>
      </c>
      <c r="CC1429" t="s">
        <v>161</v>
      </c>
    </row>
    <row r="1430" spans="1:81" x14ac:dyDescent="0.25">
      <c r="A1430">
        <v>345</v>
      </c>
      <c r="B1430">
        <v>2</v>
      </c>
      <c r="C1430">
        <v>3734</v>
      </c>
      <c r="D1430" t="s">
        <v>8160</v>
      </c>
      <c r="E1430" t="s">
        <v>121</v>
      </c>
      <c r="F1430" t="s">
        <v>8161</v>
      </c>
      <c r="G1430" t="s">
        <v>8162</v>
      </c>
      <c r="H1430" t="s">
        <v>4126</v>
      </c>
      <c r="I1430" t="s">
        <v>8163</v>
      </c>
      <c r="J1430" t="s">
        <v>1263</v>
      </c>
      <c r="K1430" t="s">
        <v>466</v>
      </c>
      <c r="L1430" t="s">
        <v>128</v>
      </c>
      <c r="M1430" t="s">
        <v>467</v>
      </c>
      <c r="N1430" t="s">
        <v>8164</v>
      </c>
      <c r="O1430" t="s">
        <v>159</v>
      </c>
      <c r="P1430">
        <v>0</v>
      </c>
      <c r="Q1430" t="s">
        <v>125</v>
      </c>
      <c r="R1430">
        <v>3</v>
      </c>
      <c r="S1430">
        <v>83</v>
      </c>
      <c r="T1430" t="s">
        <v>132</v>
      </c>
      <c r="U1430" t="s">
        <v>133</v>
      </c>
      <c r="V1430" s="1">
        <v>1500</v>
      </c>
      <c r="W1430">
        <v>0</v>
      </c>
      <c r="X1430" s="1">
        <v>1500</v>
      </c>
      <c r="Y1430">
        <v>7</v>
      </c>
      <c r="Z1430">
        <v>0</v>
      </c>
      <c r="AA1430">
        <v>0</v>
      </c>
      <c r="AB1430">
        <v>0</v>
      </c>
      <c r="AC1430">
        <v>0</v>
      </c>
      <c r="AD1430" t="s">
        <v>134</v>
      </c>
      <c r="AE1430" t="s">
        <v>134</v>
      </c>
      <c r="AF1430" s="2">
        <v>45876</v>
      </c>
      <c r="AG1430" s="2">
        <v>45985</v>
      </c>
      <c r="AH1430">
        <v>58.65</v>
      </c>
      <c r="AI1430">
        <v>84.3</v>
      </c>
      <c r="AJ1430">
        <v>117.3</v>
      </c>
      <c r="AK1430">
        <v>0</v>
      </c>
      <c r="AL1430">
        <v>0</v>
      </c>
      <c r="AM1430">
        <v>0</v>
      </c>
      <c r="AN1430" t="s">
        <v>135</v>
      </c>
      <c r="AO1430" t="s">
        <v>135</v>
      </c>
      <c r="AP1430" t="s">
        <v>136</v>
      </c>
      <c r="AQ1430" t="s">
        <v>137</v>
      </c>
      <c r="AR1430" t="s">
        <v>138</v>
      </c>
      <c r="AS1430" t="s">
        <v>139</v>
      </c>
      <c r="AT1430" t="s">
        <v>140</v>
      </c>
      <c r="AU1430">
        <v>106</v>
      </c>
      <c r="AV1430">
        <v>10</v>
      </c>
      <c r="AW1430">
        <v>1</v>
      </c>
      <c r="AX1430" s="2">
        <v>45878</v>
      </c>
      <c r="AY1430" t="s">
        <v>160</v>
      </c>
      <c r="AZ1430" s="2">
        <v>46025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 t="s">
        <v>135</v>
      </c>
      <c r="BH1430" t="s">
        <v>250</v>
      </c>
      <c r="BI1430" t="s">
        <v>135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33</v>
      </c>
      <c r="BQ1430">
        <v>33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63.88</v>
      </c>
      <c r="CC1430" t="s">
        <v>161</v>
      </c>
    </row>
    <row r="1431" spans="1:81" x14ac:dyDescent="0.25">
      <c r="A1431">
        <v>345</v>
      </c>
      <c r="B1431">
        <v>2</v>
      </c>
      <c r="C1431">
        <v>3735</v>
      </c>
      <c r="D1431" t="s">
        <v>8165</v>
      </c>
      <c r="E1431" t="s">
        <v>121</v>
      </c>
      <c r="F1431" t="s">
        <v>8166</v>
      </c>
      <c r="G1431" t="s">
        <v>8167</v>
      </c>
      <c r="H1431" t="s">
        <v>3705</v>
      </c>
      <c r="I1431" t="s">
        <v>8168</v>
      </c>
      <c r="J1431" t="s">
        <v>3074</v>
      </c>
      <c r="K1431" t="s">
        <v>1853</v>
      </c>
      <c r="L1431" t="s">
        <v>128</v>
      </c>
      <c r="M1431" t="s">
        <v>1854</v>
      </c>
      <c r="N1431" t="s">
        <v>6982</v>
      </c>
      <c r="O1431" t="s">
        <v>159</v>
      </c>
      <c r="P1431">
        <v>0</v>
      </c>
      <c r="Q1431" t="s">
        <v>125</v>
      </c>
      <c r="R1431">
        <v>4</v>
      </c>
      <c r="S1431">
        <v>79</v>
      </c>
      <c r="T1431" t="s">
        <v>132</v>
      </c>
      <c r="U1431" t="s">
        <v>133</v>
      </c>
      <c r="V1431" s="1">
        <v>1500</v>
      </c>
      <c r="W1431">
        <v>0</v>
      </c>
      <c r="X1431" s="1">
        <v>1500</v>
      </c>
      <c r="Y1431">
        <v>7</v>
      </c>
      <c r="Z1431">
        <v>0</v>
      </c>
      <c r="AA1431">
        <v>7</v>
      </c>
      <c r="AB1431">
        <v>0</v>
      </c>
      <c r="AC1431">
        <v>0</v>
      </c>
      <c r="AD1431" t="s">
        <v>134</v>
      </c>
      <c r="AE1431" t="s">
        <v>134</v>
      </c>
      <c r="AF1431" s="2">
        <v>45877</v>
      </c>
      <c r="AG1431" s="2">
        <v>46015</v>
      </c>
      <c r="AH1431">
        <v>382.75</v>
      </c>
      <c r="AI1431">
        <v>534.96</v>
      </c>
      <c r="AJ1431" s="1">
        <v>1148.27</v>
      </c>
      <c r="AK1431">
        <v>0</v>
      </c>
      <c r="AL1431">
        <v>0</v>
      </c>
      <c r="AM1431">
        <v>0</v>
      </c>
      <c r="AN1431" t="s">
        <v>135</v>
      </c>
      <c r="AO1431" t="s">
        <v>135</v>
      </c>
      <c r="AP1431" t="s">
        <v>136</v>
      </c>
      <c r="AQ1431" t="s">
        <v>137</v>
      </c>
      <c r="AR1431" t="s">
        <v>138</v>
      </c>
      <c r="AS1431" t="s">
        <v>150</v>
      </c>
      <c r="AT1431" t="s">
        <v>140</v>
      </c>
      <c r="AU1431">
        <v>106</v>
      </c>
      <c r="AV1431">
        <v>10</v>
      </c>
      <c r="AW1431">
        <v>1</v>
      </c>
      <c r="AX1431" s="2">
        <v>45880</v>
      </c>
      <c r="AY1431" t="s">
        <v>141</v>
      </c>
      <c r="AZ1431" s="2">
        <v>46027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 t="s">
        <v>135</v>
      </c>
      <c r="BH1431" t="s">
        <v>250</v>
      </c>
      <c r="BI1431" t="s">
        <v>135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7</v>
      </c>
      <c r="BT1431">
        <v>7</v>
      </c>
      <c r="BU1431">
        <v>911.89</v>
      </c>
      <c r="BV1431">
        <v>0</v>
      </c>
      <c r="BW1431">
        <v>911.89</v>
      </c>
      <c r="BX1431">
        <v>0</v>
      </c>
      <c r="BY1431">
        <v>0</v>
      </c>
      <c r="BZ1431">
        <v>0</v>
      </c>
      <c r="CA1431">
        <v>0</v>
      </c>
      <c r="CB1431">
        <v>249.44</v>
      </c>
      <c r="CC1431" t="s">
        <v>161</v>
      </c>
    </row>
    <row r="1432" spans="1:81" x14ac:dyDescent="0.25">
      <c r="A1432">
        <v>345</v>
      </c>
      <c r="B1432">
        <v>2</v>
      </c>
      <c r="C1432">
        <v>3736</v>
      </c>
      <c r="D1432" t="s">
        <v>8169</v>
      </c>
      <c r="E1432" t="s">
        <v>121</v>
      </c>
      <c r="F1432" t="s">
        <v>8170</v>
      </c>
      <c r="G1432" t="s">
        <v>8171</v>
      </c>
      <c r="H1432" t="s">
        <v>8172</v>
      </c>
      <c r="I1432" t="s">
        <v>8173</v>
      </c>
      <c r="J1432" t="s">
        <v>1263</v>
      </c>
      <c r="K1432" t="s">
        <v>466</v>
      </c>
      <c r="L1432" t="s">
        <v>128</v>
      </c>
      <c r="M1432" t="s">
        <v>467</v>
      </c>
      <c r="N1432" t="s">
        <v>8174</v>
      </c>
      <c r="O1432" t="s">
        <v>195</v>
      </c>
      <c r="P1432">
        <v>0</v>
      </c>
      <c r="Q1432" t="s">
        <v>125</v>
      </c>
      <c r="R1432">
        <v>3</v>
      </c>
      <c r="S1432">
        <v>84</v>
      </c>
      <c r="T1432" t="s">
        <v>132</v>
      </c>
      <c r="U1432" t="s">
        <v>133</v>
      </c>
      <c r="V1432" s="1">
        <v>1000</v>
      </c>
      <c r="W1432">
        <v>0</v>
      </c>
      <c r="X1432" s="1">
        <v>1000</v>
      </c>
      <c r="Y1432">
        <v>7</v>
      </c>
      <c r="Z1432">
        <v>0</v>
      </c>
      <c r="AA1432">
        <v>9</v>
      </c>
      <c r="AB1432">
        <v>0</v>
      </c>
      <c r="AC1432">
        <v>0</v>
      </c>
      <c r="AD1432" t="s">
        <v>134</v>
      </c>
      <c r="AE1432" t="s">
        <v>134</v>
      </c>
      <c r="AF1432" s="2">
        <v>45877</v>
      </c>
      <c r="AG1432" s="2">
        <v>46011</v>
      </c>
      <c r="AH1432">
        <v>54.37</v>
      </c>
      <c r="AI1432">
        <v>96.36</v>
      </c>
      <c r="AJ1432">
        <v>271.85000000000002</v>
      </c>
      <c r="AK1432">
        <v>0</v>
      </c>
      <c r="AL1432">
        <v>0</v>
      </c>
      <c r="AM1432">
        <v>0</v>
      </c>
      <c r="AN1432" t="s">
        <v>135</v>
      </c>
      <c r="AO1432" t="s">
        <v>135</v>
      </c>
      <c r="AP1432" t="s">
        <v>136</v>
      </c>
      <c r="AQ1432" t="s">
        <v>137</v>
      </c>
      <c r="AR1432" t="s">
        <v>138</v>
      </c>
      <c r="AS1432" t="s">
        <v>139</v>
      </c>
      <c r="AT1432" t="s">
        <v>140</v>
      </c>
      <c r="AU1432">
        <v>106</v>
      </c>
      <c r="AV1432">
        <v>10</v>
      </c>
      <c r="AW1432">
        <v>1</v>
      </c>
      <c r="AX1432" s="2">
        <v>45884</v>
      </c>
      <c r="AY1432" t="s">
        <v>151</v>
      </c>
      <c r="AZ1432" s="2">
        <v>46024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 t="s">
        <v>135</v>
      </c>
      <c r="BH1432" t="s">
        <v>250</v>
      </c>
      <c r="BI1432" t="s">
        <v>135</v>
      </c>
      <c r="BJ1432">
        <v>0</v>
      </c>
      <c r="BK1432">
        <v>0</v>
      </c>
      <c r="BL1432">
        <v>0</v>
      </c>
      <c r="BM1432">
        <v>7</v>
      </c>
      <c r="BN1432">
        <v>7</v>
      </c>
      <c r="BO1432">
        <v>60.21</v>
      </c>
      <c r="BP1432">
        <v>0</v>
      </c>
      <c r="BQ1432">
        <v>60.21</v>
      </c>
      <c r="BR1432">
        <v>60.21</v>
      </c>
      <c r="BS1432">
        <v>9</v>
      </c>
      <c r="BT1432">
        <v>9</v>
      </c>
      <c r="BU1432">
        <v>148.47999999999999</v>
      </c>
      <c r="BV1432">
        <v>0</v>
      </c>
      <c r="BW1432">
        <v>148.47999999999999</v>
      </c>
      <c r="BX1432">
        <v>0</v>
      </c>
      <c r="BY1432">
        <v>0</v>
      </c>
      <c r="BZ1432">
        <v>0</v>
      </c>
      <c r="CA1432">
        <v>0</v>
      </c>
      <c r="CB1432">
        <v>63.69</v>
      </c>
      <c r="CC1432" t="s">
        <v>161</v>
      </c>
    </row>
    <row r="1433" spans="1:81" x14ac:dyDescent="0.25">
      <c r="A1433">
        <v>345</v>
      </c>
      <c r="B1433">
        <v>2</v>
      </c>
      <c r="C1433">
        <v>3738</v>
      </c>
      <c r="D1433" t="s">
        <v>8175</v>
      </c>
      <c r="E1433" t="s">
        <v>121</v>
      </c>
      <c r="F1433" t="s">
        <v>8176</v>
      </c>
      <c r="G1433" t="s">
        <v>8177</v>
      </c>
      <c r="H1433" t="s">
        <v>8178</v>
      </c>
      <c r="I1433" t="s">
        <v>8179</v>
      </c>
      <c r="J1433" t="s">
        <v>992</v>
      </c>
      <c r="K1433" t="s">
        <v>466</v>
      </c>
      <c r="L1433" t="s">
        <v>128</v>
      </c>
      <c r="M1433" t="s">
        <v>467</v>
      </c>
      <c r="N1433" t="s">
        <v>782</v>
      </c>
      <c r="O1433" t="s">
        <v>159</v>
      </c>
      <c r="P1433">
        <v>0</v>
      </c>
      <c r="Q1433" t="s">
        <v>125</v>
      </c>
      <c r="R1433">
        <v>4</v>
      </c>
      <c r="S1433">
        <v>79</v>
      </c>
      <c r="T1433" t="s">
        <v>132</v>
      </c>
      <c r="U1433" t="s">
        <v>133</v>
      </c>
      <c r="V1433" s="1">
        <v>1500</v>
      </c>
      <c r="W1433">
        <v>0</v>
      </c>
      <c r="X1433" s="1">
        <v>1500</v>
      </c>
      <c r="Y1433">
        <v>7</v>
      </c>
      <c r="Z1433">
        <v>0</v>
      </c>
      <c r="AA1433">
        <v>0</v>
      </c>
      <c r="AB1433">
        <v>0</v>
      </c>
      <c r="AC1433">
        <v>0</v>
      </c>
      <c r="AD1433" t="s">
        <v>134</v>
      </c>
      <c r="AE1433" t="s">
        <v>134</v>
      </c>
      <c r="AF1433" s="2">
        <v>45877</v>
      </c>
      <c r="AG1433" s="2">
        <v>46010</v>
      </c>
      <c r="AH1433">
        <v>276.85000000000002</v>
      </c>
      <c r="AI1433">
        <v>449.27</v>
      </c>
      <c r="AJ1433" s="1">
        <v>1384.25</v>
      </c>
      <c r="AK1433">
        <v>0</v>
      </c>
      <c r="AL1433">
        <v>0</v>
      </c>
      <c r="AM1433">
        <v>0</v>
      </c>
      <c r="AN1433" t="s">
        <v>135</v>
      </c>
      <c r="AO1433" t="s">
        <v>135</v>
      </c>
      <c r="AP1433" t="s">
        <v>136</v>
      </c>
      <c r="AQ1433" t="s">
        <v>137</v>
      </c>
      <c r="AR1433" t="s">
        <v>138</v>
      </c>
      <c r="AS1433" t="s">
        <v>150</v>
      </c>
      <c r="AT1433" t="s">
        <v>140</v>
      </c>
      <c r="AU1433">
        <v>100</v>
      </c>
      <c r="AV1433">
        <v>10</v>
      </c>
      <c r="AW1433">
        <v>1</v>
      </c>
      <c r="AX1433" s="2">
        <v>45883</v>
      </c>
      <c r="AY1433" t="s">
        <v>308</v>
      </c>
      <c r="AZ1433" s="2">
        <v>46023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 t="s">
        <v>135</v>
      </c>
      <c r="BH1433" t="s">
        <v>250</v>
      </c>
      <c r="BI1433" t="s">
        <v>135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223.34</v>
      </c>
      <c r="BQ1433">
        <v>223.34</v>
      </c>
      <c r="BR1433">
        <v>0</v>
      </c>
      <c r="BS1433">
        <v>0</v>
      </c>
      <c r="BT1433">
        <v>0</v>
      </c>
      <c r="BU1433">
        <v>0</v>
      </c>
      <c r="BV1433">
        <v>729.01</v>
      </c>
      <c r="BW1433">
        <v>729.01</v>
      </c>
      <c r="BX1433">
        <v>0</v>
      </c>
      <c r="BY1433">
        <v>0</v>
      </c>
      <c r="BZ1433">
        <v>0</v>
      </c>
      <c r="CA1433">
        <v>0</v>
      </c>
      <c r="CB1433">
        <v>295.25</v>
      </c>
      <c r="CC1433" t="s">
        <v>161</v>
      </c>
    </row>
    <row r="1434" spans="1:81" x14ac:dyDescent="0.25">
      <c r="A1434">
        <v>345</v>
      </c>
      <c r="B1434">
        <v>2</v>
      </c>
      <c r="C1434">
        <v>3739</v>
      </c>
      <c r="D1434" t="s">
        <v>8180</v>
      </c>
      <c r="E1434" t="s">
        <v>121</v>
      </c>
      <c r="F1434" t="s">
        <v>8181</v>
      </c>
      <c r="G1434" t="s">
        <v>8182</v>
      </c>
      <c r="H1434" t="s">
        <v>8183</v>
      </c>
      <c r="I1434" t="s">
        <v>8184</v>
      </c>
      <c r="J1434" t="s">
        <v>3311</v>
      </c>
      <c r="K1434" t="s">
        <v>466</v>
      </c>
      <c r="L1434" t="s">
        <v>128</v>
      </c>
      <c r="M1434" t="s">
        <v>467</v>
      </c>
      <c r="N1434" t="s">
        <v>8185</v>
      </c>
      <c r="O1434" t="s">
        <v>167</v>
      </c>
      <c r="P1434">
        <v>0</v>
      </c>
      <c r="Q1434" t="s">
        <v>125</v>
      </c>
      <c r="R1434">
        <v>3</v>
      </c>
      <c r="S1434">
        <v>83</v>
      </c>
      <c r="T1434" t="s">
        <v>132</v>
      </c>
      <c r="U1434" t="s">
        <v>133</v>
      </c>
      <c r="V1434" s="1">
        <v>1600</v>
      </c>
      <c r="W1434">
        <v>0</v>
      </c>
      <c r="X1434" s="1">
        <v>1600</v>
      </c>
      <c r="Y1434">
        <v>7</v>
      </c>
      <c r="Z1434">
        <v>0</v>
      </c>
      <c r="AA1434">
        <v>0</v>
      </c>
      <c r="AB1434">
        <v>0</v>
      </c>
      <c r="AC1434">
        <v>0</v>
      </c>
      <c r="AD1434" t="s">
        <v>134</v>
      </c>
      <c r="AE1434" t="s">
        <v>134</v>
      </c>
      <c r="AF1434" s="2">
        <v>45880</v>
      </c>
      <c r="AG1434" s="2">
        <v>46009</v>
      </c>
      <c r="AH1434">
        <v>11.33</v>
      </c>
      <c r="AI1434">
        <v>19.2</v>
      </c>
      <c r="AJ1434">
        <v>34.01</v>
      </c>
      <c r="AK1434">
        <v>0</v>
      </c>
      <c r="AL1434">
        <v>0</v>
      </c>
      <c r="AM1434">
        <v>0</v>
      </c>
      <c r="AN1434" t="s">
        <v>135</v>
      </c>
      <c r="AO1434" t="s">
        <v>135</v>
      </c>
      <c r="AP1434" t="s">
        <v>136</v>
      </c>
      <c r="AQ1434" t="s">
        <v>137</v>
      </c>
      <c r="AR1434" t="s">
        <v>138</v>
      </c>
      <c r="AS1434" t="s">
        <v>139</v>
      </c>
      <c r="AT1434" t="s">
        <v>140</v>
      </c>
      <c r="AU1434">
        <v>100</v>
      </c>
      <c r="AV1434">
        <v>10</v>
      </c>
      <c r="AW1434">
        <v>1</v>
      </c>
      <c r="AX1434" s="2">
        <v>45882</v>
      </c>
      <c r="AY1434" t="s">
        <v>168</v>
      </c>
      <c r="AZ1434" s="2">
        <v>46022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 t="s">
        <v>135</v>
      </c>
      <c r="BH1434" t="s">
        <v>250</v>
      </c>
      <c r="BI1434" t="s">
        <v>135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23.61</v>
      </c>
      <c r="BQ1434">
        <v>23.61</v>
      </c>
      <c r="BR1434">
        <v>0</v>
      </c>
      <c r="BS1434">
        <v>0</v>
      </c>
      <c r="BT1434">
        <v>0</v>
      </c>
      <c r="BU1434">
        <v>0</v>
      </c>
      <c r="BV1434">
        <v>10.4</v>
      </c>
      <c r="BW1434">
        <v>10.4</v>
      </c>
      <c r="BX1434">
        <v>0</v>
      </c>
      <c r="BY1434">
        <v>0</v>
      </c>
      <c r="BZ1434">
        <v>0</v>
      </c>
      <c r="CA1434">
        <v>0</v>
      </c>
      <c r="CB1434">
        <v>21.66</v>
      </c>
      <c r="CC1434" t="s">
        <v>161</v>
      </c>
    </row>
    <row r="1435" spans="1:81" x14ac:dyDescent="0.25">
      <c r="A1435">
        <v>345</v>
      </c>
      <c r="B1435">
        <v>2</v>
      </c>
      <c r="C1435">
        <v>3740</v>
      </c>
      <c r="D1435" t="s">
        <v>8186</v>
      </c>
      <c r="E1435" t="s">
        <v>121</v>
      </c>
      <c r="F1435" t="s">
        <v>8187</v>
      </c>
      <c r="G1435" t="s">
        <v>8188</v>
      </c>
      <c r="H1435" t="s">
        <v>8189</v>
      </c>
      <c r="I1435" t="s">
        <v>8190</v>
      </c>
      <c r="J1435" t="s">
        <v>1263</v>
      </c>
      <c r="K1435" t="s">
        <v>466</v>
      </c>
      <c r="L1435" t="s">
        <v>128</v>
      </c>
      <c r="M1435" t="s">
        <v>467</v>
      </c>
      <c r="N1435" t="s">
        <v>8191</v>
      </c>
      <c r="O1435" t="s">
        <v>159</v>
      </c>
      <c r="P1435">
        <v>0</v>
      </c>
      <c r="Q1435" t="s">
        <v>125</v>
      </c>
      <c r="R1435">
        <v>4</v>
      </c>
      <c r="S1435">
        <v>79</v>
      </c>
      <c r="T1435" t="s">
        <v>132</v>
      </c>
      <c r="U1435" t="s">
        <v>133</v>
      </c>
      <c r="V1435" s="1">
        <v>1500</v>
      </c>
      <c r="W1435">
        <v>0</v>
      </c>
      <c r="X1435" s="1">
        <v>1500</v>
      </c>
      <c r="Y1435">
        <v>7</v>
      </c>
      <c r="Z1435">
        <v>0</v>
      </c>
      <c r="AA1435">
        <v>0</v>
      </c>
      <c r="AB1435">
        <v>0</v>
      </c>
      <c r="AC1435">
        <v>0</v>
      </c>
      <c r="AD1435" t="s">
        <v>134</v>
      </c>
      <c r="AE1435" t="s">
        <v>134</v>
      </c>
      <c r="AF1435" s="2">
        <v>45880</v>
      </c>
      <c r="AG1435" s="2">
        <v>45936</v>
      </c>
      <c r="AH1435">
        <v>334.68</v>
      </c>
      <c r="AI1435">
        <v>334.68</v>
      </c>
      <c r="AJ1435">
        <v>334.68</v>
      </c>
      <c r="AK1435">
        <v>0</v>
      </c>
      <c r="AL1435">
        <v>0</v>
      </c>
      <c r="AM1435">
        <v>0</v>
      </c>
      <c r="AN1435" t="s">
        <v>135</v>
      </c>
      <c r="AO1435" t="s">
        <v>135</v>
      </c>
      <c r="AP1435" t="s">
        <v>136</v>
      </c>
      <c r="AQ1435" t="s">
        <v>137</v>
      </c>
      <c r="AR1435" t="s">
        <v>138</v>
      </c>
      <c r="AS1435" t="s">
        <v>150</v>
      </c>
      <c r="AT1435" t="s">
        <v>140</v>
      </c>
      <c r="AU1435">
        <v>106</v>
      </c>
      <c r="AV1435">
        <v>10</v>
      </c>
      <c r="AW1435">
        <v>1</v>
      </c>
      <c r="AX1435" s="2">
        <v>45885</v>
      </c>
      <c r="AY1435" t="s">
        <v>160</v>
      </c>
      <c r="AZ1435" s="2">
        <v>46025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 t="s">
        <v>135</v>
      </c>
      <c r="BH1435" t="s">
        <v>250</v>
      </c>
      <c r="BI1435" t="s">
        <v>135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111.56</v>
      </c>
      <c r="CC1435" t="s">
        <v>161</v>
      </c>
    </row>
    <row r="1436" spans="1:81" x14ac:dyDescent="0.25">
      <c r="A1436">
        <v>345</v>
      </c>
      <c r="B1436">
        <v>2</v>
      </c>
      <c r="C1436">
        <v>3741</v>
      </c>
      <c r="D1436" t="s">
        <v>8192</v>
      </c>
      <c r="E1436" t="s">
        <v>121</v>
      </c>
      <c r="F1436" t="s">
        <v>8193</v>
      </c>
      <c r="G1436" t="s">
        <v>8194</v>
      </c>
      <c r="H1436" t="s">
        <v>8195</v>
      </c>
      <c r="I1436" t="s">
        <v>8196</v>
      </c>
      <c r="J1436" t="s">
        <v>459</v>
      </c>
      <c r="K1436" t="s">
        <v>336</v>
      </c>
      <c r="L1436" t="s">
        <v>128</v>
      </c>
      <c r="M1436" t="s">
        <v>337</v>
      </c>
      <c r="N1436" t="s">
        <v>8197</v>
      </c>
      <c r="O1436" t="s">
        <v>195</v>
      </c>
      <c r="P1436">
        <v>0</v>
      </c>
      <c r="Q1436" t="s">
        <v>125</v>
      </c>
      <c r="R1436">
        <v>4</v>
      </c>
      <c r="S1436">
        <v>81</v>
      </c>
      <c r="T1436" t="s">
        <v>132</v>
      </c>
      <c r="U1436" t="s">
        <v>133</v>
      </c>
      <c r="V1436" s="1">
        <v>1000</v>
      </c>
      <c r="W1436">
        <v>0</v>
      </c>
      <c r="X1436" s="1">
        <v>1000</v>
      </c>
      <c r="Y1436">
        <v>7</v>
      </c>
      <c r="Z1436">
        <v>0</v>
      </c>
      <c r="AA1436">
        <v>0</v>
      </c>
      <c r="AB1436">
        <v>0</v>
      </c>
      <c r="AC1436">
        <v>0</v>
      </c>
      <c r="AD1436" t="s">
        <v>134</v>
      </c>
      <c r="AE1436" t="s">
        <v>134</v>
      </c>
      <c r="AF1436" s="2">
        <v>45880</v>
      </c>
      <c r="AG1436" s="2">
        <v>46015</v>
      </c>
      <c r="AH1436">
        <v>300.76</v>
      </c>
      <c r="AI1436">
        <v>475.8</v>
      </c>
      <c r="AJ1436" s="1">
        <v>2706.87</v>
      </c>
      <c r="AK1436">
        <v>0</v>
      </c>
      <c r="AL1436">
        <v>0</v>
      </c>
      <c r="AM1436">
        <v>0</v>
      </c>
      <c r="AN1436" t="s">
        <v>135</v>
      </c>
      <c r="AO1436" t="s">
        <v>135</v>
      </c>
      <c r="AP1436" t="s">
        <v>136</v>
      </c>
      <c r="AQ1436" t="s">
        <v>137</v>
      </c>
      <c r="AR1436" t="s">
        <v>138</v>
      </c>
      <c r="AS1436" t="s">
        <v>150</v>
      </c>
      <c r="AT1436" t="s">
        <v>140</v>
      </c>
      <c r="AU1436">
        <v>100</v>
      </c>
      <c r="AV1436">
        <v>10</v>
      </c>
      <c r="AW1436">
        <v>1</v>
      </c>
      <c r="AX1436" s="2">
        <v>45887</v>
      </c>
      <c r="AY1436" t="s">
        <v>141</v>
      </c>
      <c r="AZ1436" s="2">
        <v>46027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 t="s">
        <v>135</v>
      </c>
      <c r="BH1436" t="s">
        <v>250</v>
      </c>
      <c r="BI1436" t="s">
        <v>135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 s="1">
        <v>1172.1500000000001</v>
      </c>
      <c r="BQ1436" s="1">
        <v>1172.1500000000001</v>
      </c>
      <c r="BR1436">
        <v>0</v>
      </c>
      <c r="BS1436">
        <v>0</v>
      </c>
      <c r="BT1436">
        <v>0</v>
      </c>
      <c r="BU1436">
        <v>0</v>
      </c>
      <c r="BV1436">
        <v>574.79999999999995</v>
      </c>
      <c r="BW1436">
        <v>574.79999999999995</v>
      </c>
      <c r="BX1436">
        <v>0</v>
      </c>
      <c r="BY1436">
        <v>0</v>
      </c>
      <c r="BZ1436">
        <v>0</v>
      </c>
      <c r="CA1436">
        <v>0</v>
      </c>
      <c r="CB1436">
        <v>961.75</v>
      </c>
      <c r="CC1436" t="s">
        <v>161</v>
      </c>
    </row>
    <row r="1437" spans="1:81" x14ac:dyDescent="0.25">
      <c r="A1437">
        <v>345</v>
      </c>
      <c r="B1437">
        <v>2</v>
      </c>
      <c r="C1437">
        <v>3742</v>
      </c>
      <c r="D1437" t="s">
        <v>8198</v>
      </c>
      <c r="E1437" t="s">
        <v>121</v>
      </c>
      <c r="F1437" t="s">
        <v>8199</v>
      </c>
      <c r="G1437" t="s">
        <v>8200</v>
      </c>
      <c r="H1437" t="s">
        <v>8201</v>
      </c>
      <c r="I1437" t="s">
        <v>125</v>
      </c>
      <c r="J1437" t="s">
        <v>4569</v>
      </c>
      <c r="K1437" t="s">
        <v>336</v>
      </c>
      <c r="L1437" t="s">
        <v>128</v>
      </c>
      <c r="M1437" t="s">
        <v>337</v>
      </c>
      <c r="N1437" t="s">
        <v>8202</v>
      </c>
      <c r="O1437" t="s">
        <v>159</v>
      </c>
      <c r="P1437">
        <v>0</v>
      </c>
      <c r="Q1437" t="s">
        <v>125</v>
      </c>
      <c r="R1437">
        <v>4</v>
      </c>
      <c r="S1437">
        <v>81</v>
      </c>
      <c r="T1437" t="s">
        <v>132</v>
      </c>
      <c r="U1437" t="s">
        <v>133</v>
      </c>
      <c r="V1437" s="1">
        <v>1500</v>
      </c>
      <c r="W1437">
        <v>0</v>
      </c>
      <c r="X1437" s="1">
        <v>1500</v>
      </c>
      <c r="Y1437">
        <v>7</v>
      </c>
      <c r="Z1437">
        <v>0</v>
      </c>
      <c r="AA1437">
        <v>0</v>
      </c>
      <c r="AB1437">
        <v>0</v>
      </c>
      <c r="AC1437">
        <v>0</v>
      </c>
      <c r="AD1437" t="s">
        <v>134</v>
      </c>
      <c r="AE1437" t="s">
        <v>134</v>
      </c>
      <c r="AF1437" s="2">
        <v>45880</v>
      </c>
      <c r="AG1437" s="2">
        <v>46019</v>
      </c>
      <c r="AH1437">
        <v>450.47</v>
      </c>
      <c r="AI1437">
        <v>602.77</v>
      </c>
      <c r="AJ1437" s="1">
        <v>2252.38</v>
      </c>
      <c r="AK1437">
        <v>0</v>
      </c>
      <c r="AL1437">
        <v>0</v>
      </c>
      <c r="AM1437">
        <v>0</v>
      </c>
      <c r="AN1437" t="s">
        <v>135</v>
      </c>
      <c r="AO1437" t="s">
        <v>135</v>
      </c>
      <c r="AP1437" t="s">
        <v>136</v>
      </c>
      <c r="AQ1437" t="s">
        <v>137</v>
      </c>
      <c r="AR1437" t="s">
        <v>138</v>
      </c>
      <c r="AS1437" t="s">
        <v>139</v>
      </c>
      <c r="AT1437" t="s">
        <v>140</v>
      </c>
      <c r="AU1437">
        <v>102</v>
      </c>
      <c r="AV1437">
        <v>10</v>
      </c>
      <c r="AW1437">
        <v>1</v>
      </c>
      <c r="AX1437" s="2">
        <v>45884</v>
      </c>
      <c r="AY1437" t="s">
        <v>151</v>
      </c>
      <c r="AZ1437" s="2">
        <v>46024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 t="s">
        <v>135</v>
      </c>
      <c r="BH1437" t="s">
        <v>250</v>
      </c>
      <c r="BI1437" t="s">
        <v>135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626.95000000000005</v>
      </c>
      <c r="BQ1437">
        <v>626.95000000000005</v>
      </c>
      <c r="BR1437">
        <v>0</v>
      </c>
      <c r="BS1437">
        <v>0</v>
      </c>
      <c r="BT1437">
        <v>0</v>
      </c>
      <c r="BU1437">
        <v>0</v>
      </c>
      <c r="BV1437">
        <v>551.55999999999995</v>
      </c>
      <c r="BW1437">
        <v>551.55999999999995</v>
      </c>
      <c r="BX1437">
        <v>0</v>
      </c>
      <c r="BY1437">
        <v>0</v>
      </c>
      <c r="BZ1437">
        <v>0</v>
      </c>
      <c r="CA1437">
        <v>0</v>
      </c>
      <c r="CB1437">
        <v>794.57</v>
      </c>
      <c r="CC1437" t="s">
        <v>161</v>
      </c>
    </row>
    <row r="1438" spans="1:81" x14ac:dyDescent="0.25">
      <c r="A1438">
        <v>345</v>
      </c>
      <c r="B1438">
        <v>2</v>
      </c>
      <c r="C1438">
        <v>3743</v>
      </c>
      <c r="D1438" t="s">
        <v>8203</v>
      </c>
      <c r="E1438" t="s">
        <v>121</v>
      </c>
      <c r="F1438" t="s">
        <v>8204</v>
      </c>
      <c r="G1438" t="s">
        <v>8205</v>
      </c>
      <c r="H1438" t="s">
        <v>8206</v>
      </c>
      <c r="I1438" t="s">
        <v>8207</v>
      </c>
      <c r="J1438" t="s">
        <v>126</v>
      </c>
      <c r="K1438" t="s">
        <v>466</v>
      </c>
      <c r="L1438" t="s">
        <v>128</v>
      </c>
      <c r="M1438" t="s">
        <v>467</v>
      </c>
      <c r="N1438" t="s">
        <v>8208</v>
      </c>
      <c r="O1438" t="s">
        <v>8209</v>
      </c>
      <c r="P1438">
        <v>0</v>
      </c>
      <c r="Q1438" t="s">
        <v>125</v>
      </c>
      <c r="R1438">
        <v>3</v>
      </c>
      <c r="S1438">
        <v>83</v>
      </c>
      <c r="T1438" t="s">
        <v>132</v>
      </c>
      <c r="U1438" t="s">
        <v>133</v>
      </c>
      <c r="V1438" s="1">
        <v>1000</v>
      </c>
      <c r="W1438">
        <v>0</v>
      </c>
      <c r="X1438" s="1">
        <v>1000</v>
      </c>
      <c r="Y1438">
        <v>7</v>
      </c>
      <c r="Z1438">
        <v>0</v>
      </c>
      <c r="AA1438">
        <v>0</v>
      </c>
      <c r="AB1438">
        <v>0</v>
      </c>
      <c r="AC1438">
        <v>0</v>
      </c>
      <c r="AD1438" t="s">
        <v>134</v>
      </c>
      <c r="AE1438" t="s">
        <v>134</v>
      </c>
      <c r="AF1438" s="2">
        <v>45880</v>
      </c>
      <c r="AG1438" s="2">
        <v>46003</v>
      </c>
      <c r="AH1438">
        <v>183.58</v>
      </c>
      <c r="AI1438">
        <v>351.8</v>
      </c>
      <c r="AJ1438">
        <v>917.9</v>
      </c>
      <c r="AK1438">
        <v>0</v>
      </c>
      <c r="AL1438">
        <v>0</v>
      </c>
      <c r="AM1438">
        <v>0</v>
      </c>
      <c r="AN1438" t="s">
        <v>135</v>
      </c>
      <c r="AO1438" t="s">
        <v>135</v>
      </c>
      <c r="AP1438" t="s">
        <v>136</v>
      </c>
      <c r="AQ1438" t="s">
        <v>137</v>
      </c>
      <c r="AR1438" t="s">
        <v>138</v>
      </c>
      <c r="AS1438" t="s">
        <v>139</v>
      </c>
      <c r="AT1438" t="s">
        <v>140</v>
      </c>
      <c r="AU1438">
        <v>105</v>
      </c>
      <c r="AV1438">
        <v>10</v>
      </c>
      <c r="AW1438">
        <v>1</v>
      </c>
      <c r="AX1438" s="2">
        <v>45883</v>
      </c>
      <c r="AY1438" t="s">
        <v>308</v>
      </c>
      <c r="AZ1438" s="2">
        <v>46023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 t="s">
        <v>135</v>
      </c>
      <c r="BH1438" t="s">
        <v>250</v>
      </c>
      <c r="BI1438" t="s">
        <v>135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229.2</v>
      </c>
      <c r="BQ1438">
        <v>229.2</v>
      </c>
      <c r="BR1438">
        <v>0</v>
      </c>
      <c r="BS1438">
        <v>0</v>
      </c>
      <c r="BT1438">
        <v>0</v>
      </c>
      <c r="BU1438">
        <v>0</v>
      </c>
      <c r="BV1438">
        <v>466.4</v>
      </c>
      <c r="BW1438">
        <v>466.4</v>
      </c>
      <c r="BX1438">
        <v>0</v>
      </c>
      <c r="BY1438">
        <v>0</v>
      </c>
      <c r="BZ1438">
        <v>0</v>
      </c>
      <c r="CA1438">
        <v>0</v>
      </c>
      <c r="CB1438">
        <v>200.56</v>
      </c>
      <c r="CC1438" t="s">
        <v>161</v>
      </c>
    </row>
    <row r="1439" spans="1:81" x14ac:dyDescent="0.25">
      <c r="A1439">
        <v>345</v>
      </c>
      <c r="B1439">
        <v>2</v>
      </c>
      <c r="C1439">
        <v>3744</v>
      </c>
      <c r="D1439" t="s">
        <v>8210</v>
      </c>
      <c r="E1439" t="s">
        <v>121</v>
      </c>
      <c r="F1439" t="s">
        <v>8211</v>
      </c>
      <c r="G1439" t="s">
        <v>8212</v>
      </c>
      <c r="H1439" t="s">
        <v>8213</v>
      </c>
      <c r="I1439" t="s">
        <v>8214</v>
      </c>
      <c r="J1439" t="s">
        <v>4569</v>
      </c>
      <c r="K1439" t="s">
        <v>473</v>
      </c>
      <c r="L1439" t="s">
        <v>128</v>
      </c>
      <c r="M1439" t="s">
        <v>474</v>
      </c>
      <c r="N1439" t="s">
        <v>8215</v>
      </c>
      <c r="O1439" t="s">
        <v>167</v>
      </c>
      <c r="P1439">
        <v>0</v>
      </c>
      <c r="Q1439" t="s">
        <v>125</v>
      </c>
      <c r="R1439">
        <v>3</v>
      </c>
      <c r="S1439">
        <v>82</v>
      </c>
      <c r="T1439" t="s">
        <v>132</v>
      </c>
      <c r="U1439" t="s">
        <v>133</v>
      </c>
      <c r="V1439" s="1">
        <v>1600</v>
      </c>
      <c r="W1439">
        <v>0</v>
      </c>
      <c r="X1439" s="1">
        <v>1600</v>
      </c>
      <c r="Y1439">
        <v>7</v>
      </c>
      <c r="Z1439">
        <v>0</v>
      </c>
      <c r="AA1439">
        <v>0</v>
      </c>
      <c r="AB1439">
        <v>0</v>
      </c>
      <c r="AC1439">
        <v>0</v>
      </c>
      <c r="AD1439" t="s">
        <v>134</v>
      </c>
      <c r="AE1439" t="s">
        <v>134</v>
      </c>
      <c r="AF1439" s="2">
        <v>45880</v>
      </c>
      <c r="AG1439" s="2">
        <v>45992</v>
      </c>
      <c r="AH1439">
        <v>436.91</v>
      </c>
      <c r="AI1439">
        <v>585.1</v>
      </c>
      <c r="AJ1439" s="1">
        <v>2184.58</v>
      </c>
      <c r="AK1439">
        <v>0</v>
      </c>
      <c r="AL1439">
        <v>0</v>
      </c>
      <c r="AM1439">
        <v>0</v>
      </c>
      <c r="AN1439" t="s">
        <v>135</v>
      </c>
      <c r="AO1439" t="s">
        <v>135</v>
      </c>
      <c r="AP1439" t="s">
        <v>136</v>
      </c>
      <c r="AQ1439" t="s">
        <v>137</v>
      </c>
      <c r="AR1439" t="s">
        <v>138</v>
      </c>
      <c r="AS1439" t="s">
        <v>139</v>
      </c>
      <c r="AT1439" t="s">
        <v>140</v>
      </c>
      <c r="AU1439">
        <v>105</v>
      </c>
      <c r="AV1439">
        <v>10</v>
      </c>
      <c r="AW1439">
        <v>1</v>
      </c>
      <c r="AX1439" s="2">
        <v>45885</v>
      </c>
      <c r="AY1439" t="s">
        <v>160</v>
      </c>
      <c r="AZ1439" s="2">
        <v>46025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 t="s">
        <v>135</v>
      </c>
      <c r="BH1439" t="s">
        <v>250</v>
      </c>
      <c r="BI1439" t="s">
        <v>135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409.1</v>
      </c>
      <c r="BW1439">
        <v>409.1</v>
      </c>
      <c r="BX1439">
        <v>0</v>
      </c>
      <c r="BY1439">
        <v>0</v>
      </c>
      <c r="BZ1439">
        <v>0</v>
      </c>
      <c r="CA1439">
        <v>0</v>
      </c>
      <c r="CB1439" s="1">
        <v>1451.32</v>
      </c>
      <c r="CC1439" t="s">
        <v>161</v>
      </c>
    </row>
    <row r="1440" spans="1:81" x14ac:dyDescent="0.25">
      <c r="A1440">
        <v>345</v>
      </c>
      <c r="B1440">
        <v>2</v>
      </c>
      <c r="C1440">
        <v>3745</v>
      </c>
      <c r="D1440" t="s">
        <v>8216</v>
      </c>
      <c r="E1440" t="s">
        <v>121</v>
      </c>
      <c r="F1440" t="s">
        <v>8217</v>
      </c>
      <c r="G1440" t="s">
        <v>8218</v>
      </c>
      <c r="H1440" t="s">
        <v>8219</v>
      </c>
      <c r="I1440" t="s">
        <v>8220</v>
      </c>
      <c r="J1440" t="s">
        <v>3074</v>
      </c>
      <c r="K1440" t="s">
        <v>1853</v>
      </c>
      <c r="L1440" t="s">
        <v>128</v>
      </c>
      <c r="M1440" t="s">
        <v>1854</v>
      </c>
      <c r="N1440" t="s">
        <v>8221</v>
      </c>
      <c r="O1440" t="s">
        <v>296</v>
      </c>
      <c r="P1440">
        <v>0</v>
      </c>
      <c r="Q1440" t="s">
        <v>125</v>
      </c>
      <c r="R1440">
        <v>3</v>
      </c>
      <c r="S1440">
        <v>85</v>
      </c>
      <c r="T1440" t="s">
        <v>132</v>
      </c>
      <c r="U1440" t="s">
        <v>133</v>
      </c>
      <c r="V1440" s="1">
        <v>1700</v>
      </c>
      <c r="W1440">
        <v>0</v>
      </c>
      <c r="X1440" s="1">
        <v>1700</v>
      </c>
      <c r="Y1440">
        <v>7</v>
      </c>
      <c r="Z1440">
        <v>0</v>
      </c>
      <c r="AA1440">
        <v>0</v>
      </c>
      <c r="AB1440">
        <v>0</v>
      </c>
      <c r="AC1440">
        <v>0</v>
      </c>
      <c r="AD1440" t="s">
        <v>134</v>
      </c>
      <c r="AE1440" t="s">
        <v>134</v>
      </c>
      <c r="AF1440" s="2">
        <v>45880</v>
      </c>
      <c r="AG1440" s="2">
        <v>46003</v>
      </c>
      <c r="AH1440">
        <v>704.59</v>
      </c>
      <c r="AI1440" s="1">
        <v>1119.26</v>
      </c>
      <c r="AJ1440" s="1">
        <v>1409.18</v>
      </c>
      <c r="AK1440">
        <v>0</v>
      </c>
      <c r="AL1440">
        <v>0</v>
      </c>
      <c r="AM1440">
        <v>0</v>
      </c>
      <c r="AN1440" t="s">
        <v>135</v>
      </c>
      <c r="AO1440" t="s">
        <v>135</v>
      </c>
      <c r="AP1440" t="s">
        <v>136</v>
      </c>
      <c r="AQ1440" t="s">
        <v>137</v>
      </c>
      <c r="AR1440" t="s">
        <v>138</v>
      </c>
      <c r="AS1440" t="s">
        <v>139</v>
      </c>
      <c r="AT1440" t="s">
        <v>140</v>
      </c>
      <c r="AU1440">
        <v>106</v>
      </c>
      <c r="AV1440">
        <v>10</v>
      </c>
      <c r="AW1440">
        <v>1</v>
      </c>
      <c r="AX1440" s="2">
        <v>45883</v>
      </c>
      <c r="AY1440" t="s">
        <v>308</v>
      </c>
      <c r="AZ1440" s="2">
        <v>46023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 t="s">
        <v>135</v>
      </c>
      <c r="BH1440" t="s">
        <v>250</v>
      </c>
      <c r="BI1440" t="s">
        <v>135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289.92</v>
      </c>
      <c r="BQ1440">
        <v>289.92</v>
      </c>
      <c r="BR1440">
        <v>0</v>
      </c>
      <c r="BS1440">
        <v>0</v>
      </c>
      <c r="BT1440">
        <v>0</v>
      </c>
      <c r="BU1440">
        <v>0</v>
      </c>
      <c r="BV1440" s="1">
        <v>1119.26</v>
      </c>
      <c r="BW1440" s="1">
        <v>1119.26</v>
      </c>
      <c r="BX1440">
        <v>0</v>
      </c>
      <c r="BY1440">
        <v>0</v>
      </c>
      <c r="BZ1440">
        <v>0</v>
      </c>
      <c r="CA1440">
        <v>0</v>
      </c>
      <c r="CB1440">
        <v>189.2</v>
      </c>
      <c r="CC1440" t="s">
        <v>161</v>
      </c>
    </row>
    <row r="1441" spans="1:81" x14ac:dyDescent="0.25">
      <c r="A1441">
        <v>345</v>
      </c>
      <c r="B1441">
        <v>2</v>
      </c>
      <c r="C1441">
        <v>3747</v>
      </c>
      <c r="D1441" t="s">
        <v>8222</v>
      </c>
      <c r="E1441" t="s">
        <v>121</v>
      </c>
      <c r="F1441" t="s">
        <v>8223</v>
      </c>
      <c r="G1441" t="s">
        <v>8224</v>
      </c>
      <c r="H1441" t="s">
        <v>8225</v>
      </c>
      <c r="I1441" t="s">
        <v>8226</v>
      </c>
      <c r="J1441" t="s">
        <v>364</v>
      </c>
      <c r="K1441" t="s">
        <v>127</v>
      </c>
      <c r="L1441" t="s">
        <v>128</v>
      </c>
      <c r="M1441" t="s">
        <v>129</v>
      </c>
      <c r="N1441" t="s">
        <v>8227</v>
      </c>
      <c r="O1441" t="s">
        <v>149</v>
      </c>
      <c r="P1441">
        <v>0</v>
      </c>
      <c r="Q1441" t="s">
        <v>125</v>
      </c>
      <c r="R1441">
        <v>3</v>
      </c>
      <c r="S1441">
        <v>84</v>
      </c>
      <c r="T1441" t="s">
        <v>132</v>
      </c>
      <c r="U1441" t="s">
        <v>133</v>
      </c>
      <c r="V1441" s="1">
        <v>2400</v>
      </c>
      <c r="W1441">
        <v>286.60000000000002</v>
      </c>
      <c r="X1441" s="1">
        <v>2113.4</v>
      </c>
      <c r="Y1441">
        <v>7</v>
      </c>
      <c r="Z1441">
        <v>0</v>
      </c>
      <c r="AA1441">
        <v>7</v>
      </c>
      <c r="AB1441">
        <v>0</v>
      </c>
      <c r="AC1441">
        <v>0</v>
      </c>
      <c r="AD1441" t="s">
        <v>134</v>
      </c>
      <c r="AE1441" t="s">
        <v>134</v>
      </c>
      <c r="AF1441" s="2">
        <v>45881</v>
      </c>
      <c r="AG1441" s="2">
        <v>46021</v>
      </c>
      <c r="AH1441" s="1">
        <v>1434.02</v>
      </c>
      <c r="AI1441" s="1">
        <v>3919.03</v>
      </c>
      <c r="AJ1441" s="1">
        <v>20076.41</v>
      </c>
      <c r="AK1441">
        <v>0</v>
      </c>
      <c r="AL1441">
        <v>286.60000000000002</v>
      </c>
      <c r="AM1441">
        <v>278.97000000000003</v>
      </c>
      <c r="AN1441" t="s">
        <v>135</v>
      </c>
      <c r="AO1441" t="s">
        <v>135</v>
      </c>
      <c r="AP1441" t="s">
        <v>136</v>
      </c>
      <c r="AQ1441" t="s">
        <v>137</v>
      </c>
      <c r="AR1441" t="s">
        <v>138</v>
      </c>
      <c r="AS1441" t="s">
        <v>150</v>
      </c>
      <c r="AT1441" t="s">
        <v>140</v>
      </c>
      <c r="AU1441">
        <v>102</v>
      </c>
      <c r="AV1441">
        <v>10</v>
      </c>
      <c r="AW1441">
        <v>1</v>
      </c>
      <c r="AX1441" s="2">
        <v>45887</v>
      </c>
      <c r="AY1441" t="s">
        <v>141</v>
      </c>
      <c r="AZ1441" s="2">
        <v>46027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 t="s">
        <v>135</v>
      </c>
      <c r="BH1441" t="s">
        <v>250</v>
      </c>
      <c r="BI1441" t="s">
        <v>135</v>
      </c>
      <c r="BJ1441">
        <v>0</v>
      </c>
      <c r="BK1441">
        <v>0</v>
      </c>
      <c r="BL1441">
        <v>0</v>
      </c>
      <c r="BM1441">
        <v>7</v>
      </c>
      <c r="BN1441">
        <v>3.28</v>
      </c>
      <c r="BO1441" s="1">
        <v>1428.51</v>
      </c>
      <c r="BP1441" s="1">
        <v>1617.34</v>
      </c>
      <c r="BQ1441" s="1">
        <v>3045.85</v>
      </c>
      <c r="BR1441">
        <v>799.52</v>
      </c>
      <c r="BS1441">
        <v>7</v>
      </c>
      <c r="BT1441">
        <v>0.33</v>
      </c>
      <c r="BU1441">
        <v>497.76</v>
      </c>
      <c r="BV1441" s="1">
        <v>10133.82</v>
      </c>
      <c r="BW1441" s="1">
        <v>10631.58</v>
      </c>
      <c r="BX1441">
        <v>286.60000000000002</v>
      </c>
      <c r="BY1441">
        <v>57.58</v>
      </c>
      <c r="BZ1441">
        <v>0</v>
      </c>
      <c r="CA1441">
        <v>0</v>
      </c>
      <c r="CB1441" s="1">
        <v>4054.28</v>
      </c>
      <c r="CC1441" t="s">
        <v>161</v>
      </c>
    </row>
    <row r="1442" spans="1:81" x14ac:dyDescent="0.25">
      <c r="A1442">
        <v>345</v>
      </c>
      <c r="B1442">
        <v>2</v>
      </c>
      <c r="C1442">
        <v>3748</v>
      </c>
      <c r="D1442" t="s">
        <v>8228</v>
      </c>
      <c r="E1442" t="s">
        <v>5427</v>
      </c>
      <c r="F1442" t="s">
        <v>8229</v>
      </c>
      <c r="G1442" t="s">
        <v>8230</v>
      </c>
      <c r="H1442" t="s">
        <v>8231</v>
      </c>
      <c r="I1442" t="s">
        <v>125</v>
      </c>
      <c r="J1442" t="s">
        <v>126</v>
      </c>
      <c r="K1442" t="s">
        <v>336</v>
      </c>
      <c r="L1442" t="s">
        <v>128</v>
      </c>
      <c r="M1442" t="s">
        <v>337</v>
      </c>
      <c r="N1442" t="s">
        <v>8232</v>
      </c>
      <c r="O1442" t="s">
        <v>167</v>
      </c>
      <c r="P1442">
        <v>0</v>
      </c>
      <c r="Q1442" t="s">
        <v>125</v>
      </c>
      <c r="R1442">
        <v>3</v>
      </c>
      <c r="S1442">
        <v>85</v>
      </c>
      <c r="T1442" t="s">
        <v>132</v>
      </c>
      <c r="U1442" t="s">
        <v>133</v>
      </c>
      <c r="V1442" s="1">
        <v>2700</v>
      </c>
      <c r="W1442">
        <v>0</v>
      </c>
      <c r="X1442" s="1">
        <v>2700</v>
      </c>
      <c r="Y1442">
        <v>7</v>
      </c>
      <c r="Z1442">
        <v>0</v>
      </c>
      <c r="AA1442">
        <v>0</v>
      </c>
      <c r="AB1442">
        <v>0</v>
      </c>
      <c r="AC1442">
        <v>0</v>
      </c>
      <c r="AD1442" t="s">
        <v>134</v>
      </c>
      <c r="AE1442" t="s">
        <v>134</v>
      </c>
      <c r="AF1442" s="2">
        <v>45881</v>
      </c>
      <c r="AG1442" s="2">
        <v>46015</v>
      </c>
      <c r="AH1442" s="1">
        <v>1503.11</v>
      </c>
      <c r="AI1442" s="1">
        <v>2219.98</v>
      </c>
      <c r="AJ1442" s="1">
        <v>21043.67</v>
      </c>
      <c r="AK1442">
        <v>0</v>
      </c>
      <c r="AL1442" s="1">
        <v>2219.98</v>
      </c>
      <c r="AM1442">
        <v>0</v>
      </c>
      <c r="AN1442" t="s">
        <v>135</v>
      </c>
      <c r="AO1442" t="s">
        <v>135</v>
      </c>
      <c r="AP1442" t="s">
        <v>136</v>
      </c>
      <c r="AQ1442" t="s">
        <v>137</v>
      </c>
      <c r="AR1442" t="s">
        <v>138</v>
      </c>
      <c r="AS1442" t="s">
        <v>139</v>
      </c>
      <c r="AT1442" t="s">
        <v>140</v>
      </c>
      <c r="AU1442">
        <v>100</v>
      </c>
      <c r="AV1442">
        <v>10</v>
      </c>
      <c r="AW1442">
        <v>1</v>
      </c>
      <c r="AX1442" s="2">
        <v>45887</v>
      </c>
      <c r="AY1442" t="s">
        <v>141</v>
      </c>
      <c r="AZ1442" s="2">
        <v>46027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 t="s">
        <v>135</v>
      </c>
      <c r="BH1442" t="s">
        <v>250</v>
      </c>
      <c r="BI1442" t="s">
        <v>135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 s="1">
        <v>6583.05</v>
      </c>
      <c r="BQ1442" s="1">
        <v>6583.05</v>
      </c>
      <c r="BR1442">
        <v>0</v>
      </c>
      <c r="BS1442">
        <v>0</v>
      </c>
      <c r="BT1442">
        <v>0</v>
      </c>
      <c r="BU1442">
        <v>0</v>
      </c>
      <c r="BV1442" s="1">
        <v>8968.9500000000007</v>
      </c>
      <c r="BW1442" s="1">
        <v>8968.9500000000007</v>
      </c>
      <c r="BX1442">
        <v>0</v>
      </c>
      <c r="BY1442">
        <v>0</v>
      </c>
      <c r="BZ1442">
        <v>0</v>
      </c>
      <c r="CA1442">
        <v>0</v>
      </c>
      <c r="CB1442" s="1">
        <v>5677.7</v>
      </c>
      <c r="CC1442" t="s">
        <v>161</v>
      </c>
    </row>
    <row r="1443" spans="1:81" x14ac:dyDescent="0.25">
      <c r="A1443">
        <v>345</v>
      </c>
      <c r="B1443">
        <v>2</v>
      </c>
      <c r="C1443">
        <v>3749</v>
      </c>
      <c r="D1443" t="s">
        <v>8233</v>
      </c>
      <c r="E1443" t="s">
        <v>121</v>
      </c>
      <c r="F1443" t="s">
        <v>854</v>
      </c>
      <c r="G1443" t="s">
        <v>8234</v>
      </c>
      <c r="H1443" t="s">
        <v>8235</v>
      </c>
      <c r="I1443" t="s">
        <v>8236</v>
      </c>
      <c r="J1443" t="s">
        <v>1009</v>
      </c>
      <c r="K1443" t="s">
        <v>336</v>
      </c>
      <c r="L1443" t="s">
        <v>128</v>
      </c>
      <c r="M1443" t="s">
        <v>337</v>
      </c>
      <c r="N1443" t="s">
        <v>8237</v>
      </c>
      <c r="O1443" t="s">
        <v>201</v>
      </c>
      <c r="P1443">
        <v>0</v>
      </c>
      <c r="Q1443" t="s">
        <v>125</v>
      </c>
      <c r="R1443">
        <v>3</v>
      </c>
      <c r="S1443">
        <v>84</v>
      </c>
      <c r="T1443" t="s">
        <v>132</v>
      </c>
      <c r="U1443" t="s">
        <v>133</v>
      </c>
      <c r="V1443" s="1">
        <v>1400</v>
      </c>
      <c r="W1443">
        <v>0</v>
      </c>
      <c r="X1443" s="1">
        <v>1400</v>
      </c>
      <c r="Y1443">
        <v>7</v>
      </c>
      <c r="Z1443">
        <v>0</v>
      </c>
      <c r="AA1443">
        <v>0</v>
      </c>
      <c r="AB1443">
        <v>0</v>
      </c>
      <c r="AC1443">
        <v>0</v>
      </c>
      <c r="AD1443" t="s">
        <v>134</v>
      </c>
      <c r="AE1443" t="s">
        <v>134</v>
      </c>
      <c r="AF1443" s="2">
        <v>45881</v>
      </c>
      <c r="AG1443" s="2">
        <v>46008</v>
      </c>
      <c r="AH1443">
        <v>720.07</v>
      </c>
      <c r="AI1443">
        <v>976.75</v>
      </c>
      <c r="AJ1443" s="1">
        <v>2160.21</v>
      </c>
      <c r="AK1443">
        <v>0</v>
      </c>
      <c r="AL1443">
        <v>0</v>
      </c>
      <c r="AM1443">
        <v>0</v>
      </c>
      <c r="AN1443" t="s">
        <v>135</v>
      </c>
      <c r="AO1443" t="s">
        <v>135</v>
      </c>
      <c r="AP1443" t="s">
        <v>136</v>
      </c>
      <c r="AQ1443" t="s">
        <v>137</v>
      </c>
      <c r="AR1443" t="s">
        <v>138</v>
      </c>
      <c r="AS1443" t="s">
        <v>139</v>
      </c>
      <c r="AT1443" t="s">
        <v>140</v>
      </c>
      <c r="AU1443">
        <v>101</v>
      </c>
      <c r="AV1443">
        <v>10</v>
      </c>
      <c r="AW1443">
        <v>1</v>
      </c>
      <c r="AX1443" s="2">
        <v>45888</v>
      </c>
      <c r="AY1443" t="s">
        <v>377</v>
      </c>
      <c r="AZ1443" s="2">
        <v>46028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 t="s">
        <v>135</v>
      </c>
      <c r="BH1443" t="s">
        <v>250</v>
      </c>
      <c r="BI1443" t="s">
        <v>135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804.57</v>
      </c>
      <c r="BQ1443">
        <v>804.57</v>
      </c>
      <c r="BR1443">
        <v>0</v>
      </c>
      <c r="BS1443">
        <v>0</v>
      </c>
      <c r="BT1443">
        <v>0</v>
      </c>
      <c r="BU1443">
        <v>0</v>
      </c>
      <c r="BV1443">
        <v>378.89</v>
      </c>
      <c r="BW1443">
        <v>378.89</v>
      </c>
      <c r="BX1443">
        <v>0</v>
      </c>
      <c r="BY1443">
        <v>0</v>
      </c>
      <c r="BZ1443">
        <v>0</v>
      </c>
      <c r="CA1443">
        <v>0</v>
      </c>
      <c r="CB1443">
        <v>688.09</v>
      </c>
      <c r="CC1443" t="s">
        <v>161</v>
      </c>
    </row>
    <row r="1444" spans="1:81" x14ac:dyDescent="0.25">
      <c r="A1444">
        <v>345</v>
      </c>
      <c r="B1444">
        <v>2</v>
      </c>
      <c r="C1444">
        <v>3750</v>
      </c>
      <c r="D1444" t="s">
        <v>8238</v>
      </c>
      <c r="E1444" t="s">
        <v>121</v>
      </c>
      <c r="F1444" t="s">
        <v>8239</v>
      </c>
      <c r="G1444" t="s">
        <v>8240</v>
      </c>
      <c r="H1444" t="s">
        <v>1228</v>
      </c>
      <c r="I1444" t="s">
        <v>8241</v>
      </c>
      <c r="J1444" t="s">
        <v>4569</v>
      </c>
      <c r="K1444" t="s">
        <v>336</v>
      </c>
      <c r="L1444" t="s">
        <v>128</v>
      </c>
      <c r="M1444" t="s">
        <v>337</v>
      </c>
      <c r="N1444" t="s">
        <v>5933</v>
      </c>
      <c r="O1444" t="s">
        <v>201</v>
      </c>
      <c r="P1444">
        <v>0</v>
      </c>
      <c r="Q1444" t="s">
        <v>125</v>
      </c>
      <c r="R1444">
        <v>4</v>
      </c>
      <c r="S1444">
        <v>78</v>
      </c>
      <c r="T1444" t="s">
        <v>132</v>
      </c>
      <c r="U1444" t="s">
        <v>133</v>
      </c>
      <c r="V1444" s="1">
        <v>2400</v>
      </c>
      <c r="W1444" s="1">
        <v>1483.23</v>
      </c>
      <c r="X1444">
        <v>916.77</v>
      </c>
      <c r="Y1444">
        <v>7</v>
      </c>
      <c r="Z1444">
        <v>0</v>
      </c>
      <c r="AA1444">
        <v>7</v>
      </c>
      <c r="AB1444">
        <v>0</v>
      </c>
      <c r="AC1444">
        <v>11</v>
      </c>
      <c r="AD1444" t="s">
        <v>134</v>
      </c>
      <c r="AE1444" t="s">
        <v>234</v>
      </c>
      <c r="AF1444" s="2">
        <v>45882</v>
      </c>
      <c r="AG1444" s="2">
        <v>46017</v>
      </c>
      <c r="AH1444" s="1">
        <v>2101.0500000000002</v>
      </c>
      <c r="AI1444" s="1">
        <v>2791.08</v>
      </c>
      <c r="AJ1444" s="1">
        <v>12606.34</v>
      </c>
      <c r="AK1444">
        <v>0</v>
      </c>
      <c r="AL1444" s="1">
        <v>1483.23</v>
      </c>
      <c r="AM1444">
        <v>81.73</v>
      </c>
      <c r="AN1444" t="s">
        <v>135</v>
      </c>
      <c r="AO1444" t="s">
        <v>135</v>
      </c>
      <c r="AP1444" t="s">
        <v>136</v>
      </c>
      <c r="AQ1444" t="s">
        <v>137</v>
      </c>
      <c r="AR1444" t="s">
        <v>138</v>
      </c>
      <c r="AS1444" t="s">
        <v>139</v>
      </c>
      <c r="AT1444" t="s">
        <v>140</v>
      </c>
      <c r="AU1444">
        <v>501</v>
      </c>
      <c r="AV1444">
        <v>10</v>
      </c>
      <c r="AW1444">
        <v>1</v>
      </c>
      <c r="AX1444" s="2">
        <v>45888</v>
      </c>
      <c r="AY1444" t="s">
        <v>377</v>
      </c>
      <c r="AZ1444" s="2">
        <v>46028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 t="s">
        <v>135</v>
      </c>
      <c r="BH1444" t="s">
        <v>250</v>
      </c>
      <c r="BI1444" t="s">
        <v>135</v>
      </c>
      <c r="BJ1444">
        <v>0</v>
      </c>
      <c r="BK1444">
        <v>0</v>
      </c>
      <c r="BL1444">
        <v>0</v>
      </c>
      <c r="BM1444">
        <v>7</v>
      </c>
      <c r="BN1444">
        <v>3.39</v>
      </c>
      <c r="BO1444" s="1">
        <v>3125.51</v>
      </c>
      <c r="BP1444" s="1">
        <v>3331.65</v>
      </c>
      <c r="BQ1444" s="1">
        <v>6457.16</v>
      </c>
      <c r="BR1444" s="1">
        <v>1212.26</v>
      </c>
      <c r="BS1444">
        <v>7</v>
      </c>
      <c r="BT1444">
        <v>4.9000000000000004</v>
      </c>
      <c r="BU1444" s="1">
        <v>2991.3</v>
      </c>
      <c r="BV1444" s="1">
        <v>1283.01</v>
      </c>
      <c r="BW1444" s="1">
        <v>4274.3100000000004</v>
      </c>
      <c r="BX1444" s="1">
        <v>1483.23</v>
      </c>
      <c r="BY1444">
        <v>49.58</v>
      </c>
      <c r="BZ1444">
        <v>0</v>
      </c>
      <c r="CA1444">
        <v>0</v>
      </c>
      <c r="CB1444" s="1">
        <v>2777.34</v>
      </c>
      <c r="CC1444" t="s">
        <v>161</v>
      </c>
    </row>
    <row r="1445" spans="1:81" x14ac:dyDescent="0.25">
      <c r="A1445">
        <v>345</v>
      </c>
      <c r="B1445">
        <v>2</v>
      </c>
      <c r="C1445">
        <v>3752</v>
      </c>
      <c r="D1445" t="s">
        <v>8242</v>
      </c>
      <c r="E1445" t="s">
        <v>121</v>
      </c>
      <c r="F1445" t="s">
        <v>8243</v>
      </c>
      <c r="G1445" t="s">
        <v>8244</v>
      </c>
      <c r="H1445" t="s">
        <v>8245</v>
      </c>
      <c r="I1445" t="s">
        <v>8246</v>
      </c>
      <c r="J1445" t="s">
        <v>944</v>
      </c>
      <c r="K1445" t="s">
        <v>466</v>
      </c>
      <c r="L1445" t="s">
        <v>128</v>
      </c>
      <c r="M1445" t="s">
        <v>467</v>
      </c>
      <c r="N1445" t="s">
        <v>8247</v>
      </c>
      <c r="O1445" t="s">
        <v>159</v>
      </c>
      <c r="P1445">
        <v>0</v>
      </c>
      <c r="Q1445" t="s">
        <v>125</v>
      </c>
      <c r="R1445">
        <v>3</v>
      </c>
      <c r="S1445">
        <v>82</v>
      </c>
      <c r="T1445" t="s">
        <v>132</v>
      </c>
      <c r="U1445" t="s">
        <v>133</v>
      </c>
      <c r="V1445" s="1">
        <v>1500</v>
      </c>
      <c r="W1445" s="1">
        <v>1471.14</v>
      </c>
      <c r="X1445">
        <v>28.86</v>
      </c>
      <c r="Y1445">
        <v>0</v>
      </c>
      <c r="Z1445">
        <v>0</v>
      </c>
      <c r="AA1445">
        <v>8</v>
      </c>
      <c r="AB1445">
        <v>2</v>
      </c>
      <c r="AC1445">
        <v>0</v>
      </c>
      <c r="AD1445" t="s">
        <v>134</v>
      </c>
      <c r="AE1445" t="s">
        <v>134</v>
      </c>
      <c r="AF1445" s="2">
        <v>45882</v>
      </c>
      <c r="AG1445" s="2">
        <v>46009</v>
      </c>
      <c r="AH1445">
        <v>383.66</v>
      </c>
      <c r="AI1445" s="1">
        <v>1471.14</v>
      </c>
      <c r="AJ1445" s="1">
        <v>3452.96</v>
      </c>
      <c r="AK1445" s="1">
        <v>1471.14</v>
      </c>
      <c r="AL1445">
        <v>0</v>
      </c>
      <c r="AM1445">
        <v>0</v>
      </c>
      <c r="AN1445" t="s">
        <v>135</v>
      </c>
      <c r="AO1445" t="s">
        <v>135</v>
      </c>
      <c r="AP1445" t="s">
        <v>136</v>
      </c>
      <c r="AQ1445" t="s">
        <v>137</v>
      </c>
      <c r="AR1445" t="s">
        <v>138</v>
      </c>
      <c r="AS1445" t="s">
        <v>139</v>
      </c>
      <c r="AT1445" t="s">
        <v>140</v>
      </c>
      <c r="AU1445">
        <v>500</v>
      </c>
      <c r="AV1445">
        <v>10</v>
      </c>
      <c r="AW1445">
        <v>1</v>
      </c>
      <c r="AX1445" s="2">
        <v>45889</v>
      </c>
      <c r="AY1445" t="s">
        <v>168</v>
      </c>
      <c r="AZ1445" s="2">
        <v>46022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 t="s">
        <v>135</v>
      </c>
      <c r="BH1445" t="s">
        <v>250</v>
      </c>
      <c r="BI1445" t="s">
        <v>135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830.55</v>
      </c>
      <c r="BQ1445">
        <v>830.55</v>
      </c>
      <c r="BR1445">
        <v>0</v>
      </c>
      <c r="BS1445">
        <v>8</v>
      </c>
      <c r="BT1445">
        <v>6.41</v>
      </c>
      <c r="BU1445" s="1">
        <v>1471.14</v>
      </c>
      <c r="BV1445">
        <v>363.98</v>
      </c>
      <c r="BW1445" s="1">
        <v>1835.12</v>
      </c>
      <c r="BX1445">
        <v>0</v>
      </c>
      <c r="BY1445">
        <v>0</v>
      </c>
      <c r="BZ1445">
        <v>0</v>
      </c>
      <c r="CA1445">
        <v>0</v>
      </c>
      <c r="CB1445">
        <v>762.72</v>
      </c>
      <c r="CC1445" t="s">
        <v>161</v>
      </c>
    </row>
    <row r="1446" spans="1:81" x14ac:dyDescent="0.25">
      <c r="A1446">
        <v>345</v>
      </c>
      <c r="B1446">
        <v>2</v>
      </c>
      <c r="C1446">
        <v>3756</v>
      </c>
      <c r="D1446" t="s">
        <v>8248</v>
      </c>
      <c r="E1446" t="s">
        <v>121</v>
      </c>
      <c r="F1446" t="s">
        <v>8249</v>
      </c>
      <c r="G1446" t="s">
        <v>8250</v>
      </c>
      <c r="H1446" t="s">
        <v>8251</v>
      </c>
      <c r="I1446" t="s">
        <v>8252</v>
      </c>
      <c r="J1446" t="s">
        <v>1852</v>
      </c>
      <c r="K1446" t="s">
        <v>336</v>
      </c>
      <c r="L1446" t="s">
        <v>128</v>
      </c>
      <c r="M1446" t="s">
        <v>337</v>
      </c>
      <c r="N1446" t="s">
        <v>8253</v>
      </c>
      <c r="O1446" t="s">
        <v>167</v>
      </c>
      <c r="P1446">
        <v>0</v>
      </c>
      <c r="Q1446" t="s">
        <v>125</v>
      </c>
      <c r="R1446">
        <v>3</v>
      </c>
      <c r="S1446">
        <v>82</v>
      </c>
      <c r="T1446" t="s">
        <v>132</v>
      </c>
      <c r="U1446" t="s">
        <v>133</v>
      </c>
      <c r="V1446" s="1">
        <v>1600</v>
      </c>
      <c r="W1446">
        <v>750.55</v>
      </c>
      <c r="X1446">
        <v>849.45</v>
      </c>
      <c r="Y1446">
        <v>7</v>
      </c>
      <c r="Z1446">
        <v>0</v>
      </c>
      <c r="AA1446">
        <v>7</v>
      </c>
      <c r="AB1446">
        <v>0</v>
      </c>
      <c r="AC1446">
        <v>8</v>
      </c>
      <c r="AD1446" t="s">
        <v>134</v>
      </c>
      <c r="AE1446" t="s">
        <v>134</v>
      </c>
      <c r="AF1446" s="2">
        <v>45884</v>
      </c>
      <c r="AG1446" s="2">
        <v>46017</v>
      </c>
      <c r="AH1446">
        <v>488.56</v>
      </c>
      <c r="AI1446">
        <v>828.69</v>
      </c>
      <c r="AJ1446" s="1">
        <v>3908.5</v>
      </c>
      <c r="AK1446">
        <v>0</v>
      </c>
      <c r="AL1446">
        <v>750.55</v>
      </c>
      <c r="AM1446">
        <v>77.319999999999993</v>
      </c>
      <c r="AN1446" t="s">
        <v>135</v>
      </c>
      <c r="AO1446" t="s">
        <v>135</v>
      </c>
      <c r="AP1446" t="s">
        <v>136</v>
      </c>
      <c r="AQ1446" t="s">
        <v>137</v>
      </c>
      <c r="AR1446" t="s">
        <v>138</v>
      </c>
      <c r="AS1446" t="s">
        <v>139</v>
      </c>
      <c r="AT1446" t="s">
        <v>140</v>
      </c>
      <c r="AU1446">
        <v>100</v>
      </c>
      <c r="AV1446">
        <v>10</v>
      </c>
      <c r="AW1446">
        <v>1</v>
      </c>
      <c r="AX1446" s="2">
        <v>45888</v>
      </c>
      <c r="AY1446" t="s">
        <v>377</v>
      </c>
      <c r="AZ1446" s="2">
        <v>46028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 t="s">
        <v>135</v>
      </c>
      <c r="BH1446" t="s">
        <v>250</v>
      </c>
      <c r="BI1446" t="s">
        <v>135</v>
      </c>
      <c r="BJ1446">
        <v>0</v>
      </c>
      <c r="BK1446">
        <v>0</v>
      </c>
      <c r="BL1446">
        <v>0</v>
      </c>
      <c r="BM1446">
        <v>7</v>
      </c>
      <c r="BN1446">
        <v>7</v>
      </c>
      <c r="BO1446" s="1">
        <v>1223.99</v>
      </c>
      <c r="BP1446">
        <v>0</v>
      </c>
      <c r="BQ1446" s="1">
        <v>1223.99</v>
      </c>
      <c r="BR1446">
        <v>580.30999999999995</v>
      </c>
      <c r="BS1446">
        <v>7</v>
      </c>
      <c r="BT1446">
        <v>7</v>
      </c>
      <c r="BU1446" s="1">
        <v>1894.52</v>
      </c>
      <c r="BV1446">
        <v>0</v>
      </c>
      <c r="BW1446" s="1">
        <v>1894.52</v>
      </c>
      <c r="BX1446">
        <v>750.55</v>
      </c>
      <c r="BY1446">
        <v>39.619999999999997</v>
      </c>
      <c r="BZ1446">
        <v>0</v>
      </c>
      <c r="CA1446">
        <v>0</v>
      </c>
      <c r="CB1446" s="1">
        <v>1138.6199999999999</v>
      </c>
      <c r="CC1446" t="s">
        <v>161</v>
      </c>
    </row>
    <row r="1447" spans="1:81" x14ac:dyDescent="0.25">
      <c r="A1447">
        <v>345</v>
      </c>
      <c r="B1447">
        <v>2</v>
      </c>
      <c r="C1447">
        <v>3757</v>
      </c>
      <c r="D1447" t="s">
        <v>8254</v>
      </c>
      <c r="E1447" t="s">
        <v>121</v>
      </c>
      <c r="F1447" t="s">
        <v>8255</v>
      </c>
      <c r="G1447" t="s">
        <v>8256</v>
      </c>
      <c r="H1447" t="s">
        <v>8257</v>
      </c>
      <c r="I1447" t="s">
        <v>8258</v>
      </c>
      <c r="J1447" t="s">
        <v>126</v>
      </c>
      <c r="K1447" t="s">
        <v>1853</v>
      </c>
      <c r="L1447" t="s">
        <v>128</v>
      </c>
      <c r="M1447" t="s">
        <v>1854</v>
      </c>
      <c r="N1447" t="s">
        <v>8259</v>
      </c>
      <c r="O1447" t="s">
        <v>3269</v>
      </c>
      <c r="P1447">
        <v>0</v>
      </c>
      <c r="Q1447" t="s">
        <v>125</v>
      </c>
      <c r="R1447">
        <v>3</v>
      </c>
      <c r="S1447">
        <v>85</v>
      </c>
      <c r="T1447" t="s">
        <v>132</v>
      </c>
      <c r="U1447" t="s">
        <v>133</v>
      </c>
      <c r="V1447" s="1">
        <v>1000</v>
      </c>
      <c r="W1447">
        <v>0</v>
      </c>
      <c r="X1447" s="1">
        <v>1000</v>
      </c>
      <c r="Y1447">
        <v>7</v>
      </c>
      <c r="Z1447">
        <v>0</v>
      </c>
      <c r="AA1447">
        <v>0</v>
      </c>
      <c r="AB1447">
        <v>0</v>
      </c>
      <c r="AC1447">
        <v>0</v>
      </c>
      <c r="AD1447" t="s">
        <v>134</v>
      </c>
      <c r="AE1447" t="s">
        <v>134</v>
      </c>
      <c r="AF1447" s="2">
        <v>45884</v>
      </c>
      <c r="AG1447" s="2">
        <v>45955</v>
      </c>
      <c r="AH1447">
        <v>139.56</v>
      </c>
      <c r="AI1447">
        <v>189.12</v>
      </c>
      <c r="AJ1447">
        <v>279.12</v>
      </c>
      <c r="AK1447">
        <v>0</v>
      </c>
      <c r="AL1447">
        <v>0</v>
      </c>
      <c r="AM1447">
        <v>0</v>
      </c>
      <c r="AN1447" t="s">
        <v>135</v>
      </c>
      <c r="AO1447" t="s">
        <v>135</v>
      </c>
      <c r="AP1447" t="s">
        <v>136</v>
      </c>
      <c r="AQ1447" t="s">
        <v>137</v>
      </c>
      <c r="AR1447" t="s">
        <v>138</v>
      </c>
      <c r="AS1447" t="s">
        <v>150</v>
      </c>
      <c r="AT1447" t="s">
        <v>140</v>
      </c>
      <c r="AU1447">
        <v>103</v>
      </c>
      <c r="AV1447">
        <v>10</v>
      </c>
      <c r="AW1447">
        <v>1</v>
      </c>
      <c r="AX1447" s="2">
        <v>45967</v>
      </c>
      <c r="AY1447" t="s">
        <v>308</v>
      </c>
      <c r="AZ1447" s="2">
        <v>46023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 t="s">
        <v>135</v>
      </c>
      <c r="BH1447" t="s">
        <v>250</v>
      </c>
      <c r="BI1447" t="s">
        <v>135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198.33</v>
      </c>
      <c r="CC1447" t="s">
        <v>161</v>
      </c>
    </row>
    <row r="1448" spans="1:81" x14ac:dyDescent="0.25">
      <c r="A1448">
        <v>345</v>
      </c>
      <c r="B1448">
        <v>2</v>
      </c>
      <c r="C1448">
        <v>3759</v>
      </c>
      <c r="D1448" t="s">
        <v>8260</v>
      </c>
      <c r="E1448" t="s">
        <v>5427</v>
      </c>
      <c r="F1448" t="s">
        <v>8261</v>
      </c>
      <c r="G1448" t="s">
        <v>8262</v>
      </c>
      <c r="H1448" t="s">
        <v>8263</v>
      </c>
      <c r="I1448" t="s">
        <v>8264</v>
      </c>
      <c r="J1448" t="s">
        <v>126</v>
      </c>
      <c r="K1448" t="s">
        <v>473</v>
      </c>
      <c r="L1448" t="s">
        <v>128</v>
      </c>
      <c r="M1448" t="s">
        <v>474</v>
      </c>
      <c r="N1448" t="s">
        <v>8265</v>
      </c>
      <c r="O1448" t="s">
        <v>2996</v>
      </c>
      <c r="P1448">
        <v>0</v>
      </c>
      <c r="Q1448" t="s">
        <v>125</v>
      </c>
      <c r="R1448">
        <v>3</v>
      </c>
      <c r="S1448">
        <v>87</v>
      </c>
      <c r="T1448" t="s">
        <v>132</v>
      </c>
      <c r="U1448" t="s">
        <v>133</v>
      </c>
      <c r="V1448" s="1">
        <v>1000</v>
      </c>
      <c r="W1448">
        <v>0</v>
      </c>
      <c r="X1448" s="1">
        <v>1000</v>
      </c>
      <c r="Y1448">
        <v>7</v>
      </c>
      <c r="Z1448">
        <v>0</v>
      </c>
      <c r="AA1448">
        <v>0</v>
      </c>
      <c r="AB1448">
        <v>0</v>
      </c>
      <c r="AC1448">
        <v>0</v>
      </c>
      <c r="AD1448" t="s">
        <v>134</v>
      </c>
      <c r="AE1448" t="s">
        <v>134</v>
      </c>
      <c r="AF1448" s="2">
        <v>45886</v>
      </c>
      <c r="AG1448" s="2">
        <v>46010</v>
      </c>
      <c r="AH1448">
        <v>178.63</v>
      </c>
      <c r="AI1448">
        <v>229.2</v>
      </c>
      <c r="AJ1448">
        <v>357.26</v>
      </c>
      <c r="AK1448">
        <v>0</v>
      </c>
      <c r="AL1448">
        <v>0</v>
      </c>
      <c r="AM1448">
        <v>0</v>
      </c>
      <c r="AN1448" t="s">
        <v>135</v>
      </c>
      <c r="AO1448" t="s">
        <v>135</v>
      </c>
      <c r="AP1448" t="s">
        <v>136</v>
      </c>
      <c r="AQ1448" t="s">
        <v>137</v>
      </c>
      <c r="AR1448" t="s">
        <v>138</v>
      </c>
      <c r="AS1448" t="s">
        <v>139</v>
      </c>
      <c r="AT1448" t="s">
        <v>140</v>
      </c>
      <c r="AU1448">
        <v>105</v>
      </c>
      <c r="AV1448">
        <v>10</v>
      </c>
      <c r="AW1448">
        <v>1</v>
      </c>
      <c r="AX1448" s="2">
        <v>45889</v>
      </c>
      <c r="AY1448" t="s">
        <v>168</v>
      </c>
      <c r="AZ1448" s="2">
        <v>46029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 t="s">
        <v>135</v>
      </c>
      <c r="BH1448" t="s">
        <v>250</v>
      </c>
      <c r="BI1448" t="s">
        <v>135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357.26</v>
      </c>
      <c r="BW1448">
        <v>357.26</v>
      </c>
      <c r="BX1448">
        <v>0</v>
      </c>
      <c r="BY1448">
        <v>0</v>
      </c>
      <c r="BZ1448">
        <v>0</v>
      </c>
      <c r="CA1448">
        <v>0</v>
      </c>
      <c r="CB1448">
        <v>29.52</v>
      </c>
      <c r="CC1448" t="s">
        <v>5433</v>
      </c>
    </row>
    <row r="1449" spans="1:81" x14ac:dyDescent="0.25">
      <c r="A1449">
        <v>345</v>
      </c>
      <c r="B1449">
        <v>2</v>
      </c>
      <c r="C1449">
        <v>3760</v>
      </c>
      <c r="D1449" t="s">
        <v>8266</v>
      </c>
      <c r="E1449" t="s">
        <v>121</v>
      </c>
      <c r="F1449" t="s">
        <v>8267</v>
      </c>
      <c r="G1449" t="s">
        <v>8268</v>
      </c>
      <c r="H1449" t="s">
        <v>8269</v>
      </c>
      <c r="I1449" t="s">
        <v>8270</v>
      </c>
      <c r="J1449" t="s">
        <v>3891</v>
      </c>
      <c r="K1449" t="s">
        <v>466</v>
      </c>
      <c r="L1449" t="s">
        <v>128</v>
      </c>
      <c r="M1449" t="s">
        <v>467</v>
      </c>
      <c r="N1449" t="s">
        <v>8271</v>
      </c>
      <c r="O1449" t="s">
        <v>159</v>
      </c>
      <c r="P1449">
        <v>0</v>
      </c>
      <c r="Q1449" t="s">
        <v>125</v>
      </c>
      <c r="R1449">
        <v>4</v>
      </c>
      <c r="S1449">
        <v>80</v>
      </c>
      <c r="T1449" t="s">
        <v>132</v>
      </c>
      <c r="U1449" t="s">
        <v>133</v>
      </c>
      <c r="V1449" s="1">
        <v>5800</v>
      </c>
      <c r="W1449" s="1">
        <v>5784.21</v>
      </c>
      <c r="X1449">
        <v>15.79</v>
      </c>
      <c r="Y1449">
        <v>0</v>
      </c>
      <c r="Z1449">
        <v>0</v>
      </c>
      <c r="AA1449">
        <v>9</v>
      </c>
      <c r="AB1449">
        <v>1</v>
      </c>
      <c r="AC1449">
        <v>33</v>
      </c>
      <c r="AD1449" t="s">
        <v>134</v>
      </c>
      <c r="AE1449" t="s">
        <v>134</v>
      </c>
      <c r="AF1449" s="2">
        <v>45887</v>
      </c>
      <c r="AG1449" s="2">
        <v>46018</v>
      </c>
      <c r="AH1449" s="1">
        <v>2970.27</v>
      </c>
      <c r="AI1449" s="1">
        <v>3489.93</v>
      </c>
      <c r="AJ1449" s="1">
        <v>14851.38</v>
      </c>
      <c r="AK1449" s="1">
        <v>2944.08</v>
      </c>
      <c r="AL1449" s="1">
        <v>2840.13</v>
      </c>
      <c r="AM1449">
        <v>0</v>
      </c>
      <c r="AN1449" t="s">
        <v>135</v>
      </c>
      <c r="AO1449" t="s">
        <v>135</v>
      </c>
      <c r="AP1449" t="s">
        <v>136</v>
      </c>
      <c r="AQ1449" t="s">
        <v>137</v>
      </c>
      <c r="AR1449" t="s">
        <v>138</v>
      </c>
      <c r="AS1449" t="s">
        <v>150</v>
      </c>
      <c r="AT1449" t="s">
        <v>140</v>
      </c>
      <c r="AU1449">
        <v>500</v>
      </c>
      <c r="AV1449">
        <v>10</v>
      </c>
      <c r="AW1449">
        <v>1</v>
      </c>
      <c r="AX1449" s="2">
        <v>45891</v>
      </c>
      <c r="AY1449" t="s">
        <v>151</v>
      </c>
      <c r="AZ1449" s="2">
        <v>46024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 t="s">
        <v>135</v>
      </c>
      <c r="BH1449" t="s">
        <v>250</v>
      </c>
      <c r="BI1449" t="s">
        <v>135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 s="1">
        <v>2855.82</v>
      </c>
      <c r="BQ1449" s="1">
        <v>2855.82</v>
      </c>
      <c r="BR1449">
        <v>0</v>
      </c>
      <c r="BS1449">
        <v>9</v>
      </c>
      <c r="BT1449">
        <v>6.38</v>
      </c>
      <c r="BU1449" s="1">
        <v>8505.6299999999992</v>
      </c>
      <c r="BV1449" s="1">
        <v>3489.93</v>
      </c>
      <c r="BW1449" s="1">
        <v>11995.56</v>
      </c>
      <c r="BX1449" s="1">
        <v>2840.13</v>
      </c>
      <c r="BY1449">
        <v>33.39</v>
      </c>
      <c r="BZ1449">
        <v>0</v>
      </c>
      <c r="CA1449">
        <v>0</v>
      </c>
      <c r="CB1449">
        <v>951.94</v>
      </c>
      <c r="CC1449" t="s">
        <v>161</v>
      </c>
    </row>
    <row r="1450" spans="1:81" x14ac:dyDescent="0.25">
      <c r="A1450">
        <v>345</v>
      </c>
      <c r="B1450">
        <v>2</v>
      </c>
      <c r="C1450">
        <v>3761</v>
      </c>
      <c r="D1450" t="s">
        <v>8272</v>
      </c>
      <c r="E1450" t="s">
        <v>121</v>
      </c>
      <c r="F1450" t="s">
        <v>8273</v>
      </c>
      <c r="G1450" t="s">
        <v>8274</v>
      </c>
      <c r="H1450" t="s">
        <v>8275</v>
      </c>
      <c r="I1450" t="s">
        <v>8276</v>
      </c>
      <c r="J1450" t="s">
        <v>8277</v>
      </c>
      <c r="K1450" t="s">
        <v>336</v>
      </c>
      <c r="L1450" t="s">
        <v>128</v>
      </c>
      <c r="M1450" t="s">
        <v>337</v>
      </c>
      <c r="N1450" t="s">
        <v>8278</v>
      </c>
      <c r="O1450" t="s">
        <v>159</v>
      </c>
      <c r="P1450">
        <v>0</v>
      </c>
      <c r="Q1450" t="s">
        <v>125</v>
      </c>
      <c r="R1450">
        <v>4</v>
      </c>
      <c r="S1450">
        <v>81</v>
      </c>
      <c r="T1450" t="s">
        <v>132</v>
      </c>
      <c r="U1450" t="s">
        <v>133</v>
      </c>
      <c r="V1450" s="1">
        <v>1500</v>
      </c>
      <c r="W1450">
        <v>0</v>
      </c>
      <c r="X1450" s="1">
        <v>1500</v>
      </c>
      <c r="Y1450">
        <v>7</v>
      </c>
      <c r="Z1450">
        <v>0</v>
      </c>
      <c r="AA1450">
        <v>0</v>
      </c>
      <c r="AB1450">
        <v>0</v>
      </c>
      <c r="AC1450">
        <v>0</v>
      </c>
      <c r="AD1450" t="s">
        <v>134</v>
      </c>
      <c r="AE1450" t="s">
        <v>134</v>
      </c>
      <c r="AF1450" s="2">
        <v>45887</v>
      </c>
      <c r="AG1450" s="2">
        <v>46021</v>
      </c>
      <c r="AH1450">
        <v>329.74</v>
      </c>
      <c r="AI1450">
        <v>429.07</v>
      </c>
      <c r="AJ1450" s="1">
        <v>1648.71</v>
      </c>
      <c r="AK1450">
        <v>0</v>
      </c>
      <c r="AL1450">
        <v>0</v>
      </c>
      <c r="AM1450">
        <v>0</v>
      </c>
      <c r="AN1450" t="s">
        <v>135</v>
      </c>
      <c r="AO1450" t="s">
        <v>135</v>
      </c>
      <c r="AP1450" t="s">
        <v>136</v>
      </c>
      <c r="AQ1450" t="s">
        <v>137</v>
      </c>
      <c r="AR1450" t="s">
        <v>138</v>
      </c>
      <c r="AS1450" t="s">
        <v>139</v>
      </c>
      <c r="AT1450" t="s">
        <v>140</v>
      </c>
      <c r="AU1450">
        <v>101</v>
      </c>
      <c r="AV1450">
        <v>10</v>
      </c>
      <c r="AW1450">
        <v>1</v>
      </c>
      <c r="AX1450" s="2">
        <v>45894</v>
      </c>
      <c r="AY1450" t="s">
        <v>141</v>
      </c>
      <c r="AZ1450" s="2">
        <v>46027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 t="s">
        <v>135</v>
      </c>
      <c r="BH1450" t="s">
        <v>250</v>
      </c>
      <c r="BI1450" t="s">
        <v>135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526.26</v>
      </c>
      <c r="BQ1450">
        <v>526.26</v>
      </c>
      <c r="BR1450">
        <v>0</v>
      </c>
      <c r="BS1450">
        <v>0</v>
      </c>
      <c r="BT1450">
        <v>0</v>
      </c>
      <c r="BU1450">
        <v>0</v>
      </c>
      <c r="BV1450">
        <v>745.68</v>
      </c>
      <c r="BW1450">
        <v>745.68</v>
      </c>
      <c r="BX1450">
        <v>0</v>
      </c>
      <c r="BY1450">
        <v>0</v>
      </c>
      <c r="BZ1450">
        <v>0</v>
      </c>
      <c r="CA1450">
        <v>0</v>
      </c>
      <c r="CB1450">
        <v>405.39</v>
      </c>
      <c r="CC1450" t="s">
        <v>161</v>
      </c>
    </row>
    <row r="1451" spans="1:81" x14ac:dyDescent="0.25">
      <c r="A1451">
        <v>345</v>
      </c>
      <c r="B1451">
        <v>2</v>
      </c>
      <c r="C1451">
        <v>3763</v>
      </c>
      <c r="D1451" t="s">
        <v>8279</v>
      </c>
      <c r="E1451" t="s">
        <v>121</v>
      </c>
      <c r="F1451" t="s">
        <v>8280</v>
      </c>
      <c r="G1451" t="s">
        <v>8281</v>
      </c>
      <c r="H1451" t="s">
        <v>8282</v>
      </c>
      <c r="I1451" t="s">
        <v>8283</v>
      </c>
      <c r="J1451" t="s">
        <v>1263</v>
      </c>
      <c r="K1451" t="s">
        <v>466</v>
      </c>
      <c r="L1451" t="s">
        <v>128</v>
      </c>
      <c r="M1451" t="s">
        <v>467</v>
      </c>
      <c r="N1451" t="s">
        <v>8284</v>
      </c>
      <c r="O1451" t="s">
        <v>3115</v>
      </c>
      <c r="P1451">
        <v>0</v>
      </c>
      <c r="Q1451" t="s">
        <v>125</v>
      </c>
      <c r="R1451">
        <v>4</v>
      </c>
      <c r="S1451">
        <v>81</v>
      </c>
      <c r="T1451" t="s">
        <v>132</v>
      </c>
      <c r="U1451" t="s">
        <v>133</v>
      </c>
      <c r="V1451" s="1">
        <v>1500</v>
      </c>
      <c r="W1451">
        <v>0</v>
      </c>
      <c r="X1451" s="1">
        <v>1500</v>
      </c>
      <c r="Y1451">
        <v>7</v>
      </c>
      <c r="Z1451">
        <v>0</v>
      </c>
      <c r="AA1451">
        <v>0</v>
      </c>
      <c r="AB1451">
        <v>0</v>
      </c>
      <c r="AC1451">
        <v>0</v>
      </c>
      <c r="AD1451" t="s">
        <v>134</v>
      </c>
      <c r="AE1451" t="s">
        <v>134</v>
      </c>
      <c r="AF1451" s="2">
        <v>45888</v>
      </c>
      <c r="AG1451" s="2">
        <v>45989</v>
      </c>
      <c r="AH1451">
        <v>812.07</v>
      </c>
      <c r="AI1451">
        <v>891.44</v>
      </c>
      <c r="AJ1451" s="1">
        <v>1624.14</v>
      </c>
      <c r="AK1451">
        <v>0</v>
      </c>
      <c r="AL1451">
        <v>0</v>
      </c>
      <c r="AM1451">
        <v>0</v>
      </c>
      <c r="AN1451" t="s">
        <v>135</v>
      </c>
      <c r="AO1451" t="s">
        <v>135</v>
      </c>
      <c r="AP1451" t="s">
        <v>136</v>
      </c>
      <c r="AQ1451" t="s">
        <v>137</v>
      </c>
      <c r="AR1451" t="s">
        <v>138</v>
      </c>
      <c r="AS1451" t="s">
        <v>150</v>
      </c>
      <c r="AT1451" t="s">
        <v>140</v>
      </c>
      <c r="AU1451">
        <v>106</v>
      </c>
      <c r="AV1451">
        <v>10</v>
      </c>
      <c r="AW1451">
        <v>1</v>
      </c>
      <c r="AX1451" s="2">
        <v>45918</v>
      </c>
      <c r="AY1451" t="s">
        <v>308</v>
      </c>
      <c r="AZ1451" s="2">
        <v>46023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 t="s">
        <v>135</v>
      </c>
      <c r="BH1451" t="s">
        <v>250</v>
      </c>
      <c r="BI1451" t="s">
        <v>135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 s="1">
        <v>1624.14</v>
      </c>
      <c r="BQ1451" s="1">
        <v>1624.14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661.78</v>
      </c>
      <c r="CC1451" t="s">
        <v>161</v>
      </c>
    </row>
    <row r="1452" spans="1:81" x14ac:dyDescent="0.25">
      <c r="A1452">
        <v>345</v>
      </c>
      <c r="B1452">
        <v>2</v>
      </c>
      <c r="C1452">
        <v>3766</v>
      </c>
      <c r="D1452" t="s">
        <v>8285</v>
      </c>
      <c r="E1452" t="s">
        <v>121</v>
      </c>
      <c r="F1452" t="s">
        <v>2527</v>
      </c>
      <c r="G1452" t="s">
        <v>2528</v>
      </c>
      <c r="H1452" t="s">
        <v>8286</v>
      </c>
      <c r="I1452" t="s">
        <v>1860</v>
      </c>
      <c r="J1452" t="s">
        <v>1622</v>
      </c>
      <c r="K1452" t="s">
        <v>336</v>
      </c>
      <c r="L1452" t="s">
        <v>128</v>
      </c>
      <c r="M1452" t="s">
        <v>337</v>
      </c>
      <c r="N1452" t="s">
        <v>8287</v>
      </c>
      <c r="O1452" t="s">
        <v>167</v>
      </c>
      <c r="P1452">
        <v>0</v>
      </c>
      <c r="Q1452" t="s">
        <v>125</v>
      </c>
      <c r="R1452">
        <v>4</v>
      </c>
      <c r="S1452">
        <v>80</v>
      </c>
      <c r="T1452" t="s">
        <v>132</v>
      </c>
      <c r="U1452" t="s">
        <v>133</v>
      </c>
      <c r="V1452" s="1">
        <v>1600</v>
      </c>
      <c r="W1452">
        <v>0</v>
      </c>
      <c r="X1452" s="1">
        <v>1600</v>
      </c>
      <c r="Y1452">
        <v>7</v>
      </c>
      <c r="Z1452">
        <v>0</v>
      </c>
      <c r="AA1452">
        <v>0</v>
      </c>
      <c r="AB1452">
        <v>0</v>
      </c>
      <c r="AC1452">
        <v>0</v>
      </c>
      <c r="AD1452" t="s">
        <v>134</v>
      </c>
      <c r="AE1452" t="s">
        <v>134</v>
      </c>
      <c r="AF1452" s="2">
        <v>45890</v>
      </c>
      <c r="AG1452" s="2">
        <v>46020</v>
      </c>
      <c r="AH1452">
        <v>378.83</v>
      </c>
      <c r="AI1452" s="1">
        <v>1216.78</v>
      </c>
      <c r="AJ1452" s="1">
        <v>3409.54</v>
      </c>
      <c r="AK1452">
        <v>0</v>
      </c>
      <c r="AL1452">
        <v>0</v>
      </c>
      <c r="AM1452">
        <v>0</v>
      </c>
      <c r="AN1452" t="s">
        <v>135</v>
      </c>
      <c r="AO1452" t="s">
        <v>135</v>
      </c>
      <c r="AP1452" t="s">
        <v>136</v>
      </c>
      <c r="AQ1452" t="s">
        <v>137</v>
      </c>
      <c r="AR1452" t="s">
        <v>138</v>
      </c>
      <c r="AS1452" t="s">
        <v>150</v>
      </c>
      <c r="AT1452" t="s">
        <v>140</v>
      </c>
      <c r="AU1452">
        <v>101</v>
      </c>
      <c r="AV1452">
        <v>10</v>
      </c>
      <c r="AW1452">
        <v>1</v>
      </c>
      <c r="AX1452" s="2">
        <v>45892</v>
      </c>
      <c r="AY1452" t="s">
        <v>160</v>
      </c>
      <c r="AZ1452" s="2">
        <v>46025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 t="s">
        <v>135</v>
      </c>
      <c r="BH1452" t="s">
        <v>250</v>
      </c>
      <c r="BI1452" t="s">
        <v>135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793.94</v>
      </c>
      <c r="BQ1452">
        <v>793.94</v>
      </c>
      <c r="BR1452">
        <v>0</v>
      </c>
      <c r="BS1452">
        <v>0</v>
      </c>
      <c r="BT1452">
        <v>0</v>
      </c>
      <c r="BU1452">
        <v>0</v>
      </c>
      <c r="BV1452" s="1">
        <v>1986.01</v>
      </c>
      <c r="BW1452" s="1">
        <v>1986.01</v>
      </c>
      <c r="BX1452">
        <v>0</v>
      </c>
      <c r="BY1452">
        <v>0</v>
      </c>
      <c r="BZ1452">
        <v>0</v>
      </c>
      <c r="CA1452">
        <v>0</v>
      </c>
      <c r="CB1452">
        <v>702.77</v>
      </c>
      <c r="CC1452" t="s">
        <v>161</v>
      </c>
    </row>
    <row r="1453" spans="1:81" x14ac:dyDescent="0.25">
      <c r="A1453">
        <v>345</v>
      </c>
      <c r="B1453">
        <v>2</v>
      </c>
      <c r="C1453">
        <v>3767</v>
      </c>
      <c r="D1453" t="s">
        <v>8288</v>
      </c>
      <c r="E1453" t="s">
        <v>121</v>
      </c>
      <c r="F1453" t="s">
        <v>8289</v>
      </c>
      <c r="G1453" t="s">
        <v>8290</v>
      </c>
      <c r="H1453" t="s">
        <v>6360</v>
      </c>
      <c r="I1453" t="s">
        <v>8283</v>
      </c>
      <c r="J1453" t="s">
        <v>1263</v>
      </c>
      <c r="K1453" t="s">
        <v>466</v>
      </c>
      <c r="L1453" t="s">
        <v>128</v>
      </c>
      <c r="M1453" t="s">
        <v>467</v>
      </c>
      <c r="N1453" t="s">
        <v>8291</v>
      </c>
      <c r="O1453" t="s">
        <v>159</v>
      </c>
      <c r="P1453">
        <v>0</v>
      </c>
      <c r="Q1453" t="s">
        <v>125</v>
      </c>
      <c r="R1453">
        <v>3</v>
      </c>
      <c r="S1453">
        <v>82</v>
      </c>
      <c r="T1453" t="s">
        <v>132</v>
      </c>
      <c r="U1453" t="s">
        <v>133</v>
      </c>
      <c r="V1453" s="1">
        <v>1500</v>
      </c>
      <c r="W1453">
        <v>345.85</v>
      </c>
      <c r="X1453" s="1">
        <v>1154.1500000000001</v>
      </c>
      <c r="Y1453">
        <v>0</v>
      </c>
      <c r="Z1453">
        <v>0</v>
      </c>
      <c r="AA1453">
        <v>7</v>
      </c>
      <c r="AB1453">
        <v>2</v>
      </c>
      <c r="AC1453">
        <v>7</v>
      </c>
      <c r="AD1453" t="s">
        <v>134</v>
      </c>
      <c r="AE1453" t="s">
        <v>134</v>
      </c>
      <c r="AF1453" s="2">
        <v>45891</v>
      </c>
      <c r="AG1453" s="2">
        <v>45996</v>
      </c>
      <c r="AH1453">
        <v>328.33</v>
      </c>
      <c r="AI1453">
        <v>461.45</v>
      </c>
      <c r="AJ1453" s="1">
        <v>2626.67</v>
      </c>
      <c r="AK1453">
        <v>345.85</v>
      </c>
      <c r="AL1453">
        <v>0</v>
      </c>
      <c r="AM1453">
        <v>0</v>
      </c>
      <c r="AN1453" t="s">
        <v>135</v>
      </c>
      <c r="AO1453" t="s">
        <v>135</v>
      </c>
      <c r="AP1453" t="s">
        <v>136</v>
      </c>
      <c r="AQ1453" t="s">
        <v>137</v>
      </c>
      <c r="AR1453" t="s">
        <v>138</v>
      </c>
      <c r="AS1453" t="s">
        <v>139</v>
      </c>
      <c r="AT1453" t="s">
        <v>140</v>
      </c>
      <c r="AU1453">
        <v>106</v>
      </c>
      <c r="AV1453">
        <v>10</v>
      </c>
      <c r="AW1453">
        <v>1</v>
      </c>
      <c r="AX1453" s="2">
        <v>45918</v>
      </c>
      <c r="AY1453" t="s">
        <v>308</v>
      </c>
      <c r="AZ1453" s="2">
        <v>46023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 t="s">
        <v>135</v>
      </c>
      <c r="BH1453" t="s">
        <v>250</v>
      </c>
      <c r="BI1453" t="s">
        <v>135</v>
      </c>
      <c r="BJ1453">
        <v>0</v>
      </c>
      <c r="BK1453">
        <v>0</v>
      </c>
      <c r="BL1453">
        <v>0</v>
      </c>
      <c r="BM1453">
        <v>7</v>
      </c>
      <c r="BN1453">
        <v>7</v>
      </c>
      <c r="BO1453" s="1">
        <v>1203.56</v>
      </c>
      <c r="BP1453">
        <v>0</v>
      </c>
      <c r="BQ1453" s="1">
        <v>1203.56</v>
      </c>
      <c r="BR1453">
        <v>408.54</v>
      </c>
      <c r="BS1453">
        <v>7</v>
      </c>
      <c r="BT1453">
        <v>7</v>
      </c>
      <c r="BU1453">
        <v>345.85</v>
      </c>
      <c r="BV1453">
        <v>0</v>
      </c>
      <c r="BW1453">
        <v>345.85</v>
      </c>
      <c r="BX1453">
        <v>0</v>
      </c>
      <c r="BY1453">
        <v>0</v>
      </c>
      <c r="BZ1453">
        <v>0</v>
      </c>
      <c r="CA1453">
        <v>0</v>
      </c>
      <c r="CB1453">
        <v>882.5</v>
      </c>
      <c r="CC1453" t="s">
        <v>161</v>
      </c>
    </row>
    <row r="1454" spans="1:81" x14ac:dyDescent="0.25">
      <c r="A1454">
        <v>345</v>
      </c>
      <c r="B1454">
        <v>2</v>
      </c>
      <c r="C1454">
        <v>3769</v>
      </c>
      <c r="D1454" t="s">
        <v>8292</v>
      </c>
      <c r="E1454" t="s">
        <v>121</v>
      </c>
      <c r="F1454" t="s">
        <v>8293</v>
      </c>
      <c r="G1454" t="s">
        <v>8294</v>
      </c>
      <c r="H1454" t="s">
        <v>8295</v>
      </c>
      <c r="I1454" t="s">
        <v>8296</v>
      </c>
      <c r="J1454" t="s">
        <v>1009</v>
      </c>
      <c r="K1454" t="s">
        <v>336</v>
      </c>
      <c r="L1454" t="s">
        <v>128</v>
      </c>
      <c r="M1454" t="s">
        <v>337</v>
      </c>
      <c r="N1454" t="s">
        <v>8297</v>
      </c>
      <c r="O1454" t="s">
        <v>201</v>
      </c>
      <c r="P1454">
        <v>0</v>
      </c>
      <c r="Q1454" t="s">
        <v>125</v>
      </c>
      <c r="R1454">
        <v>3</v>
      </c>
      <c r="S1454">
        <v>86</v>
      </c>
      <c r="T1454" t="s">
        <v>132</v>
      </c>
      <c r="U1454" t="s">
        <v>133</v>
      </c>
      <c r="V1454" s="1">
        <v>1000</v>
      </c>
      <c r="W1454">
        <v>0</v>
      </c>
      <c r="X1454" s="1">
        <v>1000</v>
      </c>
      <c r="Y1454">
        <v>7</v>
      </c>
      <c r="Z1454">
        <v>0</v>
      </c>
      <c r="AA1454">
        <v>0</v>
      </c>
      <c r="AB1454">
        <v>0</v>
      </c>
      <c r="AC1454">
        <v>0</v>
      </c>
      <c r="AD1454" t="s">
        <v>134</v>
      </c>
      <c r="AE1454" t="s">
        <v>134</v>
      </c>
      <c r="AF1454" s="2">
        <v>45896</v>
      </c>
      <c r="AG1454" s="2">
        <v>46015</v>
      </c>
      <c r="AH1454">
        <v>139.96</v>
      </c>
      <c r="AI1454">
        <v>181.6</v>
      </c>
      <c r="AJ1454">
        <v>559.86</v>
      </c>
      <c r="AK1454">
        <v>0</v>
      </c>
      <c r="AL1454">
        <v>0</v>
      </c>
      <c r="AM1454">
        <v>0</v>
      </c>
      <c r="AN1454" t="s">
        <v>135</v>
      </c>
      <c r="AO1454" t="s">
        <v>135</v>
      </c>
      <c r="AP1454" t="s">
        <v>136</v>
      </c>
      <c r="AQ1454" t="s">
        <v>137</v>
      </c>
      <c r="AR1454" t="s">
        <v>138</v>
      </c>
      <c r="AS1454" t="s">
        <v>139</v>
      </c>
      <c r="AT1454" t="s">
        <v>140</v>
      </c>
      <c r="AU1454">
        <v>101</v>
      </c>
      <c r="AV1454">
        <v>10</v>
      </c>
      <c r="AW1454">
        <v>1</v>
      </c>
      <c r="AX1454" s="2">
        <v>45902</v>
      </c>
      <c r="AY1454" t="s">
        <v>377</v>
      </c>
      <c r="AZ1454" s="2">
        <v>46028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 t="s">
        <v>135</v>
      </c>
      <c r="BH1454" t="s">
        <v>250</v>
      </c>
      <c r="BI1454" t="s">
        <v>135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167.24</v>
      </c>
      <c r="BQ1454">
        <v>167.24</v>
      </c>
      <c r="BR1454">
        <v>0</v>
      </c>
      <c r="BS1454">
        <v>0</v>
      </c>
      <c r="BT1454">
        <v>0</v>
      </c>
      <c r="BU1454">
        <v>0</v>
      </c>
      <c r="BV1454">
        <v>392.62</v>
      </c>
      <c r="BW1454">
        <v>392.62</v>
      </c>
      <c r="BX1454">
        <v>0</v>
      </c>
      <c r="BY1454">
        <v>0</v>
      </c>
      <c r="BZ1454">
        <v>0</v>
      </c>
      <c r="CA1454">
        <v>0</v>
      </c>
      <c r="CB1454">
        <v>91.67</v>
      </c>
      <c r="CC1454" t="s">
        <v>161</v>
      </c>
    </row>
    <row r="1455" spans="1:81" x14ac:dyDescent="0.25">
      <c r="A1455">
        <v>345</v>
      </c>
      <c r="B1455">
        <v>2</v>
      </c>
      <c r="C1455">
        <v>3771</v>
      </c>
      <c r="D1455" t="s">
        <v>8298</v>
      </c>
      <c r="E1455" t="s">
        <v>121</v>
      </c>
      <c r="F1455" t="s">
        <v>8299</v>
      </c>
      <c r="G1455" t="s">
        <v>8300</v>
      </c>
      <c r="H1455" t="s">
        <v>8301</v>
      </c>
      <c r="I1455" t="s">
        <v>125</v>
      </c>
      <c r="J1455" t="s">
        <v>1263</v>
      </c>
      <c r="K1455" t="s">
        <v>466</v>
      </c>
      <c r="L1455" t="s">
        <v>128</v>
      </c>
      <c r="M1455" t="s">
        <v>467</v>
      </c>
      <c r="N1455" t="s">
        <v>8302</v>
      </c>
      <c r="O1455" t="s">
        <v>3115</v>
      </c>
      <c r="P1455">
        <v>0</v>
      </c>
      <c r="Q1455" t="s">
        <v>125</v>
      </c>
      <c r="R1455">
        <v>3</v>
      </c>
      <c r="S1455">
        <v>83</v>
      </c>
      <c r="T1455" t="s">
        <v>132</v>
      </c>
      <c r="U1455" t="s">
        <v>133</v>
      </c>
      <c r="V1455" s="1">
        <v>2300</v>
      </c>
      <c r="W1455">
        <v>0</v>
      </c>
      <c r="X1455" s="1">
        <v>2300</v>
      </c>
      <c r="Y1455">
        <v>7</v>
      </c>
      <c r="Z1455">
        <v>0</v>
      </c>
      <c r="AA1455">
        <v>5</v>
      </c>
      <c r="AB1455">
        <v>0</v>
      </c>
      <c r="AC1455">
        <v>0</v>
      </c>
      <c r="AD1455" t="s">
        <v>134</v>
      </c>
      <c r="AE1455" t="s">
        <v>134</v>
      </c>
      <c r="AF1455" s="2">
        <v>45896</v>
      </c>
      <c r="AG1455" s="2">
        <v>46015</v>
      </c>
      <c r="AH1455" s="1">
        <v>1067.1600000000001</v>
      </c>
      <c r="AI1455" s="1">
        <v>2417.59</v>
      </c>
      <c r="AJ1455" s="1">
        <v>12805.93</v>
      </c>
      <c r="AK1455">
        <v>0</v>
      </c>
      <c r="AL1455" s="1">
        <v>1156.03</v>
      </c>
      <c r="AM1455">
        <v>0</v>
      </c>
      <c r="AN1455" t="s">
        <v>135</v>
      </c>
      <c r="AO1455" t="s">
        <v>135</v>
      </c>
      <c r="AP1455" t="s">
        <v>136</v>
      </c>
      <c r="AQ1455" t="s">
        <v>137</v>
      </c>
      <c r="AR1455" t="s">
        <v>138</v>
      </c>
      <c r="AS1455" t="s">
        <v>150</v>
      </c>
      <c r="AT1455" t="s">
        <v>140</v>
      </c>
      <c r="AU1455">
        <v>500</v>
      </c>
      <c r="AV1455">
        <v>10</v>
      </c>
      <c r="AW1455">
        <v>1</v>
      </c>
      <c r="AX1455" s="2">
        <v>45902</v>
      </c>
      <c r="AY1455" t="s">
        <v>377</v>
      </c>
      <c r="AZ1455" s="2">
        <v>46028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 t="s">
        <v>135</v>
      </c>
      <c r="BH1455" t="s">
        <v>250</v>
      </c>
      <c r="BI1455" t="s">
        <v>135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 s="1">
        <v>6246.06</v>
      </c>
      <c r="BQ1455" s="1">
        <v>6246.06</v>
      </c>
      <c r="BR1455">
        <v>0</v>
      </c>
      <c r="BS1455">
        <v>0</v>
      </c>
      <c r="BT1455">
        <v>0</v>
      </c>
      <c r="BU1455">
        <v>0</v>
      </c>
      <c r="BV1455" s="1">
        <v>3219.6</v>
      </c>
      <c r="BW1455" s="1">
        <v>3219.6</v>
      </c>
      <c r="BX1455">
        <v>0</v>
      </c>
      <c r="BY1455">
        <v>0</v>
      </c>
      <c r="BZ1455">
        <v>0</v>
      </c>
      <c r="CA1455">
        <v>0</v>
      </c>
      <c r="CB1455" s="1">
        <v>3429.89</v>
      </c>
      <c r="CC1455" t="s">
        <v>161</v>
      </c>
    </row>
    <row r="1456" spans="1:81" x14ac:dyDescent="0.25">
      <c r="A1456">
        <v>345</v>
      </c>
      <c r="B1456">
        <v>2</v>
      </c>
      <c r="C1456">
        <v>3773</v>
      </c>
      <c r="D1456" t="s">
        <v>8303</v>
      </c>
      <c r="E1456" t="s">
        <v>121</v>
      </c>
      <c r="F1456" t="s">
        <v>8304</v>
      </c>
      <c r="G1456" t="s">
        <v>8305</v>
      </c>
      <c r="H1456" t="s">
        <v>8306</v>
      </c>
      <c r="I1456" t="s">
        <v>8307</v>
      </c>
      <c r="J1456" t="s">
        <v>459</v>
      </c>
      <c r="K1456" t="s">
        <v>336</v>
      </c>
      <c r="L1456" t="s">
        <v>128</v>
      </c>
      <c r="M1456" t="s">
        <v>337</v>
      </c>
      <c r="N1456" t="s">
        <v>8308</v>
      </c>
      <c r="O1456" t="s">
        <v>159</v>
      </c>
      <c r="P1456">
        <v>0</v>
      </c>
      <c r="Q1456" t="s">
        <v>125</v>
      </c>
      <c r="R1456">
        <v>4</v>
      </c>
      <c r="S1456">
        <v>80</v>
      </c>
      <c r="T1456" t="s">
        <v>132</v>
      </c>
      <c r="U1456" t="s">
        <v>133</v>
      </c>
      <c r="V1456" s="1">
        <v>1500</v>
      </c>
      <c r="W1456">
        <v>0</v>
      </c>
      <c r="X1456" s="1">
        <v>1500</v>
      </c>
      <c r="Y1456">
        <v>7</v>
      </c>
      <c r="Z1456">
        <v>0</v>
      </c>
      <c r="AA1456">
        <v>0</v>
      </c>
      <c r="AB1456">
        <v>0</v>
      </c>
      <c r="AC1456">
        <v>0</v>
      </c>
      <c r="AD1456" t="s">
        <v>134</v>
      </c>
      <c r="AE1456" t="s">
        <v>134</v>
      </c>
      <c r="AF1456" s="2">
        <v>45902</v>
      </c>
      <c r="AG1456" s="2">
        <v>46004</v>
      </c>
      <c r="AH1456">
        <v>229.2</v>
      </c>
      <c r="AI1456">
        <v>229.2</v>
      </c>
      <c r="AJ1456">
        <v>229.2</v>
      </c>
      <c r="AK1456">
        <v>0</v>
      </c>
      <c r="AL1456">
        <v>0</v>
      </c>
      <c r="AM1456">
        <v>0</v>
      </c>
      <c r="AN1456" t="s">
        <v>135</v>
      </c>
      <c r="AO1456" t="s">
        <v>135</v>
      </c>
      <c r="AP1456" t="s">
        <v>136</v>
      </c>
      <c r="AQ1456" t="s">
        <v>137</v>
      </c>
      <c r="AR1456" t="s">
        <v>138</v>
      </c>
      <c r="AS1456" t="s">
        <v>150</v>
      </c>
      <c r="AT1456" t="s">
        <v>140</v>
      </c>
      <c r="AU1456">
        <v>100</v>
      </c>
      <c r="AV1456">
        <v>10</v>
      </c>
      <c r="AW1456">
        <v>1</v>
      </c>
      <c r="AX1456" s="2">
        <v>45905</v>
      </c>
      <c r="AY1456" t="s">
        <v>151</v>
      </c>
      <c r="AZ1456" s="2">
        <v>46024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 t="s">
        <v>135</v>
      </c>
      <c r="BH1456" t="s">
        <v>250</v>
      </c>
      <c r="BI1456" t="s">
        <v>135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229.2</v>
      </c>
      <c r="BW1456">
        <v>229.2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 t="s">
        <v>161</v>
      </c>
    </row>
    <row r="1457" spans="1:81" x14ac:dyDescent="0.25">
      <c r="A1457">
        <v>345</v>
      </c>
      <c r="B1457">
        <v>2</v>
      </c>
      <c r="C1457">
        <v>3774</v>
      </c>
      <c r="D1457" t="s">
        <v>8309</v>
      </c>
      <c r="E1457" t="s">
        <v>121</v>
      </c>
      <c r="F1457" t="s">
        <v>8310</v>
      </c>
      <c r="G1457" t="s">
        <v>8311</v>
      </c>
      <c r="H1457" t="s">
        <v>8312</v>
      </c>
      <c r="I1457" t="s">
        <v>8313</v>
      </c>
      <c r="J1457" t="s">
        <v>126</v>
      </c>
      <c r="K1457" t="s">
        <v>466</v>
      </c>
      <c r="L1457" t="s">
        <v>128</v>
      </c>
      <c r="M1457" t="s">
        <v>467</v>
      </c>
      <c r="N1457" t="s">
        <v>8314</v>
      </c>
      <c r="O1457" t="s">
        <v>1146</v>
      </c>
      <c r="P1457">
        <v>0</v>
      </c>
      <c r="Q1457" t="s">
        <v>125</v>
      </c>
      <c r="R1457">
        <v>4</v>
      </c>
      <c r="S1457">
        <v>81</v>
      </c>
      <c r="T1457" t="s">
        <v>132</v>
      </c>
      <c r="U1457" t="s">
        <v>133</v>
      </c>
      <c r="V1457" s="1">
        <v>1100</v>
      </c>
      <c r="W1457">
        <v>0</v>
      </c>
      <c r="X1457" s="1">
        <v>1100</v>
      </c>
      <c r="Y1457">
        <v>7</v>
      </c>
      <c r="Z1457">
        <v>0</v>
      </c>
      <c r="AA1457">
        <v>0</v>
      </c>
      <c r="AB1457">
        <v>0</v>
      </c>
      <c r="AC1457">
        <v>0</v>
      </c>
      <c r="AD1457" t="s">
        <v>134</v>
      </c>
      <c r="AE1457" t="s">
        <v>134</v>
      </c>
      <c r="AF1457" s="2">
        <v>45903</v>
      </c>
      <c r="AG1457" s="2">
        <v>46008</v>
      </c>
      <c r="AH1457">
        <v>253.39</v>
      </c>
      <c r="AI1457">
        <v>382.78</v>
      </c>
      <c r="AJ1457">
        <v>760.18</v>
      </c>
      <c r="AK1457">
        <v>0</v>
      </c>
      <c r="AL1457">
        <v>0</v>
      </c>
      <c r="AM1457">
        <v>0</v>
      </c>
      <c r="AN1457" t="s">
        <v>135</v>
      </c>
      <c r="AO1457" t="s">
        <v>135</v>
      </c>
      <c r="AP1457" t="s">
        <v>136</v>
      </c>
      <c r="AQ1457" t="s">
        <v>137</v>
      </c>
      <c r="AR1457" t="s">
        <v>138</v>
      </c>
      <c r="AS1457" t="s">
        <v>139</v>
      </c>
      <c r="AT1457" t="s">
        <v>140</v>
      </c>
      <c r="AU1457">
        <v>105</v>
      </c>
      <c r="AV1457">
        <v>10</v>
      </c>
      <c r="AW1457">
        <v>1</v>
      </c>
      <c r="AX1457" s="2">
        <v>45909</v>
      </c>
      <c r="AY1457" t="s">
        <v>377</v>
      </c>
      <c r="AZ1457" s="2">
        <v>46028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 t="s">
        <v>135</v>
      </c>
      <c r="BH1457" t="s">
        <v>250</v>
      </c>
      <c r="BI1457" t="s">
        <v>135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510.84</v>
      </c>
      <c r="BW1457">
        <v>510.84</v>
      </c>
      <c r="BX1457">
        <v>0</v>
      </c>
      <c r="BY1457">
        <v>0</v>
      </c>
      <c r="BZ1457">
        <v>0</v>
      </c>
      <c r="CA1457">
        <v>0</v>
      </c>
      <c r="CB1457">
        <v>211.06</v>
      </c>
      <c r="CC1457" t="s">
        <v>161</v>
      </c>
    </row>
    <row r="1458" spans="1:81" x14ac:dyDescent="0.25">
      <c r="A1458">
        <v>345</v>
      </c>
      <c r="B1458">
        <v>2</v>
      </c>
      <c r="C1458">
        <v>3775</v>
      </c>
      <c r="D1458" t="s">
        <v>8315</v>
      </c>
      <c r="E1458" t="s">
        <v>121</v>
      </c>
      <c r="F1458" t="s">
        <v>8316</v>
      </c>
      <c r="G1458" t="s">
        <v>8317</v>
      </c>
      <c r="H1458" t="s">
        <v>8318</v>
      </c>
      <c r="I1458" t="s">
        <v>8319</v>
      </c>
      <c r="J1458" t="s">
        <v>1009</v>
      </c>
      <c r="K1458" t="s">
        <v>336</v>
      </c>
      <c r="L1458" t="s">
        <v>128</v>
      </c>
      <c r="M1458" t="s">
        <v>337</v>
      </c>
      <c r="N1458" t="s">
        <v>8320</v>
      </c>
      <c r="O1458" t="s">
        <v>201</v>
      </c>
      <c r="P1458">
        <v>0</v>
      </c>
      <c r="Q1458" t="s">
        <v>125</v>
      </c>
      <c r="R1458">
        <v>3</v>
      </c>
      <c r="S1458">
        <v>85</v>
      </c>
      <c r="T1458" t="s">
        <v>132</v>
      </c>
      <c r="U1458" t="s">
        <v>133</v>
      </c>
      <c r="V1458" s="1">
        <v>1000</v>
      </c>
      <c r="W1458">
        <v>0</v>
      </c>
      <c r="X1458" s="1">
        <v>1000</v>
      </c>
      <c r="Y1458">
        <v>7</v>
      </c>
      <c r="Z1458">
        <v>0</v>
      </c>
      <c r="AA1458">
        <v>0</v>
      </c>
      <c r="AB1458">
        <v>0</v>
      </c>
      <c r="AC1458">
        <v>0</v>
      </c>
      <c r="AD1458" t="s">
        <v>134</v>
      </c>
      <c r="AE1458" t="s">
        <v>134</v>
      </c>
      <c r="AF1458" s="2">
        <v>45903</v>
      </c>
      <c r="AG1458" s="2">
        <v>45994</v>
      </c>
      <c r="AH1458">
        <v>157.06</v>
      </c>
      <c r="AI1458">
        <v>262.61</v>
      </c>
      <c r="AJ1458">
        <v>942.37</v>
      </c>
      <c r="AK1458">
        <v>0</v>
      </c>
      <c r="AL1458">
        <v>0</v>
      </c>
      <c r="AM1458">
        <v>0</v>
      </c>
      <c r="AN1458" t="s">
        <v>135</v>
      </c>
      <c r="AO1458" t="s">
        <v>135</v>
      </c>
      <c r="AP1458" t="s">
        <v>136</v>
      </c>
      <c r="AQ1458" t="s">
        <v>137</v>
      </c>
      <c r="AR1458" t="s">
        <v>138</v>
      </c>
      <c r="AS1458" t="s">
        <v>139</v>
      </c>
      <c r="AT1458" t="s">
        <v>140</v>
      </c>
      <c r="AU1458">
        <v>101</v>
      </c>
      <c r="AV1458">
        <v>10</v>
      </c>
      <c r="AW1458">
        <v>1</v>
      </c>
      <c r="AX1458" s="2">
        <v>45909</v>
      </c>
      <c r="AY1458" t="s">
        <v>377</v>
      </c>
      <c r="AZ1458" s="2">
        <v>46028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 t="s">
        <v>135</v>
      </c>
      <c r="BH1458" t="s">
        <v>250</v>
      </c>
      <c r="BI1458" t="s">
        <v>135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225.77</v>
      </c>
      <c r="BQ1458">
        <v>225.77</v>
      </c>
      <c r="BR1458">
        <v>0</v>
      </c>
      <c r="BS1458">
        <v>0</v>
      </c>
      <c r="BT1458">
        <v>0</v>
      </c>
      <c r="BU1458">
        <v>0</v>
      </c>
      <c r="BV1458">
        <v>262.61</v>
      </c>
      <c r="BW1458">
        <v>262.61</v>
      </c>
      <c r="BX1458">
        <v>0</v>
      </c>
      <c r="BY1458">
        <v>0</v>
      </c>
      <c r="BZ1458">
        <v>0</v>
      </c>
      <c r="CA1458">
        <v>0</v>
      </c>
      <c r="CB1458">
        <v>464.19</v>
      </c>
      <c r="CC1458" t="s">
        <v>161</v>
      </c>
    </row>
    <row r="1459" spans="1:81" x14ac:dyDescent="0.25">
      <c r="A1459">
        <v>345</v>
      </c>
      <c r="B1459">
        <v>2</v>
      </c>
      <c r="C1459">
        <v>3776</v>
      </c>
      <c r="D1459" t="s">
        <v>8321</v>
      </c>
      <c r="E1459" t="s">
        <v>121</v>
      </c>
      <c r="F1459" t="s">
        <v>8322</v>
      </c>
      <c r="G1459" t="s">
        <v>8323</v>
      </c>
      <c r="H1459" t="s">
        <v>8324</v>
      </c>
      <c r="I1459" t="s">
        <v>8058</v>
      </c>
      <c r="J1459" t="s">
        <v>126</v>
      </c>
      <c r="K1459" t="s">
        <v>466</v>
      </c>
      <c r="L1459" t="s">
        <v>128</v>
      </c>
      <c r="M1459" t="s">
        <v>467</v>
      </c>
      <c r="N1459" t="s">
        <v>8325</v>
      </c>
      <c r="O1459" t="s">
        <v>201</v>
      </c>
      <c r="P1459">
        <v>0</v>
      </c>
      <c r="Q1459" t="s">
        <v>125</v>
      </c>
      <c r="R1459">
        <v>3</v>
      </c>
      <c r="S1459">
        <v>84</v>
      </c>
      <c r="T1459" t="s">
        <v>132</v>
      </c>
      <c r="U1459" t="s">
        <v>133</v>
      </c>
      <c r="V1459" s="1">
        <v>1000</v>
      </c>
      <c r="W1459">
        <v>0</v>
      </c>
      <c r="X1459" s="1">
        <v>1000</v>
      </c>
      <c r="Y1459">
        <v>7</v>
      </c>
      <c r="Z1459">
        <v>0</v>
      </c>
      <c r="AA1459">
        <v>0</v>
      </c>
      <c r="AB1459">
        <v>0</v>
      </c>
      <c r="AC1459">
        <v>0</v>
      </c>
      <c r="AD1459" t="s">
        <v>134</v>
      </c>
      <c r="AE1459" t="s">
        <v>134</v>
      </c>
      <c r="AF1459" s="2">
        <v>45904</v>
      </c>
      <c r="AG1459" s="2">
        <v>45946</v>
      </c>
      <c r="AH1459">
        <v>153.80000000000001</v>
      </c>
      <c r="AI1459">
        <v>153.80000000000001</v>
      </c>
      <c r="AJ1459">
        <v>153.80000000000001</v>
      </c>
      <c r="AK1459">
        <v>0</v>
      </c>
      <c r="AL1459">
        <v>0</v>
      </c>
      <c r="AM1459">
        <v>0</v>
      </c>
      <c r="AN1459" t="s">
        <v>135</v>
      </c>
      <c r="AO1459" t="s">
        <v>135</v>
      </c>
      <c r="AP1459" t="s">
        <v>136</v>
      </c>
      <c r="AQ1459" t="s">
        <v>137</v>
      </c>
      <c r="AR1459" t="s">
        <v>138</v>
      </c>
      <c r="AS1459" t="s">
        <v>139</v>
      </c>
      <c r="AT1459" t="s">
        <v>140</v>
      </c>
      <c r="AU1459">
        <v>105</v>
      </c>
      <c r="AV1459">
        <v>10</v>
      </c>
      <c r="AW1459">
        <v>1</v>
      </c>
      <c r="AX1459" s="2">
        <v>45909</v>
      </c>
      <c r="AY1459" t="s">
        <v>377</v>
      </c>
      <c r="AZ1459" s="2">
        <v>46028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 t="s">
        <v>135</v>
      </c>
      <c r="BH1459" t="s">
        <v>250</v>
      </c>
      <c r="BI1459" t="s">
        <v>135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126.6</v>
      </c>
      <c r="CC1459" t="s">
        <v>161</v>
      </c>
    </row>
    <row r="1460" spans="1:81" x14ac:dyDescent="0.25">
      <c r="A1460">
        <v>345</v>
      </c>
      <c r="B1460">
        <v>2</v>
      </c>
      <c r="C1460">
        <v>3777</v>
      </c>
      <c r="D1460" t="s">
        <v>8326</v>
      </c>
      <c r="E1460" t="s">
        <v>121</v>
      </c>
      <c r="F1460" t="s">
        <v>8327</v>
      </c>
      <c r="G1460" t="s">
        <v>8328</v>
      </c>
      <c r="H1460" t="s">
        <v>8329</v>
      </c>
      <c r="I1460" t="s">
        <v>8330</v>
      </c>
      <c r="J1460" t="s">
        <v>572</v>
      </c>
      <c r="K1460" t="s">
        <v>466</v>
      </c>
      <c r="L1460" t="s">
        <v>128</v>
      </c>
      <c r="M1460" t="s">
        <v>467</v>
      </c>
      <c r="N1460" t="s">
        <v>8331</v>
      </c>
      <c r="O1460" t="s">
        <v>201</v>
      </c>
      <c r="P1460">
        <v>0</v>
      </c>
      <c r="Q1460" t="s">
        <v>125</v>
      </c>
      <c r="R1460">
        <v>3</v>
      </c>
      <c r="S1460">
        <v>84</v>
      </c>
      <c r="T1460" t="s">
        <v>132</v>
      </c>
      <c r="U1460" t="s">
        <v>133</v>
      </c>
      <c r="V1460" s="1">
        <v>1500</v>
      </c>
      <c r="W1460">
        <v>0</v>
      </c>
      <c r="X1460" s="1">
        <v>1500</v>
      </c>
      <c r="Y1460">
        <v>7</v>
      </c>
      <c r="Z1460">
        <v>0</v>
      </c>
      <c r="AA1460">
        <v>0</v>
      </c>
      <c r="AB1460">
        <v>0</v>
      </c>
      <c r="AC1460">
        <v>0</v>
      </c>
      <c r="AD1460" t="s">
        <v>134</v>
      </c>
      <c r="AE1460" t="s">
        <v>134</v>
      </c>
      <c r="AF1460" s="2">
        <v>45904</v>
      </c>
      <c r="AG1460" s="2">
        <v>46015</v>
      </c>
      <c r="AH1460">
        <v>671.85</v>
      </c>
      <c r="AI1460" s="1">
        <v>1394.3</v>
      </c>
      <c r="AJ1460" s="1">
        <v>3359.28</v>
      </c>
      <c r="AK1460">
        <v>0</v>
      </c>
      <c r="AL1460">
        <v>0</v>
      </c>
      <c r="AM1460">
        <v>0</v>
      </c>
      <c r="AN1460" t="s">
        <v>135</v>
      </c>
      <c r="AO1460" t="s">
        <v>135</v>
      </c>
      <c r="AP1460" t="s">
        <v>136</v>
      </c>
      <c r="AQ1460" t="s">
        <v>137</v>
      </c>
      <c r="AR1460" t="s">
        <v>138</v>
      </c>
      <c r="AS1460" t="s">
        <v>139</v>
      </c>
      <c r="AT1460" t="s">
        <v>140</v>
      </c>
      <c r="AU1460">
        <v>105</v>
      </c>
      <c r="AV1460">
        <v>10</v>
      </c>
      <c r="AW1460">
        <v>1</v>
      </c>
      <c r="AX1460" s="2">
        <v>45909</v>
      </c>
      <c r="AY1460" t="s">
        <v>377</v>
      </c>
      <c r="AZ1460" s="2">
        <v>46028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 t="s">
        <v>135</v>
      </c>
      <c r="BH1460" t="s">
        <v>250</v>
      </c>
      <c r="BI1460" t="s">
        <v>135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948.7</v>
      </c>
      <c r="BQ1460">
        <v>948.7</v>
      </c>
      <c r="BR1460">
        <v>0</v>
      </c>
      <c r="BS1460">
        <v>0</v>
      </c>
      <c r="BT1460">
        <v>0</v>
      </c>
      <c r="BU1460">
        <v>0</v>
      </c>
      <c r="BV1460" s="1">
        <v>1016.28</v>
      </c>
      <c r="BW1460" s="1">
        <v>1016.28</v>
      </c>
      <c r="BX1460">
        <v>0</v>
      </c>
      <c r="BY1460">
        <v>0</v>
      </c>
      <c r="BZ1460">
        <v>0</v>
      </c>
      <c r="CA1460">
        <v>0</v>
      </c>
      <c r="CB1460" s="1">
        <v>1308.18</v>
      </c>
      <c r="CC1460" t="s">
        <v>161</v>
      </c>
    </row>
    <row r="1461" spans="1:81" x14ac:dyDescent="0.25">
      <c r="A1461">
        <v>345</v>
      </c>
      <c r="B1461">
        <v>2</v>
      </c>
      <c r="C1461">
        <v>3778</v>
      </c>
      <c r="D1461" t="s">
        <v>8332</v>
      </c>
      <c r="E1461" t="s">
        <v>121</v>
      </c>
      <c r="F1461" t="s">
        <v>8333</v>
      </c>
      <c r="G1461" t="s">
        <v>8334</v>
      </c>
      <c r="H1461" t="s">
        <v>8335</v>
      </c>
      <c r="I1461" t="s">
        <v>8336</v>
      </c>
      <c r="J1461" t="s">
        <v>793</v>
      </c>
      <c r="K1461" t="s">
        <v>336</v>
      </c>
      <c r="L1461" t="s">
        <v>128</v>
      </c>
      <c r="M1461" t="s">
        <v>337</v>
      </c>
      <c r="N1461" t="s">
        <v>8337</v>
      </c>
      <c r="O1461" t="s">
        <v>131</v>
      </c>
      <c r="P1461">
        <v>0</v>
      </c>
      <c r="Q1461" t="s">
        <v>125</v>
      </c>
      <c r="R1461">
        <v>3</v>
      </c>
      <c r="S1461">
        <v>86</v>
      </c>
      <c r="T1461" t="s">
        <v>132</v>
      </c>
      <c r="U1461" t="s">
        <v>133</v>
      </c>
      <c r="V1461" s="1">
        <v>1000</v>
      </c>
      <c r="W1461">
        <v>346.41</v>
      </c>
      <c r="X1461">
        <v>653.59</v>
      </c>
      <c r="Y1461">
        <v>0</v>
      </c>
      <c r="Z1461">
        <v>0</v>
      </c>
      <c r="AA1461">
        <v>2</v>
      </c>
      <c r="AB1461">
        <v>0</v>
      </c>
      <c r="AC1461">
        <v>0</v>
      </c>
      <c r="AD1461" t="s">
        <v>134</v>
      </c>
      <c r="AE1461" t="s">
        <v>134</v>
      </c>
      <c r="AF1461" s="2">
        <v>45905</v>
      </c>
      <c r="AG1461" s="2">
        <v>46018</v>
      </c>
      <c r="AH1461">
        <v>369.85</v>
      </c>
      <c r="AI1461">
        <v>559.22</v>
      </c>
      <c r="AJ1461" s="1">
        <v>2958.86</v>
      </c>
      <c r="AK1461">
        <v>346.41</v>
      </c>
      <c r="AL1461">
        <v>0</v>
      </c>
      <c r="AM1461">
        <v>0</v>
      </c>
      <c r="AN1461" t="s">
        <v>135</v>
      </c>
      <c r="AO1461" t="s">
        <v>135</v>
      </c>
      <c r="AP1461" t="s">
        <v>136</v>
      </c>
      <c r="AQ1461" t="s">
        <v>137</v>
      </c>
      <c r="AR1461" t="s">
        <v>138</v>
      </c>
      <c r="AS1461" t="s">
        <v>139</v>
      </c>
      <c r="AT1461" t="s">
        <v>140</v>
      </c>
      <c r="AU1461">
        <v>104</v>
      </c>
      <c r="AV1461">
        <v>10</v>
      </c>
      <c r="AW1461">
        <v>1</v>
      </c>
      <c r="AX1461" s="2">
        <v>45911</v>
      </c>
      <c r="AY1461" t="s">
        <v>308</v>
      </c>
      <c r="AZ1461" s="2">
        <v>46023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 t="s">
        <v>135</v>
      </c>
      <c r="BH1461" t="s">
        <v>250</v>
      </c>
      <c r="BI1461" t="s">
        <v>135</v>
      </c>
      <c r="BJ1461">
        <v>0</v>
      </c>
      <c r="BK1461">
        <v>0</v>
      </c>
      <c r="BL1461">
        <v>0</v>
      </c>
      <c r="BM1461">
        <v>2</v>
      </c>
      <c r="BN1461">
        <v>1.64</v>
      </c>
      <c r="BO1461" s="1">
        <v>1053.1600000000001</v>
      </c>
      <c r="BP1461">
        <v>229.2</v>
      </c>
      <c r="BQ1461" s="1">
        <v>1282.3599999999999</v>
      </c>
      <c r="BR1461">
        <v>0</v>
      </c>
      <c r="BS1461">
        <v>2</v>
      </c>
      <c r="BT1461">
        <v>0.65</v>
      </c>
      <c r="BU1461">
        <v>346.41</v>
      </c>
      <c r="BV1461">
        <v>722.58</v>
      </c>
      <c r="BW1461" s="1">
        <v>1068.99</v>
      </c>
      <c r="BX1461">
        <v>0</v>
      </c>
      <c r="BY1461">
        <v>0</v>
      </c>
      <c r="BZ1461">
        <v>0</v>
      </c>
      <c r="CA1461">
        <v>0</v>
      </c>
      <c r="CB1461">
        <v>945.56</v>
      </c>
      <c r="CC1461" t="s">
        <v>161</v>
      </c>
    </row>
    <row r="1462" spans="1:81" x14ac:dyDescent="0.25">
      <c r="A1462">
        <v>345</v>
      </c>
      <c r="B1462">
        <v>2</v>
      </c>
      <c r="C1462">
        <v>3780</v>
      </c>
      <c r="D1462" t="s">
        <v>8338</v>
      </c>
      <c r="E1462" t="s">
        <v>121</v>
      </c>
      <c r="F1462" t="s">
        <v>8339</v>
      </c>
      <c r="G1462" t="s">
        <v>8340</v>
      </c>
      <c r="H1462" t="s">
        <v>6833</v>
      </c>
      <c r="I1462" t="s">
        <v>8341</v>
      </c>
      <c r="J1462" t="s">
        <v>5182</v>
      </c>
      <c r="K1462" t="s">
        <v>1853</v>
      </c>
      <c r="L1462" t="s">
        <v>128</v>
      </c>
      <c r="M1462" t="s">
        <v>1854</v>
      </c>
      <c r="N1462" t="s">
        <v>8342</v>
      </c>
      <c r="O1462" t="s">
        <v>167</v>
      </c>
      <c r="P1462">
        <v>0</v>
      </c>
      <c r="Q1462" t="s">
        <v>125</v>
      </c>
      <c r="R1462">
        <v>4</v>
      </c>
      <c r="S1462">
        <v>81</v>
      </c>
      <c r="T1462" t="s">
        <v>132</v>
      </c>
      <c r="U1462" t="s">
        <v>133</v>
      </c>
      <c r="V1462" s="1">
        <v>1700</v>
      </c>
      <c r="W1462">
        <v>698.23</v>
      </c>
      <c r="X1462" s="1">
        <v>1001.77</v>
      </c>
      <c r="Y1462">
        <v>0</v>
      </c>
      <c r="Z1462">
        <v>0</v>
      </c>
      <c r="AA1462">
        <v>4</v>
      </c>
      <c r="AB1462">
        <v>6</v>
      </c>
      <c r="AC1462">
        <v>0</v>
      </c>
      <c r="AD1462" t="s">
        <v>134</v>
      </c>
      <c r="AE1462" t="s">
        <v>134</v>
      </c>
      <c r="AF1462" s="2">
        <v>45908</v>
      </c>
      <c r="AG1462" s="2">
        <v>45995</v>
      </c>
      <c r="AH1462">
        <v>560.79</v>
      </c>
      <c r="AI1462" s="1">
        <v>1006.67</v>
      </c>
      <c r="AJ1462" s="1">
        <v>2243.1799999999998</v>
      </c>
      <c r="AK1462">
        <v>698.23</v>
      </c>
      <c r="AL1462">
        <v>0</v>
      </c>
      <c r="AM1462">
        <v>0</v>
      </c>
      <c r="AN1462" t="s">
        <v>135</v>
      </c>
      <c r="AO1462" t="s">
        <v>135</v>
      </c>
      <c r="AP1462" t="s">
        <v>136</v>
      </c>
      <c r="AQ1462" t="s">
        <v>137</v>
      </c>
      <c r="AR1462" t="s">
        <v>138</v>
      </c>
      <c r="AS1462" t="s">
        <v>139</v>
      </c>
      <c r="AT1462" t="s">
        <v>140</v>
      </c>
      <c r="AU1462">
        <v>103</v>
      </c>
      <c r="AV1462">
        <v>10</v>
      </c>
      <c r="AW1462">
        <v>1</v>
      </c>
      <c r="AX1462" s="2">
        <v>45910</v>
      </c>
      <c r="AY1462" t="s">
        <v>168</v>
      </c>
      <c r="AZ1462" s="2">
        <v>46022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 t="s">
        <v>135</v>
      </c>
      <c r="BH1462" t="s">
        <v>250</v>
      </c>
      <c r="BI1462" t="s">
        <v>135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 s="1">
        <v>1355.61</v>
      </c>
      <c r="BQ1462" s="1">
        <v>1355.61</v>
      </c>
      <c r="BR1462">
        <v>0</v>
      </c>
      <c r="BS1462">
        <v>4</v>
      </c>
      <c r="BT1462">
        <v>4</v>
      </c>
      <c r="BU1462">
        <v>698.23</v>
      </c>
      <c r="BV1462">
        <v>0</v>
      </c>
      <c r="BW1462">
        <v>698.23</v>
      </c>
      <c r="BX1462">
        <v>0</v>
      </c>
      <c r="BY1462">
        <v>0</v>
      </c>
      <c r="BZ1462">
        <v>0</v>
      </c>
      <c r="CA1462">
        <v>0</v>
      </c>
      <c r="CB1462">
        <v>603.69000000000005</v>
      </c>
      <c r="CC1462" t="s">
        <v>161</v>
      </c>
    </row>
    <row r="1463" spans="1:81" x14ac:dyDescent="0.25">
      <c r="A1463">
        <v>345</v>
      </c>
      <c r="B1463">
        <v>2</v>
      </c>
      <c r="C1463">
        <v>3782</v>
      </c>
      <c r="D1463" t="s">
        <v>8343</v>
      </c>
      <c r="E1463" t="s">
        <v>121</v>
      </c>
      <c r="F1463" t="s">
        <v>8344</v>
      </c>
      <c r="G1463" t="s">
        <v>8345</v>
      </c>
      <c r="H1463" t="s">
        <v>8346</v>
      </c>
      <c r="I1463" t="s">
        <v>8347</v>
      </c>
      <c r="J1463" t="s">
        <v>8348</v>
      </c>
      <c r="K1463" t="s">
        <v>336</v>
      </c>
      <c r="L1463" t="s">
        <v>128</v>
      </c>
      <c r="M1463" t="s">
        <v>337</v>
      </c>
      <c r="N1463" t="s">
        <v>8349</v>
      </c>
      <c r="O1463" t="s">
        <v>159</v>
      </c>
      <c r="P1463">
        <v>0</v>
      </c>
      <c r="Q1463" t="s">
        <v>125</v>
      </c>
      <c r="R1463">
        <v>3</v>
      </c>
      <c r="S1463">
        <v>82</v>
      </c>
      <c r="T1463" t="s">
        <v>132</v>
      </c>
      <c r="U1463" t="s">
        <v>133</v>
      </c>
      <c r="V1463" s="1">
        <v>2200</v>
      </c>
      <c r="W1463">
        <v>0</v>
      </c>
      <c r="X1463" s="1">
        <v>2200</v>
      </c>
      <c r="Y1463">
        <v>7</v>
      </c>
      <c r="Z1463">
        <v>0</v>
      </c>
      <c r="AA1463">
        <v>0</v>
      </c>
      <c r="AB1463">
        <v>0</v>
      </c>
      <c r="AC1463">
        <v>0</v>
      </c>
      <c r="AD1463" t="s">
        <v>134</v>
      </c>
      <c r="AE1463" t="s">
        <v>134</v>
      </c>
      <c r="AF1463" s="2">
        <v>45909</v>
      </c>
      <c r="AG1463" s="2">
        <v>46014</v>
      </c>
      <c r="AH1463" s="1">
        <v>1160.3499999999999</v>
      </c>
      <c r="AI1463" s="1">
        <v>2177.4299999999998</v>
      </c>
      <c r="AJ1463" s="1">
        <v>15084.66</v>
      </c>
      <c r="AK1463">
        <v>0</v>
      </c>
      <c r="AL1463" s="1">
        <v>2177.4299999999998</v>
      </c>
      <c r="AM1463">
        <v>0</v>
      </c>
      <c r="AN1463" t="s">
        <v>135</v>
      </c>
      <c r="AO1463" t="s">
        <v>135</v>
      </c>
      <c r="AP1463" t="s">
        <v>136</v>
      </c>
      <c r="AQ1463" t="s">
        <v>137</v>
      </c>
      <c r="AR1463" t="s">
        <v>138</v>
      </c>
      <c r="AS1463" t="s">
        <v>139</v>
      </c>
      <c r="AT1463" t="s">
        <v>140</v>
      </c>
      <c r="AU1463">
        <v>104</v>
      </c>
      <c r="AV1463">
        <v>10</v>
      </c>
      <c r="AW1463">
        <v>1</v>
      </c>
      <c r="AX1463" s="2">
        <v>45915</v>
      </c>
      <c r="AY1463" t="s">
        <v>141</v>
      </c>
      <c r="AZ1463" s="2">
        <v>46027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 t="s">
        <v>135</v>
      </c>
      <c r="BH1463" t="s">
        <v>250</v>
      </c>
      <c r="BI1463" t="s">
        <v>135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 s="1">
        <v>3682.73</v>
      </c>
      <c r="BQ1463" s="1">
        <v>3682.73</v>
      </c>
      <c r="BR1463">
        <v>0</v>
      </c>
      <c r="BS1463">
        <v>0</v>
      </c>
      <c r="BT1463">
        <v>0</v>
      </c>
      <c r="BU1463">
        <v>0</v>
      </c>
      <c r="BV1463" s="1">
        <v>6918.24</v>
      </c>
      <c r="BW1463" s="1">
        <v>6918.24</v>
      </c>
      <c r="BX1463">
        <v>0</v>
      </c>
      <c r="BY1463">
        <v>0</v>
      </c>
      <c r="BZ1463">
        <v>0</v>
      </c>
      <c r="CA1463">
        <v>0</v>
      </c>
      <c r="CB1463" s="1">
        <v>3361.85</v>
      </c>
      <c r="CC1463" t="s">
        <v>161</v>
      </c>
    </row>
    <row r="1464" spans="1:81" x14ac:dyDescent="0.25">
      <c r="A1464">
        <v>345</v>
      </c>
      <c r="B1464">
        <v>2</v>
      </c>
      <c r="C1464">
        <v>3783</v>
      </c>
      <c r="D1464" t="s">
        <v>8350</v>
      </c>
      <c r="E1464" t="s">
        <v>121</v>
      </c>
      <c r="F1464" t="s">
        <v>8351</v>
      </c>
      <c r="G1464" t="s">
        <v>8352</v>
      </c>
      <c r="H1464" t="s">
        <v>8353</v>
      </c>
      <c r="I1464" t="s">
        <v>8354</v>
      </c>
      <c r="J1464" t="s">
        <v>4569</v>
      </c>
      <c r="K1464" t="s">
        <v>466</v>
      </c>
      <c r="L1464" t="s">
        <v>128</v>
      </c>
      <c r="M1464" t="s">
        <v>467</v>
      </c>
      <c r="N1464" t="s">
        <v>8355</v>
      </c>
      <c r="O1464" t="s">
        <v>167</v>
      </c>
      <c r="P1464">
        <v>0</v>
      </c>
      <c r="Q1464" t="s">
        <v>125</v>
      </c>
      <c r="R1464">
        <v>3</v>
      </c>
      <c r="S1464">
        <v>83</v>
      </c>
      <c r="T1464" t="s">
        <v>132</v>
      </c>
      <c r="U1464" t="s">
        <v>133</v>
      </c>
      <c r="V1464" s="1">
        <v>2700</v>
      </c>
      <c r="W1464">
        <v>0</v>
      </c>
      <c r="X1464" s="1">
        <v>2700</v>
      </c>
      <c r="Y1464">
        <v>7</v>
      </c>
      <c r="Z1464">
        <v>0</v>
      </c>
      <c r="AA1464">
        <v>7</v>
      </c>
      <c r="AB1464">
        <v>0</v>
      </c>
      <c r="AC1464">
        <v>0</v>
      </c>
      <c r="AD1464" t="s">
        <v>134</v>
      </c>
      <c r="AE1464" t="s">
        <v>134</v>
      </c>
      <c r="AF1464" s="2">
        <v>45909</v>
      </c>
      <c r="AG1464" s="2">
        <v>46021</v>
      </c>
      <c r="AH1464" s="1">
        <v>1416.05</v>
      </c>
      <c r="AI1464" s="1">
        <v>2219.0300000000002</v>
      </c>
      <c r="AJ1464" s="1">
        <v>18408.72</v>
      </c>
      <c r="AK1464">
        <v>0</v>
      </c>
      <c r="AL1464">
        <v>0</v>
      </c>
      <c r="AM1464">
        <v>0</v>
      </c>
      <c r="AN1464" t="s">
        <v>135</v>
      </c>
      <c r="AO1464" t="s">
        <v>135</v>
      </c>
      <c r="AP1464" t="s">
        <v>136</v>
      </c>
      <c r="AQ1464" t="s">
        <v>137</v>
      </c>
      <c r="AR1464" t="s">
        <v>138</v>
      </c>
      <c r="AS1464" t="s">
        <v>139</v>
      </c>
      <c r="AT1464" t="s">
        <v>140</v>
      </c>
      <c r="AU1464">
        <v>105</v>
      </c>
      <c r="AV1464">
        <v>10</v>
      </c>
      <c r="AW1464">
        <v>1</v>
      </c>
      <c r="AX1464" s="2">
        <v>45915</v>
      </c>
      <c r="AY1464" t="s">
        <v>141</v>
      </c>
      <c r="AZ1464" s="2">
        <v>46027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 t="s">
        <v>135</v>
      </c>
      <c r="BH1464" t="s">
        <v>250</v>
      </c>
      <c r="BI1464" t="s">
        <v>135</v>
      </c>
      <c r="BJ1464">
        <v>0</v>
      </c>
      <c r="BK1464">
        <v>0</v>
      </c>
      <c r="BL1464">
        <v>0</v>
      </c>
      <c r="BM1464">
        <v>7</v>
      </c>
      <c r="BN1464">
        <v>3.57</v>
      </c>
      <c r="BO1464" s="1">
        <v>2126.9699999999998</v>
      </c>
      <c r="BP1464" s="1">
        <v>2044.49</v>
      </c>
      <c r="BQ1464" s="1">
        <v>4171.46</v>
      </c>
      <c r="BR1464" s="1">
        <v>1106.1099999999999</v>
      </c>
      <c r="BS1464">
        <v>0</v>
      </c>
      <c r="BT1464">
        <v>0</v>
      </c>
      <c r="BU1464">
        <v>0</v>
      </c>
      <c r="BV1464" s="1">
        <v>8475.08</v>
      </c>
      <c r="BW1464" s="1">
        <v>8475.08</v>
      </c>
      <c r="BX1464">
        <v>0</v>
      </c>
      <c r="BY1464">
        <v>0</v>
      </c>
      <c r="BZ1464">
        <v>0</v>
      </c>
      <c r="CA1464">
        <v>0</v>
      </c>
      <c r="CB1464" s="1">
        <v>4431.71</v>
      </c>
      <c r="CC1464" t="s">
        <v>161</v>
      </c>
    </row>
    <row r="1465" spans="1:81" x14ac:dyDescent="0.25">
      <c r="A1465">
        <v>345</v>
      </c>
      <c r="B1465">
        <v>2</v>
      </c>
      <c r="C1465">
        <v>3784</v>
      </c>
      <c r="D1465" t="s">
        <v>8356</v>
      </c>
      <c r="E1465" t="s">
        <v>121</v>
      </c>
      <c r="F1465" t="s">
        <v>8357</v>
      </c>
      <c r="G1465" t="s">
        <v>8358</v>
      </c>
      <c r="H1465" t="s">
        <v>8359</v>
      </c>
      <c r="I1465" t="s">
        <v>8360</v>
      </c>
      <c r="J1465" t="s">
        <v>4569</v>
      </c>
      <c r="K1465" t="s">
        <v>1853</v>
      </c>
      <c r="L1465" t="s">
        <v>128</v>
      </c>
      <c r="M1465" t="s">
        <v>1854</v>
      </c>
      <c r="N1465" t="s">
        <v>8361</v>
      </c>
      <c r="O1465" t="s">
        <v>201</v>
      </c>
      <c r="P1465">
        <v>0</v>
      </c>
      <c r="Q1465" t="s">
        <v>125</v>
      </c>
      <c r="R1465">
        <v>3</v>
      </c>
      <c r="S1465">
        <v>85</v>
      </c>
      <c r="T1465" t="s">
        <v>132</v>
      </c>
      <c r="U1465" t="s">
        <v>133</v>
      </c>
      <c r="V1465" s="1">
        <v>2800</v>
      </c>
      <c r="W1465">
        <v>0</v>
      </c>
      <c r="X1465" s="1">
        <v>2800</v>
      </c>
      <c r="Y1465">
        <v>7</v>
      </c>
      <c r="Z1465">
        <v>0</v>
      </c>
      <c r="AA1465">
        <v>0</v>
      </c>
      <c r="AB1465">
        <v>0</v>
      </c>
      <c r="AC1465">
        <v>0</v>
      </c>
      <c r="AD1465" t="s">
        <v>134</v>
      </c>
      <c r="AE1465" t="s">
        <v>134</v>
      </c>
      <c r="AF1465" s="2">
        <v>45909</v>
      </c>
      <c r="AG1465" s="2">
        <v>46002</v>
      </c>
      <c r="AH1465" s="1">
        <v>1415.38</v>
      </c>
      <c r="AI1465" s="1">
        <v>2313.61</v>
      </c>
      <c r="AJ1465" s="1">
        <v>8492.33</v>
      </c>
      <c r="AK1465">
        <v>0</v>
      </c>
      <c r="AL1465">
        <v>0</v>
      </c>
      <c r="AM1465">
        <v>0</v>
      </c>
      <c r="AN1465" t="s">
        <v>135</v>
      </c>
      <c r="AO1465" t="s">
        <v>135</v>
      </c>
      <c r="AP1465" t="s">
        <v>136</v>
      </c>
      <c r="AQ1465" t="s">
        <v>137</v>
      </c>
      <c r="AR1465" t="s">
        <v>138</v>
      </c>
      <c r="AS1465" t="s">
        <v>139</v>
      </c>
      <c r="AT1465" t="s">
        <v>140</v>
      </c>
      <c r="AU1465">
        <v>103</v>
      </c>
      <c r="AV1465">
        <v>10</v>
      </c>
      <c r="AW1465">
        <v>1</v>
      </c>
      <c r="AX1465" s="2">
        <v>45910</v>
      </c>
      <c r="AY1465" t="s">
        <v>168</v>
      </c>
      <c r="AZ1465" s="2">
        <v>46022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 t="s">
        <v>135</v>
      </c>
      <c r="BH1465" t="s">
        <v>250</v>
      </c>
      <c r="BI1465" t="s">
        <v>135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 s="1">
        <v>6034.58</v>
      </c>
      <c r="BQ1465" s="1">
        <v>6034.58</v>
      </c>
      <c r="BR1465">
        <v>0</v>
      </c>
      <c r="BS1465">
        <v>0</v>
      </c>
      <c r="BT1465">
        <v>0</v>
      </c>
      <c r="BU1465">
        <v>0</v>
      </c>
      <c r="BV1465" s="1">
        <v>1305.96</v>
      </c>
      <c r="BW1465" s="1">
        <v>1305.96</v>
      </c>
      <c r="BX1465">
        <v>0</v>
      </c>
      <c r="BY1465">
        <v>0</v>
      </c>
      <c r="BZ1465">
        <v>0</v>
      </c>
      <c r="CA1465">
        <v>0</v>
      </c>
      <c r="CB1465" s="1">
        <v>2707.12</v>
      </c>
      <c r="CC1465" t="s">
        <v>161</v>
      </c>
    </row>
    <row r="1466" spans="1:81" x14ac:dyDescent="0.25">
      <c r="A1466">
        <v>345</v>
      </c>
      <c r="B1466">
        <v>2</v>
      </c>
      <c r="C1466">
        <v>3787</v>
      </c>
      <c r="D1466" t="s">
        <v>8362</v>
      </c>
      <c r="E1466" t="s">
        <v>121</v>
      </c>
      <c r="F1466" t="s">
        <v>8363</v>
      </c>
      <c r="G1466" t="s">
        <v>8364</v>
      </c>
      <c r="H1466" t="s">
        <v>8365</v>
      </c>
      <c r="I1466" t="s">
        <v>8366</v>
      </c>
      <c r="J1466" t="s">
        <v>126</v>
      </c>
      <c r="K1466" t="s">
        <v>1853</v>
      </c>
      <c r="L1466" t="s">
        <v>128</v>
      </c>
      <c r="M1466" t="s">
        <v>1854</v>
      </c>
      <c r="N1466" t="s">
        <v>8367</v>
      </c>
      <c r="O1466" t="s">
        <v>159</v>
      </c>
      <c r="P1466">
        <v>0</v>
      </c>
      <c r="Q1466" t="s">
        <v>125</v>
      </c>
      <c r="R1466">
        <v>4</v>
      </c>
      <c r="S1466">
        <v>81</v>
      </c>
      <c r="T1466" t="s">
        <v>132</v>
      </c>
      <c r="U1466" t="s">
        <v>133</v>
      </c>
      <c r="V1466" s="1">
        <v>1700</v>
      </c>
      <c r="W1466">
        <v>0</v>
      </c>
      <c r="X1466" s="1">
        <v>1700</v>
      </c>
      <c r="Y1466">
        <v>7</v>
      </c>
      <c r="Z1466">
        <v>0</v>
      </c>
      <c r="AA1466">
        <v>6</v>
      </c>
      <c r="AB1466">
        <v>0</v>
      </c>
      <c r="AC1466">
        <v>0</v>
      </c>
      <c r="AD1466" t="s">
        <v>134</v>
      </c>
      <c r="AE1466" t="s">
        <v>134</v>
      </c>
      <c r="AF1466" s="2">
        <v>45910</v>
      </c>
      <c r="AG1466" s="2">
        <v>46000</v>
      </c>
      <c r="AH1466">
        <v>160.33000000000001</v>
      </c>
      <c r="AI1466">
        <v>227.41</v>
      </c>
      <c r="AJ1466">
        <v>320.67</v>
      </c>
      <c r="AK1466">
        <v>0</v>
      </c>
      <c r="AL1466">
        <v>0</v>
      </c>
      <c r="AM1466">
        <v>0</v>
      </c>
      <c r="AN1466" t="s">
        <v>135</v>
      </c>
      <c r="AO1466" t="s">
        <v>135</v>
      </c>
      <c r="AP1466" t="s">
        <v>136</v>
      </c>
      <c r="AQ1466" t="s">
        <v>137</v>
      </c>
      <c r="AR1466" t="s">
        <v>138</v>
      </c>
      <c r="AS1466" t="s">
        <v>150</v>
      </c>
      <c r="AT1466" t="s">
        <v>140</v>
      </c>
      <c r="AU1466">
        <v>103</v>
      </c>
      <c r="AV1466">
        <v>10</v>
      </c>
      <c r="AW1466">
        <v>1</v>
      </c>
      <c r="AX1466" s="2">
        <v>45915</v>
      </c>
      <c r="AY1466" t="s">
        <v>141</v>
      </c>
      <c r="AZ1466" s="2">
        <v>46027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 t="s">
        <v>135</v>
      </c>
      <c r="BH1466" t="s">
        <v>250</v>
      </c>
      <c r="BI1466" t="s">
        <v>135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93.26</v>
      </c>
      <c r="BQ1466">
        <v>93.26</v>
      </c>
      <c r="BR1466">
        <v>0</v>
      </c>
      <c r="BS1466">
        <v>6</v>
      </c>
      <c r="BT1466">
        <v>6</v>
      </c>
      <c r="BU1466">
        <v>227.41</v>
      </c>
      <c r="BV1466">
        <v>0</v>
      </c>
      <c r="BW1466">
        <v>227.41</v>
      </c>
      <c r="BX1466">
        <v>0</v>
      </c>
      <c r="BY1466">
        <v>0</v>
      </c>
      <c r="BZ1466">
        <v>0</v>
      </c>
      <c r="CA1466">
        <v>0</v>
      </c>
      <c r="CB1466">
        <v>97.13</v>
      </c>
      <c r="CC1466" t="s">
        <v>161</v>
      </c>
    </row>
    <row r="1467" spans="1:81" x14ac:dyDescent="0.25">
      <c r="A1467">
        <v>345</v>
      </c>
      <c r="B1467">
        <v>2</v>
      </c>
      <c r="C1467">
        <v>3788</v>
      </c>
      <c r="D1467" t="s">
        <v>8368</v>
      </c>
      <c r="E1467" t="s">
        <v>121</v>
      </c>
      <c r="F1467" t="s">
        <v>8369</v>
      </c>
      <c r="G1467" t="s">
        <v>8370</v>
      </c>
      <c r="H1467" t="s">
        <v>8371</v>
      </c>
      <c r="I1467" t="s">
        <v>8372</v>
      </c>
      <c r="J1467" t="s">
        <v>2226</v>
      </c>
      <c r="K1467" t="s">
        <v>473</v>
      </c>
      <c r="L1467" t="s">
        <v>128</v>
      </c>
      <c r="M1467" t="s">
        <v>8373</v>
      </c>
      <c r="N1467" t="s">
        <v>8374</v>
      </c>
      <c r="O1467" t="s">
        <v>159</v>
      </c>
      <c r="P1467">
        <v>0</v>
      </c>
      <c r="Q1467" t="s">
        <v>125</v>
      </c>
      <c r="R1467">
        <v>4</v>
      </c>
      <c r="S1467">
        <v>80</v>
      </c>
      <c r="T1467" t="s">
        <v>132</v>
      </c>
      <c r="U1467" t="s">
        <v>133</v>
      </c>
      <c r="V1467" s="1">
        <v>1700</v>
      </c>
      <c r="W1467">
        <v>0</v>
      </c>
      <c r="X1467" s="1">
        <v>1700</v>
      </c>
      <c r="Y1467">
        <v>7</v>
      </c>
      <c r="Z1467">
        <v>0</v>
      </c>
      <c r="AA1467">
        <v>5</v>
      </c>
      <c r="AB1467">
        <v>0</v>
      </c>
      <c r="AC1467">
        <v>0</v>
      </c>
      <c r="AD1467" t="s">
        <v>134</v>
      </c>
      <c r="AE1467" t="s">
        <v>134</v>
      </c>
      <c r="AF1467" s="2">
        <v>45910</v>
      </c>
      <c r="AG1467" s="2">
        <v>46010</v>
      </c>
      <c r="AH1467">
        <v>513.27</v>
      </c>
      <c r="AI1467">
        <v>936.59</v>
      </c>
      <c r="AJ1467" s="1">
        <v>5132.78</v>
      </c>
      <c r="AK1467">
        <v>0</v>
      </c>
      <c r="AL1467">
        <v>0</v>
      </c>
      <c r="AM1467">
        <v>0</v>
      </c>
      <c r="AN1467" t="s">
        <v>135</v>
      </c>
      <c r="AO1467" t="s">
        <v>135</v>
      </c>
      <c r="AP1467" t="s">
        <v>136</v>
      </c>
      <c r="AQ1467" t="s">
        <v>137</v>
      </c>
      <c r="AR1467" t="s">
        <v>138</v>
      </c>
      <c r="AS1467" t="s">
        <v>150</v>
      </c>
      <c r="AT1467" t="s">
        <v>140</v>
      </c>
      <c r="AU1467">
        <v>105</v>
      </c>
      <c r="AV1467">
        <v>10</v>
      </c>
      <c r="AW1467">
        <v>1</v>
      </c>
      <c r="AX1467" s="2">
        <v>45910</v>
      </c>
      <c r="AY1467" t="s">
        <v>168</v>
      </c>
      <c r="AZ1467" s="2">
        <v>46022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 t="s">
        <v>135</v>
      </c>
      <c r="BH1467" t="s">
        <v>250</v>
      </c>
      <c r="BI1467" t="s">
        <v>135</v>
      </c>
      <c r="BJ1467">
        <v>0</v>
      </c>
      <c r="BK1467">
        <v>0</v>
      </c>
      <c r="BL1467">
        <v>0</v>
      </c>
      <c r="BM1467">
        <v>5</v>
      </c>
      <c r="BN1467">
        <v>0.79</v>
      </c>
      <c r="BO1467">
        <v>255.59</v>
      </c>
      <c r="BP1467" s="1">
        <v>1362</v>
      </c>
      <c r="BQ1467" s="1">
        <v>1617.59</v>
      </c>
      <c r="BR1467">
        <v>255.59</v>
      </c>
      <c r="BS1467">
        <v>5</v>
      </c>
      <c r="BT1467">
        <v>1.03</v>
      </c>
      <c r="BU1467">
        <v>350.37</v>
      </c>
      <c r="BV1467" s="1">
        <v>1347</v>
      </c>
      <c r="BW1467" s="1">
        <v>1697.37</v>
      </c>
      <c r="BX1467">
        <v>0</v>
      </c>
      <c r="BY1467">
        <v>0</v>
      </c>
      <c r="BZ1467">
        <v>0</v>
      </c>
      <c r="CA1467">
        <v>0</v>
      </c>
      <c r="CB1467" s="1">
        <v>1299.03</v>
      </c>
      <c r="CC1467" t="s">
        <v>161</v>
      </c>
    </row>
    <row r="1468" spans="1:81" x14ac:dyDescent="0.25">
      <c r="A1468">
        <v>345</v>
      </c>
      <c r="B1468">
        <v>2</v>
      </c>
      <c r="C1468">
        <v>3789</v>
      </c>
      <c r="D1468" t="s">
        <v>8375</v>
      </c>
      <c r="E1468" t="s">
        <v>121</v>
      </c>
      <c r="F1468" t="s">
        <v>5520</v>
      </c>
      <c r="G1468" t="s">
        <v>8376</v>
      </c>
      <c r="H1468" t="s">
        <v>8377</v>
      </c>
      <c r="I1468" t="s">
        <v>8378</v>
      </c>
      <c r="J1468" t="s">
        <v>695</v>
      </c>
      <c r="K1468" t="s">
        <v>336</v>
      </c>
      <c r="L1468" t="s">
        <v>128</v>
      </c>
      <c r="M1468" t="s">
        <v>337</v>
      </c>
      <c r="N1468" t="s">
        <v>8379</v>
      </c>
      <c r="O1468" t="s">
        <v>131</v>
      </c>
      <c r="P1468">
        <v>0</v>
      </c>
      <c r="Q1468" t="s">
        <v>125</v>
      </c>
      <c r="R1468">
        <v>3</v>
      </c>
      <c r="S1468">
        <v>86</v>
      </c>
      <c r="T1468" t="s">
        <v>132</v>
      </c>
      <c r="U1468" t="s">
        <v>133</v>
      </c>
      <c r="V1468" s="1">
        <v>1800</v>
      </c>
      <c r="W1468">
        <v>0</v>
      </c>
      <c r="X1468" s="1">
        <v>1800</v>
      </c>
      <c r="Y1468">
        <v>7</v>
      </c>
      <c r="Z1468">
        <v>0</v>
      </c>
      <c r="AA1468">
        <v>0</v>
      </c>
      <c r="AB1468">
        <v>0</v>
      </c>
      <c r="AC1468">
        <v>0</v>
      </c>
      <c r="AD1468" t="s">
        <v>134</v>
      </c>
      <c r="AE1468" t="s">
        <v>134</v>
      </c>
      <c r="AF1468" s="2">
        <v>45910</v>
      </c>
      <c r="AG1468" s="2">
        <v>46011</v>
      </c>
      <c r="AH1468" s="1">
        <v>1140.8599999999999</v>
      </c>
      <c r="AI1468" s="1">
        <v>2693</v>
      </c>
      <c r="AJ1468" s="1">
        <v>11408.64</v>
      </c>
      <c r="AK1468">
        <v>0</v>
      </c>
      <c r="AL1468">
        <v>0</v>
      </c>
      <c r="AM1468">
        <v>0</v>
      </c>
      <c r="AN1468" t="s">
        <v>135</v>
      </c>
      <c r="AO1468" t="s">
        <v>135</v>
      </c>
      <c r="AP1468" t="s">
        <v>136</v>
      </c>
      <c r="AQ1468" t="s">
        <v>137</v>
      </c>
      <c r="AR1468" t="s">
        <v>138</v>
      </c>
      <c r="AS1468" t="s">
        <v>139</v>
      </c>
      <c r="AT1468" t="s">
        <v>140</v>
      </c>
      <c r="AU1468">
        <v>101</v>
      </c>
      <c r="AV1468">
        <v>10</v>
      </c>
      <c r="AW1468">
        <v>1</v>
      </c>
      <c r="AX1468" s="2">
        <v>45912</v>
      </c>
      <c r="AY1468" t="s">
        <v>151</v>
      </c>
      <c r="AZ1468" s="2">
        <v>46024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 t="s">
        <v>135</v>
      </c>
      <c r="BH1468" t="s">
        <v>250</v>
      </c>
      <c r="BI1468" t="s">
        <v>135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 s="1">
        <v>7114.72</v>
      </c>
      <c r="BQ1468" s="1">
        <v>7114.72</v>
      </c>
      <c r="BR1468">
        <v>0</v>
      </c>
      <c r="BS1468">
        <v>0</v>
      </c>
      <c r="BT1468">
        <v>0</v>
      </c>
      <c r="BU1468">
        <v>0</v>
      </c>
      <c r="BV1468" s="1">
        <v>3606.33</v>
      </c>
      <c r="BW1468" s="1">
        <v>3606.33</v>
      </c>
      <c r="BX1468">
        <v>0</v>
      </c>
      <c r="BY1468">
        <v>0</v>
      </c>
      <c r="BZ1468">
        <v>0</v>
      </c>
      <c r="CA1468">
        <v>0</v>
      </c>
      <c r="CB1468" s="1">
        <v>2649.55</v>
      </c>
      <c r="CC1468" t="s">
        <v>161</v>
      </c>
    </row>
    <row r="1469" spans="1:81" x14ac:dyDescent="0.25">
      <c r="A1469">
        <v>345</v>
      </c>
      <c r="B1469">
        <v>2</v>
      </c>
      <c r="C1469">
        <v>3790</v>
      </c>
      <c r="D1469" t="s">
        <v>8380</v>
      </c>
      <c r="E1469" t="s">
        <v>121</v>
      </c>
      <c r="F1469" t="s">
        <v>8381</v>
      </c>
      <c r="G1469" t="s">
        <v>8382</v>
      </c>
      <c r="H1469" t="s">
        <v>8383</v>
      </c>
      <c r="I1469" t="s">
        <v>8384</v>
      </c>
      <c r="J1469" t="s">
        <v>173</v>
      </c>
      <c r="K1469" t="s">
        <v>127</v>
      </c>
      <c r="L1469" t="s">
        <v>128</v>
      </c>
      <c r="M1469" t="s">
        <v>129</v>
      </c>
      <c r="N1469" t="s">
        <v>8385</v>
      </c>
      <c r="O1469" t="s">
        <v>149</v>
      </c>
      <c r="P1469">
        <v>0</v>
      </c>
      <c r="Q1469" t="s">
        <v>125</v>
      </c>
      <c r="R1469">
        <v>3</v>
      </c>
      <c r="S1469">
        <v>86</v>
      </c>
      <c r="T1469" t="s">
        <v>132</v>
      </c>
      <c r="U1469" t="s">
        <v>133</v>
      </c>
      <c r="V1469" s="1">
        <v>5700</v>
      </c>
      <c r="W1469">
        <v>0</v>
      </c>
      <c r="X1469" s="1">
        <v>5700</v>
      </c>
      <c r="Y1469">
        <v>7</v>
      </c>
      <c r="Z1469">
        <v>0</v>
      </c>
      <c r="AA1469">
        <v>0</v>
      </c>
      <c r="AB1469">
        <v>0</v>
      </c>
      <c r="AC1469">
        <v>0</v>
      </c>
      <c r="AD1469" t="s">
        <v>134</v>
      </c>
      <c r="AE1469" t="s">
        <v>134</v>
      </c>
      <c r="AF1469" s="2">
        <v>45910</v>
      </c>
      <c r="AG1469" s="2">
        <v>46018</v>
      </c>
      <c r="AH1469" s="1">
        <v>3638.22</v>
      </c>
      <c r="AI1469" s="1">
        <v>8371.0300000000007</v>
      </c>
      <c r="AJ1469" s="1">
        <v>21829.34</v>
      </c>
      <c r="AK1469">
        <v>0</v>
      </c>
      <c r="AL1469">
        <v>0</v>
      </c>
      <c r="AM1469">
        <v>0</v>
      </c>
      <c r="AN1469" t="s">
        <v>135</v>
      </c>
      <c r="AO1469" t="s">
        <v>135</v>
      </c>
      <c r="AP1469" t="s">
        <v>136</v>
      </c>
      <c r="AQ1469" t="s">
        <v>137</v>
      </c>
      <c r="AR1469" t="s">
        <v>138</v>
      </c>
      <c r="AS1469" t="s">
        <v>139</v>
      </c>
      <c r="AT1469" t="s">
        <v>140</v>
      </c>
      <c r="AU1469">
        <v>102</v>
      </c>
      <c r="AV1469">
        <v>10</v>
      </c>
      <c r="AW1469">
        <v>1</v>
      </c>
      <c r="AX1469" s="2">
        <v>45911</v>
      </c>
      <c r="AY1469" t="s">
        <v>308</v>
      </c>
      <c r="AZ1469" s="2">
        <v>46023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 t="s">
        <v>135</v>
      </c>
      <c r="BH1469" t="s">
        <v>250</v>
      </c>
      <c r="BI1469" t="s">
        <v>135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 s="1">
        <v>11047.53</v>
      </c>
      <c r="BQ1469" s="1">
        <v>11047.53</v>
      </c>
      <c r="BR1469">
        <v>0</v>
      </c>
      <c r="BS1469">
        <v>0</v>
      </c>
      <c r="BT1469">
        <v>0</v>
      </c>
      <c r="BU1469">
        <v>0</v>
      </c>
      <c r="BV1469" s="1">
        <v>10781.81</v>
      </c>
      <c r="BW1469" s="1">
        <v>10781.81</v>
      </c>
      <c r="BX1469">
        <v>0</v>
      </c>
      <c r="BY1469">
        <v>0</v>
      </c>
      <c r="BZ1469">
        <v>0</v>
      </c>
      <c r="CA1469">
        <v>0</v>
      </c>
      <c r="CB1469" s="1">
        <v>3796.59</v>
      </c>
      <c r="CC1469" t="s">
        <v>161</v>
      </c>
    </row>
    <row r="1470" spans="1:81" x14ac:dyDescent="0.25">
      <c r="A1470">
        <v>345</v>
      </c>
      <c r="B1470">
        <v>2</v>
      </c>
      <c r="C1470">
        <v>3792</v>
      </c>
      <c r="D1470" t="s">
        <v>8386</v>
      </c>
      <c r="E1470" t="s">
        <v>121</v>
      </c>
      <c r="F1470" t="s">
        <v>8387</v>
      </c>
      <c r="G1470" t="s">
        <v>8388</v>
      </c>
      <c r="H1470" t="s">
        <v>8389</v>
      </c>
      <c r="I1470" t="s">
        <v>8390</v>
      </c>
      <c r="J1470" t="s">
        <v>723</v>
      </c>
      <c r="K1470" t="s">
        <v>336</v>
      </c>
      <c r="L1470" t="s">
        <v>128</v>
      </c>
      <c r="M1470" t="s">
        <v>337</v>
      </c>
      <c r="N1470" t="s">
        <v>8391</v>
      </c>
      <c r="O1470" t="s">
        <v>167</v>
      </c>
      <c r="P1470">
        <v>0</v>
      </c>
      <c r="Q1470" t="s">
        <v>125</v>
      </c>
      <c r="R1470">
        <v>4</v>
      </c>
      <c r="S1470">
        <v>79</v>
      </c>
      <c r="T1470" t="s">
        <v>132</v>
      </c>
      <c r="U1470" t="s">
        <v>133</v>
      </c>
      <c r="V1470" s="1">
        <v>1700</v>
      </c>
      <c r="W1470" s="1">
        <v>1150.22</v>
      </c>
      <c r="X1470">
        <v>549.78</v>
      </c>
      <c r="Y1470">
        <v>0</v>
      </c>
      <c r="Z1470">
        <v>0</v>
      </c>
      <c r="AA1470">
        <v>9</v>
      </c>
      <c r="AB1470">
        <v>1</v>
      </c>
      <c r="AC1470">
        <v>0</v>
      </c>
      <c r="AD1470" t="s">
        <v>134</v>
      </c>
      <c r="AE1470" t="s">
        <v>134</v>
      </c>
      <c r="AF1470" s="2">
        <v>45910</v>
      </c>
      <c r="AG1470" s="2">
        <v>46010</v>
      </c>
      <c r="AH1470">
        <v>644.19000000000005</v>
      </c>
      <c r="AI1470" s="1">
        <v>1150.22</v>
      </c>
      <c r="AJ1470" s="1">
        <v>3865.18</v>
      </c>
      <c r="AK1470" s="1">
        <v>1150.22</v>
      </c>
      <c r="AL1470">
        <v>0</v>
      </c>
      <c r="AM1470">
        <v>0</v>
      </c>
      <c r="AN1470" t="s">
        <v>135</v>
      </c>
      <c r="AO1470" t="s">
        <v>135</v>
      </c>
      <c r="AP1470" t="s">
        <v>136</v>
      </c>
      <c r="AQ1470" t="s">
        <v>137</v>
      </c>
      <c r="AR1470" t="s">
        <v>138</v>
      </c>
      <c r="AS1470" t="s">
        <v>150</v>
      </c>
      <c r="AT1470" t="s">
        <v>140</v>
      </c>
      <c r="AU1470">
        <v>101</v>
      </c>
      <c r="AV1470">
        <v>10</v>
      </c>
      <c r="AW1470">
        <v>1</v>
      </c>
      <c r="AX1470" s="2">
        <v>45911</v>
      </c>
      <c r="AY1470" t="s">
        <v>308</v>
      </c>
      <c r="AZ1470" s="2">
        <v>46023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 t="s">
        <v>135</v>
      </c>
      <c r="BH1470" t="s">
        <v>250</v>
      </c>
      <c r="BI1470" t="s">
        <v>135</v>
      </c>
      <c r="BJ1470">
        <v>0</v>
      </c>
      <c r="BK1470">
        <v>0</v>
      </c>
      <c r="BL1470">
        <v>0</v>
      </c>
      <c r="BM1470">
        <v>9</v>
      </c>
      <c r="BN1470">
        <v>2.54</v>
      </c>
      <c r="BO1470">
        <v>461.55</v>
      </c>
      <c r="BP1470" s="1">
        <v>1171.56</v>
      </c>
      <c r="BQ1470" s="1">
        <v>1633.11</v>
      </c>
      <c r="BR1470">
        <v>461.55</v>
      </c>
      <c r="BS1470">
        <v>7</v>
      </c>
      <c r="BT1470">
        <v>7</v>
      </c>
      <c r="BU1470" s="1">
        <v>1994.87</v>
      </c>
      <c r="BV1470">
        <v>0</v>
      </c>
      <c r="BW1470" s="1">
        <v>1994.87</v>
      </c>
      <c r="BX1470">
        <v>0</v>
      </c>
      <c r="BY1470">
        <v>0</v>
      </c>
      <c r="BZ1470">
        <v>0</v>
      </c>
      <c r="CA1470">
        <v>0</v>
      </c>
      <c r="CB1470" s="1">
        <v>1163</v>
      </c>
      <c r="CC1470" t="s">
        <v>161</v>
      </c>
    </row>
    <row r="1471" spans="1:81" x14ac:dyDescent="0.25">
      <c r="A1471">
        <v>345</v>
      </c>
      <c r="B1471">
        <v>2</v>
      </c>
      <c r="C1471">
        <v>3793</v>
      </c>
      <c r="D1471" t="s">
        <v>8392</v>
      </c>
      <c r="E1471" t="s">
        <v>121</v>
      </c>
      <c r="F1471" t="s">
        <v>8393</v>
      </c>
      <c r="G1471" t="s">
        <v>8394</v>
      </c>
      <c r="H1471" t="s">
        <v>8395</v>
      </c>
      <c r="I1471" t="s">
        <v>8396</v>
      </c>
      <c r="J1471" t="s">
        <v>3074</v>
      </c>
      <c r="K1471" t="s">
        <v>1853</v>
      </c>
      <c r="L1471" t="s">
        <v>128</v>
      </c>
      <c r="M1471" t="s">
        <v>1854</v>
      </c>
      <c r="N1471" t="s">
        <v>8397</v>
      </c>
      <c r="O1471" t="s">
        <v>167</v>
      </c>
      <c r="P1471">
        <v>0</v>
      </c>
      <c r="Q1471" t="s">
        <v>125</v>
      </c>
      <c r="R1471">
        <v>4</v>
      </c>
      <c r="S1471">
        <v>80</v>
      </c>
      <c r="T1471" t="s">
        <v>132</v>
      </c>
      <c r="U1471" t="s">
        <v>133</v>
      </c>
      <c r="V1471" s="1">
        <v>1700</v>
      </c>
      <c r="W1471">
        <v>0</v>
      </c>
      <c r="X1471" s="1">
        <v>1700</v>
      </c>
      <c r="Y1471">
        <v>7</v>
      </c>
      <c r="Z1471">
        <v>0</v>
      </c>
      <c r="AA1471">
        <v>7</v>
      </c>
      <c r="AB1471">
        <v>1</v>
      </c>
      <c r="AC1471">
        <v>100</v>
      </c>
      <c r="AD1471" t="s">
        <v>134</v>
      </c>
      <c r="AE1471" t="s">
        <v>134</v>
      </c>
      <c r="AF1471" s="2">
        <v>45911</v>
      </c>
      <c r="AG1471" s="2">
        <v>46001</v>
      </c>
      <c r="AH1471" s="1">
        <v>1567.3</v>
      </c>
      <c r="AI1471" s="1">
        <v>1567.3</v>
      </c>
      <c r="AJ1471" s="1">
        <v>1567.3</v>
      </c>
      <c r="AK1471">
        <v>0</v>
      </c>
      <c r="AL1471">
        <v>0</v>
      </c>
      <c r="AM1471">
        <v>0</v>
      </c>
      <c r="AN1471" t="s">
        <v>135</v>
      </c>
      <c r="AO1471" t="s">
        <v>135</v>
      </c>
      <c r="AP1471" t="s">
        <v>136</v>
      </c>
      <c r="AQ1471" t="s">
        <v>137</v>
      </c>
      <c r="AR1471" t="s">
        <v>138</v>
      </c>
      <c r="AS1471" t="s">
        <v>150</v>
      </c>
      <c r="AT1471" t="s">
        <v>140</v>
      </c>
      <c r="AU1471">
        <v>106</v>
      </c>
      <c r="AV1471">
        <v>10</v>
      </c>
      <c r="AW1471">
        <v>1</v>
      </c>
      <c r="AX1471" s="2">
        <v>45916</v>
      </c>
      <c r="AY1471" t="s">
        <v>377</v>
      </c>
      <c r="AZ1471" s="2">
        <v>46028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 t="s">
        <v>135</v>
      </c>
      <c r="BH1471" t="s">
        <v>250</v>
      </c>
      <c r="BI1471" t="s">
        <v>135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7</v>
      </c>
      <c r="BT1471">
        <v>7</v>
      </c>
      <c r="BU1471" s="1">
        <v>1567.3</v>
      </c>
      <c r="BV1471">
        <v>0</v>
      </c>
      <c r="BW1471" s="1">
        <v>1567.3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 t="s">
        <v>161</v>
      </c>
    </row>
    <row r="1472" spans="1:81" x14ac:dyDescent="0.25">
      <c r="A1472">
        <v>345</v>
      </c>
      <c r="B1472">
        <v>2</v>
      </c>
      <c r="C1472">
        <v>3794</v>
      </c>
      <c r="D1472" t="s">
        <v>8398</v>
      </c>
      <c r="E1472" t="s">
        <v>121</v>
      </c>
      <c r="F1472" t="s">
        <v>8399</v>
      </c>
      <c r="G1472" t="s">
        <v>8400</v>
      </c>
      <c r="H1472" t="s">
        <v>8401</v>
      </c>
      <c r="I1472" t="s">
        <v>8402</v>
      </c>
      <c r="J1472" t="s">
        <v>8403</v>
      </c>
      <c r="K1472" t="s">
        <v>8404</v>
      </c>
      <c r="L1472" t="s">
        <v>128</v>
      </c>
      <c r="M1472" t="s">
        <v>8405</v>
      </c>
      <c r="N1472" t="s">
        <v>8406</v>
      </c>
      <c r="O1472" t="s">
        <v>149</v>
      </c>
      <c r="P1472">
        <v>0</v>
      </c>
      <c r="Q1472" t="s">
        <v>125</v>
      </c>
      <c r="R1472">
        <v>3</v>
      </c>
      <c r="S1472">
        <v>82</v>
      </c>
      <c r="T1472" t="s">
        <v>132</v>
      </c>
      <c r="U1472" t="s">
        <v>133</v>
      </c>
      <c r="V1472" s="1">
        <v>1000</v>
      </c>
      <c r="W1472">
        <v>0</v>
      </c>
      <c r="X1472" s="1">
        <v>1000</v>
      </c>
      <c r="Y1472">
        <v>7</v>
      </c>
      <c r="Z1472">
        <v>0</v>
      </c>
      <c r="AA1472">
        <v>0</v>
      </c>
      <c r="AB1472">
        <v>0</v>
      </c>
      <c r="AC1472">
        <v>0</v>
      </c>
      <c r="AD1472" t="s">
        <v>134</v>
      </c>
      <c r="AE1472" t="s">
        <v>134</v>
      </c>
      <c r="AF1472" s="2">
        <v>45911</v>
      </c>
      <c r="AG1472" t="s">
        <v>135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 t="s">
        <v>135</v>
      </c>
      <c r="AO1472" t="s">
        <v>135</v>
      </c>
      <c r="AP1472" t="s">
        <v>136</v>
      </c>
      <c r="AQ1472" t="s">
        <v>137</v>
      </c>
      <c r="AR1472" t="s">
        <v>138</v>
      </c>
      <c r="AS1472" t="s">
        <v>150</v>
      </c>
      <c r="AT1472" t="s">
        <v>140</v>
      </c>
      <c r="AU1472">
        <v>995</v>
      </c>
      <c r="AV1472">
        <v>99</v>
      </c>
      <c r="AW1472">
        <v>9</v>
      </c>
      <c r="AX1472" s="2">
        <v>45914</v>
      </c>
      <c r="AY1472" t="s">
        <v>142</v>
      </c>
      <c r="AZ1472" s="2">
        <v>46026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 t="s">
        <v>135</v>
      </c>
      <c r="BH1472" t="s">
        <v>250</v>
      </c>
      <c r="BI1472" t="s">
        <v>135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 t="s">
        <v>161</v>
      </c>
    </row>
    <row r="1473" spans="1:81" x14ac:dyDescent="0.25">
      <c r="A1473">
        <v>345</v>
      </c>
      <c r="B1473">
        <v>2</v>
      </c>
      <c r="C1473">
        <v>3795</v>
      </c>
      <c r="D1473" t="s">
        <v>8407</v>
      </c>
      <c r="E1473" t="s">
        <v>121</v>
      </c>
      <c r="F1473" t="s">
        <v>8408</v>
      </c>
      <c r="G1473" t="s">
        <v>8409</v>
      </c>
      <c r="H1473" t="s">
        <v>8410</v>
      </c>
      <c r="I1473" t="s">
        <v>8411</v>
      </c>
      <c r="J1473" t="s">
        <v>4569</v>
      </c>
      <c r="K1473" t="s">
        <v>336</v>
      </c>
      <c r="L1473" t="s">
        <v>128</v>
      </c>
      <c r="M1473" t="s">
        <v>337</v>
      </c>
      <c r="N1473" t="s">
        <v>8412</v>
      </c>
      <c r="O1473" t="s">
        <v>131</v>
      </c>
      <c r="P1473">
        <v>0</v>
      </c>
      <c r="Q1473" t="s">
        <v>125</v>
      </c>
      <c r="R1473">
        <v>3</v>
      </c>
      <c r="S1473">
        <v>87</v>
      </c>
      <c r="T1473" t="s">
        <v>132</v>
      </c>
      <c r="U1473" t="s">
        <v>133</v>
      </c>
      <c r="V1473" s="1">
        <v>1000</v>
      </c>
      <c r="W1473">
        <v>0</v>
      </c>
      <c r="X1473" s="1">
        <v>1000</v>
      </c>
      <c r="Y1473">
        <v>7</v>
      </c>
      <c r="Z1473">
        <v>0</v>
      </c>
      <c r="AA1473">
        <v>2</v>
      </c>
      <c r="AB1473">
        <v>0</v>
      </c>
      <c r="AC1473">
        <v>0</v>
      </c>
      <c r="AD1473" t="s">
        <v>134</v>
      </c>
      <c r="AE1473" t="s">
        <v>134</v>
      </c>
      <c r="AF1473" s="2">
        <v>45912</v>
      </c>
      <c r="AG1473" s="2">
        <v>46000</v>
      </c>
      <c r="AH1473">
        <v>235.11</v>
      </c>
      <c r="AI1473">
        <v>301.14999999999998</v>
      </c>
      <c r="AJ1473">
        <v>470.23</v>
      </c>
      <c r="AK1473">
        <v>0</v>
      </c>
      <c r="AL1473">
        <v>0</v>
      </c>
      <c r="AM1473">
        <v>0</v>
      </c>
      <c r="AN1473" t="s">
        <v>135</v>
      </c>
      <c r="AO1473" t="s">
        <v>135</v>
      </c>
      <c r="AP1473" t="s">
        <v>136</v>
      </c>
      <c r="AQ1473" t="s">
        <v>137</v>
      </c>
      <c r="AR1473" t="s">
        <v>138</v>
      </c>
      <c r="AS1473" t="s">
        <v>139</v>
      </c>
      <c r="AT1473" t="s">
        <v>140</v>
      </c>
      <c r="AU1473">
        <v>101</v>
      </c>
      <c r="AV1473">
        <v>10</v>
      </c>
      <c r="AW1473">
        <v>1</v>
      </c>
      <c r="AX1473" s="2">
        <v>45915</v>
      </c>
      <c r="AY1473" t="s">
        <v>141</v>
      </c>
      <c r="AZ1473" s="2">
        <v>46027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 t="s">
        <v>135</v>
      </c>
      <c r="BH1473" t="s">
        <v>250</v>
      </c>
      <c r="BI1473" t="s">
        <v>135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2</v>
      </c>
      <c r="BT1473">
        <v>2</v>
      </c>
      <c r="BU1473">
        <v>301.14999999999998</v>
      </c>
      <c r="BV1473">
        <v>0</v>
      </c>
      <c r="BW1473">
        <v>301.14999999999998</v>
      </c>
      <c r="BX1473">
        <v>0</v>
      </c>
      <c r="BY1473">
        <v>0</v>
      </c>
      <c r="BZ1473">
        <v>0</v>
      </c>
      <c r="CA1473">
        <v>0</v>
      </c>
      <c r="CB1473">
        <v>109.36</v>
      </c>
      <c r="CC1473" t="s">
        <v>161</v>
      </c>
    </row>
    <row r="1474" spans="1:81" x14ac:dyDescent="0.25">
      <c r="A1474">
        <v>345</v>
      </c>
      <c r="B1474">
        <v>2</v>
      </c>
      <c r="C1474">
        <v>3797</v>
      </c>
      <c r="D1474" t="s">
        <v>8413</v>
      </c>
      <c r="E1474" t="s">
        <v>5780</v>
      </c>
      <c r="F1474" t="s">
        <v>8414</v>
      </c>
      <c r="G1474" t="s">
        <v>8415</v>
      </c>
      <c r="H1474" t="s">
        <v>8416</v>
      </c>
      <c r="I1474" t="s">
        <v>8417</v>
      </c>
      <c r="J1474" t="s">
        <v>126</v>
      </c>
      <c r="K1474" t="s">
        <v>1853</v>
      </c>
      <c r="L1474" t="s">
        <v>128</v>
      </c>
      <c r="M1474" t="s">
        <v>1854</v>
      </c>
      <c r="N1474" t="s">
        <v>8418</v>
      </c>
      <c r="O1474" t="s">
        <v>167</v>
      </c>
      <c r="P1474">
        <v>0</v>
      </c>
      <c r="Q1474" t="s">
        <v>125</v>
      </c>
      <c r="R1474">
        <v>4</v>
      </c>
      <c r="S1474">
        <v>79</v>
      </c>
      <c r="T1474" t="s">
        <v>132</v>
      </c>
      <c r="U1474" t="s">
        <v>133</v>
      </c>
      <c r="V1474" s="1">
        <v>1000</v>
      </c>
      <c r="W1474">
        <v>0</v>
      </c>
      <c r="X1474" s="1">
        <v>1000</v>
      </c>
      <c r="Y1474">
        <v>7</v>
      </c>
      <c r="Z1474">
        <v>0</v>
      </c>
      <c r="AA1474">
        <v>0</v>
      </c>
      <c r="AB1474">
        <v>0</v>
      </c>
      <c r="AC1474">
        <v>0</v>
      </c>
      <c r="AD1474" t="s">
        <v>134</v>
      </c>
      <c r="AE1474" t="s">
        <v>234</v>
      </c>
      <c r="AF1474" s="2">
        <v>45914</v>
      </c>
      <c r="AG1474" s="2">
        <v>46017</v>
      </c>
      <c r="AH1474">
        <v>999.65</v>
      </c>
      <c r="AI1474" s="1">
        <v>2094.0700000000002</v>
      </c>
      <c r="AJ1474" s="1">
        <v>2998.96</v>
      </c>
      <c r="AK1474">
        <v>0</v>
      </c>
      <c r="AL1474">
        <v>0</v>
      </c>
      <c r="AM1474">
        <v>0</v>
      </c>
      <c r="AN1474" t="s">
        <v>135</v>
      </c>
      <c r="AO1474" t="s">
        <v>135</v>
      </c>
      <c r="AP1474" t="s">
        <v>136</v>
      </c>
      <c r="AQ1474" t="s">
        <v>137</v>
      </c>
      <c r="AR1474" t="s">
        <v>138</v>
      </c>
      <c r="AS1474" t="s">
        <v>150</v>
      </c>
      <c r="AT1474" t="s">
        <v>140</v>
      </c>
      <c r="AU1474">
        <v>106</v>
      </c>
      <c r="AV1474">
        <v>10</v>
      </c>
      <c r="AW1474">
        <v>1</v>
      </c>
      <c r="AX1474" s="2">
        <v>45917</v>
      </c>
      <c r="AY1474" t="s">
        <v>168</v>
      </c>
      <c r="AZ1474" s="2">
        <v>46029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 t="s">
        <v>135</v>
      </c>
      <c r="BH1474" t="s">
        <v>250</v>
      </c>
      <c r="BI1474" t="s">
        <v>135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 s="1">
        <v>2715.76</v>
      </c>
      <c r="BW1474" s="1">
        <v>2715.76</v>
      </c>
      <c r="BX1474">
        <v>0</v>
      </c>
      <c r="BY1474">
        <v>0</v>
      </c>
      <c r="BZ1474">
        <v>0</v>
      </c>
      <c r="CA1474">
        <v>0</v>
      </c>
      <c r="CB1474">
        <v>192.4</v>
      </c>
      <c r="CC1474" t="s">
        <v>161</v>
      </c>
    </row>
    <row r="1475" spans="1:81" x14ac:dyDescent="0.25">
      <c r="A1475">
        <v>345</v>
      </c>
      <c r="B1475">
        <v>2</v>
      </c>
      <c r="C1475">
        <v>3798</v>
      </c>
      <c r="D1475" t="s">
        <v>8419</v>
      </c>
      <c r="E1475" t="s">
        <v>121</v>
      </c>
      <c r="F1475" t="s">
        <v>8420</v>
      </c>
      <c r="G1475" t="s">
        <v>8421</v>
      </c>
      <c r="H1475" t="s">
        <v>8422</v>
      </c>
      <c r="I1475" t="s">
        <v>8423</v>
      </c>
      <c r="J1475" t="s">
        <v>572</v>
      </c>
      <c r="K1475" t="s">
        <v>466</v>
      </c>
      <c r="L1475" t="s">
        <v>128</v>
      </c>
      <c r="M1475" t="s">
        <v>467</v>
      </c>
      <c r="N1475" t="s">
        <v>8424</v>
      </c>
      <c r="O1475" t="s">
        <v>167</v>
      </c>
      <c r="P1475">
        <v>0</v>
      </c>
      <c r="Q1475" t="s">
        <v>125</v>
      </c>
      <c r="R1475">
        <v>4</v>
      </c>
      <c r="S1475">
        <v>81</v>
      </c>
      <c r="T1475" t="s">
        <v>132</v>
      </c>
      <c r="U1475" t="s">
        <v>133</v>
      </c>
      <c r="V1475" s="1">
        <v>1200</v>
      </c>
      <c r="W1475">
        <v>0</v>
      </c>
      <c r="X1475" s="1">
        <v>1200</v>
      </c>
      <c r="Y1475">
        <v>7</v>
      </c>
      <c r="Z1475">
        <v>0</v>
      </c>
      <c r="AA1475">
        <v>0</v>
      </c>
      <c r="AB1475">
        <v>0</v>
      </c>
      <c r="AC1475">
        <v>0</v>
      </c>
      <c r="AD1475" t="s">
        <v>134</v>
      </c>
      <c r="AE1475" t="s">
        <v>134</v>
      </c>
      <c r="AF1475" s="2">
        <v>45915</v>
      </c>
      <c r="AG1475" s="2">
        <v>46008</v>
      </c>
      <c r="AH1475">
        <v>558.34</v>
      </c>
      <c r="AI1475">
        <v>597.66</v>
      </c>
      <c r="AJ1475" s="1">
        <v>1675.03</v>
      </c>
      <c r="AK1475">
        <v>0</v>
      </c>
      <c r="AL1475">
        <v>0</v>
      </c>
      <c r="AM1475">
        <v>0</v>
      </c>
      <c r="AN1475" t="s">
        <v>135</v>
      </c>
      <c r="AO1475" t="s">
        <v>135</v>
      </c>
      <c r="AP1475" t="s">
        <v>136</v>
      </c>
      <c r="AQ1475" t="s">
        <v>137</v>
      </c>
      <c r="AR1475" t="s">
        <v>138</v>
      </c>
      <c r="AS1475" t="s">
        <v>139</v>
      </c>
      <c r="AT1475" t="s">
        <v>140</v>
      </c>
      <c r="AU1475">
        <v>105</v>
      </c>
      <c r="AV1475">
        <v>10</v>
      </c>
      <c r="AW1475">
        <v>1</v>
      </c>
      <c r="AX1475" s="2">
        <v>45951</v>
      </c>
      <c r="AY1475" t="s">
        <v>377</v>
      </c>
      <c r="AZ1475" s="2">
        <v>46028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 t="s">
        <v>135</v>
      </c>
      <c r="BH1475" t="s">
        <v>250</v>
      </c>
      <c r="BI1475" t="s">
        <v>135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 s="1">
        <v>1097.73</v>
      </c>
      <c r="BW1475" s="1">
        <v>1097.73</v>
      </c>
      <c r="BX1475">
        <v>0</v>
      </c>
      <c r="BY1475">
        <v>0</v>
      </c>
      <c r="BZ1475">
        <v>0</v>
      </c>
      <c r="CA1475">
        <v>0</v>
      </c>
      <c r="CB1475">
        <v>366.71</v>
      </c>
      <c r="CC1475" t="s">
        <v>161</v>
      </c>
    </row>
    <row r="1476" spans="1:81" x14ac:dyDescent="0.25">
      <c r="A1476">
        <v>345</v>
      </c>
      <c r="B1476">
        <v>2</v>
      </c>
      <c r="C1476">
        <v>3799</v>
      </c>
      <c r="D1476" t="s">
        <v>8425</v>
      </c>
      <c r="E1476" t="s">
        <v>121</v>
      </c>
      <c r="F1476" t="s">
        <v>8426</v>
      </c>
      <c r="G1476" t="s">
        <v>8427</v>
      </c>
      <c r="H1476" t="s">
        <v>6962</v>
      </c>
      <c r="I1476" t="s">
        <v>8428</v>
      </c>
      <c r="J1476" t="s">
        <v>4569</v>
      </c>
      <c r="K1476" t="s">
        <v>336</v>
      </c>
      <c r="L1476" t="s">
        <v>128</v>
      </c>
      <c r="M1476" t="s">
        <v>337</v>
      </c>
      <c r="N1476" t="s">
        <v>8424</v>
      </c>
      <c r="O1476" t="s">
        <v>131</v>
      </c>
      <c r="P1476">
        <v>0</v>
      </c>
      <c r="Q1476" t="s">
        <v>125</v>
      </c>
      <c r="R1476">
        <v>3</v>
      </c>
      <c r="S1476">
        <v>86</v>
      </c>
      <c r="T1476" t="s">
        <v>132</v>
      </c>
      <c r="U1476" t="s">
        <v>133</v>
      </c>
      <c r="V1476" s="1">
        <v>1000</v>
      </c>
      <c r="W1476">
        <v>610.80999999999995</v>
      </c>
      <c r="X1476">
        <v>389.19</v>
      </c>
      <c r="Y1476">
        <v>7</v>
      </c>
      <c r="Z1476">
        <v>0</v>
      </c>
      <c r="AA1476">
        <v>7</v>
      </c>
      <c r="AB1476">
        <v>0</v>
      </c>
      <c r="AC1476">
        <v>0</v>
      </c>
      <c r="AD1476" t="s">
        <v>134</v>
      </c>
      <c r="AE1476" t="s">
        <v>134</v>
      </c>
      <c r="AF1476" s="2">
        <v>45915</v>
      </c>
      <c r="AG1476" s="2">
        <v>46007</v>
      </c>
      <c r="AH1476">
        <v>449.67</v>
      </c>
      <c r="AI1476" s="1">
        <v>1305.5</v>
      </c>
      <c r="AJ1476" s="1">
        <v>4946.46</v>
      </c>
      <c r="AK1476">
        <v>0</v>
      </c>
      <c r="AL1476">
        <v>610.80999999999995</v>
      </c>
      <c r="AM1476">
        <v>0</v>
      </c>
      <c r="AN1476" t="s">
        <v>135</v>
      </c>
      <c r="AO1476" t="s">
        <v>135</v>
      </c>
      <c r="AP1476" t="s">
        <v>136</v>
      </c>
      <c r="AQ1476" t="s">
        <v>137</v>
      </c>
      <c r="AR1476" t="s">
        <v>138</v>
      </c>
      <c r="AS1476" t="s">
        <v>139</v>
      </c>
      <c r="AT1476" t="s">
        <v>140</v>
      </c>
      <c r="AU1476">
        <v>104</v>
      </c>
      <c r="AV1476">
        <v>10</v>
      </c>
      <c r="AW1476">
        <v>1</v>
      </c>
      <c r="AX1476" s="2">
        <v>45915</v>
      </c>
      <c r="AY1476" t="s">
        <v>141</v>
      </c>
      <c r="AZ1476" s="2">
        <v>46027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 t="s">
        <v>135</v>
      </c>
      <c r="BH1476" t="s">
        <v>250</v>
      </c>
      <c r="BI1476" t="s">
        <v>135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 s="1">
        <v>2376.83</v>
      </c>
      <c r="BQ1476" s="1">
        <v>2376.83</v>
      </c>
      <c r="BR1476">
        <v>0</v>
      </c>
      <c r="BS1476">
        <v>7</v>
      </c>
      <c r="BT1476">
        <v>2.59</v>
      </c>
      <c r="BU1476">
        <v>610.80999999999995</v>
      </c>
      <c r="BV1476" s="1">
        <v>1040.18</v>
      </c>
      <c r="BW1476" s="1">
        <v>1650.99</v>
      </c>
      <c r="BX1476">
        <v>610.80999999999995</v>
      </c>
      <c r="BY1476">
        <v>100</v>
      </c>
      <c r="BZ1476">
        <v>0</v>
      </c>
      <c r="CA1476">
        <v>0</v>
      </c>
      <c r="CB1476" s="1">
        <v>1210.56</v>
      </c>
      <c r="CC1476" t="s">
        <v>161</v>
      </c>
    </row>
    <row r="1477" spans="1:81" x14ac:dyDescent="0.25">
      <c r="A1477">
        <v>345</v>
      </c>
      <c r="B1477">
        <v>2</v>
      </c>
      <c r="C1477">
        <v>3800</v>
      </c>
      <c r="D1477" t="s">
        <v>8429</v>
      </c>
      <c r="E1477" t="s">
        <v>121</v>
      </c>
      <c r="F1477" t="s">
        <v>8430</v>
      </c>
      <c r="G1477" t="s">
        <v>8431</v>
      </c>
      <c r="H1477" t="s">
        <v>8432</v>
      </c>
      <c r="I1477" t="s">
        <v>8433</v>
      </c>
      <c r="J1477" t="s">
        <v>8434</v>
      </c>
      <c r="K1477" t="s">
        <v>466</v>
      </c>
      <c r="L1477" t="s">
        <v>128</v>
      </c>
      <c r="M1477" t="s">
        <v>467</v>
      </c>
      <c r="N1477" t="s">
        <v>8435</v>
      </c>
      <c r="O1477" t="s">
        <v>201</v>
      </c>
      <c r="P1477">
        <v>0</v>
      </c>
      <c r="Q1477" t="s">
        <v>125</v>
      </c>
      <c r="R1477">
        <v>4</v>
      </c>
      <c r="S1477">
        <v>79</v>
      </c>
      <c r="T1477" t="s">
        <v>132</v>
      </c>
      <c r="U1477" t="s">
        <v>133</v>
      </c>
      <c r="V1477" s="1">
        <v>1000</v>
      </c>
      <c r="W1477">
        <v>813.09</v>
      </c>
      <c r="X1477">
        <v>186.91</v>
      </c>
      <c r="Y1477">
        <v>0</v>
      </c>
      <c r="Z1477">
        <v>0</v>
      </c>
      <c r="AA1477">
        <v>7</v>
      </c>
      <c r="AB1477">
        <v>3</v>
      </c>
      <c r="AC1477">
        <v>38</v>
      </c>
      <c r="AD1477" t="s">
        <v>134</v>
      </c>
      <c r="AE1477" t="s">
        <v>134</v>
      </c>
      <c r="AF1477" s="2">
        <v>45917</v>
      </c>
      <c r="AG1477" s="2">
        <v>46013</v>
      </c>
      <c r="AH1477">
        <v>251.87</v>
      </c>
      <c r="AI1477">
        <v>497.13</v>
      </c>
      <c r="AJ1477" s="1">
        <v>2014.97</v>
      </c>
      <c r="AK1477">
        <v>813.09</v>
      </c>
      <c r="AL1477">
        <v>0</v>
      </c>
      <c r="AM1477">
        <v>0</v>
      </c>
      <c r="AN1477" t="s">
        <v>135</v>
      </c>
      <c r="AO1477" t="s">
        <v>135</v>
      </c>
      <c r="AP1477" t="s">
        <v>136</v>
      </c>
      <c r="AQ1477" t="s">
        <v>137</v>
      </c>
      <c r="AR1477" t="s">
        <v>138</v>
      </c>
      <c r="AS1477" t="s">
        <v>139</v>
      </c>
      <c r="AT1477" t="s">
        <v>140</v>
      </c>
      <c r="AU1477">
        <v>106</v>
      </c>
      <c r="AV1477">
        <v>10</v>
      </c>
      <c r="AW1477">
        <v>1</v>
      </c>
      <c r="AX1477" s="2">
        <v>45920</v>
      </c>
      <c r="AY1477" t="s">
        <v>160</v>
      </c>
      <c r="AZ1477" s="2">
        <v>46025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 t="s">
        <v>135</v>
      </c>
      <c r="BH1477" t="s">
        <v>250</v>
      </c>
      <c r="BI1477" t="s">
        <v>135</v>
      </c>
      <c r="BJ1477">
        <v>0</v>
      </c>
      <c r="BK1477">
        <v>0</v>
      </c>
      <c r="BL1477">
        <v>0</v>
      </c>
      <c r="BM1477">
        <v>7</v>
      </c>
      <c r="BN1477">
        <v>4.78</v>
      </c>
      <c r="BO1477">
        <v>254.25</v>
      </c>
      <c r="BP1477">
        <v>118.17</v>
      </c>
      <c r="BQ1477">
        <v>372.42</v>
      </c>
      <c r="BR1477">
        <v>0</v>
      </c>
      <c r="BS1477">
        <v>7</v>
      </c>
      <c r="BT1477">
        <v>7</v>
      </c>
      <c r="BU1477" s="1">
        <v>1392.09</v>
      </c>
      <c r="BV1477">
        <v>0</v>
      </c>
      <c r="BW1477" s="1">
        <v>1392.09</v>
      </c>
      <c r="BX1477">
        <v>0</v>
      </c>
      <c r="BY1477">
        <v>0</v>
      </c>
      <c r="BZ1477">
        <v>0</v>
      </c>
      <c r="CA1477">
        <v>0</v>
      </c>
      <c r="CB1477">
        <v>267.13</v>
      </c>
      <c r="CC1477" t="s">
        <v>161</v>
      </c>
    </row>
    <row r="1478" spans="1:81" x14ac:dyDescent="0.25">
      <c r="A1478">
        <v>345</v>
      </c>
      <c r="B1478">
        <v>2</v>
      </c>
      <c r="C1478">
        <v>3801</v>
      </c>
      <c r="D1478" t="s">
        <v>8436</v>
      </c>
      <c r="E1478" t="s">
        <v>121</v>
      </c>
      <c r="F1478" t="s">
        <v>8437</v>
      </c>
      <c r="G1478" t="s">
        <v>8438</v>
      </c>
      <c r="H1478" t="s">
        <v>8439</v>
      </c>
      <c r="I1478" t="s">
        <v>8440</v>
      </c>
      <c r="J1478" t="s">
        <v>126</v>
      </c>
      <c r="K1478" t="s">
        <v>1853</v>
      </c>
      <c r="L1478" t="s">
        <v>128</v>
      </c>
      <c r="M1478" t="s">
        <v>1854</v>
      </c>
      <c r="N1478" t="s">
        <v>8441</v>
      </c>
      <c r="O1478" t="s">
        <v>167</v>
      </c>
      <c r="P1478">
        <v>0</v>
      </c>
      <c r="Q1478" t="s">
        <v>125</v>
      </c>
      <c r="R1478">
        <v>4</v>
      </c>
      <c r="S1478">
        <v>79</v>
      </c>
      <c r="T1478" t="s">
        <v>132</v>
      </c>
      <c r="U1478" t="s">
        <v>133</v>
      </c>
      <c r="V1478" s="1">
        <v>1700</v>
      </c>
      <c r="W1478">
        <v>0</v>
      </c>
      <c r="X1478" s="1">
        <v>1700</v>
      </c>
      <c r="Y1478">
        <v>7</v>
      </c>
      <c r="Z1478">
        <v>0</v>
      </c>
      <c r="AA1478">
        <v>7</v>
      </c>
      <c r="AB1478">
        <v>0</v>
      </c>
      <c r="AC1478">
        <v>0</v>
      </c>
      <c r="AD1478" t="s">
        <v>134</v>
      </c>
      <c r="AE1478" t="s">
        <v>134</v>
      </c>
      <c r="AF1478" s="2">
        <v>45917</v>
      </c>
      <c r="AG1478" s="2">
        <v>45985</v>
      </c>
      <c r="AH1478">
        <v>590.84</v>
      </c>
      <c r="AI1478">
        <v>622.84</v>
      </c>
      <c r="AJ1478" s="1">
        <v>1772.54</v>
      </c>
      <c r="AK1478">
        <v>0</v>
      </c>
      <c r="AL1478">
        <v>0</v>
      </c>
      <c r="AM1478">
        <v>0</v>
      </c>
      <c r="AN1478" t="s">
        <v>135</v>
      </c>
      <c r="AO1478" t="s">
        <v>135</v>
      </c>
      <c r="AP1478" t="s">
        <v>136</v>
      </c>
      <c r="AQ1478" t="s">
        <v>137</v>
      </c>
      <c r="AR1478" t="s">
        <v>138</v>
      </c>
      <c r="AS1478" t="s">
        <v>150</v>
      </c>
      <c r="AT1478" t="s">
        <v>140</v>
      </c>
      <c r="AU1478">
        <v>103</v>
      </c>
      <c r="AV1478">
        <v>10</v>
      </c>
      <c r="AW1478">
        <v>1</v>
      </c>
      <c r="AX1478" s="2">
        <v>45920</v>
      </c>
      <c r="AY1478" t="s">
        <v>160</v>
      </c>
      <c r="AZ1478" s="2">
        <v>46025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 t="s">
        <v>135</v>
      </c>
      <c r="BH1478" t="s">
        <v>250</v>
      </c>
      <c r="BI1478" t="s">
        <v>135</v>
      </c>
      <c r="BJ1478">
        <v>0</v>
      </c>
      <c r="BK1478">
        <v>0</v>
      </c>
      <c r="BL1478">
        <v>0</v>
      </c>
      <c r="BM1478">
        <v>7</v>
      </c>
      <c r="BN1478">
        <v>3.61</v>
      </c>
      <c r="BO1478">
        <v>593.72</v>
      </c>
      <c r="BP1478">
        <v>555.98</v>
      </c>
      <c r="BQ1478" s="1">
        <v>1149.7</v>
      </c>
      <c r="BR1478">
        <v>593.72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590.84</v>
      </c>
      <c r="CC1478" t="s">
        <v>161</v>
      </c>
    </row>
    <row r="1479" spans="1:81" x14ac:dyDescent="0.25">
      <c r="A1479">
        <v>345</v>
      </c>
      <c r="B1479">
        <v>2</v>
      </c>
      <c r="C1479">
        <v>3802</v>
      </c>
      <c r="D1479" t="s">
        <v>8442</v>
      </c>
      <c r="E1479" t="s">
        <v>121</v>
      </c>
      <c r="F1479" t="s">
        <v>8443</v>
      </c>
      <c r="G1479" t="s">
        <v>8444</v>
      </c>
      <c r="H1479" t="s">
        <v>8445</v>
      </c>
      <c r="I1479" t="s">
        <v>8446</v>
      </c>
      <c r="J1479" t="s">
        <v>126</v>
      </c>
      <c r="K1479" t="s">
        <v>1853</v>
      </c>
      <c r="L1479" t="s">
        <v>128</v>
      </c>
      <c r="M1479" t="s">
        <v>1854</v>
      </c>
      <c r="N1479" t="s">
        <v>8447</v>
      </c>
      <c r="O1479" t="s">
        <v>296</v>
      </c>
      <c r="P1479">
        <v>0</v>
      </c>
      <c r="Q1479" t="s">
        <v>125</v>
      </c>
      <c r="R1479">
        <v>3</v>
      </c>
      <c r="S1479">
        <v>86</v>
      </c>
      <c r="T1479" t="s">
        <v>132</v>
      </c>
      <c r="U1479" t="s">
        <v>133</v>
      </c>
      <c r="V1479" s="1">
        <v>9500</v>
      </c>
      <c r="W1479">
        <v>0</v>
      </c>
      <c r="X1479" s="1">
        <v>9500</v>
      </c>
      <c r="Y1479">
        <v>7</v>
      </c>
      <c r="Z1479">
        <v>0</v>
      </c>
      <c r="AA1479">
        <v>0</v>
      </c>
      <c r="AB1479">
        <v>0</v>
      </c>
      <c r="AC1479">
        <v>0</v>
      </c>
      <c r="AD1479" t="s">
        <v>234</v>
      </c>
      <c r="AE1479" t="s">
        <v>134</v>
      </c>
      <c r="AF1479" s="2">
        <v>45917</v>
      </c>
      <c r="AG1479" s="2">
        <v>46008</v>
      </c>
      <c r="AH1479">
        <v>933.29</v>
      </c>
      <c r="AI1479" s="1">
        <v>1185.76</v>
      </c>
      <c r="AJ1479" s="1">
        <v>8399.69</v>
      </c>
      <c r="AK1479">
        <v>0</v>
      </c>
      <c r="AL1479" s="1">
        <v>1185.76</v>
      </c>
      <c r="AM1479">
        <v>0</v>
      </c>
      <c r="AN1479" t="s">
        <v>135</v>
      </c>
      <c r="AO1479" t="s">
        <v>135</v>
      </c>
      <c r="AP1479" t="s">
        <v>136</v>
      </c>
      <c r="AQ1479" t="s">
        <v>137</v>
      </c>
      <c r="AR1479" t="s">
        <v>138</v>
      </c>
      <c r="AS1479" t="s">
        <v>139</v>
      </c>
      <c r="AT1479" t="s">
        <v>140</v>
      </c>
      <c r="AU1479">
        <v>103</v>
      </c>
      <c r="AV1479">
        <v>10</v>
      </c>
      <c r="AW1479">
        <v>1</v>
      </c>
      <c r="AX1479" s="2">
        <v>45923</v>
      </c>
      <c r="AY1479" t="s">
        <v>377</v>
      </c>
      <c r="AZ1479" s="2">
        <v>46028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 t="s">
        <v>135</v>
      </c>
      <c r="BH1479" t="s">
        <v>250</v>
      </c>
      <c r="BI1479" t="s">
        <v>135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 s="1">
        <v>2883.92</v>
      </c>
      <c r="BQ1479" s="1">
        <v>2883.92</v>
      </c>
      <c r="BR1479">
        <v>0</v>
      </c>
      <c r="BS1479">
        <v>0</v>
      </c>
      <c r="BT1479">
        <v>0</v>
      </c>
      <c r="BU1479">
        <v>0</v>
      </c>
      <c r="BV1479" s="1">
        <v>3387.38</v>
      </c>
      <c r="BW1479" s="1">
        <v>3387.38</v>
      </c>
      <c r="BX1479">
        <v>0</v>
      </c>
      <c r="BY1479">
        <v>0</v>
      </c>
      <c r="BZ1479">
        <v>0</v>
      </c>
      <c r="CA1479">
        <v>0</v>
      </c>
      <c r="CB1479" s="1">
        <v>5685.7</v>
      </c>
      <c r="CC1479" t="s">
        <v>161</v>
      </c>
    </row>
    <row r="1480" spans="1:81" x14ac:dyDescent="0.25">
      <c r="A1480">
        <v>345</v>
      </c>
      <c r="B1480">
        <v>2</v>
      </c>
      <c r="C1480">
        <v>3804</v>
      </c>
      <c r="D1480" t="s">
        <v>8448</v>
      </c>
      <c r="E1480" t="s">
        <v>121</v>
      </c>
      <c r="F1480" t="s">
        <v>8449</v>
      </c>
      <c r="G1480" t="s">
        <v>8450</v>
      </c>
      <c r="H1480" t="s">
        <v>8451</v>
      </c>
      <c r="I1480" t="s">
        <v>8452</v>
      </c>
      <c r="J1480" t="s">
        <v>126</v>
      </c>
      <c r="K1480" t="s">
        <v>1853</v>
      </c>
      <c r="L1480" t="s">
        <v>128</v>
      </c>
      <c r="M1480" t="s">
        <v>1854</v>
      </c>
      <c r="N1480" t="s">
        <v>8453</v>
      </c>
      <c r="O1480" t="s">
        <v>195</v>
      </c>
      <c r="P1480">
        <v>0</v>
      </c>
      <c r="Q1480" t="s">
        <v>125</v>
      </c>
      <c r="R1480">
        <v>3</v>
      </c>
      <c r="S1480">
        <v>84</v>
      </c>
      <c r="T1480" t="s">
        <v>132</v>
      </c>
      <c r="U1480" t="s">
        <v>133</v>
      </c>
      <c r="V1480" s="1">
        <v>1000</v>
      </c>
      <c r="W1480">
        <v>31.26</v>
      </c>
      <c r="X1480">
        <v>968.74</v>
      </c>
      <c r="Y1480">
        <v>7</v>
      </c>
      <c r="Z1480">
        <v>0</v>
      </c>
      <c r="AA1480">
        <v>3</v>
      </c>
      <c r="AB1480">
        <v>0</v>
      </c>
      <c r="AC1480">
        <v>0</v>
      </c>
      <c r="AD1480" t="s">
        <v>134</v>
      </c>
      <c r="AE1480" t="s">
        <v>134</v>
      </c>
      <c r="AF1480" s="2">
        <v>45918</v>
      </c>
      <c r="AG1480" s="2">
        <v>46021</v>
      </c>
      <c r="AH1480">
        <v>31.26</v>
      </c>
      <c r="AI1480">
        <v>31.26</v>
      </c>
      <c r="AJ1480">
        <v>31.26</v>
      </c>
      <c r="AK1480">
        <v>0</v>
      </c>
      <c r="AL1480">
        <v>31.26</v>
      </c>
      <c r="AM1480">
        <v>0</v>
      </c>
      <c r="AN1480" t="s">
        <v>135</v>
      </c>
      <c r="AO1480" t="s">
        <v>135</v>
      </c>
      <c r="AP1480" t="s">
        <v>136</v>
      </c>
      <c r="AQ1480" t="s">
        <v>137</v>
      </c>
      <c r="AR1480" t="s">
        <v>138</v>
      </c>
      <c r="AS1480" t="s">
        <v>139</v>
      </c>
      <c r="AT1480" t="s">
        <v>140</v>
      </c>
      <c r="AU1480">
        <v>103</v>
      </c>
      <c r="AV1480">
        <v>10</v>
      </c>
      <c r="AW1480">
        <v>1</v>
      </c>
      <c r="AX1480" s="2">
        <v>45922</v>
      </c>
      <c r="AY1480" t="s">
        <v>141</v>
      </c>
      <c r="AZ1480" s="2">
        <v>46027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 t="s">
        <v>135</v>
      </c>
      <c r="BH1480" t="s">
        <v>250</v>
      </c>
      <c r="BI1480" t="s">
        <v>135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3</v>
      </c>
      <c r="BT1480">
        <v>3</v>
      </c>
      <c r="BU1480">
        <v>31.26</v>
      </c>
      <c r="BV1480">
        <v>0</v>
      </c>
      <c r="BW1480">
        <v>31.26</v>
      </c>
      <c r="BX1480">
        <v>31.26</v>
      </c>
      <c r="BY1480">
        <v>100</v>
      </c>
      <c r="BZ1480">
        <v>0</v>
      </c>
      <c r="CA1480">
        <v>0</v>
      </c>
      <c r="CB1480">
        <v>42.08</v>
      </c>
      <c r="CC1480" t="s">
        <v>161</v>
      </c>
    </row>
    <row r="1481" spans="1:81" x14ac:dyDescent="0.25">
      <c r="A1481">
        <v>345</v>
      </c>
      <c r="B1481">
        <v>2</v>
      </c>
      <c r="C1481">
        <v>3805</v>
      </c>
      <c r="D1481" t="s">
        <v>8454</v>
      </c>
      <c r="E1481" t="s">
        <v>121</v>
      </c>
      <c r="F1481" t="s">
        <v>8455</v>
      </c>
      <c r="G1481" t="s">
        <v>8456</v>
      </c>
      <c r="H1481" t="s">
        <v>8457</v>
      </c>
      <c r="I1481" t="s">
        <v>8458</v>
      </c>
      <c r="J1481" t="s">
        <v>1263</v>
      </c>
      <c r="K1481" t="s">
        <v>466</v>
      </c>
      <c r="L1481" t="s">
        <v>128</v>
      </c>
      <c r="M1481" t="s">
        <v>467</v>
      </c>
      <c r="N1481" t="s">
        <v>8459</v>
      </c>
      <c r="O1481" t="s">
        <v>5369</v>
      </c>
      <c r="P1481">
        <v>0</v>
      </c>
      <c r="Q1481" t="s">
        <v>125</v>
      </c>
      <c r="R1481">
        <v>3</v>
      </c>
      <c r="S1481">
        <v>83</v>
      </c>
      <c r="T1481" t="s">
        <v>132</v>
      </c>
      <c r="U1481" t="s">
        <v>133</v>
      </c>
      <c r="V1481" s="1">
        <v>1300</v>
      </c>
      <c r="W1481">
        <v>0</v>
      </c>
      <c r="X1481" s="1">
        <v>1300</v>
      </c>
      <c r="Y1481">
        <v>7</v>
      </c>
      <c r="Z1481">
        <v>0</v>
      </c>
      <c r="AA1481">
        <v>0</v>
      </c>
      <c r="AB1481">
        <v>0</v>
      </c>
      <c r="AC1481">
        <v>0</v>
      </c>
      <c r="AD1481" t="s">
        <v>134</v>
      </c>
      <c r="AE1481" t="s">
        <v>134</v>
      </c>
      <c r="AF1481" s="2">
        <v>45922</v>
      </c>
      <c r="AG1481" s="2">
        <v>45945</v>
      </c>
      <c r="AH1481">
        <v>261.23</v>
      </c>
      <c r="AI1481">
        <v>419.6</v>
      </c>
      <c r="AJ1481">
        <v>783.7</v>
      </c>
      <c r="AK1481">
        <v>0</v>
      </c>
      <c r="AL1481">
        <v>0</v>
      </c>
      <c r="AM1481">
        <v>0</v>
      </c>
      <c r="AN1481" t="s">
        <v>135</v>
      </c>
      <c r="AO1481" t="s">
        <v>135</v>
      </c>
      <c r="AP1481" t="s">
        <v>136</v>
      </c>
      <c r="AQ1481" t="s">
        <v>137</v>
      </c>
      <c r="AR1481" t="s">
        <v>138</v>
      </c>
      <c r="AS1481" t="s">
        <v>139</v>
      </c>
      <c r="AT1481" t="s">
        <v>140</v>
      </c>
      <c r="AU1481">
        <v>500</v>
      </c>
      <c r="AV1481">
        <v>10</v>
      </c>
      <c r="AW1481">
        <v>1</v>
      </c>
      <c r="AX1481" s="2">
        <v>45923</v>
      </c>
      <c r="AY1481" t="s">
        <v>377</v>
      </c>
      <c r="AZ1481" s="2">
        <v>46028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 t="s">
        <v>135</v>
      </c>
      <c r="BH1481" t="s">
        <v>250</v>
      </c>
      <c r="BI1481" t="s">
        <v>135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322.39999999999998</v>
      </c>
      <c r="CC1481" t="s">
        <v>161</v>
      </c>
    </row>
    <row r="1482" spans="1:81" x14ac:dyDescent="0.25">
      <c r="A1482">
        <v>345</v>
      </c>
      <c r="B1482">
        <v>2</v>
      </c>
      <c r="C1482">
        <v>3806</v>
      </c>
      <c r="D1482" t="s">
        <v>8460</v>
      </c>
      <c r="E1482" t="s">
        <v>121</v>
      </c>
      <c r="F1482" t="s">
        <v>8461</v>
      </c>
      <c r="G1482" t="s">
        <v>8462</v>
      </c>
      <c r="H1482" t="s">
        <v>8463</v>
      </c>
      <c r="I1482" t="s">
        <v>8464</v>
      </c>
      <c r="J1482" t="s">
        <v>206</v>
      </c>
      <c r="K1482" t="s">
        <v>127</v>
      </c>
      <c r="L1482" t="s">
        <v>128</v>
      </c>
      <c r="M1482" t="s">
        <v>129</v>
      </c>
      <c r="N1482" t="s">
        <v>8465</v>
      </c>
      <c r="O1482" t="s">
        <v>201</v>
      </c>
      <c r="P1482">
        <v>0</v>
      </c>
      <c r="Q1482" t="s">
        <v>125</v>
      </c>
      <c r="R1482">
        <v>3</v>
      </c>
      <c r="S1482">
        <v>85</v>
      </c>
      <c r="T1482" t="s">
        <v>132</v>
      </c>
      <c r="U1482" t="s">
        <v>133</v>
      </c>
      <c r="V1482" s="1">
        <v>1300</v>
      </c>
      <c r="W1482">
        <v>0</v>
      </c>
      <c r="X1482" s="1">
        <v>1300</v>
      </c>
      <c r="Y1482">
        <v>7</v>
      </c>
      <c r="Z1482">
        <v>0</v>
      </c>
      <c r="AA1482">
        <v>0</v>
      </c>
      <c r="AB1482">
        <v>0</v>
      </c>
      <c r="AC1482">
        <v>0</v>
      </c>
      <c r="AD1482" t="s">
        <v>134</v>
      </c>
      <c r="AE1482" t="s">
        <v>134</v>
      </c>
      <c r="AF1482" s="2">
        <v>45922</v>
      </c>
      <c r="AG1482" s="2">
        <v>46019</v>
      </c>
      <c r="AH1482">
        <v>605.87</v>
      </c>
      <c r="AI1482" s="1">
        <v>1327.8</v>
      </c>
      <c r="AJ1482" s="1">
        <v>7270.44</v>
      </c>
      <c r="AK1482">
        <v>0</v>
      </c>
      <c r="AL1482">
        <v>0</v>
      </c>
      <c r="AM1482">
        <v>0</v>
      </c>
      <c r="AN1482" t="s">
        <v>135</v>
      </c>
      <c r="AO1482" t="s">
        <v>135</v>
      </c>
      <c r="AP1482" t="s">
        <v>136</v>
      </c>
      <c r="AQ1482" t="s">
        <v>137</v>
      </c>
      <c r="AR1482" t="s">
        <v>138</v>
      </c>
      <c r="AS1482" t="s">
        <v>139</v>
      </c>
      <c r="AT1482" t="s">
        <v>140</v>
      </c>
      <c r="AU1482">
        <v>102</v>
      </c>
      <c r="AV1482">
        <v>10</v>
      </c>
      <c r="AW1482">
        <v>1</v>
      </c>
      <c r="AX1482" s="2">
        <v>45926</v>
      </c>
      <c r="AY1482" t="s">
        <v>151</v>
      </c>
      <c r="AZ1482" s="2">
        <v>46024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 t="s">
        <v>135</v>
      </c>
      <c r="BH1482" t="s">
        <v>250</v>
      </c>
      <c r="BI1482" t="s">
        <v>135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 s="1">
        <v>4001.51</v>
      </c>
      <c r="BQ1482" s="1">
        <v>4001.51</v>
      </c>
      <c r="BR1482">
        <v>0</v>
      </c>
      <c r="BS1482">
        <v>0</v>
      </c>
      <c r="BT1482">
        <v>0</v>
      </c>
      <c r="BU1482">
        <v>0</v>
      </c>
      <c r="BV1482" s="1">
        <v>1485.98</v>
      </c>
      <c r="BW1482" s="1">
        <v>1485.98</v>
      </c>
      <c r="BX1482">
        <v>0</v>
      </c>
      <c r="BY1482">
        <v>0</v>
      </c>
      <c r="BZ1482">
        <v>0</v>
      </c>
      <c r="CA1482">
        <v>0</v>
      </c>
      <c r="CB1482" s="1">
        <v>2005.88</v>
      </c>
      <c r="CC1482" t="s">
        <v>161</v>
      </c>
    </row>
    <row r="1483" spans="1:81" x14ac:dyDescent="0.25">
      <c r="A1483">
        <v>345</v>
      </c>
      <c r="B1483">
        <v>2</v>
      </c>
      <c r="C1483">
        <v>3807</v>
      </c>
      <c r="D1483" t="s">
        <v>8466</v>
      </c>
      <c r="E1483" t="s">
        <v>121</v>
      </c>
      <c r="F1483" t="s">
        <v>8467</v>
      </c>
      <c r="G1483" t="s">
        <v>8468</v>
      </c>
      <c r="H1483" t="s">
        <v>6642</v>
      </c>
      <c r="I1483" t="s">
        <v>8469</v>
      </c>
      <c r="J1483" t="s">
        <v>4569</v>
      </c>
      <c r="K1483" t="s">
        <v>473</v>
      </c>
      <c r="L1483" t="s">
        <v>128</v>
      </c>
      <c r="M1483" t="s">
        <v>474</v>
      </c>
      <c r="N1483" t="s">
        <v>8470</v>
      </c>
      <c r="O1483" t="s">
        <v>167</v>
      </c>
      <c r="P1483">
        <v>0</v>
      </c>
      <c r="Q1483" t="s">
        <v>125</v>
      </c>
      <c r="R1483">
        <v>5</v>
      </c>
      <c r="S1483">
        <v>74</v>
      </c>
      <c r="T1483" t="s">
        <v>132</v>
      </c>
      <c r="U1483" t="s">
        <v>133</v>
      </c>
      <c r="V1483" s="1">
        <v>1000</v>
      </c>
      <c r="W1483">
        <v>0</v>
      </c>
      <c r="X1483" s="1">
        <v>1000</v>
      </c>
      <c r="Y1483">
        <v>7</v>
      </c>
      <c r="Z1483">
        <v>0</v>
      </c>
      <c r="AA1483">
        <v>7</v>
      </c>
      <c r="AB1483">
        <v>0</v>
      </c>
      <c r="AC1483">
        <v>25</v>
      </c>
      <c r="AD1483" t="s">
        <v>134</v>
      </c>
      <c r="AE1483" t="s">
        <v>134</v>
      </c>
      <c r="AF1483" s="2">
        <v>45922</v>
      </c>
      <c r="AG1483" s="2">
        <v>45995</v>
      </c>
      <c r="AH1483">
        <v>152.25</v>
      </c>
      <c r="AI1483">
        <v>193.2</v>
      </c>
      <c r="AJ1483">
        <v>609.01</v>
      </c>
      <c r="AK1483">
        <v>0</v>
      </c>
      <c r="AL1483">
        <v>0</v>
      </c>
      <c r="AM1483">
        <v>0</v>
      </c>
      <c r="AN1483" t="s">
        <v>135</v>
      </c>
      <c r="AO1483" t="s">
        <v>135</v>
      </c>
      <c r="AP1483" t="s">
        <v>136</v>
      </c>
      <c r="AQ1483" t="s">
        <v>137</v>
      </c>
      <c r="AR1483" t="s">
        <v>138</v>
      </c>
      <c r="AS1483" t="s">
        <v>139</v>
      </c>
      <c r="AT1483" t="s">
        <v>140</v>
      </c>
      <c r="AU1483">
        <v>105</v>
      </c>
      <c r="AV1483">
        <v>10</v>
      </c>
      <c r="AW1483">
        <v>1</v>
      </c>
      <c r="AX1483" s="2">
        <v>45924</v>
      </c>
      <c r="AY1483" t="s">
        <v>168</v>
      </c>
      <c r="AZ1483" s="2">
        <v>46022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 t="s">
        <v>135</v>
      </c>
      <c r="BH1483" t="s">
        <v>250</v>
      </c>
      <c r="BI1483" t="s">
        <v>135</v>
      </c>
      <c r="BJ1483">
        <v>0</v>
      </c>
      <c r="BK1483">
        <v>0</v>
      </c>
      <c r="BL1483">
        <v>0</v>
      </c>
      <c r="BM1483">
        <v>7</v>
      </c>
      <c r="BN1483">
        <v>7</v>
      </c>
      <c r="BO1483">
        <v>372.91</v>
      </c>
      <c r="BP1483">
        <v>0</v>
      </c>
      <c r="BQ1483">
        <v>372.91</v>
      </c>
      <c r="BR1483">
        <v>0</v>
      </c>
      <c r="BS1483">
        <v>7</v>
      </c>
      <c r="BT1483">
        <v>7</v>
      </c>
      <c r="BU1483">
        <v>190.24</v>
      </c>
      <c r="BV1483">
        <v>0</v>
      </c>
      <c r="BW1483">
        <v>190.24</v>
      </c>
      <c r="BX1483">
        <v>0</v>
      </c>
      <c r="BY1483">
        <v>0</v>
      </c>
      <c r="BZ1483">
        <v>0</v>
      </c>
      <c r="CA1483">
        <v>0</v>
      </c>
      <c r="CB1483">
        <v>139.59</v>
      </c>
      <c r="CC1483" t="s">
        <v>161</v>
      </c>
    </row>
    <row r="1484" spans="1:81" x14ac:dyDescent="0.25">
      <c r="A1484">
        <v>345</v>
      </c>
      <c r="B1484">
        <v>2</v>
      </c>
      <c r="C1484">
        <v>3808</v>
      </c>
      <c r="D1484" t="s">
        <v>8471</v>
      </c>
      <c r="E1484" t="s">
        <v>121</v>
      </c>
      <c r="F1484" t="s">
        <v>8472</v>
      </c>
      <c r="G1484" t="s">
        <v>8473</v>
      </c>
      <c r="H1484" t="s">
        <v>8474</v>
      </c>
      <c r="I1484" t="s">
        <v>8475</v>
      </c>
      <c r="J1484" t="s">
        <v>897</v>
      </c>
      <c r="K1484" t="s">
        <v>473</v>
      </c>
      <c r="L1484" t="s">
        <v>128</v>
      </c>
      <c r="M1484" t="s">
        <v>474</v>
      </c>
      <c r="N1484" t="s">
        <v>8476</v>
      </c>
      <c r="O1484" t="s">
        <v>296</v>
      </c>
      <c r="P1484">
        <v>0</v>
      </c>
      <c r="Q1484" t="s">
        <v>125</v>
      </c>
      <c r="R1484">
        <v>3</v>
      </c>
      <c r="S1484">
        <v>87</v>
      </c>
      <c r="T1484" t="s">
        <v>132</v>
      </c>
      <c r="U1484" t="s">
        <v>133</v>
      </c>
      <c r="V1484" s="1">
        <v>2500</v>
      </c>
      <c r="W1484">
        <v>0</v>
      </c>
      <c r="X1484" s="1">
        <v>2500</v>
      </c>
      <c r="Y1484">
        <v>7</v>
      </c>
      <c r="Z1484">
        <v>0</v>
      </c>
      <c r="AA1484">
        <v>0</v>
      </c>
      <c r="AB1484">
        <v>0</v>
      </c>
      <c r="AC1484">
        <v>0</v>
      </c>
      <c r="AD1484" t="s">
        <v>134</v>
      </c>
      <c r="AE1484" t="s">
        <v>134</v>
      </c>
      <c r="AF1484" s="2">
        <v>45922</v>
      </c>
      <c r="AG1484" s="2">
        <v>46010</v>
      </c>
      <c r="AH1484" s="1">
        <v>1465.73</v>
      </c>
      <c r="AI1484" s="1">
        <v>2292</v>
      </c>
      <c r="AJ1484" s="1">
        <v>13191.62</v>
      </c>
      <c r="AK1484">
        <v>0</v>
      </c>
      <c r="AL1484">
        <v>0</v>
      </c>
      <c r="AM1484">
        <v>0</v>
      </c>
      <c r="AN1484" t="s">
        <v>135</v>
      </c>
      <c r="AO1484" t="s">
        <v>135</v>
      </c>
      <c r="AP1484" t="s">
        <v>136</v>
      </c>
      <c r="AQ1484" t="s">
        <v>137</v>
      </c>
      <c r="AR1484" t="s">
        <v>138</v>
      </c>
      <c r="AS1484" t="s">
        <v>139</v>
      </c>
      <c r="AT1484" t="s">
        <v>140</v>
      </c>
      <c r="AU1484">
        <v>105</v>
      </c>
      <c r="AV1484">
        <v>10</v>
      </c>
      <c r="AW1484">
        <v>1</v>
      </c>
      <c r="AX1484" s="2">
        <v>45924</v>
      </c>
      <c r="AY1484" t="s">
        <v>168</v>
      </c>
      <c r="AZ1484" s="2">
        <v>46022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 t="s">
        <v>135</v>
      </c>
      <c r="BH1484" t="s">
        <v>250</v>
      </c>
      <c r="BI1484" t="s">
        <v>135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 s="1">
        <v>3293.53</v>
      </c>
      <c r="BQ1484" s="1">
        <v>3293.53</v>
      </c>
      <c r="BR1484">
        <v>0</v>
      </c>
      <c r="BS1484">
        <v>0</v>
      </c>
      <c r="BT1484">
        <v>0</v>
      </c>
      <c r="BU1484">
        <v>0</v>
      </c>
      <c r="BV1484" s="1">
        <v>4737.3900000000003</v>
      </c>
      <c r="BW1484" s="1">
        <v>4737.3900000000003</v>
      </c>
      <c r="BX1484">
        <v>0</v>
      </c>
      <c r="BY1484">
        <v>0</v>
      </c>
      <c r="BZ1484">
        <v>0</v>
      </c>
      <c r="CA1484">
        <v>0</v>
      </c>
      <c r="CB1484" s="1">
        <v>2888.75</v>
      </c>
      <c r="CC1484" t="s">
        <v>161</v>
      </c>
    </row>
    <row r="1485" spans="1:81" x14ac:dyDescent="0.25">
      <c r="A1485">
        <v>345</v>
      </c>
      <c r="B1485">
        <v>2</v>
      </c>
      <c r="C1485">
        <v>3809</v>
      </c>
      <c r="D1485" t="s">
        <v>8477</v>
      </c>
      <c r="E1485" t="s">
        <v>121</v>
      </c>
      <c r="F1485" t="s">
        <v>8478</v>
      </c>
      <c r="G1485" t="s">
        <v>8479</v>
      </c>
      <c r="H1485" t="s">
        <v>8480</v>
      </c>
      <c r="I1485" t="s">
        <v>8481</v>
      </c>
      <c r="J1485" t="s">
        <v>499</v>
      </c>
      <c r="K1485" t="s">
        <v>336</v>
      </c>
      <c r="L1485" t="s">
        <v>128</v>
      </c>
      <c r="M1485" t="s">
        <v>6395</v>
      </c>
      <c r="N1485" t="s">
        <v>8482</v>
      </c>
      <c r="O1485" t="s">
        <v>5475</v>
      </c>
      <c r="P1485">
        <v>0</v>
      </c>
      <c r="Q1485" t="s">
        <v>125</v>
      </c>
      <c r="R1485">
        <v>3</v>
      </c>
      <c r="S1485">
        <v>84</v>
      </c>
      <c r="T1485" t="s">
        <v>132</v>
      </c>
      <c r="U1485" t="s">
        <v>133</v>
      </c>
      <c r="V1485" s="1">
        <v>1700</v>
      </c>
      <c r="W1485">
        <v>0</v>
      </c>
      <c r="X1485" s="1">
        <v>1700</v>
      </c>
      <c r="Y1485">
        <v>7</v>
      </c>
      <c r="Z1485">
        <v>0</v>
      </c>
      <c r="AA1485">
        <v>0</v>
      </c>
      <c r="AB1485">
        <v>0</v>
      </c>
      <c r="AC1485">
        <v>0</v>
      </c>
      <c r="AD1485" t="s">
        <v>134</v>
      </c>
      <c r="AE1485" t="s">
        <v>134</v>
      </c>
      <c r="AF1485" s="2">
        <v>45922</v>
      </c>
      <c r="AG1485" s="2">
        <v>46014</v>
      </c>
      <c r="AH1485">
        <v>896.44</v>
      </c>
      <c r="AI1485" s="1">
        <v>3169.77</v>
      </c>
      <c r="AJ1485" s="1">
        <v>8068.01</v>
      </c>
      <c r="AK1485">
        <v>0</v>
      </c>
      <c r="AL1485">
        <v>0</v>
      </c>
      <c r="AM1485">
        <v>0</v>
      </c>
      <c r="AN1485" t="s">
        <v>135</v>
      </c>
      <c r="AO1485" t="s">
        <v>135</v>
      </c>
      <c r="AP1485" t="s">
        <v>136</v>
      </c>
      <c r="AQ1485" t="s">
        <v>137</v>
      </c>
      <c r="AR1485" t="s">
        <v>138</v>
      </c>
      <c r="AS1485" t="s">
        <v>150</v>
      </c>
      <c r="AT1485" t="s">
        <v>140</v>
      </c>
      <c r="AU1485">
        <v>501</v>
      </c>
      <c r="AV1485">
        <v>10</v>
      </c>
      <c r="AW1485">
        <v>1</v>
      </c>
      <c r="AX1485" s="2">
        <v>45922</v>
      </c>
      <c r="AY1485" t="s">
        <v>141</v>
      </c>
      <c r="AZ1485" s="2">
        <v>46027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 t="s">
        <v>135</v>
      </c>
      <c r="BH1485" t="s">
        <v>250</v>
      </c>
      <c r="BI1485" t="s">
        <v>135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 s="1">
        <v>1392.46</v>
      </c>
      <c r="BQ1485" s="1">
        <v>1392.46</v>
      </c>
      <c r="BR1485">
        <v>0</v>
      </c>
      <c r="BS1485">
        <v>0</v>
      </c>
      <c r="BT1485">
        <v>0</v>
      </c>
      <c r="BU1485">
        <v>0</v>
      </c>
      <c r="BV1485" s="1">
        <v>3401.73</v>
      </c>
      <c r="BW1485" s="1">
        <v>3401.73</v>
      </c>
      <c r="BX1485">
        <v>0</v>
      </c>
      <c r="BY1485">
        <v>0</v>
      </c>
      <c r="BZ1485">
        <v>0</v>
      </c>
      <c r="CA1485">
        <v>0</v>
      </c>
      <c r="CB1485" s="1">
        <v>1555.42</v>
      </c>
      <c r="CC1485" t="s">
        <v>161</v>
      </c>
    </row>
    <row r="1486" spans="1:81" x14ac:dyDescent="0.25">
      <c r="A1486">
        <v>345</v>
      </c>
      <c r="B1486">
        <v>2</v>
      </c>
      <c r="C1486">
        <v>3810</v>
      </c>
      <c r="D1486" t="s">
        <v>8483</v>
      </c>
      <c r="E1486" t="s">
        <v>121</v>
      </c>
      <c r="F1486" t="s">
        <v>8484</v>
      </c>
      <c r="G1486" t="s">
        <v>8485</v>
      </c>
      <c r="H1486" t="s">
        <v>8486</v>
      </c>
      <c r="I1486" t="s">
        <v>8487</v>
      </c>
      <c r="J1486" t="s">
        <v>3074</v>
      </c>
      <c r="K1486" t="s">
        <v>1853</v>
      </c>
      <c r="L1486" t="s">
        <v>128</v>
      </c>
      <c r="M1486" t="s">
        <v>1854</v>
      </c>
      <c r="N1486" t="s">
        <v>7093</v>
      </c>
      <c r="O1486" t="s">
        <v>159</v>
      </c>
      <c r="P1486">
        <v>0</v>
      </c>
      <c r="Q1486" t="s">
        <v>125</v>
      </c>
      <c r="R1486">
        <v>4</v>
      </c>
      <c r="S1486">
        <v>79</v>
      </c>
      <c r="T1486" t="s">
        <v>132</v>
      </c>
      <c r="U1486" t="s">
        <v>133</v>
      </c>
      <c r="V1486" s="1">
        <v>1800</v>
      </c>
      <c r="W1486">
        <v>0</v>
      </c>
      <c r="X1486" s="1">
        <v>1800</v>
      </c>
      <c r="Y1486">
        <v>7</v>
      </c>
      <c r="Z1486">
        <v>0</v>
      </c>
      <c r="AA1486">
        <v>7</v>
      </c>
      <c r="AB1486">
        <v>0</v>
      </c>
      <c r="AC1486">
        <v>0</v>
      </c>
      <c r="AD1486" t="s">
        <v>134</v>
      </c>
      <c r="AE1486" t="s">
        <v>134</v>
      </c>
      <c r="AF1486" s="2">
        <v>45923</v>
      </c>
      <c r="AG1486" s="2">
        <v>46008</v>
      </c>
      <c r="AH1486" s="1">
        <v>1159.9100000000001</v>
      </c>
      <c r="AI1486" s="1">
        <v>1723.88</v>
      </c>
      <c r="AJ1486" s="1">
        <v>3479.73</v>
      </c>
      <c r="AK1486">
        <v>0</v>
      </c>
      <c r="AL1486">
        <v>0</v>
      </c>
      <c r="AM1486">
        <v>0</v>
      </c>
      <c r="AN1486" t="s">
        <v>135</v>
      </c>
      <c r="AO1486" t="s">
        <v>135</v>
      </c>
      <c r="AP1486" t="s">
        <v>136</v>
      </c>
      <c r="AQ1486" t="s">
        <v>137</v>
      </c>
      <c r="AR1486" t="s">
        <v>138</v>
      </c>
      <c r="AS1486" t="s">
        <v>150</v>
      </c>
      <c r="AT1486" t="s">
        <v>140</v>
      </c>
      <c r="AU1486">
        <v>500</v>
      </c>
      <c r="AV1486">
        <v>10</v>
      </c>
      <c r="AW1486">
        <v>1</v>
      </c>
      <c r="AX1486" s="2">
        <v>45929</v>
      </c>
      <c r="AY1486" t="s">
        <v>141</v>
      </c>
      <c r="AZ1486" s="2">
        <v>46027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 t="s">
        <v>135</v>
      </c>
      <c r="BH1486" t="s">
        <v>250</v>
      </c>
      <c r="BI1486" t="s">
        <v>135</v>
      </c>
      <c r="BJ1486">
        <v>0</v>
      </c>
      <c r="BK1486">
        <v>0</v>
      </c>
      <c r="BL1486">
        <v>0</v>
      </c>
      <c r="BM1486">
        <v>6</v>
      </c>
      <c r="BN1486">
        <v>6</v>
      </c>
      <c r="BO1486" s="1">
        <v>1037.79</v>
      </c>
      <c r="BP1486">
        <v>0</v>
      </c>
      <c r="BQ1486" s="1">
        <v>1037.79</v>
      </c>
      <c r="BR1486">
        <v>0</v>
      </c>
      <c r="BS1486">
        <v>7</v>
      </c>
      <c r="BT1486">
        <v>7</v>
      </c>
      <c r="BU1486" s="1">
        <v>1723.88</v>
      </c>
      <c r="BV1486">
        <v>0</v>
      </c>
      <c r="BW1486" s="1">
        <v>1723.88</v>
      </c>
      <c r="BX1486">
        <v>0</v>
      </c>
      <c r="BY1486">
        <v>0</v>
      </c>
      <c r="BZ1486">
        <v>0</v>
      </c>
      <c r="CA1486">
        <v>0</v>
      </c>
      <c r="CB1486">
        <v>585.28</v>
      </c>
      <c r="CC1486" t="s">
        <v>161</v>
      </c>
    </row>
    <row r="1487" spans="1:81" x14ac:dyDescent="0.25">
      <c r="A1487">
        <v>345</v>
      </c>
      <c r="B1487">
        <v>2</v>
      </c>
      <c r="C1487">
        <v>3811</v>
      </c>
      <c r="D1487" t="s">
        <v>8488</v>
      </c>
      <c r="E1487" t="s">
        <v>121</v>
      </c>
      <c r="F1487" t="s">
        <v>8489</v>
      </c>
      <c r="G1487" t="s">
        <v>8490</v>
      </c>
      <c r="H1487" t="s">
        <v>8491</v>
      </c>
      <c r="I1487" t="s">
        <v>8492</v>
      </c>
      <c r="J1487" t="s">
        <v>4591</v>
      </c>
      <c r="K1487" t="s">
        <v>4248</v>
      </c>
      <c r="L1487" t="s">
        <v>128</v>
      </c>
      <c r="M1487" t="s">
        <v>1325</v>
      </c>
      <c r="N1487" t="s">
        <v>8493</v>
      </c>
      <c r="O1487" t="s">
        <v>296</v>
      </c>
      <c r="P1487">
        <v>0</v>
      </c>
      <c r="Q1487" t="s">
        <v>125</v>
      </c>
      <c r="R1487">
        <v>3</v>
      </c>
      <c r="S1487">
        <v>85</v>
      </c>
      <c r="T1487" t="s">
        <v>132</v>
      </c>
      <c r="U1487" t="s">
        <v>133</v>
      </c>
      <c r="V1487" s="1">
        <v>1100</v>
      </c>
      <c r="W1487">
        <v>0</v>
      </c>
      <c r="X1487" s="1">
        <v>1100</v>
      </c>
      <c r="Y1487">
        <v>7</v>
      </c>
      <c r="Z1487">
        <v>0</v>
      </c>
      <c r="AA1487">
        <v>0</v>
      </c>
      <c r="AB1487">
        <v>0</v>
      </c>
      <c r="AC1487">
        <v>0</v>
      </c>
      <c r="AD1487" t="s">
        <v>134</v>
      </c>
      <c r="AE1487" t="s">
        <v>134</v>
      </c>
      <c r="AF1487" s="2">
        <v>45923</v>
      </c>
      <c r="AG1487" s="2">
        <v>45941</v>
      </c>
      <c r="AH1487">
        <v>285.04000000000002</v>
      </c>
      <c r="AI1487">
        <v>285.04000000000002</v>
      </c>
      <c r="AJ1487">
        <v>285.04000000000002</v>
      </c>
      <c r="AK1487">
        <v>0</v>
      </c>
      <c r="AL1487">
        <v>0</v>
      </c>
      <c r="AM1487">
        <v>0</v>
      </c>
      <c r="AN1487" t="s">
        <v>135</v>
      </c>
      <c r="AO1487" t="s">
        <v>135</v>
      </c>
      <c r="AP1487" t="s">
        <v>136</v>
      </c>
      <c r="AQ1487" t="s">
        <v>137</v>
      </c>
      <c r="AR1487" t="s">
        <v>138</v>
      </c>
      <c r="AS1487" t="s">
        <v>139</v>
      </c>
      <c r="AT1487" t="s">
        <v>140</v>
      </c>
      <c r="AU1487">
        <v>104</v>
      </c>
      <c r="AV1487">
        <v>10</v>
      </c>
      <c r="AW1487">
        <v>1</v>
      </c>
      <c r="AX1487" s="2">
        <v>45925</v>
      </c>
      <c r="AY1487" t="s">
        <v>308</v>
      </c>
      <c r="AZ1487" s="2">
        <v>46023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 t="s">
        <v>135</v>
      </c>
      <c r="BH1487" t="s">
        <v>250</v>
      </c>
      <c r="BI1487" t="s">
        <v>135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362.07</v>
      </c>
      <c r="CC1487" t="s">
        <v>161</v>
      </c>
    </row>
    <row r="1488" spans="1:81" x14ac:dyDescent="0.25">
      <c r="A1488">
        <v>345</v>
      </c>
      <c r="B1488">
        <v>2</v>
      </c>
      <c r="C1488">
        <v>3812</v>
      </c>
      <c r="D1488" t="s">
        <v>8494</v>
      </c>
      <c r="E1488" t="s">
        <v>121</v>
      </c>
      <c r="F1488" t="s">
        <v>8495</v>
      </c>
      <c r="G1488" t="s">
        <v>8496</v>
      </c>
      <c r="H1488" t="s">
        <v>8497</v>
      </c>
      <c r="I1488" t="s">
        <v>8498</v>
      </c>
      <c r="J1488" t="s">
        <v>606</v>
      </c>
      <c r="K1488" t="s">
        <v>336</v>
      </c>
      <c r="L1488" t="s">
        <v>128</v>
      </c>
      <c r="M1488" t="s">
        <v>337</v>
      </c>
      <c r="N1488" t="s">
        <v>8499</v>
      </c>
      <c r="O1488" t="s">
        <v>5369</v>
      </c>
      <c r="P1488">
        <v>0</v>
      </c>
      <c r="Q1488" t="s">
        <v>125</v>
      </c>
      <c r="R1488">
        <v>3</v>
      </c>
      <c r="S1488">
        <v>83</v>
      </c>
      <c r="T1488" t="s">
        <v>132</v>
      </c>
      <c r="U1488" t="s">
        <v>133</v>
      </c>
      <c r="V1488" s="1">
        <v>1300</v>
      </c>
      <c r="W1488">
        <v>0</v>
      </c>
      <c r="X1488" s="1">
        <v>1300</v>
      </c>
      <c r="Y1488">
        <v>7</v>
      </c>
      <c r="Z1488">
        <v>0</v>
      </c>
      <c r="AA1488">
        <v>0</v>
      </c>
      <c r="AB1488">
        <v>0</v>
      </c>
      <c r="AC1488">
        <v>0</v>
      </c>
      <c r="AD1488" t="s">
        <v>134</v>
      </c>
      <c r="AE1488" t="s">
        <v>134</v>
      </c>
      <c r="AF1488" s="2">
        <v>45925</v>
      </c>
      <c r="AG1488" s="2">
        <v>46008</v>
      </c>
      <c r="AH1488">
        <v>385.9</v>
      </c>
      <c r="AI1488">
        <v>411.43</v>
      </c>
      <c r="AJ1488">
        <v>771.81</v>
      </c>
      <c r="AK1488">
        <v>0</v>
      </c>
      <c r="AL1488">
        <v>0</v>
      </c>
      <c r="AM1488">
        <v>0</v>
      </c>
      <c r="AN1488" t="s">
        <v>135</v>
      </c>
      <c r="AO1488" t="s">
        <v>135</v>
      </c>
      <c r="AP1488" t="s">
        <v>136</v>
      </c>
      <c r="AQ1488" t="s">
        <v>137</v>
      </c>
      <c r="AR1488" t="s">
        <v>138</v>
      </c>
      <c r="AS1488" t="s">
        <v>139</v>
      </c>
      <c r="AT1488" t="s">
        <v>140</v>
      </c>
      <c r="AU1488">
        <v>501</v>
      </c>
      <c r="AV1488">
        <v>10</v>
      </c>
      <c r="AW1488">
        <v>1</v>
      </c>
      <c r="AX1488" s="2">
        <v>45930</v>
      </c>
      <c r="AY1488" t="s">
        <v>377</v>
      </c>
      <c r="AZ1488" s="2">
        <v>46028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 t="s">
        <v>135</v>
      </c>
      <c r="BH1488" t="s">
        <v>250</v>
      </c>
      <c r="BI1488" t="s">
        <v>135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360.38</v>
      </c>
      <c r="BQ1488">
        <v>360.38</v>
      </c>
      <c r="BR1488">
        <v>0</v>
      </c>
      <c r="BS1488">
        <v>0</v>
      </c>
      <c r="BT1488">
        <v>0</v>
      </c>
      <c r="BU1488">
        <v>0</v>
      </c>
      <c r="BV1488">
        <v>411.43</v>
      </c>
      <c r="BW1488">
        <v>411.43</v>
      </c>
      <c r="BX1488">
        <v>0</v>
      </c>
      <c r="BY1488">
        <v>0</v>
      </c>
      <c r="BZ1488">
        <v>0</v>
      </c>
      <c r="CA1488">
        <v>0</v>
      </c>
      <c r="CB1488">
        <v>120.12</v>
      </c>
      <c r="CC1488" t="s">
        <v>161</v>
      </c>
    </row>
    <row r="1489" spans="1:81" x14ac:dyDescent="0.25">
      <c r="A1489">
        <v>345</v>
      </c>
      <c r="B1489">
        <v>2</v>
      </c>
      <c r="C1489">
        <v>3813</v>
      </c>
      <c r="D1489" t="s">
        <v>8500</v>
      </c>
      <c r="E1489" t="s">
        <v>121</v>
      </c>
      <c r="F1489" t="s">
        <v>8501</v>
      </c>
      <c r="G1489" t="s">
        <v>8502</v>
      </c>
      <c r="H1489" t="s">
        <v>8503</v>
      </c>
      <c r="I1489" t="s">
        <v>8504</v>
      </c>
      <c r="J1489" t="s">
        <v>126</v>
      </c>
      <c r="K1489" t="s">
        <v>1853</v>
      </c>
      <c r="L1489" t="s">
        <v>128</v>
      </c>
      <c r="M1489" t="s">
        <v>1854</v>
      </c>
      <c r="N1489" t="s">
        <v>8505</v>
      </c>
      <c r="O1489" t="s">
        <v>6014</v>
      </c>
      <c r="P1489">
        <v>0</v>
      </c>
      <c r="Q1489" t="s">
        <v>125</v>
      </c>
      <c r="R1489">
        <v>3</v>
      </c>
      <c r="S1489">
        <v>83</v>
      </c>
      <c r="T1489" t="s">
        <v>132</v>
      </c>
      <c r="U1489" t="s">
        <v>133</v>
      </c>
      <c r="V1489" s="1">
        <v>3600</v>
      </c>
      <c r="W1489">
        <v>0</v>
      </c>
      <c r="X1489" s="1">
        <v>3600</v>
      </c>
      <c r="Y1489">
        <v>7</v>
      </c>
      <c r="Z1489">
        <v>0</v>
      </c>
      <c r="AA1489">
        <v>0</v>
      </c>
      <c r="AB1489">
        <v>0</v>
      </c>
      <c r="AC1489">
        <v>0</v>
      </c>
      <c r="AD1489" t="s">
        <v>234</v>
      </c>
      <c r="AE1489" t="s">
        <v>134</v>
      </c>
      <c r="AF1489" s="2">
        <v>45925</v>
      </c>
      <c r="AG1489" s="2">
        <v>46015</v>
      </c>
      <c r="AH1489" s="1">
        <v>2176.77</v>
      </c>
      <c r="AI1489" s="1">
        <v>4228.7</v>
      </c>
      <c r="AJ1489" s="1">
        <v>23944.53</v>
      </c>
      <c r="AK1489">
        <v>0</v>
      </c>
      <c r="AL1489" s="1">
        <v>2739.06</v>
      </c>
      <c r="AM1489">
        <v>0</v>
      </c>
      <c r="AN1489" t="s">
        <v>135</v>
      </c>
      <c r="AO1489" t="s">
        <v>135</v>
      </c>
      <c r="AP1489" t="s">
        <v>136</v>
      </c>
      <c r="AQ1489" t="s">
        <v>137</v>
      </c>
      <c r="AR1489" t="s">
        <v>138</v>
      </c>
      <c r="AS1489" t="s">
        <v>150</v>
      </c>
      <c r="AT1489" t="s">
        <v>140</v>
      </c>
      <c r="AU1489">
        <v>106</v>
      </c>
      <c r="AV1489">
        <v>10</v>
      </c>
      <c r="AW1489">
        <v>1</v>
      </c>
      <c r="AX1489" s="2">
        <v>45929</v>
      </c>
      <c r="AY1489" t="s">
        <v>141</v>
      </c>
      <c r="AZ1489" s="2">
        <v>46027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 t="s">
        <v>135</v>
      </c>
      <c r="BH1489" t="s">
        <v>250</v>
      </c>
      <c r="BI1489" t="s">
        <v>135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 s="1">
        <v>6482.25</v>
      </c>
      <c r="BQ1489" s="1">
        <v>6482.25</v>
      </c>
      <c r="BR1489">
        <v>0</v>
      </c>
      <c r="BS1489">
        <v>0</v>
      </c>
      <c r="BT1489">
        <v>0</v>
      </c>
      <c r="BU1489">
        <v>0</v>
      </c>
      <c r="BV1489" s="1">
        <v>12285.82</v>
      </c>
      <c r="BW1489" s="1">
        <v>12285.82</v>
      </c>
      <c r="BX1489">
        <v>0</v>
      </c>
      <c r="BY1489">
        <v>0</v>
      </c>
      <c r="BZ1489">
        <v>0</v>
      </c>
      <c r="CA1489">
        <v>0</v>
      </c>
      <c r="CB1489" s="1">
        <v>4505.82</v>
      </c>
      <c r="CC1489" t="s">
        <v>161</v>
      </c>
    </row>
    <row r="1490" spans="1:81" x14ac:dyDescent="0.25">
      <c r="A1490">
        <v>345</v>
      </c>
      <c r="B1490">
        <v>2</v>
      </c>
      <c r="C1490">
        <v>3814</v>
      </c>
      <c r="D1490" t="s">
        <v>8506</v>
      </c>
      <c r="E1490" t="s">
        <v>121</v>
      </c>
      <c r="F1490" t="s">
        <v>8507</v>
      </c>
      <c r="G1490" t="s">
        <v>3907</v>
      </c>
      <c r="H1490" t="s">
        <v>8508</v>
      </c>
      <c r="I1490" t="s">
        <v>8509</v>
      </c>
      <c r="J1490" t="s">
        <v>126</v>
      </c>
      <c r="K1490" t="s">
        <v>466</v>
      </c>
      <c r="L1490" t="s">
        <v>128</v>
      </c>
      <c r="M1490" t="s">
        <v>467</v>
      </c>
      <c r="N1490" t="s">
        <v>8510</v>
      </c>
      <c r="O1490" t="s">
        <v>167</v>
      </c>
      <c r="P1490">
        <v>0</v>
      </c>
      <c r="Q1490" t="s">
        <v>125</v>
      </c>
      <c r="R1490">
        <v>4</v>
      </c>
      <c r="S1490">
        <v>81</v>
      </c>
      <c r="T1490" t="s">
        <v>132</v>
      </c>
      <c r="U1490" t="s">
        <v>133</v>
      </c>
      <c r="V1490" s="1">
        <v>1700</v>
      </c>
      <c r="W1490">
        <v>0</v>
      </c>
      <c r="X1490" s="1">
        <v>1700</v>
      </c>
      <c r="Y1490">
        <v>7</v>
      </c>
      <c r="Z1490">
        <v>0</v>
      </c>
      <c r="AA1490">
        <v>9</v>
      </c>
      <c r="AB1490">
        <v>0</v>
      </c>
      <c r="AC1490">
        <v>0</v>
      </c>
      <c r="AD1490" t="s">
        <v>134</v>
      </c>
      <c r="AE1490" t="s">
        <v>134</v>
      </c>
      <c r="AF1490" s="2">
        <v>45926</v>
      </c>
      <c r="AG1490" s="2">
        <v>46011</v>
      </c>
      <c r="AH1490">
        <v>231.52</v>
      </c>
      <c r="AI1490">
        <v>380.28</v>
      </c>
      <c r="AJ1490" s="1">
        <v>1852.23</v>
      </c>
      <c r="AK1490">
        <v>0</v>
      </c>
      <c r="AL1490">
        <v>0</v>
      </c>
      <c r="AM1490">
        <v>0</v>
      </c>
      <c r="AN1490" t="s">
        <v>135</v>
      </c>
      <c r="AO1490" t="s">
        <v>135</v>
      </c>
      <c r="AP1490" t="s">
        <v>136</v>
      </c>
      <c r="AQ1490" t="s">
        <v>137</v>
      </c>
      <c r="AR1490" t="s">
        <v>138</v>
      </c>
      <c r="AS1490" t="s">
        <v>139</v>
      </c>
      <c r="AT1490" t="s">
        <v>140</v>
      </c>
      <c r="AU1490">
        <v>105</v>
      </c>
      <c r="AV1490">
        <v>10</v>
      </c>
      <c r="AW1490">
        <v>1</v>
      </c>
      <c r="AX1490" s="2">
        <v>45932</v>
      </c>
      <c r="AY1490" t="s">
        <v>308</v>
      </c>
      <c r="AZ1490" s="2">
        <v>46023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 t="s">
        <v>135</v>
      </c>
      <c r="BH1490" t="s">
        <v>250</v>
      </c>
      <c r="BI1490" t="s">
        <v>135</v>
      </c>
      <c r="BJ1490">
        <v>0</v>
      </c>
      <c r="BK1490">
        <v>0</v>
      </c>
      <c r="BL1490">
        <v>0</v>
      </c>
      <c r="BM1490">
        <v>7</v>
      </c>
      <c r="BN1490">
        <v>4.91</v>
      </c>
      <c r="BO1490">
        <v>331.32</v>
      </c>
      <c r="BP1490">
        <v>140.93</v>
      </c>
      <c r="BQ1490">
        <v>472.25</v>
      </c>
      <c r="BR1490">
        <v>0</v>
      </c>
      <c r="BS1490">
        <v>7.7</v>
      </c>
      <c r="BT1490">
        <v>7.7</v>
      </c>
      <c r="BU1490">
        <v>762.8</v>
      </c>
      <c r="BV1490">
        <v>0</v>
      </c>
      <c r="BW1490">
        <v>762.8</v>
      </c>
      <c r="BX1490">
        <v>0</v>
      </c>
      <c r="BY1490">
        <v>0</v>
      </c>
      <c r="BZ1490">
        <v>0</v>
      </c>
      <c r="CA1490">
        <v>0</v>
      </c>
      <c r="CB1490">
        <v>363.14</v>
      </c>
      <c r="CC1490" t="s">
        <v>161</v>
      </c>
    </row>
    <row r="1491" spans="1:81" x14ac:dyDescent="0.25">
      <c r="A1491">
        <v>345</v>
      </c>
      <c r="B1491">
        <v>2</v>
      </c>
      <c r="C1491">
        <v>3817</v>
      </c>
      <c r="D1491" t="s">
        <v>8511</v>
      </c>
      <c r="E1491" t="s">
        <v>121</v>
      </c>
      <c r="F1491" t="s">
        <v>8512</v>
      </c>
      <c r="G1491" t="s">
        <v>8513</v>
      </c>
      <c r="H1491" t="s">
        <v>8514</v>
      </c>
      <c r="I1491" t="s">
        <v>8515</v>
      </c>
      <c r="J1491" t="s">
        <v>1263</v>
      </c>
      <c r="K1491" t="s">
        <v>466</v>
      </c>
      <c r="L1491" t="s">
        <v>128</v>
      </c>
      <c r="M1491" t="s">
        <v>467</v>
      </c>
      <c r="N1491" t="s">
        <v>8516</v>
      </c>
      <c r="O1491" t="s">
        <v>6014</v>
      </c>
      <c r="P1491">
        <v>0</v>
      </c>
      <c r="Q1491" t="s">
        <v>125</v>
      </c>
      <c r="R1491">
        <v>4</v>
      </c>
      <c r="S1491">
        <v>75</v>
      </c>
      <c r="T1491" t="s">
        <v>132</v>
      </c>
      <c r="U1491" t="s">
        <v>133</v>
      </c>
      <c r="V1491" s="1">
        <v>1000</v>
      </c>
      <c r="W1491">
        <v>0</v>
      </c>
      <c r="X1491" s="1">
        <v>1000</v>
      </c>
      <c r="Y1491">
        <v>7</v>
      </c>
      <c r="Z1491">
        <v>0</v>
      </c>
      <c r="AA1491">
        <v>0</v>
      </c>
      <c r="AB1491">
        <v>0</v>
      </c>
      <c r="AC1491">
        <v>0</v>
      </c>
      <c r="AD1491" t="s">
        <v>134</v>
      </c>
      <c r="AE1491" t="s">
        <v>134</v>
      </c>
      <c r="AF1491" s="2">
        <v>45929</v>
      </c>
      <c r="AG1491" t="s">
        <v>135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 t="s">
        <v>135</v>
      </c>
      <c r="AO1491" t="s">
        <v>135</v>
      </c>
      <c r="AP1491" t="s">
        <v>136</v>
      </c>
      <c r="AQ1491" t="s">
        <v>137</v>
      </c>
      <c r="AR1491" t="s">
        <v>138</v>
      </c>
      <c r="AS1491" t="s">
        <v>150</v>
      </c>
      <c r="AT1491" t="s">
        <v>140</v>
      </c>
      <c r="AU1491">
        <v>106</v>
      </c>
      <c r="AV1491">
        <v>10</v>
      </c>
      <c r="AW1491">
        <v>1</v>
      </c>
      <c r="AX1491" s="2">
        <v>45932</v>
      </c>
      <c r="AY1491" t="s">
        <v>308</v>
      </c>
      <c r="AZ1491" s="2">
        <v>46023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 t="s">
        <v>135</v>
      </c>
      <c r="BH1491" t="s">
        <v>250</v>
      </c>
      <c r="BI1491" t="s">
        <v>135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 t="s">
        <v>161</v>
      </c>
    </row>
    <row r="1492" spans="1:81" x14ac:dyDescent="0.25">
      <c r="A1492">
        <v>345</v>
      </c>
      <c r="B1492">
        <v>2</v>
      </c>
      <c r="C1492">
        <v>3818</v>
      </c>
      <c r="D1492" t="s">
        <v>8517</v>
      </c>
      <c r="E1492" t="s">
        <v>121</v>
      </c>
      <c r="F1492" t="s">
        <v>8518</v>
      </c>
      <c r="G1492" t="s">
        <v>8519</v>
      </c>
      <c r="H1492" t="s">
        <v>8520</v>
      </c>
      <c r="I1492" t="s">
        <v>8521</v>
      </c>
      <c r="J1492" t="s">
        <v>1399</v>
      </c>
      <c r="K1492" t="s">
        <v>336</v>
      </c>
      <c r="L1492" t="s">
        <v>128</v>
      </c>
      <c r="M1492" t="s">
        <v>337</v>
      </c>
      <c r="N1492" t="s">
        <v>8522</v>
      </c>
      <c r="O1492" t="s">
        <v>195</v>
      </c>
      <c r="P1492">
        <v>0</v>
      </c>
      <c r="Q1492" t="s">
        <v>125</v>
      </c>
      <c r="R1492">
        <v>3</v>
      </c>
      <c r="S1492">
        <v>84</v>
      </c>
      <c r="T1492" t="s">
        <v>132</v>
      </c>
      <c r="U1492" t="s">
        <v>133</v>
      </c>
      <c r="V1492" s="1">
        <v>1000</v>
      </c>
      <c r="W1492">
        <v>217.74</v>
      </c>
      <c r="X1492">
        <v>782.26</v>
      </c>
      <c r="Y1492">
        <v>7</v>
      </c>
      <c r="Z1492">
        <v>0</v>
      </c>
      <c r="AA1492">
        <v>7</v>
      </c>
      <c r="AB1492">
        <v>0</v>
      </c>
      <c r="AC1492">
        <v>0</v>
      </c>
      <c r="AD1492" t="s">
        <v>134</v>
      </c>
      <c r="AE1492" t="s">
        <v>134</v>
      </c>
      <c r="AF1492" s="2">
        <v>45929</v>
      </c>
      <c r="AG1492" s="2">
        <v>46020</v>
      </c>
      <c r="AH1492">
        <v>218.88</v>
      </c>
      <c r="AI1492">
        <v>520.66</v>
      </c>
      <c r="AJ1492" s="1">
        <v>2188.84</v>
      </c>
      <c r="AK1492">
        <v>0</v>
      </c>
      <c r="AL1492">
        <v>217.74</v>
      </c>
      <c r="AM1492">
        <v>0</v>
      </c>
      <c r="AN1492" t="s">
        <v>135</v>
      </c>
      <c r="AO1492" t="s">
        <v>135</v>
      </c>
      <c r="AP1492" t="s">
        <v>136</v>
      </c>
      <c r="AQ1492" t="s">
        <v>137</v>
      </c>
      <c r="AR1492" t="s">
        <v>138</v>
      </c>
      <c r="AS1492" t="s">
        <v>139</v>
      </c>
      <c r="AT1492" t="s">
        <v>140</v>
      </c>
      <c r="AU1492">
        <v>100</v>
      </c>
      <c r="AV1492">
        <v>10</v>
      </c>
      <c r="AW1492">
        <v>1</v>
      </c>
      <c r="AX1492" s="2">
        <v>45934</v>
      </c>
      <c r="AY1492" t="s">
        <v>160</v>
      </c>
      <c r="AZ1492" s="2">
        <v>46025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 t="s">
        <v>135</v>
      </c>
      <c r="BH1492" t="s">
        <v>250</v>
      </c>
      <c r="BI1492" t="s">
        <v>135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52.6</v>
      </c>
      <c r="BQ1492">
        <v>52.6</v>
      </c>
      <c r="BR1492">
        <v>0</v>
      </c>
      <c r="BS1492">
        <v>7</v>
      </c>
      <c r="BT1492">
        <v>7</v>
      </c>
      <c r="BU1492" s="1">
        <v>1468.51</v>
      </c>
      <c r="BV1492">
        <v>0</v>
      </c>
      <c r="BW1492" s="1">
        <v>1468.51</v>
      </c>
      <c r="BX1492">
        <v>217.74</v>
      </c>
      <c r="BY1492">
        <v>14.83</v>
      </c>
      <c r="BZ1492">
        <v>0</v>
      </c>
      <c r="CA1492">
        <v>0</v>
      </c>
      <c r="CB1492">
        <v>240.11</v>
      </c>
      <c r="CC1492" t="s">
        <v>161</v>
      </c>
    </row>
    <row r="1493" spans="1:81" x14ac:dyDescent="0.25">
      <c r="A1493">
        <v>345</v>
      </c>
      <c r="B1493">
        <v>2</v>
      </c>
      <c r="C1493">
        <v>3819</v>
      </c>
      <c r="D1493" t="s">
        <v>8523</v>
      </c>
      <c r="E1493" t="s">
        <v>121</v>
      </c>
      <c r="F1493" t="s">
        <v>8524</v>
      </c>
      <c r="G1493" t="s">
        <v>8525</v>
      </c>
      <c r="H1493" t="s">
        <v>8526</v>
      </c>
      <c r="I1493" t="s">
        <v>8527</v>
      </c>
      <c r="J1493" t="s">
        <v>126</v>
      </c>
      <c r="K1493" t="s">
        <v>1853</v>
      </c>
      <c r="L1493" t="s">
        <v>128</v>
      </c>
      <c r="M1493" t="s">
        <v>1854</v>
      </c>
      <c r="N1493" t="s">
        <v>8528</v>
      </c>
      <c r="O1493" t="s">
        <v>3115</v>
      </c>
      <c r="P1493">
        <v>0</v>
      </c>
      <c r="Q1493" t="s">
        <v>125</v>
      </c>
      <c r="R1493">
        <v>5</v>
      </c>
      <c r="S1493">
        <v>72</v>
      </c>
      <c r="T1493" t="s">
        <v>132</v>
      </c>
      <c r="U1493" t="s">
        <v>133</v>
      </c>
      <c r="V1493" s="1">
        <v>1000</v>
      </c>
      <c r="W1493">
        <v>840.02</v>
      </c>
      <c r="X1493">
        <v>159.97999999999999</v>
      </c>
      <c r="Y1493">
        <v>7</v>
      </c>
      <c r="Z1493">
        <v>0</v>
      </c>
      <c r="AA1493">
        <v>7</v>
      </c>
      <c r="AB1493">
        <v>2</v>
      </c>
      <c r="AC1493">
        <v>50</v>
      </c>
      <c r="AD1493" t="s">
        <v>134</v>
      </c>
      <c r="AE1493" t="s">
        <v>134</v>
      </c>
      <c r="AF1493" s="2">
        <v>45930</v>
      </c>
      <c r="AG1493" s="2">
        <v>46017</v>
      </c>
      <c r="AH1493">
        <v>454.08</v>
      </c>
      <c r="AI1493">
        <v>840.02</v>
      </c>
      <c r="AJ1493" s="1">
        <v>2270.4299999999998</v>
      </c>
      <c r="AK1493">
        <v>0</v>
      </c>
      <c r="AL1493">
        <v>840.02</v>
      </c>
      <c r="AM1493">
        <v>0</v>
      </c>
      <c r="AN1493" t="s">
        <v>135</v>
      </c>
      <c r="AO1493" t="s">
        <v>135</v>
      </c>
      <c r="AP1493" t="s">
        <v>136</v>
      </c>
      <c r="AQ1493" t="s">
        <v>137</v>
      </c>
      <c r="AR1493" t="s">
        <v>138</v>
      </c>
      <c r="AS1493" t="s">
        <v>150</v>
      </c>
      <c r="AT1493" t="s">
        <v>140</v>
      </c>
      <c r="AU1493">
        <v>106</v>
      </c>
      <c r="AV1493">
        <v>10</v>
      </c>
      <c r="AW1493">
        <v>1</v>
      </c>
      <c r="AX1493" s="2">
        <v>45931</v>
      </c>
      <c r="AY1493" t="s">
        <v>168</v>
      </c>
      <c r="AZ1493" s="2">
        <v>46022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 t="s">
        <v>135</v>
      </c>
      <c r="BH1493" t="s">
        <v>250</v>
      </c>
      <c r="BI1493" t="s">
        <v>135</v>
      </c>
      <c r="BJ1493">
        <v>0</v>
      </c>
      <c r="BK1493">
        <v>0</v>
      </c>
      <c r="BL1493">
        <v>0</v>
      </c>
      <c r="BM1493">
        <v>7</v>
      </c>
      <c r="BN1493">
        <v>7</v>
      </c>
      <c r="BO1493">
        <v>484</v>
      </c>
      <c r="BP1493">
        <v>0</v>
      </c>
      <c r="BQ1493">
        <v>484</v>
      </c>
      <c r="BR1493">
        <v>0</v>
      </c>
      <c r="BS1493">
        <v>7</v>
      </c>
      <c r="BT1493">
        <v>7</v>
      </c>
      <c r="BU1493" s="1">
        <v>1233.49</v>
      </c>
      <c r="BV1493">
        <v>0</v>
      </c>
      <c r="BW1493" s="1">
        <v>1233.49</v>
      </c>
      <c r="BX1493">
        <v>840.02</v>
      </c>
      <c r="BY1493">
        <v>68.099999999999994</v>
      </c>
      <c r="BZ1493">
        <v>0</v>
      </c>
      <c r="CA1493">
        <v>0</v>
      </c>
      <c r="CB1493">
        <v>345.64</v>
      </c>
      <c r="CC1493" t="s">
        <v>161</v>
      </c>
    </row>
    <row r="1494" spans="1:81" x14ac:dyDescent="0.25">
      <c r="A1494">
        <v>345</v>
      </c>
      <c r="B1494">
        <v>2</v>
      </c>
      <c r="C1494">
        <v>3820</v>
      </c>
      <c r="D1494" t="s">
        <v>8529</v>
      </c>
      <c r="E1494" t="s">
        <v>121</v>
      </c>
      <c r="F1494" t="s">
        <v>8530</v>
      </c>
      <c r="G1494" t="s">
        <v>8531</v>
      </c>
      <c r="H1494" t="s">
        <v>8532</v>
      </c>
      <c r="I1494" t="s">
        <v>8533</v>
      </c>
      <c r="J1494" t="s">
        <v>126</v>
      </c>
      <c r="K1494" t="s">
        <v>1853</v>
      </c>
      <c r="L1494" t="s">
        <v>128</v>
      </c>
      <c r="M1494" t="s">
        <v>1854</v>
      </c>
      <c r="N1494" t="s">
        <v>8534</v>
      </c>
      <c r="O1494" t="s">
        <v>296</v>
      </c>
      <c r="P1494">
        <v>0</v>
      </c>
      <c r="Q1494" t="s">
        <v>125</v>
      </c>
      <c r="R1494">
        <v>3</v>
      </c>
      <c r="S1494">
        <v>85</v>
      </c>
      <c r="T1494" t="s">
        <v>132</v>
      </c>
      <c r="U1494" t="s">
        <v>133</v>
      </c>
      <c r="V1494" s="1">
        <v>1000</v>
      </c>
      <c r="W1494">
        <v>408.06</v>
      </c>
      <c r="X1494">
        <v>591.94000000000005</v>
      </c>
      <c r="Y1494">
        <v>0</v>
      </c>
      <c r="Z1494">
        <v>0</v>
      </c>
      <c r="AA1494">
        <v>7</v>
      </c>
      <c r="AB1494">
        <v>3</v>
      </c>
      <c r="AC1494">
        <v>33</v>
      </c>
      <c r="AD1494" t="s">
        <v>134</v>
      </c>
      <c r="AE1494" t="s">
        <v>134</v>
      </c>
      <c r="AF1494" s="2">
        <v>45930</v>
      </c>
      <c r="AG1494" s="2">
        <v>46007</v>
      </c>
      <c r="AH1494">
        <v>265.26</v>
      </c>
      <c r="AI1494">
        <v>408.06</v>
      </c>
      <c r="AJ1494" s="1">
        <v>1061.06</v>
      </c>
      <c r="AK1494">
        <v>408.06</v>
      </c>
      <c r="AL1494">
        <v>0</v>
      </c>
      <c r="AM1494">
        <v>0</v>
      </c>
      <c r="AN1494" t="s">
        <v>135</v>
      </c>
      <c r="AO1494" t="s">
        <v>135</v>
      </c>
      <c r="AP1494" t="s">
        <v>136</v>
      </c>
      <c r="AQ1494" t="s">
        <v>137</v>
      </c>
      <c r="AR1494" t="s">
        <v>138</v>
      </c>
      <c r="AS1494" t="s">
        <v>150</v>
      </c>
      <c r="AT1494" t="s">
        <v>140</v>
      </c>
      <c r="AU1494">
        <v>106</v>
      </c>
      <c r="AV1494">
        <v>10</v>
      </c>
      <c r="AW1494">
        <v>1</v>
      </c>
      <c r="AX1494" s="2">
        <v>45936</v>
      </c>
      <c r="AY1494" t="s">
        <v>141</v>
      </c>
      <c r="AZ1494" s="2">
        <v>46027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 t="s">
        <v>135</v>
      </c>
      <c r="BH1494" t="s">
        <v>250</v>
      </c>
      <c r="BI1494" t="s">
        <v>135</v>
      </c>
      <c r="BJ1494">
        <v>0</v>
      </c>
      <c r="BK1494">
        <v>0</v>
      </c>
      <c r="BL1494">
        <v>0</v>
      </c>
      <c r="BM1494">
        <v>7</v>
      </c>
      <c r="BN1494">
        <v>7</v>
      </c>
      <c r="BO1494">
        <v>560.52</v>
      </c>
      <c r="BP1494">
        <v>0</v>
      </c>
      <c r="BQ1494">
        <v>560.52</v>
      </c>
      <c r="BR1494">
        <v>266.11</v>
      </c>
      <c r="BS1494">
        <v>7</v>
      </c>
      <c r="BT1494">
        <v>7</v>
      </c>
      <c r="BU1494">
        <v>408.06</v>
      </c>
      <c r="BV1494">
        <v>0</v>
      </c>
      <c r="BW1494">
        <v>408.06</v>
      </c>
      <c r="BX1494">
        <v>0</v>
      </c>
      <c r="BY1494">
        <v>0</v>
      </c>
      <c r="BZ1494">
        <v>0</v>
      </c>
      <c r="CA1494">
        <v>0</v>
      </c>
      <c r="CB1494">
        <v>217.66</v>
      </c>
      <c r="CC1494" t="s">
        <v>161</v>
      </c>
    </row>
    <row r="1495" spans="1:81" x14ac:dyDescent="0.25">
      <c r="A1495">
        <v>345</v>
      </c>
      <c r="B1495">
        <v>2</v>
      </c>
      <c r="C1495">
        <v>3821</v>
      </c>
      <c r="D1495" t="s">
        <v>8535</v>
      </c>
      <c r="E1495" t="s">
        <v>121</v>
      </c>
      <c r="F1495" t="s">
        <v>8536</v>
      </c>
      <c r="G1495" t="s">
        <v>8537</v>
      </c>
      <c r="H1495" t="s">
        <v>3235</v>
      </c>
      <c r="I1495" t="s">
        <v>8538</v>
      </c>
      <c r="J1495" t="s">
        <v>1263</v>
      </c>
      <c r="K1495" t="s">
        <v>466</v>
      </c>
      <c r="L1495" t="s">
        <v>128</v>
      </c>
      <c r="M1495" t="s">
        <v>467</v>
      </c>
      <c r="N1495" t="s">
        <v>8539</v>
      </c>
      <c r="O1495" t="s">
        <v>159</v>
      </c>
      <c r="P1495">
        <v>0</v>
      </c>
      <c r="Q1495" t="s">
        <v>125</v>
      </c>
      <c r="R1495">
        <v>4</v>
      </c>
      <c r="S1495">
        <v>76</v>
      </c>
      <c r="T1495" t="s">
        <v>132</v>
      </c>
      <c r="U1495" t="s">
        <v>133</v>
      </c>
      <c r="V1495" s="1">
        <v>1700</v>
      </c>
      <c r="W1495">
        <v>0</v>
      </c>
      <c r="X1495" s="1">
        <v>1700</v>
      </c>
      <c r="Y1495">
        <v>7</v>
      </c>
      <c r="Z1495">
        <v>0</v>
      </c>
      <c r="AA1495">
        <v>7</v>
      </c>
      <c r="AB1495">
        <v>7</v>
      </c>
      <c r="AC1495">
        <v>17</v>
      </c>
      <c r="AD1495" t="s">
        <v>134</v>
      </c>
      <c r="AE1495" t="s">
        <v>134</v>
      </c>
      <c r="AF1495" s="2">
        <v>45930</v>
      </c>
      <c r="AG1495" s="2">
        <v>45989</v>
      </c>
      <c r="AH1495">
        <v>780.93</v>
      </c>
      <c r="AI1495" s="1">
        <v>1933.45</v>
      </c>
      <c r="AJ1495" s="1">
        <v>6247.5</v>
      </c>
      <c r="AK1495">
        <v>0</v>
      </c>
      <c r="AL1495">
        <v>0</v>
      </c>
      <c r="AM1495">
        <v>0</v>
      </c>
      <c r="AN1495" t="s">
        <v>135</v>
      </c>
      <c r="AO1495" t="s">
        <v>135</v>
      </c>
      <c r="AP1495" t="s">
        <v>136</v>
      </c>
      <c r="AQ1495" t="s">
        <v>137</v>
      </c>
      <c r="AR1495" t="s">
        <v>138</v>
      </c>
      <c r="AS1495" t="s">
        <v>150</v>
      </c>
      <c r="AT1495" t="s">
        <v>140</v>
      </c>
      <c r="AU1495">
        <v>106</v>
      </c>
      <c r="AV1495">
        <v>10</v>
      </c>
      <c r="AW1495">
        <v>1</v>
      </c>
      <c r="AX1495" s="2">
        <v>45932</v>
      </c>
      <c r="AY1495" t="s">
        <v>308</v>
      </c>
      <c r="AZ1495" s="2">
        <v>46023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 t="s">
        <v>135</v>
      </c>
      <c r="BH1495" t="s">
        <v>250</v>
      </c>
      <c r="BI1495" t="s">
        <v>135</v>
      </c>
      <c r="BJ1495">
        <v>0</v>
      </c>
      <c r="BK1495">
        <v>0</v>
      </c>
      <c r="BL1495">
        <v>0</v>
      </c>
      <c r="BM1495">
        <v>7</v>
      </c>
      <c r="BN1495">
        <v>5.17</v>
      </c>
      <c r="BO1495" s="1">
        <v>3339.28</v>
      </c>
      <c r="BP1495" s="1">
        <v>1183.6300000000001</v>
      </c>
      <c r="BQ1495" s="1">
        <v>4522.91</v>
      </c>
      <c r="BR1495" s="1">
        <v>1642.67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 s="1">
        <v>2082.5</v>
      </c>
      <c r="CC1495" t="s">
        <v>161</v>
      </c>
    </row>
    <row r="1496" spans="1:81" x14ac:dyDescent="0.25">
      <c r="A1496">
        <v>345</v>
      </c>
      <c r="B1496">
        <v>2</v>
      </c>
      <c r="C1496">
        <v>3822</v>
      </c>
      <c r="D1496" t="s">
        <v>8540</v>
      </c>
      <c r="E1496" t="s">
        <v>121</v>
      </c>
      <c r="F1496" t="s">
        <v>8541</v>
      </c>
      <c r="G1496" t="s">
        <v>8542</v>
      </c>
      <c r="H1496" t="s">
        <v>8543</v>
      </c>
      <c r="I1496" t="s">
        <v>8544</v>
      </c>
      <c r="J1496" t="s">
        <v>4569</v>
      </c>
      <c r="K1496" t="s">
        <v>466</v>
      </c>
      <c r="L1496" t="s">
        <v>128</v>
      </c>
      <c r="M1496" t="s">
        <v>467</v>
      </c>
      <c r="N1496" t="s">
        <v>8545</v>
      </c>
      <c r="O1496" t="s">
        <v>201</v>
      </c>
      <c r="P1496">
        <v>0</v>
      </c>
      <c r="Q1496" t="s">
        <v>125</v>
      </c>
      <c r="R1496">
        <v>3</v>
      </c>
      <c r="S1496">
        <v>84</v>
      </c>
      <c r="T1496" t="s">
        <v>132</v>
      </c>
      <c r="U1496" t="s">
        <v>133</v>
      </c>
      <c r="V1496" s="1">
        <v>1200</v>
      </c>
      <c r="W1496">
        <v>0</v>
      </c>
      <c r="X1496" s="1">
        <v>1200</v>
      </c>
      <c r="Y1496">
        <v>7</v>
      </c>
      <c r="Z1496">
        <v>0</v>
      </c>
      <c r="AA1496">
        <v>0</v>
      </c>
      <c r="AB1496">
        <v>0</v>
      </c>
      <c r="AC1496">
        <v>0</v>
      </c>
      <c r="AD1496" t="s">
        <v>134</v>
      </c>
      <c r="AE1496" t="s">
        <v>134</v>
      </c>
      <c r="AF1496" s="2">
        <v>45932</v>
      </c>
      <c r="AG1496" s="2">
        <v>46004</v>
      </c>
      <c r="AH1496">
        <v>460.66</v>
      </c>
      <c r="AI1496">
        <v>888.83</v>
      </c>
      <c r="AJ1496" s="1">
        <v>2303.3200000000002</v>
      </c>
      <c r="AK1496">
        <v>0</v>
      </c>
      <c r="AL1496">
        <v>0</v>
      </c>
      <c r="AM1496">
        <v>0</v>
      </c>
      <c r="AN1496" t="s">
        <v>135</v>
      </c>
      <c r="AO1496" t="s">
        <v>135</v>
      </c>
      <c r="AP1496" t="s">
        <v>136</v>
      </c>
      <c r="AQ1496" t="s">
        <v>137</v>
      </c>
      <c r="AR1496" t="s">
        <v>138</v>
      </c>
      <c r="AS1496" t="s">
        <v>139</v>
      </c>
      <c r="AT1496" t="s">
        <v>140</v>
      </c>
      <c r="AU1496">
        <v>100</v>
      </c>
      <c r="AV1496">
        <v>10</v>
      </c>
      <c r="AW1496">
        <v>1</v>
      </c>
      <c r="AX1496" s="2">
        <v>45940</v>
      </c>
      <c r="AY1496" t="s">
        <v>151</v>
      </c>
      <c r="AZ1496" s="2">
        <v>46024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 t="s">
        <v>135</v>
      </c>
      <c r="BH1496" t="s">
        <v>250</v>
      </c>
      <c r="BI1496" t="s">
        <v>135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 s="1">
        <v>1002.68</v>
      </c>
      <c r="BQ1496" s="1">
        <v>1002.68</v>
      </c>
      <c r="BR1496">
        <v>0</v>
      </c>
      <c r="BS1496">
        <v>0</v>
      </c>
      <c r="BT1496">
        <v>0</v>
      </c>
      <c r="BU1496">
        <v>0</v>
      </c>
      <c r="BV1496">
        <v>888.83</v>
      </c>
      <c r="BW1496">
        <v>888.83</v>
      </c>
      <c r="BX1496">
        <v>0</v>
      </c>
      <c r="BY1496">
        <v>0</v>
      </c>
      <c r="BZ1496">
        <v>0</v>
      </c>
      <c r="CA1496">
        <v>0</v>
      </c>
      <c r="CB1496">
        <v>471.49</v>
      </c>
      <c r="CC1496" t="s">
        <v>161</v>
      </c>
    </row>
    <row r="1497" spans="1:81" x14ac:dyDescent="0.25">
      <c r="A1497">
        <v>345</v>
      </c>
      <c r="B1497">
        <v>2</v>
      </c>
      <c r="C1497">
        <v>3823</v>
      </c>
      <c r="D1497" t="s">
        <v>8546</v>
      </c>
      <c r="E1497" t="s">
        <v>121</v>
      </c>
      <c r="F1497" t="s">
        <v>8547</v>
      </c>
      <c r="G1497" t="s">
        <v>8548</v>
      </c>
      <c r="H1497" t="s">
        <v>8549</v>
      </c>
      <c r="I1497" t="s">
        <v>8550</v>
      </c>
      <c r="J1497" t="s">
        <v>1465</v>
      </c>
      <c r="K1497" t="s">
        <v>466</v>
      </c>
      <c r="L1497" t="s">
        <v>128</v>
      </c>
      <c r="M1497" t="s">
        <v>467</v>
      </c>
      <c r="N1497" t="s">
        <v>8551</v>
      </c>
      <c r="O1497" t="s">
        <v>149</v>
      </c>
      <c r="P1497">
        <v>0</v>
      </c>
      <c r="Q1497" t="s">
        <v>125</v>
      </c>
      <c r="R1497">
        <v>3</v>
      </c>
      <c r="S1497">
        <v>84</v>
      </c>
      <c r="T1497" t="s">
        <v>132</v>
      </c>
      <c r="U1497" t="s">
        <v>133</v>
      </c>
      <c r="V1497" s="1">
        <v>3500</v>
      </c>
      <c r="W1497">
        <v>0</v>
      </c>
      <c r="X1497" s="1">
        <v>3500</v>
      </c>
      <c r="Y1497">
        <v>7</v>
      </c>
      <c r="Z1497">
        <v>0</v>
      </c>
      <c r="AA1497">
        <v>7</v>
      </c>
      <c r="AB1497">
        <v>1</v>
      </c>
      <c r="AC1497">
        <v>10</v>
      </c>
      <c r="AD1497" t="s">
        <v>134</v>
      </c>
      <c r="AE1497" t="s">
        <v>134</v>
      </c>
      <c r="AF1497" s="2">
        <v>45932</v>
      </c>
      <c r="AG1497" s="2">
        <v>46008</v>
      </c>
      <c r="AH1497" s="1">
        <v>1583.69</v>
      </c>
      <c r="AI1497" s="1">
        <v>2689.5</v>
      </c>
      <c r="AJ1497" s="1">
        <v>9502.15</v>
      </c>
      <c r="AK1497">
        <v>0</v>
      </c>
      <c r="AL1497">
        <v>0</v>
      </c>
      <c r="AM1497">
        <v>0</v>
      </c>
      <c r="AN1497" t="s">
        <v>135</v>
      </c>
      <c r="AO1497" t="s">
        <v>135</v>
      </c>
      <c r="AP1497" t="s">
        <v>136</v>
      </c>
      <c r="AQ1497" t="s">
        <v>137</v>
      </c>
      <c r="AR1497" t="s">
        <v>138</v>
      </c>
      <c r="AS1497" t="s">
        <v>150</v>
      </c>
      <c r="AT1497" t="s">
        <v>140</v>
      </c>
      <c r="AU1497">
        <v>100</v>
      </c>
      <c r="AV1497">
        <v>10</v>
      </c>
      <c r="AW1497">
        <v>1</v>
      </c>
      <c r="AX1497" s="2">
        <v>45936</v>
      </c>
      <c r="AY1497" t="s">
        <v>141</v>
      </c>
      <c r="AZ1497" s="2">
        <v>46027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 t="s">
        <v>135</v>
      </c>
      <c r="BH1497" t="s">
        <v>250</v>
      </c>
      <c r="BI1497" t="s">
        <v>135</v>
      </c>
      <c r="BJ1497">
        <v>0</v>
      </c>
      <c r="BK1497">
        <v>0</v>
      </c>
      <c r="BL1497">
        <v>0</v>
      </c>
      <c r="BM1497">
        <v>7</v>
      </c>
      <c r="BN1497">
        <v>1.19</v>
      </c>
      <c r="BO1497">
        <v>882.53</v>
      </c>
      <c r="BP1497" s="1">
        <v>4297.5</v>
      </c>
      <c r="BQ1497" s="1">
        <v>5180.03</v>
      </c>
      <c r="BR1497">
        <v>882.53</v>
      </c>
      <c r="BS1497">
        <v>7</v>
      </c>
      <c r="BT1497">
        <v>5.59</v>
      </c>
      <c r="BU1497" s="1">
        <v>3454.36</v>
      </c>
      <c r="BV1497">
        <v>867.76</v>
      </c>
      <c r="BW1497" s="1">
        <v>4322.12</v>
      </c>
      <c r="BX1497">
        <v>0</v>
      </c>
      <c r="BY1497">
        <v>0</v>
      </c>
      <c r="BZ1497">
        <v>0</v>
      </c>
      <c r="CA1497">
        <v>0</v>
      </c>
      <c r="CB1497" s="1">
        <v>1726.67</v>
      </c>
      <c r="CC1497" t="s">
        <v>161</v>
      </c>
    </row>
    <row r="1498" spans="1:81" x14ac:dyDescent="0.25">
      <c r="A1498">
        <v>345</v>
      </c>
      <c r="B1498">
        <v>2</v>
      </c>
      <c r="C1498">
        <v>3824</v>
      </c>
      <c r="D1498" t="s">
        <v>8552</v>
      </c>
      <c r="E1498" t="s">
        <v>121</v>
      </c>
      <c r="F1498" t="s">
        <v>8553</v>
      </c>
      <c r="G1498" t="s">
        <v>8554</v>
      </c>
      <c r="H1498" t="s">
        <v>8555</v>
      </c>
      <c r="I1498" t="s">
        <v>8556</v>
      </c>
      <c r="J1498" t="s">
        <v>5228</v>
      </c>
      <c r="K1498" t="s">
        <v>1853</v>
      </c>
      <c r="L1498" t="s">
        <v>128</v>
      </c>
      <c r="M1498" t="s">
        <v>1854</v>
      </c>
      <c r="N1498" t="s">
        <v>5025</v>
      </c>
      <c r="O1498" t="s">
        <v>159</v>
      </c>
      <c r="P1498">
        <v>0</v>
      </c>
      <c r="Q1498" t="s">
        <v>125</v>
      </c>
      <c r="R1498">
        <v>3</v>
      </c>
      <c r="S1498">
        <v>82</v>
      </c>
      <c r="T1498" t="s">
        <v>132</v>
      </c>
      <c r="U1498" t="s">
        <v>133</v>
      </c>
      <c r="V1498" s="1">
        <v>1700</v>
      </c>
      <c r="W1498">
        <v>0</v>
      </c>
      <c r="X1498" s="1">
        <v>1700</v>
      </c>
      <c r="Y1498">
        <v>7</v>
      </c>
      <c r="Z1498">
        <v>0</v>
      </c>
      <c r="AA1498">
        <v>0</v>
      </c>
      <c r="AB1498">
        <v>0</v>
      </c>
      <c r="AC1498">
        <v>0</v>
      </c>
      <c r="AD1498" t="s">
        <v>134</v>
      </c>
      <c r="AE1498" t="s">
        <v>134</v>
      </c>
      <c r="AF1498" s="2">
        <v>45933</v>
      </c>
      <c r="AG1498" s="2">
        <v>46010</v>
      </c>
      <c r="AH1498">
        <v>785.46</v>
      </c>
      <c r="AI1498">
        <v>785.46</v>
      </c>
      <c r="AJ1498">
        <v>785.46</v>
      </c>
      <c r="AK1498">
        <v>0</v>
      </c>
      <c r="AL1498">
        <v>0</v>
      </c>
      <c r="AM1498">
        <v>0</v>
      </c>
      <c r="AN1498" t="s">
        <v>135</v>
      </c>
      <c r="AO1498" t="s">
        <v>135</v>
      </c>
      <c r="AP1498" t="s">
        <v>136</v>
      </c>
      <c r="AQ1498" t="s">
        <v>137</v>
      </c>
      <c r="AR1498" t="s">
        <v>138</v>
      </c>
      <c r="AS1498" t="s">
        <v>139</v>
      </c>
      <c r="AT1498" t="s">
        <v>140</v>
      </c>
      <c r="AU1498">
        <v>500</v>
      </c>
      <c r="AV1498">
        <v>10</v>
      </c>
      <c r="AW1498">
        <v>1</v>
      </c>
      <c r="AX1498" s="2">
        <v>45939</v>
      </c>
      <c r="AY1498" t="s">
        <v>308</v>
      </c>
      <c r="AZ1498" s="2">
        <v>46023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 t="s">
        <v>135</v>
      </c>
      <c r="BH1498" t="s">
        <v>250</v>
      </c>
      <c r="BI1498" t="s">
        <v>135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785.46</v>
      </c>
      <c r="BW1498">
        <v>785.46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 t="s">
        <v>161</v>
      </c>
    </row>
    <row r="1499" spans="1:81" x14ac:dyDescent="0.25">
      <c r="A1499">
        <v>345</v>
      </c>
      <c r="B1499">
        <v>2</v>
      </c>
      <c r="C1499">
        <v>3825</v>
      </c>
      <c r="D1499" t="s">
        <v>8557</v>
      </c>
      <c r="E1499" t="s">
        <v>121</v>
      </c>
      <c r="F1499" t="s">
        <v>8558</v>
      </c>
      <c r="G1499" t="s">
        <v>8559</v>
      </c>
      <c r="H1499" t="s">
        <v>8560</v>
      </c>
      <c r="I1499" t="s">
        <v>8561</v>
      </c>
      <c r="J1499" t="s">
        <v>897</v>
      </c>
      <c r="K1499" t="s">
        <v>473</v>
      </c>
      <c r="L1499" t="s">
        <v>128</v>
      </c>
      <c r="M1499" t="s">
        <v>474</v>
      </c>
      <c r="N1499" t="s">
        <v>8562</v>
      </c>
      <c r="O1499" t="s">
        <v>167</v>
      </c>
      <c r="P1499">
        <v>0</v>
      </c>
      <c r="Q1499" t="s">
        <v>125</v>
      </c>
      <c r="R1499">
        <v>3</v>
      </c>
      <c r="S1499">
        <v>82</v>
      </c>
      <c r="T1499" t="s">
        <v>132</v>
      </c>
      <c r="U1499" t="s">
        <v>133</v>
      </c>
      <c r="V1499" s="1">
        <v>1700</v>
      </c>
      <c r="W1499">
        <v>235.34</v>
      </c>
      <c r="X1499" s="1">
        <v>1464.66</v>
      </c>
      <c r="Y1499">
        <v>7</v>
      </c>
      <c r="Z1499">
        <v>0</v>
      </c>
      <c r="AA1499">
        <v>9</v>
      </c>
      <c r="AB1499">
        <v>0</v>
      </c>
      <c r="AC1499">
        <v>0</v>
      </c>
      <c r="AD1499" t="s">
        <v>134</v>
      </c>
      <c r="AE1499" t="s">
        <v>134</v>
      </c>
      <c r="AF1499" s="2">
        <v>45933</v>
      </c>
      <c r="AG1499" s="2">
        <v>46018</v>
      </c>
      <c r="AH1499">
        <v>619.9</v>
      </c>
      <c r="AI1499" s="1">
        <v>1067.22</v>
      </c>
      <c r="AJ1499" s="1">
        <v>6818.91</v>
      </c>
      <c r="AK1499">
        <v>0</v>
      </c>
      <c r="AL1499">
        <v>235.34</v>
      </c>
      <c r="AM1499">
        <v>411.32</v>
      </c>
      <c r="AN1499" t="s">
        <v>135</v>
      </c>
      <c r="AO1499" t="s">
        <v>135</v>
      </c>
      <c r="AP1499" t="s">
        <v>136</v>
      </c>
      <c r="AQ1499" t="s">
        <v>137</v>
      </c>
      <c r="AR1499" t="s">
        <v>138</v>
      </c>
      <c r="AS1499" t="s">
        <v>139</v>
      </c>
      <c r="AT1499" t="s">
        <v>140</v>
      </c>
      <c r="AU1499">
        <v>105</v>
      </c>
      <c r="AV1499">
        <v>10</v>
      </c>
      <c r="AW1499">
        <v>1</v>
      </c>
      <c r="AX1499" s="2">
        <v>45938</v>
      </c>
      <c r="AY1499" t="s">
        <v>168</v>
      </c>
      <c r="AZ1499" s="2">
        <v>46022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 t="s">
        <v>135</v>
      </c>
      <c r="BH1499" t="s">
        <v>250</v>
      </c>
      <c r="BI1499" t="s">
        <v>135</v>
      </c>
      <c r="BJ1499">
        <v>0</v>
      </c>
      <c r="BK1499">
        <v>0</v>
      </c>
      <c r="BL1499">
        <v>0</v>
      </c>
      <c r="BM1499">
        <v>7</v>
      </c>
      <c r="BN1499">
        <v>3.79</v>
      </c>
      <c r="BO1499">
        <v>968.01</v>
      </c>
      <c r="BP1499">
        <v>817.92</v>
      </c>
      <c r="BQ1499" s="1">
        <v>1785.93</v>
      </c>
      <c r="BR1499">
        <v>968.01</v>
      </c>
      <c r="BS1499">
        <v>7.3</v>
      </c>
      <c r="BT1499">
        <v>4.88</v>
      </c>
      <c r="BU1499" s="1">
        <v>1574.21</v>
      </c>
      <c r="BV1499">
        <v>779.65</v>
      </c>
      <c r="BW1499" s="1">
        <v>2353.86</v>
      </c>
      <c r="BX1499">
        <v>235.34</v>
      </c>
      <c r="BY1499">
        <v>14.95</v>
      </c>
      <c r="BZ1499">
        <v>0</v>
      </c>
      <c r="CA1499">
        <v>0</v>
      </c>
      <c r="CB1499" s="1">
        <v>1488.35</v>
      </c>
      <c r="CC1499" t="s">
        <v>161</v>
      </c>
    </row>
    <row r="1500" spans="1:81" x14ac:dyDescent="0.25">
      <c r="A1500">
        <v>345</v>
      </c>
      <c r="B1500">
        <v>2</v>
      </c>
      <c r="C1500">
        <v>3826</v>
      </c>
      <c r="D1500" t="s">
        <v>8563</v>
      </c>
      <c r="E1500" t="s">
        <v>121</v>
      </c>
      <c r="F1500" t="s">
        <v>8564</v>
      </c>
      <c r="G1500" t="s">
        <v>8565</v>
      </c>
      <c r="H1500" t="s">
        <v>8486</v>
      </c>
      <c r="I1500" t="s">
        <v>8566</v>
      </c>
      <c r="J1500" t="s">
        <v>3074</v>
      </c>
      <c r="K1500" t="s">
        <v>1853</v>
      </c>
      <c r="L1500" t="s">
        <v>128</v>
      </c>
      <c r="M1500" t="s">
        <v>1854</v>
      </c>
      <c r="N1500" t="s">
        <v>8567</v>
      </c>
      <c r="O1500" t="s">
        <v>619</v>
      </c>
      <c r="P1500">
        <v>0</v>
      </c>
      <c r="Q1500" t="s">
        <v>125</v>
      </c>
      <c r="R1500">
        <v>3</v>
      </c>
      <c r="S1500">
        <v>82</v>
      </c>
      <c r="T1500" t="s">
        <v>132</v>
      </c>
      <c r="U1500" t="s">
        <v>133</v>
      </c>
      <c r="V1500" s="1">
        <v>1700</v>
      </c>
      <c r="W1500">
        <v>0</v>
      </c>
      <c r="X1500" s="1">
        <v>1700</v>
      </c>
      <c r="Y1500">
        <v>7</v>
      </c>
      <c r="Z1500">
        <v>0</v>
      </c>
      <c r="AA1500">
        <v>0</v>
      </c>
      <c r="AB1500">
        <v>0</v>
      </c>
      <c r="AC1500">
        <v>0</v>
      </c>
      <c r="AD1500" t="s">
        <v>134</v>
      </c>
      <c r="AE1500" t="s">
        <v>134</v>
      </c>
      <c r="AF1500" s="2">
        <v>45933</v>
      </c>
      <c r="AG1500" t="s">
        <v>135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 t="s">
        <v>135</v>
      </c>
      <c r="AO1500" t="s">
        <v>135</v>
      </c>
      <c r="AP1500" t="s">
        <v>136</v>
      </c>
      <c r="AQ1500" t="s">
        <v>137</v>
      </c>
      <c r="AR1500" t="s">
        <v>138</v>
      </c>
      <c r="AS1500" t="s">
        <v>150</v>
      </c>
      <c r="AT1500" t="s">
        <v>140</v>
      </c>
      <c r="AU1500">
        <v>500</v>
      </c>
      <c r="AV1500">
        <v>10</v>
      </c>
      <c r="AW1500">
        <v>1</v>
      </c>
      <c r="AX1500" s="2">
        <v>45936</v>
      </c>
      <c r="AY1500" t="s">
        <v>141</v>
      </c>
      <c r="AZ1500" s="2">
        <v>46027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 t="s">
        <v>135</v>
      </c>
      <c r="BH1500" t="s">
        <v>250</v>
      </c>
      <c r="BI1500" t="s">
        <v>135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 t="s">
        <v>161</v>
      </c>
    </row>
    <row r="1501" spans="1:81" x14ac:dyDescent="0.25">
      <c r="A1501">
        <v>345</v>
      </c>
      <c r="B1501">
        <v>2</v>
      </c>
      <c r="C1501">
        <v>3827</v>
      </c>
      <c r="D1501" t="s">
        <v>8568</v>
      </c>
      <c r="E1501" t="s">
        <v>121</v>
      </c>
      <c r="F1501" t="s">
        <v>8569</v>
      </c>
      <c r="G1501" t="s">
        <v>8570</v>
      </c>
      <c r="H1501" t="s">
        <v>8571</v>
      </c>
      <c r="I1501" t="s">
        <v>8572</v>
      </c>
      <c r="J1501" t="s">
        <v>126</v>
      </c>
      <c r="K1501" t="s">
        <v>473</v>
      </c>
      <c r="L1501" t="s">
        <v>128</v>
      </c>
      <c r="M1501" t="s">
        <v>474</v>
      </c>
      <c r="N1501" t="s">
        <v>8573</v>
      </c>
      <c r="O1501" t="s">
        <v>201</v>
      </c>
      <c r="P1501">
        <v>0</v>
      </c>
      <c r="Q1501" t="s">
        <v>125</v>
      </c>
      <c r="R1501">
        <v>3</v>
      </c>
      <c r="S1501">
        <v>86</v>
      </c>
      <c r="T1501" t="s">
        <v>132</v>
      </c>
      <c r="U1501" t="s">
        <v>133</v>
      </c>
      <c r="V1501" s="1">
        <v>2100</v>
      </c>
      <c r="W1501" s="1">
        <v>1092.3900000000001</v>
      </c>
      <c r="X1501" s="1">
        <v>1007.61</v>
      </c>
      <c r="Y1501">
        <v>0</v>
      </c>
      <c r="Z1501">
        <v>0</v>
      </c>
      <c r="AA1501">
        <v>7</v>
      </c>
      <c r="AB1501">
        <v>0</v>
      </c>
      <c r="AC1501">
        <v>0</v>
      </c>
      <c r="AD1501" t="s">
        <v>134</v>
      </c>
      <c r="AE1501" t="s">
        <v>134</v>
      </c>
      <c r="AF1501" s="2">
        <v>45936</v>
      </c>
      <c r="AG1501" s="2">
        <v>46017</v>
      </c>
      <c r="AH1501" s="1">
        <v>1116.32</v>
      </c>
      <c r="AI1501" s="1">
        <v>1657.49</v>
      </c>
      <c r="AJ1501" s="1">
        <v>11163.29</v>
      </c>
      <c r="AK1501">
        <v>965.27</v>
      </c>
      <c r="AL1501">
        <v>127.12</v>
      </c>
      <c r="AM1501">
        <v>0</v>
      </c>
      <c r="AN1501" t="s">
        <v>135</v>
      </c>
      <c r="AO1501" t="s">
        <v>135</v>
      </c>
      <c r="AP1501" t="s">
        <v>136</v>
      </c>
      <c r="AQ1501" t="s">
        <v>137</v>
      </c>
      <c r="AR1501" t="s">
        <v>138</v>
      </c>
      <c r="AS1501" t="s">
        <v>139</v>
      </c>
      <c r="AT1501" t="s">
        <v>140</v>
      </c>
      <c r="AU1501">
        <v>105</v>
      </c>
      <c r="AV1501">
        <v>10</v>
      </c>
      <c r="AW1501">
        <v>1</v>
      </c>
      <c r="AX1501" s="2">
        <v>45937</v>
      </c>
      <c r="AY1501" t="s">
        <v>377</v>
      </c>
      <c r="AZ1501" s="2">
        <v>46028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 t="s">
        <v>135</v>
      </c>
      <c r="BH1501" t="s">
        <v>250</v>
      </c>
      <c r="BI1501" t="s">
        <v>135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 s="1">
        <v>5052.5600000000004</v>
      </c>
      <c r="BQ1501" s="1">
        <v>5052.5600000000004</v>
      </c>
      <c r="BR1501">
        <v>0</v>
      </c>
      <c r="BS1501">
        <v>4.1900000000000004</v>
      </c>
      <c r="BT1501">
        <v>1.1299999999999999</v>
      </c>
      <c r="BU1501" s="1">
        <v>1373.24</v>
      </c>
      <c r="BV1501" s="1">
        <v>3703.84</v>
      </c>
      <c r="BW1501" s="1">
        <v>5077.08</v>
      </c>
      <c r="BX1501">
        <v>127.12</v>
      </c>
      <c r="BY1501">
        <v>9.26</v>
      </c>
      <c r="BZ1501">
        <v>0</v>
      </c>
      <c r="CA1501">
        <v>0</v>
      </c>
      <c r="CB1501" s="1">
        <v>2028.73</v>
      </c>
      <c r="CC1501" t="s">
        <v>161</v>
      </c>
    </row>
    <row r="1502" spans="1:81" x14ac:dyDescent="0.25">
      <c r="A1502">
        <v>345</v>
      </c>
      <c r="B1502">
        <v>2</v>
      </c>
      <c r="C1502">
        <v>3828</v>
      </c>
      <c r="D1502" t="s">
        <v>8574</v>
      </c>
      <c r="E1502" t="s">
        <v>121</v>
      </c>
      <c r="F1502" t="s">
        <v>8575</v>
      </c>
      <c r="G1502" t="s">
        <v>8576</v>
      </c>
      <c r="H1502" t="s">
        <v>8577</v>
      </c>
      <c r="I1502" t="s">
        <v>8578</v>
      </c>
      <c r="J1502" t="s">
        <v>2340</v>
      </c>
      <c r="K1502" t="s">
        <v>336</v>
      </c>
      <c r="L1502" t="s">
        <v>128</v>
      </c>
      <c r="M1502" t="s">
        <v>6395</v>
      </c>
      <c r="N1502" t="s">
        <v>8579</v>
      </c>
      <c r="O1502" t="s">
        <v>167</v>
      </c>
      <c r="P1502">
        <v>0</v>
      </c>
      <c r="Q1502" t="s">
        <v>125</v>
      </c>
      <c r="R1502">
        <v>3</v>
      </c>
      <c r="S1502">
        <v>83</v>
      </c>
      <c r="T1502" t="s">
        <v>132</v>
      </c>
      <c r="U1502" t="s">
        <v>133</v>
      </c>
      <c r="V1502" s="1">
        <v>1000</v>
      </c>
      <c r="W1502">
        <v>0</v>
      </c>
      <c r="X1502" s="1">
        <v>1000</v>
      </c>
      <c r="Y1502">
        <v>7</v>
      </c>
      <c r="Z1502">
        <v>0</v>
      </c>
      <c r="AA1502">
        <v>0</v>
      </c>
      <c r="AB1502">
        <v>0</v>
      </c>
      <c r="AC1502">
        <v>0</v>
      </c>
      <c r="AD1502" t="s">
        <v>134</v>
      </c>
      <c r="AE1502" t="s">
        <v>134</v>
      </c>
      <c r="AF1502" s="2">
        <v>45936</v>
      </c>
      <c r="AG1502" s="2">
        <v>46014</v>
      </c>
      <c r="AH1502">
        <v>148.56</v>
      </c>
      <c r="AI1502">
        <v>347.56</v>
      </c>
      <c r="AJ1502" s="1">
        <v>1485.68</v>
      </c>
      <c r="AK1502">
        <v>0</v>
      </c>
      <c r="AL1502">
        <v>0</v>
      </c>
      <c r="AM1502">
        <v>0</v>
      </c>
      <c r="AN1502" t="s">
        <v>135</v>
      </c>
      <c r="AO1502" t="s">
        <v>135</v>
      </c>
      <c r="AP1502" t="s">
        <v>136</v>
      </c>
      <c r="AQ1502" t="s">
        <v>137</v>
      </c>
      <c r="AR1502" t="s">
        <v>138</v>
      </c>
      <c r="AS1502" t="s">
        <v>139</v>
      </c>
      <c r="AT1502" t="s">
        <v>140</v>
      </c>
      <c r="AU1502">
        <v>100</v>
      </c>
      <c r="AV1502">
        <v>10</v>
      </c>
      <c r="AW1502">
        <v>1</v>
      </c>
      <c r="AX1502" s="2">
        <v>45936</v>
      </c>
      <c r="AY1502" t="s">
        <v>141</v>
      </c>
      <c r="AZ1502" s="2">
        <v>46027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 t="s">
        <v>135</v>
      </c>
      <c r="BH1502" t="s">
        <v>250</v>
      </c>
      <c r="BI1502" t="s">
        <v>135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377.76</v>
      </c>
      <c r="BQ1502">
        <v>377.76</v>
      </c>
      <c r="BR1502">
        <v>0</v>
      </c>
      <c r="BS1502">
        <v>0</v>
      </c>
      <c r="BT1502">
        <v>0</v>
      </c>
      <c r="BU1502">
        <v>0</v>
      </c>
      <c r="BV1502">
        <v>440.4</v>
      </c>
      <c r="BW1502">
        <v>440.4</v>
      </c>
      <c r="BX1502">
        <v>0</v>
      </c>
      <c r="BY1502">
        <v>0</v>
      </c>
      <c r="BZ1502">
        <v>0</v>
      </c>
      <c r="CA1502">
        <v>0</v>
      </c>
      <c r="CB1502">
        <v>348.42</v>
      </c>
      <c r="CC1502" t="s">
        <v>161</v>
      </c>
    </row>
    <row r="1503" spans="1:81" x14ac:dyDescent="0.25">
      <c r="A1503">
        <v>345</v>
      </c>
      <c r="B1503">
        <v>2</v>
      </c>
      <c r="C1503">
        <v>3829</v>
      </c>
      <c r="D1503" t="s">
        <v>8580</v>
      </c>
      <c r="E1503" t="s">
        <v>121</v>
      </c>
      <c r="F1503" t="s">
        <v>7410</v>
      </c>
      <c r="G1503" t="s">
        <v>8581</v>
      </c>
      <c r="H1503" t="s">
        <v>6007</v>
      </c>
      <c r="I1503" t="s">
        <v>8582</v>
      </c>
      <c r="J1503" t="s">
        <v>5604</v>
      </c>
      <c r="K1503" t="s">
        <v>127</v>
      </c>
      <c r="L1503" t="s">
        <v>128</v>
      </c>
      <c r="M1503" t="s">
        <v>129</v>
      </c>
      <c r="N1503" t="s">
        <v>8583</v>
      </c>
      <c r="O1503" t="s">
        <v>149</v>
      </c>
      <c r="P1503">
        <v>0</v>
      </c>
      <c r="Q1503" t="s">
        <v>125</v>
      </c>
      <c r="R1503">
        <v>3</v>
      </c>
      <c r="S1503">
        <v>86</v>
      </c>
      <c r="T1503" t="s">
        <v>132</v>
      </c>
      <c r="U1503" t="s">
        <v>133</v>
      </c>
      <c r="V1503" s="1">
        <v>3400</v>
      </c>
      <c r="W1503">
        <v>0</v>
      </c>
      <c r="X1503" s="1">
        <v>3400</v>
      </c>
      <c r="Y1503">
        <v>7</v>
      </c>
      <c r="Z1503">
        <v>0</v>
      </c>
      <c r="AA1503">
        <v>0</v>
      </c>
      <c r="AB1503">
        <v>0</v>
      </c>
      <c r="AC1503">
        <v>0</v>
      </c>
      <c r="AD1503" t="s">
        <v>134</v>
      </c>
      <c r="AE1503" t="s">
        <v>134</v>
      </c>
      <c r="AF1503" s="2">
        <v>45936</v>
      </c>
      <c r="AG1503" s="2">
        <v>45985</v>
      </c>
      <c r="AH1503" s="1">
        <v>1689.8</v>
      </c>
      <c r="AI1503" s="1">
        <v>2292</v>
      </c>
      <c r="AJ1503" s="1">
        <v>3379.61</v>
      </c>
      <c r="AK1503">
        <v>0</v>
      </c>
      <c r="AL1503">
        <v>0</v>
      </c>
      <c r="AM1503">
        <v>0</v>
      </c>
      <c r="AN1503" t="s">
        <v>135</v>
      </c>
      <c r="AO1503" t="s">
        <v>135</v>
      </c>
      <c r="AP1503" t="s">
        <v>136</v>
      </c>
      <c r="AQ1503" t="s">
        <v>137</v>
      </c>
      <c r="AR1503" t="s">
        <v>138</v>
      </c>
      <c r="AS1503" t="s">
        <v>150</v>
      </c>
      <c r="AT1503" t="s">
        <v>140</v>
      </c>
      <c r="AU1503">
        <v>102</v>
      </c>
      <c r="AV1503">
        <v>10</v>
      </c>
      <c r="AW1503">
        <v>1</v>
      </c>
      <c r="AX1503" s="2">
        <v>45941</v>
      </c>
      <c r="AY1503" t="s">
        <v>160</v>
      </c>
      <c r="AZ1503" s="2">
        <v>46025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 t="s">
        <v>135</v>
      </c>
      <c r="BH1503" t="s">
        <v>250</v>
      </c>
      <c r="BI1503" t="s">
        <v>135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 s="1">
        <v>1087.6099999999999</v>
      </c>
      <c r="BQ1503" s="1">
        <v>1087.6099999999999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 s="1">
        <v>1126.53</v>
      </c>
      <c r="CC1503" t="s">
        <v>161</v>
      </c>
    </row>
    <row r="1504" spans="1:81" x14ac:dyDescent="0.25">
      <c r="A1504">
        <v>345</v>
      </c>
      <c r="B1504">
        <v>2</v>
      </c>
      <c r="C1504">
        <v>3830</v>
      </c>
      <c r="D1504" t="s">
        <v>8584</v>
      </c>
      <c r="E1504" t="s">
        <v>121</v>
      </c>
      <c r="F1504" t="s">
        <v>8585</v>
      </c>
      <c r="G1504" t="s">
        <v>8586</v>
      </c>
      <c r="H1504" t="s">
        <v>8587</v>
      </c>
      <c r="I1504" t="s">
        <v>8384</v>
      </c>
      <c r="J1504" t="s">
        <v>8588</v>
      </c>
      <c r="K1504" t="s">
        <v>127</v>
      </c>
      <c r="L1504" t="s">
        <v>128</v>
      </c>
      <c r="M1504" t="s">
        <v>129</v>
      </c>
      <c r="N1504" t="s">
        <v>8589</v>
      </c>
      <c r="O1504" t="s">
        <v>195</v>
      </c>
      <c r="P1504">
        <v>0</v>
      </c>
      <c r="Q1504" t="s">
        <v>125</v>
      </c>
      <c r="R1504">
        <v>4</v>
      </c>
      <c r="S1504">
        <v>80</v>
      </c>
      <c r="T1504" t="s">
        <v>132</v>
      </c>
      <c r="U1504" t="s">
        <v>133</v>
      </c>
      <c r="V1504" s="1">
        <v>1300</v>
      </c>
      <c r="W1504">
        <v>0</v>
      </c>
      <c r="X1504" s="1">
        <v>1300</v>
      </c>
      <c r="Y1504">
        <v>7</v>
      </c>
      <c r="Z1504">
        <v>0</v>
      </c>
      <c r="AA1504">
        <v>0</v>
      </c>
      <c r="AB1504">
        <v>0</v>
      </c>
      <c r="AC1504">
        <v>0</v>
      </c>
      <c r="AD1504" t="s">
        <v>134</v>
      </c>
      <c r="AE1504" t="s">
        <v>134</v>
      </c>
      <c r="AF1504" s="2">
        <v>45936</v>
      </c>
      <c r="AG1504" s="2">
        <v>46008</v>
      </c>
      <c r="AH1504">
        <v>671.32</v>
      </c>
      <c r="AI1504" s="1">
        <v>1040.25</v>
      </c>
      <c r="AJ1504" s="1">
        <v>2685.31</v>
      </c>
      <c r="AK1504">
        <v>0</v>
      </c>
      <c r="AL1504">
        <v>0</v>
      </c>
      <c r="AM1504">
        <v>0</v>
      </c>
      <c r="AN1504" t="s">
        <v>135</v>
      </c>
      <c r="AO1504" t="s">
        <v>135</v>
      </c>
      <c r="AP1504" t="s">
        <v>136</v>
      </c>
      <c r="AQ1504" t="s">
        <v>137</v>
      </c>
      <c r="AR1504" t="s">
        <v>138</v>
      </c>
      <c r="AS1504" t="s">
        <v>150</v>
      </c>
      <c r="AT1504" t="s">
        <v>140</v>
      </c>
      <c r="AU1504">
        <v>102</v>
      </c>
      <c r="AV1504">
        <v>10</v>
      </c>
      <c r="AW1504">
        <v>1</v>
      </c>
      <c r="AX1504" s="2">
        <v>45936</v>
      </c>
      <c r="AY1504" t="s">
        <v>141</v>
      </c>
      <c r="AZ1504" s="2">
        <v>46027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 t="s">
        <v>135</v>
      </c>
      <c r="BH1504" t="s">
        <v>250</v>
      </c>
      <c r="BI1504" t="s">
        <v>135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 s="1">
        <v>1260.42</v>
      </c>
      <c r="BQ1504" s="1">
        <v>1260.42</v>
      </c>
      <c r="BR1504">
        <v>0</v>
      </c>
      <c r="BS1504">
        <v>0</v>
      </c>
      <c r="BT1504">
        <v>0</v>
      </c>
      <c r="BU1504">
        <v>0</v>
      </c>
      <c r="BV1504" s="1">
        <v>1424.89</v>
      </c>
      <c r="BW1504" s="1">
        <v>1424.89</v>
      </c>
      <c r="BX1504">
        <v>0</v>
      </c>
      <c r="BY1504">
        <v>0</v>
      </c>
      <c r="BZ1504">
        <v>0</v>
      </c>
      <c r="CA1504">
        <v>0</v>
      </c>
      <c r="CB1504">
        <v>420.14</v>
      </c>
      <c r="CC1504" t="s">
        <v>161</v>
      </c>
    </row>
    <row r="1505" spans="1:81" x14ac:dyDescent="0.25">
      <c r="A1505">
        <v>345</v>
      </c>
      <c r="B1505">
        <v>2</v>
      </c>
      <c r="C1505">
        <v>3831</v>
      </c>
      <c r="D1505" t="s">
        <v>8590</v>
      </c>
      <c r="E1505" t="s">
        <v>121</v>
      </c>
      <c r="F1505" t="s">
        <v>8591</v>
      </c>
      <c r="G1505" t="s">
        <v>8592</v>
      </c>
      <c r="H1505" t="s">
        <v>8593</v>
      </c>
      <c r="I1505" t="s">
        <v>8594</v>
      </c>
      <c r="J1505" t="s">
        <v>1263</v>
      </c>
      <c r="K1505" t="s">
        <v>466</v>
      </c>
      <c r="L1505" t="s">
        <v>128</v>
      </c>
      <c r="M1505" t="s">
        <v>467</v>
      </c>
      <c r="N1505" t="s">
        <v>8595</v>
      </c>
      <c r="O1505" t="s">
        <v>3115</v>
      </c>
      <c r="P1505">
        <v>0</v>
      </c>
      <c r="Q1505" t="s">
        <v>125</v>
      </c>
      <c r="R1505">
        <v>3</v>
      </c>
      <c r="S1505">
        <v>86</v>
      </c>
      <c r="T1505" t="s">
        <v>132</v>
      </c>
      <c r="U1505" t="s">
        <v>133</v>
      </c>
      <c r="V1505" s="1">
        <v>9700</v>
      </c>
      <c r="W1505">
        <v>0</v>
      </c>
      <c r="X1505" s="1">
        <v>9700</v>
      </c>
      <c r="Y1505">
        <v>7</v>
      </c>
      <c r="Z1505">
        <v>0</v>
      </c>
      <c r="AA1505">
        <v>0</v>
      </c>
      <c r="AB1505">
        <v>0</v>
      </c>
      <c r="AC1505">
        <v>0</v>
      </c>
      <c r="AD1505" t="s">
        <v>134</v>
      </c>
      <c r="AE1505" t="s">
        <v>134</v>
      </c>
      <c r="AF1505" s="2">
        <v>45937</v>
      </c>
      <c r="AG1505" s="2">
        <v>45941</v>
      </c>
      <c r="AH1505" s="1">
        <v>4810.8</v>
      </c>
      <c r="AI1505" s="1">
        <v>4810.8</v>
      </c>
      <c r="AJ1505" s="1">
        <v>4810.8</v>
      </c>
      <c r="AK1505">
        <v>0</v>
      </c>
      <c r="AL1505">
        <v>0</v>
      </c>
      <c r="AM1505">
        <v>0</v>
      </c>
      <c r="AN1505" t="s">
        <v>135</v>
      </c>
      <c r="AO1505" t="s">
        <v>135</v>
      </c>
      <c r="AP1505" t="s">
        <v>136</v>
      </c>
      <c r="AQ1505" t="s">
        <v>137</v>
      </c>
      <c r="AR1505" t="s">
        <v>138</v>
      </c>
      <c r="AS1505" t="s">
        <v>139</v>
      </c>
      <c r="AT1505" t="s">
        <v>140</v>
      </c>
      <c r="AU1505">
        <v>500</v>
      </c>
      <c r="AV1505">
        <v>10</v>
      </c>
      <c r="AW1505">
        <v>1</v>
      </c>
      <c r="AX1505" s="2">
        <v>45937</v>
      </c>
      <c r="AY1505" t="s">
        <v>377</v>
      </c>
      <c r="AZ1505" s="2">
        <v>46028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 t="s">
        <v>135</v>
      </c>
      <c r="BH1505" t="s">
        <v>250</v>
      </c>
      <c r="BI1505" t="s">
        <v>135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 s="1">
        <v>1603.6</v>
      </c>
      <c r="CC1505" t="s">
        <v>161</v>
      </c>
    </row>
    <row r="1506" spans="1:81" x14ac:dyDescent="0.25">
      <c r="A1506">
        <v>345</v>
      </c>
      <c r="B1506">
        <v>2</v>
      </c>
      <c r="C1506">
        <v>3832</v>
      </c>
      <c r="D1506" t="s">
        <v>8596</v>
      </c>
      <c r="E1506" t="s">
        <v>121</v>
      </c>
      <c r="F1506" t="s">
        <v>8597</v>
      </c>
      <c r="G1506" t="s">
        <v>8598</v>
      </c>
      <c r="H1506" t="s">
        <v>8599</v>
      </c>
      <c r="I1506" t="s">
        <v>8600</v>
      </c>
      <c r="J1506" t="s">
        <v>606</v>
      </c>
      <c r="K1506" t="s">
        <v>336</v>
      </c>
      <c r="L1506" t="s">
        <v>128</v>
      </c>
      <c r="M1506" t="s">
        <v>337</v>
      </c>
      <c r="N1506" t="s">
        <v>8601</v>
      </c>
      <c r="O1506" t="s">
        <v>167</v>
      </c>
      <c r="P1506">
        <v>0</v>
      </c>
      <c r="Q1506" t="s">
        <v>125</v>
      </c>
      <c r="R1506">
        <v>4</v>
      </c>
      <c r="S1506">
        <v>81</v>
      </c>
      <c r="T1506" t="s">
        <v>132</v>
      </c>
      <c r="U1506" t="s">
        <v>133</v>
      </c>
      <c r="V1506" s="1">
        <v>1800</v>
      </c>
      <c r="W1506">
        <v>0</v>
      </c>
      <c r="X1506" s="1">
        <v>1800</v>
      </c>
      <c r="Y1506">
        <v>7</v>
      </c>
      <c r="Z1506">
        <v>0</v>
      </c>
      <c r="AA1506">
        <v>7</v>
      </c>
      <c r="AB1506">
        <v>0</v>
      </c>
      <c r="AC1506">
        <v>0</v>
      </c>
      <c r="AD1506" t="s">
        <v>134</v>
      </c>
      <c r="AE1506" t="s">
        <v>134</v>
      </c>
      <c r="AF1506" s="2">
        <v>45937</v>
      </c>
      <c r="AG1506" s="2">
        <v>46018</v>
      </c>
      <c r="AH1506">
        <v>286.95999999999998</v>
      </c>
      <c r="AI1506">
        <v>357.53</v>
      </c>
      <c r="AJ1506" s="1">
        <v>2295.71</v>
      </c>
      <c r="AK1506">
        <v>0</v>
      </c>
      <c r="AL1506">
        <v>0</v>
      </c>
      <c r="AM1506">
        <v>0</v>
      </c>
      <c r="AN1506" t="s">
        <v>135</v>
      </c>
      <c r="AO1506" t="s">
        <v>135</v>
      </c>
      <c r="AP1506" t="s">
        <v>136</v>
      </c>
      <c r="AQ1506" t="s">
        <v>137</v>
      </c>
      <c r="AR1506" t="s">
        <v>138</v>
      </c>
      <c r="AS1506" t="s">
        <v>139</v>
      </c>
      <c r="AT1506" t="s">
        <v>140</v>
      </c>
      <c r="AU1506">
        <v>101</v>
      </c>
      <c r="AV1506">
        <v>10</v>
      </c>
      <c r="AW1506">
        <v>1</v>
      </c>
      <c r="AX1506" s="2">
        <v>45938</v>
      </c>
      <c r="AY1506" t="s">
        <v>168</v>
      </c>
      <c r="AZ1506" s="2">
        <v>46022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 t="s">
        <v>135</v>
      </c>
      <c r="BH1506" t="s">
        <v>250</v>
      </c>
      <c r="BI1506" t="s">
        <v>135</v>
      </c>
      <c r="BJ1506">
        <v>0</v>
      </c>
      <c r="BK1506">
        <v>0</v>
      </c>
      <c r="BL1506">
        <v>0</v>
      </c>
      <c r="BM1506">
        <v>7</v>
      </c>
      <c r="BN1506">
        <v>3.9</v>
      </c>
      <c r="BO1506">
        <v>357.53</v>
      </c>
      <c r="BP1506">
        <v>283.83</v>
      </c>
      <c r="BQ1506">
        <v>641.36</v>
      </c>
      <c r="BR1506">
        <v>0</v>
      </c>
      <c r="BS1506">
        <v>0</v>
      </c>
      <c r="BT1506">
        <v>0</v>
      </c>
      <c r="BU1506">
        <v>0</v>
      </c>
      <c r="BV1506">
        <v>705.55</v>
      </c>
      <c r="BW1506">
        <v>705.55</v>
      </c>
      <c r="BX1506">
        <v>0</v>
      </c>
      <c r="BY1506">
        <v>0</v>
      </c>
      <c r="BZ1506">
        <v>0</v>
      </c>
      <c r="CA1506">
        <v>0</v>
      </c>
      <c r="CB1506">
        <v>530.04999999999995</v>
      </c>
      <c r="CC1506" t="s">
        <v>161</v>
      </c>
    </row>
    <row r="1507" spans="1:81" x14ac:dyDescent="0.25">
      <c r="A1507">
        <v>345</v>
      </c>
      <c r="B1507">
        <v>2</v>
      </c>
      <c r="C1507">
        <v>3833</v>
      </c>
      <c r="D1507" t="s">
        <v>8602</v>
      </c>
      <c r="E1507" t="s">
        <v>121</v>
      </c>
      <c r="F1507" t="s">
        <v>8603</v>
      </c>
      <c r="G1507" t="s">
        <v>8604</v>
      </c>
      <c r="H1507" t="s">
        <v>8605</v>
      </c>
      <c r="I1507" t="s">
        <v>8606</v>
      </c>
      <c r="J1507" t="s">
        <v>1201</v>
      </c>
      <c r="K1507" t="s">
        <v>466</v>
      </c>
      <c r="L1507" t="s">
        <v>128</v>
      </c>
      <c r="M1507" t="s">
        <v>467</v>
      </c>
      <c r="N1507" t="s">
        <v>8607</v>
      </c>
      <c r="O1507" t="s">
        <v>296</v>
      </c>
      <c r="P1507">
        <v>0</v>
      </c>
      <c r="Q1507" t="s">
        <v>125</v>
      </c>
      <c r="R1507">
        <v>3</v>
      </c>
      <c r="S1507">
        <v>85</v>
      </c>
      <c r="T1507" t="s">
        <v>132</v>
      </c>
      <c r="U1507" t="s">
        <v>133</v>
      </c>
      <c r="V1507" s="1">
        <v>1000</v>
      </c>
      <c r="W1507">
        <v>0</v>
      </c>
      <c r="X1507" s="1">
        <v>1000</v>
      </c>
      <c r="Y1507">
        <v>7</v>
      </c>
      <c r="Z1507">
        <v>0</v>
      </c>
      <c r="AA1507">
        <v>0</v>
      </c>
      <c r="AB1507">
        <v>0</v>
      </c>
      <c r="AC1507">
        <v>0</v>
      </c>
      <c r="AD1507" t="s">
        <v>134</v>
      </c>
      <c r="AE1507" t="s">
        <v>134</v>
      </c>
      <c r="AF1507" s="2">
        <v>45938</v>
      </c>
      <c r="AG1507" s="2">
        <v>46008</v>
      </c>
      <c r="AH1507">
        <v>274.62</v>
      </c>
      <c r="AI1507">
        <v>336.72</v>
      </c>
      <c r="AJ1507" s="1">
        <v>1098.5</v>
      </c>
      <c r="AK1507">
        <v>0</v>
      </c>
      <c r="AL1507">
        <v>0</v>
      </c>
      <c r="AM1507">
        <v>0</v>
      </c>
      <c r="AN1507" t="s">
        <v>135</v>
      </c>
      <c r="AO1507" t="s">
        <v>135</v>
      </c>
      <c r="AP1507" t="s">
        <v>136</v>
      </c>
      <c r="AQ1507" t="s">
        <v>137</v>
      </c>
      <c r="AR1507" t="s">
        <v>138</v>
      </c>
      <c r="AS1507" t="s">
        <v>139</v>
      </c>
      <c r="AT1507" t="s">
        <v>140</v>
      </c>
      <c r="AU1507">
        <v>103</v>
      </c>
      <c r="AV1507">
        <v>10</v>
      </c>
      <c r="AW1507">
        <v>1</v>
      </c>
      <c r="AX1507" s="2">
        <v>45944</v>
      </c>
      <c r="AY1507" t="s">
        <v>377</v>
      </c>
      <c r="AZ1507" s="2">
        <v>46028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 t="s">
        <v>135</v>
      </c>
      <c r="BH1507" t="s">
        <v>250</v>
      </c>
      <c r="BI1507" t="s">
        <v>135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541.75</v>
      </c>
      <c r="BQ1507">
        <v>541.75</v>
      </c>
      <c r="BR1507">
        <v>0</v>
      </c>
      <c r="BS1507">
        <v>0</v>
      </c>
      <c r="BT1507">
        <v>0</v>
      </c>
      <c r="BU1507">
        <v>0</v>
      </c>
      <c r="BV1507">
        <v>220.03</v>
      </c>
      <c r="BW1507">
        <v>220.03</v>
      </c>
      <c r="BX1507">
        <v>0</v>
      </c>
      <c r="BY1507">
        <v>0</v>
      </c>
      <c r="BZ1507">
        <v>0</v>
      </c>
      <c r="CA1507">
        <v>0</v>
      </c>
      <c r="CB1507">
        <v>292.82</v>
      </c>
      <c r="CC1507" t="s">
        <v>161</v>
      </c>
    </row>
    <row r="1508" spans="1:81" x14ac:dyDescent="0.25">
      <c r="A1508">
        <v>345</v>
      </c>
      <c r="B1508">
        <v>2</v>
      </c>
      <c r="C1508">
        <v>3834</v>
      </c>
      <c r="D1508" t="s">
        <v>8608</v>
      </c>
      <c r="E1508" t="s">
        <v>121</v>
      </c>
      <c r="F1508" t="s">
        <v>8609</v>
      </c>
      <c r="G1508" t="s">
        <v>8610</v>
      </c>
      <c r="H1508" t="s">
        <v>8611</v>
      </c>
      <c r="I1508" t="s">
        <v>8612</v>
      </c>
      <c r="J1508" t="s">
        <v>126</v>
      </c>
      <c r="K1508" t="s">
        <v>1853</v>
      </c>
      <c r="L1508" t="s">
        <v>128</v>
      </c>
      <c r="M1508" t="s">
        <v>1854</v>
      </c>
      <c r="N1508" t="s">
        <v>8613</v>
      </c>
      <c r="O1508" t="s">
        <v>201</v>
      </c>
      <c r="P1508">
        <v>0</v>
      </c>
      <c r="Q1508" t="s">
        <v>125</v>
      </c>
      <c r="R1508">
        <v>3</v>
      </c>
      <c r="S1508">
        <v>82</v>
      </c>
      <c r="T1508" t="s">
        <v>132</v>
      </c>
      <c r="U1508" t="s">
        <v>133</v>
      </c>
      <c r="V1508" s="1">
        <v>1000</v>
      </c>
      <c r="W1508">
        <v>0</v>
      </c>
      <c r="X1508" s="1">
        <v>1000</v>
      </c>
      <c r="Y1508">
        <v>7</v>
      </c>
      <c r="Z1508">
        <v>0</v>
      </c>
      <c r="AA1508">
        <v>0</v>
      </c>
      <c r="AB1508">
        <v>0</v>
      </c>
      <c r="AC1508">
        <v>0</v>
      </c>
      <c r="AD1508" t="s">
        <v>134</v>
      </c>
      <c r="AE1508" t="s">
        <v>134</v>
      </c>
      <c r="AF1508" s="2">
        <v>45938</v>
      </c>
      <c r="AG1508" s="2">
        <v>45952</v>
      </c>
      <c r="AH1508">
        <v>206.9</v>
      </c>
      <c r="AI1508">
        <v>206.9</v>
      </c>
      <c r="AJ1508">
        <v>413.8</v>
      </c>
      <c r="AK1508">
        <v>0</v>
      </c>
      <c r="AL1508">
        <v>0</v>
      </c>
      <c r="AM1508">
        <v>0</v>
      </c>
      <c r="AN1508" t="s">
        <v>135</v>
      </c>
      <c r="AO1508" t="s">
        <v>135</v>
      </c>
      <c r="AP1508" t="s">
        <v>136</v>
      </c>
      <c r="AQ1508" t="s">
        <v>137</v>
      </c>
      <c r="AR1508" t="s">
        <v>138</v>
      </c>
      <c r="AS1508" t="s">
        <v>150</v>
      </c>
      <c r="AT1508" t="s">
        <v>140</v>
      </c>
      <c r="AU1508">
        <v>106</v>
      </c>
      <c r="AV1508">
        <v>10</v>
      </c>
      <c r="AW1508">
        <v>1</v>
      </c>
      <c r="AX1508" s="2">
        <v>45943</v>
      </c>
      <c r="AY1508" t="s">
        <v>141</v>
      </c>
      <c r="AZ1508" s="2">
        <v>46027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 t="s">
        <v>135</v>
      </c>
      <c r="BH1508" t="s">
        <v>250</v>
      </c>
      <c r="BI1508" t="s">
        <v>135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137.93</v>
      </c>
      <c r="CC1508" t="s">
        <v>161</v>
      </c>
    </row>
    <row r="1509" spans="1:81" x14ac:dyDescent="0.25">
      <c r="A1509">
        <v>345</v>
      </c>
      <c r="B1509">
        <v>2</v>
      </c>
      <c r="C1509">
        <v>3835</v>
      </c>
      <c r="D1509" t="s">
        <v>8614</v>
      </c>
      <c r="E1509" t="s">
        <v>121</v>
      </c>
      <c r="F1509" t="s">
        <v>8615</v>
      </c>
      <c r="G1509" t="s">
        <v>8616</v>
      </c>
      <c r="H1509" t="s">
        <v>3410</v>
      </c>
      <c r="I1509" t="s">
        <v>8617</v>
      </c>
      <c r="J1509" t="s">
        <v>126</v>
      </c>
      <c r="K1509" t="s">
        <v>1853</v>
      </c>
      <c r="L1509" t="s">
        <v>128</v>
      </c>
      <c r="M1509" t="s">
        <v>1854</v>
      </c>
      <c r="N1509" t="s">
        <v>8618</v>
      </c>
      <c r="O1509" t="s">
        <v>159</v>
      </c>
      <c r="P1509">
        <v>0</v>
      </c>
      <c r="Q1509" t="s">
        <v>125</v>
      </c>
      <c r="R1509">
        <v>3</v>
      </c>
      <c r="S1509">
        <v>82</v>
      </c>
      <c r="T1509" t="s">
        <v>132</v>
      </c>
      <c r="U1509" t="s">
        <v>133</v>
      </c>
      <c r="V1509" s="1">
        <v>2400</v>
      </c>
      <c r="W1509">
        <v>0</v>
      </c>
      <c r="X1509" s="1">
        <v>2400</v>
      </c>
      <c r="Y1509">
        <v>7</v>
      </c>
      <c r="Z1509">
        <v>0</v>
      </c>
      <c r="AA1509">
        <v>0</v>
      </c>
      <c r="AB1509">
        <v>0</v>
      </c>
      <c r="AC1509">
        <v>0</v>
      </c>
      <c r="AD1509" t="s">
        <v>134</v>
      </c>
      <c r="AE1509" t="s">
        <v>134</v>
      </c>
      <c r="AF1509" s="2">
        <v>45938</v>
      </c>
      <c r="AG1509" s="2">
        <v>45968</v>
      </c>
      <c r="AH1509" s="1">
        <v>1172.3699999999999</v>
      </c>
      <c r="AI1509" s="1">
        <v>1195.17</v>
      </c>
      <c r="AJ1509" s="1">
        <v>2344.75</v>
      </c>
      <c r="AK1509">
        <v>0</v>
      </c>
      <c r="AL1509">
        <v>0</v>
      </c>
      <c r="AM1509">
        <v>0</v>
      </c>
      <c r="AN1509" t="s">
        <v>135</v>
      </c>
      <c r="AO1509" t="s">
        <v>135</v>
      </c>
      <c r="AP1509" t="s">
        <v>136</v>
      </c>
      <c r="AQ1509" t="s">
        <v>137</v>
      </c>
      <c r="AR1509" t="s">
        <v>138</v>
      </c>
      <c r="AS1509" t="s">
        <v>150</v>
      </c>
      <c r="AT1509" t="s">
        <v>140</v>
      </c>
      <c r="AU1509">
        <v>106</v>
      </c>
      <c r="AV1509">
        <v>10</v>
      </c>
      <c r="AW1509">
        <v>1</v>
      </c>
      <c r="AX1509" s="2">
        <v>45944</v>
      </c>
      <c r="AY1509" t="s">
        <v>377</v>
      </c>
      <c r="AZ1509" s="2">
        <v>46028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 t="s">
        <v>135</v>
      </c>
      <c r="BH1509" t="s">
        <v>250</v>
      </c>
      <c r="BI1509" t="s">
        <v>135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 s="1">
        <v>1149.58</v>
      </c>
      <c r="BQ1509" s="1">
        <v>1149.58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781.58</v>
      </c>
      <c r="CC1509" t="s">
        <v>161</v>
      </c>
    </row>
    <row r="1510" spans="1:81" x14ac:dyDescent="0.25">
      <c r="A1510">
        <v>345</v>
      </c>
      <c r="B1510">
        <v>2</v>
      </c>
      <c r="C1510">
        <v>3836</v>
      </c>
      <c r="D1510" t="s">
        <v>8619</v>
      </c>
      <c r="E1510" t="s">
        <v>121</v>
      </c>
      <c r="F1510" t="s">
        <v>8620</v>
      </c>
      <c r="G1510" t="s">
        <v>8621</v>
      </c>
      <c r="H1510" t="s">
        <v>8622</v>
      </c>
      <c r="I1510" t="s">
        <v>8623</v>
      </c>
      <c r="J1510" t="s">
        <v>1465</v>
      </c>
      <c r="K1510" t="s">
        <v>466</v>
      </c>
      <c r="L1510" t="s">
        <v>128</v>
      </c>
      <c r="M1510" t="s">
        <v>467</v>
      </c>
      <c r="N1510" t="s">
        <v>8624</v>
      </c>
      <c r="O1510" t="s">
        <v>296</v>
      </c>
      <c r="P1510">
        <v>0</v>
      </c>
      <c r="Q1510" t="s">
        <v>125</v>
      </c>
      <c r="R1510">
        <v>3</v>
      </c>
      <c r="S1510">
        <v>84</v>
      </c>
      <c r="T1510" t="s">
        <v>132</v>
      </c>
      <c r="U1510" t="s">
        <v>133</v>
      </c>
      <c r="V1510" s="1">
        <v>2800</v>
      </c>
      <c r="W1510">
        <v>0</v>
      </c>
      <c r="X1510" s="1">
        <v>2800</v>
      </c>
      <c r="Y1510">
        <v>7</v>
      </c>
      <c r="Z1510">
        <v>0</v>
      </c>
      <c r="AA1510">
        <v>0</v>
      </c>
      <c r="AB1510">
        <v>0</v>
      </c>
      <c r="AC1510">
        <v>0</v>
      </c>
      <c r="AD1510" t="s">
        <v>134</v>
      </c>
      <c r="AE1510" t="s">
        <v>134</v>
      </c>
      <c r="AF1510" s="2">
        <v>45939</v>
      </c>
      <c r="AG1510" s="2">
        <v>46020</v>
      </c>
      <c r="AH1510" s="1">
        <v>1564.28</v>
      </c>
      <c r="AI1510" s="1">
        <v>2674.34</v>
      </c>
      <c r="AJ1510" s="1">
        <v>12514.29</v>
      </c>
      <c r="AK1510">
        <v>0</v>
      </c>
      <c r="AL1510">
        <v>0</v>
      </c>
      <c r="AM1510">
        <v>0</v>
      </c>
      <c r="AN1510" t="s">
        <v>135</v>
      </c>
      <c r="AO1510" t="s">
        <v>135</v>
      </c>
      <c r="AP1510" t="s">
        <v>136</v>
      </c>
      <c r="AQ1510" t="s">
        <v>137</v>
      </c>
      <c r="AR1510" t="s">
        <v>138</v>
      </c>
      <c r="AS1510" t="s">
        <v>150</v>
      </c>
      <c r="AT1510" t="s">
        <v>140</v>
      </c>
      <c r="AU1510">
        <v>500</v>
      </c>
      <c r="AV1510">
        <v>10</v>
      </c>
      <c r="AW1510">
        <v>1</v>
      </c>
      <c r="AX1510" s="2">
        <v>45941</v>
      </c>
      <c r="AY1510" t="s">
        <v>160</v>
      </c>
      <c r="AZ1510" s="2">
        <v>46025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 t="s">
        <v>135</v>
      </c>
      <c r="BH1510" t="s">
        <v>250</v>
      </c>
      <c r="BI1510" t="s">
        <v>135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 s="1">
        <v>3179.03</v>
      </c>
      <c r="BQ1510" s="1">
        <v>3179.03</v>
      </c>
      <c r="BR1510">
        <v>0</v>
      </c>
      <c r="BS1510">
        <v>0</v>
      </c>
      <c r="BT1510">
        <v>0</v>
      </c>
      <c r="BU1510">
        <v>0</v>
      </c>
      <c r="BV1510" s="1">
        <v>6956.43</v>
      </c>
      <c r="BW1510" s="1">
        <v>6956.43</v>
      </c>
      <c r="BX1510">
        <v>0</v>
      </c>
      <c r="BY1510">
        <v>0</v>
      </c>
      <c r="BZ1510">
        <v>0</v>
      </c>
      <c r="CA1510">
        <v>0</v>
      </c>
      <c r="CB1510" s="1">
        <v>1852.62</v>
      </c>
      <c r="CC1510" t="s">
        <v>161</v>
      </c>
    </row>
    <row r="1511" spans="1:81" x14ac:dyDescent="0.25">
      <c r="A1511">
        <v>345</v>
      </c>
      <c r="B1511">
        <v>2</v>
      </c>
      <c r="C1511">
        <v>3837</v>
      </c>
      <c r="D1511" t="s">
        <v>8625</v>
      </c>
      <c r="E1511" t="s">
        <v>121</v>
      </c>
      <c r="F1511" t="s">
        <v>8626</v>
      </c>
      <c r="G1511" t="s">
        <v>8627</v>
      </c>
      <c r="H1511" t="s">
        <v>8628</v>
      </c>
      <c r="I1511" t="s">
        <v>8629</v>
      </c>
      <c r="J1511" t="s">
        <v>8630</v>
      </c>
      <c r="K1511" t="s">
        <v>336</v>
      </c>
      <c r="L1511" t="s">
        <v>128</v>
      </c>
      <c r="M1511" t="s">
        <v>337</v>
      </c>
      <c r="N1511" t="s">
        <v>8631</v>
      </c>
      <c r="O1511" t="s">
        <v>296</v>
      </c>
      <c r="P1511">
        <v>0</v>
      </c>
      <c r="Q1511" t="s">
        <v>125</v>
      </c>
      <c r="R1511">
        <v>3</v>
      </c>
      <c r="S1511">
        <v>85</v>
      </c>
      <c r="T1511" t="s">
        <v>132</v>
      </c>
      <c r="U1511" t="s">
        <v>133</v>
      </c>
      <c r="V1511" s="1">
        <v>1200</v>
      </c>
      <c r="W1511">
        <v>0</v>
      </c>
      <c r="X1511" s="1">
        <v>1200</v>
      </c>
      <c r="Y1511">
        <v>7</v>
      </c>
      <c r="Z1511">
        <v>0</v>
      </c>
      <c r="AA1511">
        <v>0</v>
      </c>
      <c r="AB1511">
        <v>0</v>
      </c>
      <c r="AC1511">
        <v>0</v>
      </c>
      <c r="AD1511" t="s">
        <v>134</v>
      </c>
      <c r="AE1511" t="s">
        <v>134</v>
      </c>
      <c r="AF1511" s="2">
        <v>45939</v>
      </c>
      <c r="AG1511" s="2">
        <v>45996</v>
      </c>
      <c r="AH1511">
        <v>374.07</v>
      </c>
      <c r="AI1511">
        <v>580.24</v>
      </c>
      <c r="AJ1511" s="1">
        <v>1496.31</v>
      </c>
      <c r="AK1511">
        <v>0</v>
      </c>
      <c r="AL1511">
        <v>0</v>
      </c>
      <c r="AM1511">
        <v>0</v>
      </c>
      <c r="AN1511" t="s">
        <v>135</v>
      </c>
      <c r="AO1511" t="s">
        <v>135</v>
      </c>
      <c r="AP1511" t="s">
        <v>136</v>
      </c>
      <c r="AQ1511" t="s">
        <v>137</v>
      </c>
      <c r="AR1511" t="s">
        <v>138</v>
      </c>
      <c r="AS1511" t="s">
        <v>139</v>
      </c>
      <c r="AT1511" t="s">
        <v>140</v>
      </c>
      <c r="AU1511">
        <v>104</v>
      </c>
      <c r="AV1511">
        <v>10</v>
      </c>
      <c r="AW1511">
        <v>1</v>
      </c>
      <c r="AX1511" s="2">
        <v>45939</v>
      </c>
      <c r="AY1511" t="s">
        <v>308</v>
      </c>
      <c r="AZ1511" s="2">
        <v>46023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 t="s">
        <v>135</v>
      </c>
      <c r="BH1511" t="s">
        <v>250</v>
      </c>
      <c r="BI1511" t="s">
        <v>135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572.27</v>
      </c>
      <c r="BQ1511">
        <v>572.27</v>
      </c>
      <c r="BR1511">
        <v>0</v>
      </c>
      <c r="BS1511">
        <v>0</v>
      </c>
      <c r="BT1511">
        <v>0</v>
      </c>
      <c r="BU1511">
        <v>0</v>
      </c>
      <c r="BV1511">
        <v>343.8</v>
      </c>
      <c r="BW1511">
        <v>343.8</v>
      </c>
      <c r="BX1511">
        <v>0</v>
      </c>
      <c r="BY1511">
        <v>0</v>
      </c>
      <c r="BZ1511">
        <v>0</v>
      </c>
      <c r="CA1511">
        <v>0</v>
      </c>
      <c r="CB1511">
        <v>384.17</v>
      </c>
      <c r="CC1511" t="s">
        <v>161</v>
      </c>
    </row>
    <row r="1512" spans="1:81" x14ac:dyDescent="0.25">
      <c r="A1512">
        <v>345</v>
      </c>
      <c r="B1512">
        <v>2</v>
      </c>
      <c r="C1512">
        <v>3838</v>
      </c>
      <c r="D1512" t="s">
        <v>8632</v>
      </c>
      <c r="E1512" t="s">
        <v>121</v>
      </c>
      <c r="F1512" t="s">
        <v>8633</v>
      </c>
      <c r="G1512" t="s">
        <v>8634</v>
      </c>
      <c r="H1512" t="s">
        <v>8635</v>
      </c>
      <c r="I1512" t="s">
        <v>8636</v>
      </c>
      <c r="J1512" t="s">
        <v>126</v>
      </c>
      <c r="K1512" t="s">
        <v>4248</v>
      </c>
      <c r="L1512" t="s">
        <v>128</v>
      </c>
      <c r="M1512" t="s">
        <v>1325</v>
      </c>
      <c r="N1512" t="s">
        <v>8637</v>
      </c>
      <c r="O1512" t="s">
        <v>5977</v>
      </c>
      <c r="P1512">
        <v>0</v>
      </c>
      <c r="Q1512" t="s">
        <v>125</v>
      </c>
      <c r="R1512">
        <v>2</v>
      </c>
      <c r="S1512">
        <v>91</v>
      </c>
      <c r="T1512" t="s">
        <v>132</v>
      </c>
      <c r="U1512" t="s">
        <v>133</v>
      </c>
      <c r="V1512" s="1">
        <v>1000</v>
      </c>
      <c r="W1512">
        <v>0</v>
      </c>
      <c r="X1512" s="1">
        <v>1000</v>
      </c>
      <c r="Y1512">
        <v>7</v>
      </c>
      <c r="Z1512">
        <v>0</v>
      </c>
      <c r="AA1512">
        <v>0</v>
      </c>
      <c r="AB1512">
        <v>0</v>
      </c>
      <c r="AC1512">
        <v>0</v>
      </c>
      <c r="AD1512" t="s">
        <v>134</v>
      </c>
      <c r="AE1512" t="s">
        <v>134</v>
      </c>
      <c r="AF1512" s="2">
        <v>45940</v>
      </c>
      <c r="AG1512" t="s">
        <v>135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 t="s">
        <v>135</v>
      </c>
      <c r="AO1512" t="s">
        <v>135</v>
      </c>
      <c r="AP1512" t="s">
        <v>136</v>
      </c>
      <c r="AQ1512" t="s">
        <v>137</v>
      </c>
      <c r="AR1512" t="s">
        <v>138</v>
      </c>
      <c r="AS1512" t="s">
        <v>139</v>
      </c>
      <c r="AT1512" t="s">
        <v>140</v>
      </c>
      <c r="AU1512">
        <v>104</v>
      </c>
      <c r="AV1512">
        <v>10</v>
      </c>
      <c r="AW1512">
        <v>1</v>
      </c>
      <c r="AX1512" s="2">
        <v>45944</v>
      </c>
      <c r="AY1512" t="s">
        <v>377</v>
      </c>
      <c r="AZ1512" s="2">
        <v>46028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 t="s">
        <v>135</v>
      </c>
      <c r="BH1512" t="s">
        <v>250</v>
      </c>
      <c r="BI1512" t="s">
        <v>135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 t="s">
        <v>161</v>
      </c>
    </row>
    <row r="1513" spans="1:81" x14ac:dyDescent="0.25">
      <c r="A1513">
        <v>345</v>
      </c>
      <c r="B1513">
        <v>2</v>
      </c>
      <c r="C1513">
        <v>3839</v>
      </c>
      <c r="D1513" t="s">
        <v>8638</v>
      </c>
      <c r="E1513" t="s">
        <v>121</v>
      </c>
      <c r="F1513" t="s">
        <v>8639</v>
      </c>
      <c r="G1513" t="s">
        <v>8640</v>
      </c>
      <c r="H1513" t="s">
        <v>8641</v>
      </c>
      <c r="I1513" t="s">
        <v>8642</v>
      </c>
      <c r="J1513" t="s">
        <v>1622</v>
      </c>
      <c r="K1513" t="s">
        <v>336</v>
      </c>
      <c r="L1513" t="s">
        <v>128</v>
      </c>
      <c r="M1513" t="s">
        <v>337</v>
      </c>
      <c r="N1513" t="s">
        <v>8643</v>
      </c>
      <c r="O1513" t="s">
        <v>167</v>
      </c>
      <c r="P1513">
        <v>0</v>
      </c>
      <c r="Q1513" t="s">
        <v>125</v>
      </c>
      <c r="R1513">
        <v>3</v>
      </c>
      <c r="S1513">
        <v>83</v>
      </c>
      <c r="T1513" t="s">
        <v>132</v>
      </c>
      <c r="U1513" t="s">
        <v>133</v>
      </c>
      <c r="V1513" s="1">
        <v>1000</v>
      </c>
      <c r="W1513">
        <v>533.32000000000005</v>
      </c>
      <c r="X1513">
        <v>466.68</v>
      </c>
      <c r="Y1513">
        <v>7</v>
      </c>
      <c r="Z1513">
        <v>0</v>
      </c>
      <c r="AA1513">
        <v>7</v>
      </c>
      <c r="AB1513">
        <v>3</v>
      </c>
      <c r="AC1513">
        <v>67</v>
      </c>
      <c r="AD1513" t="s">
        <v>134</v>
      </c>
      <c r="AE1513" t="s">
        <v>134</v>
      </c>
      <c r="AF1513" s="2">
        <v>45943</v>
      </c>
      <c r="AG1513" s="2">
        <v>46015</v>
      </c>
      <c r="AH1513">
        <v>418.84</v>
      </c>
      <c r="AI1513">
        <v>533.32000000000005</v>
      </c>
      <c r="AJ1513" s="1">
        <v>1256.53</v>
      </c>
      <c r="AK1513">
        <v>0</v>
      </c>
      <c r="AL1513">
        <v>533.32000000000005</v>
      </c>
      <c r="AM1513">
        <v>0</v>
      </c>
      <c r="AN1513" t="s">
        <v>135</v>
      </c>
      <c r="AO1513" t="s">
        <v>135</v>
      </c>
      <c r="AP1513" t="s">
        <v>136</v>
      </c>
      <c r="AQ1513" t="s">
        <v>137</v>
      </c>
      <c r="AR1513" t="s">
        <v>138</v>
      </c>
      <c r="AS1513" t="s">
        <v>150</v>
      </c>
      <c r="AT1513" t="s">
        <v>140</v>
      </c>
      <c r="AU1513">
        <v>101</v>
      </c>
      <c r="AV1513">
        <v>10</v>
      </c>
      <c r="AW1513">
        <v>1</v>
      </c>
      <c r="AX1513" s="2">
        <v>45944</v>
      </c>
      <c r="AY1513" t="s">
        <v>377</v>
      </c>
      <c r="AZ1513" s="2">
        <v>46028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 t="s">
        <v>135</v>
      </c>
      <c r="BH1513" t="s">
        <v>250</v>
      </c>
      <c r="BI1513" t="s">
        <v>135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6.92</v>
      </c>
      <c r="BT1513">
        <v>6.92</v>
      </c>
      <c r="BU1513" s="1">
        <v>1256.53</v>
      </c>
      <c r="BV1513">
        <v>0</v>
      </c>
      <c r="BW1513" s="1">
        <v>1256.53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 t="s">
        <v>161</v>
      </c>
    </row>
    <row r="1514" spans="1:81" x14ac:dyDescent="0.25">
      <c r="A1514">
        <v>345</v>
      </c>
      <c r="B1514">
        <v>2</v>
      </c>
      <c r="C1514">
        <v>3840</v>
      </c>
      <c r="D1514" t="s">
        <v>8644</v>
      </c>
      <c r="E1514" t="s">
        <v>121</v>
      </c>
      <c r="F1514" t="s">
        <v>8645</v>
      </c>
      <c r="G1514" t="s">
        <v>8646</v>
      </c>
      <c r="H1514" t="s">
        <v>8647</v>
      </c>
      <c r="I1514" t="s">
        <v>8648</v>
      </c>
      <c r="J1514" t="s">
        <v>126</v>
      </c>
      <c r="K1514" t="s">
        <v>466</v>
      </c>
      <c r="L1514" t="s">
        <v>128</v>
      </c>
      <c r="M1514" t="s">
        <v>467</v>
      </c>
      <c r="N1514" t="s">
        <v>8649</v>
      </c>
      <c r="O1514" t="s">
        <v>159</v>
      </c>
      <c r="P1514">
        <v>0</v>
      </c>
      <c r="Q1514" t="s">
        <v>125</v>
      </c>
      <c r="R1514">
        <v>4</v>
      </c>
      <c r="S1514">
        <v>79</v>
      </c>
      <c r="T1514" t="s">
        <v>132</v>
      </c>
      <c r="U1514" t="s">
        <v>133</v>
      </c>
      <c r="V1514" s="1">
        <v>1700</v>
      </c>
      <c r="W1514">
        <v>0</v>
      </c>
      <c r="X1514" s="1">
        <v>1700</v>
      </c>
      <c r="Y1514">
        <v>7</v>
      </c>
      <c r="Z1514">
        <v>0</v>
      </c>
      <c r="AA1514">
        <v>0</v>
      </c>
      <c r="AB1514">
        <v>0</v>
      </c>
      <c r="AC1514">
        <v>0</v>
      </c>
      <c r="AD1514" t="s">
        <v>234</v>
      </c>
      <c r="AE1514" t="s">
        <v>134</v>
      </c>
      <c r="AF1514" s="2">
        <v>45944</v>
      </c>
      <c r="AG1514" s="2">
        <v>45981</v>
      </c>
      <c r="AH1514">
        <v>821.87</v>
      </c>
      <c r="AI1514">
        <v>821.87</v>
      </c>
      <c r="AJ1514">
        <v>821.87</v>
      </c>
      <c r="AK1514">
        <v>0</v>
      </c>
      <c r="AL1514">
        <v>0</v>
      </c>
      <c r="AM1514">
        <v>0</v>
      </c>
      <c r="AN1514" t="s">
        <v>135</v>
      </c>
      <c r="AO1514" t="s">
        <v>135</v>
      </c>
      <c r="AP1514" t="s">
        <v>136</v>
      </c>
      <c r="AQ1514" t="s">
        <v>137</v>
      </c>
      <c r="AR1514" t="s">
        <v>138</v>
      </c>
      <c r="AS1514" t="s">
        <v>150</v>
      </c>
      <c r="AT1514" t="s">
        <v>140</v>
      </c>
      <c r="AU1514">
        <v>501</v>
      </c>
      <c r="AV1514">
        <v>10</v>
      </c>
      <c r="AW1514">
        <v>1</v>
      </c>
      <c r="AX1514" s="2">
        <v>45945</v>
      </c>
      <c r="AY1514" t="s">
        <v>168</v>
      </c>
      <c r="AZ1514" s="2">
        <v>46022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 t="s">
        <v>135</v>
      </c>
      <c r="BH1514" t="s">
        <v>250</v>
      </c>
      <c r="BI1514" t="s">
        <v>135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821.87</v>
      </c>
      <c r="BQ1514">
        <v>821.87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273.95</v>
      </c>
      <c r="CC1514" t="s">
        <v>161</v>
      </c>
    </row>
    <row r="1515" spans="1:81" x14ac:dyDescent="0.25">
      <c r="A1515">
        <v>345</v>
      </c>
      <c r="B1515">
        <v>2</v>
      </c>
      <c r="C1515">
        <v>3841</v>
      </c>
      <c r="D1515" t="s">
        <v>8650</v>
      </c>
      <c r="E1515" t="s">
        <v>121</v>
      </c>
      <c r="F1515" t="s">
        <v>8651</v>
      </c>
      <c r="G1515" t="s">
        <v>8652</v>
      </c>
      <c r="H1515" t="s">
        <v>8653</v>
      </c>
      <c r="I1515" t="s">
        <v>8654</v>
      </c>
      <c r="J1515" t="s">
        <v>1263</v>
      </c>
      <c r="K1515" t="s">
        <v>466</v>
      </c>
      <c r="L1515" t="s">
        <v>128</v>
      </c>
      <c r="M1515" t="s">
        <v>467</v>
      </c>
      <c r="N1515" t="s">
        <v>8655</v>
      </c>
      <c r="O1515" t="s">
        <v>159</v>
      </c>
      <c r="P1515">
        <v>0</v>
      </c>
      <c r="Q1515" t="s">
        <v>125</v>
      </c>
      <c r="R1515">
        <v>4</v>
      </c>
      <c r="S1515">
        <v>80</v>
      </c>
      <c r="T1515" t="s">
        <v>132</v>
      </c>
      <c r="U1515" t="s">
        <v>133</v>
      </c>
      <c r="V1515" s="1">
        <v>55000</v>
      </c>
      <c r="W1515" s="1">
        <v>54384.15</v>
      </c>
      <c r="X1515">
        <v>615.85</v>
      </c>
      <c r="Y1515">
        <v>14</v>
      </c>
      <c r="Z1515">
        <v>0</v>
      </c>
      <c r="AA1515">
        <v>14</v>
      </c>
      <c r="AB1515">
        <v>0</v>
      </c>
      <c r="AC1515">
        <v>0</v>
      </c>
      <c r="AD1515" t="s">
        <v>134</v>
      </c>
      <c r="AE1515" t="s">
        <v>234</v>
      </c>
      <c r="AF1515" s="2">
        <v>45945</v>
      </c>
      <c r="AG1515" s="2">
        <v>46015</v>
      </c>
      <c r="AH1515" s="1">
        <v>13751.65</v>
      </c>
      <c r="AI1515" s="1">
        <v>78393.210000000006</v>
      </c>
      <c r="AJ1515" s="1">
        <v>137516.53</v>
      </c>
      <c r="AK1515">
        <v>0</v>
      </c>
      <c r="AL1515" s="1">
        <v>63612.15</v>
      </c>
      <c r="AM1515">
        <v>0</v>
      </c>
      <c r="AN1515" t="s">
        <v>135</v>
      </c>
      <c r="AO1515" t="s">
        <v>135</v>
      </c>
      <c r="AP1515" t="s">
        <v>136</v>
      </c>
      <c r="AQ1515" t="s">
        <v>137</v>
      </c>
      <c r="AR1515" t="s">
        <v>138</v>
      </c>
      <c r="AS1515" t="s">
        <v>150</v>
      </c>
      <c r="AT1515" t="s">
        <v>140</v>
      </c>
      <c r="AU1515">
        <v>500</v>
      </c>
      <c r="AV1515">
        <v>10</v>
      </c>
      <c r="AW1515">
        <v>1</v>
      </c>
      <c r="AX1515" s="2">
        <v>45951</v>
      </c>
      <c r="AY1515" t="s">
        <v>377</v>
      </c>
      <c r="AZ1515" s="2">
        <v>46028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 t="s">
        <v>135</v>
      </c>
      <c r="BH1515" t="s">
        <v>250</v>
      </c>
      <c r="BI1515" t="s">
        <v>135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 s="1">
        <v>20008.419999999998</v>
      </c>
      <c r="BQ1515" s="1">
        <v>20008.419999999998</v>
      </c>
      <c r="BR1515">
        <v>0</v>
      </c>
      <c r="BS1515">
        <v>12.73</v>
      </c>
      <c r="BT1515">
        <v>7.57</v>
      </c>
      <c r="BU1515" s="1">
        <v>66406.259999999995</v>
      </c>
      <c r="BV1515" s="1">
        <v>45340.85</v>
      </c>
      <c r="BW1515" s="1">
        <v>111747.11</v>
      </c>
      <c r="BX1515" s="1">
        <v>54384.15</v>
      </c>
      <c r="BY1515">
        <v>81.900000000000006</v>
      </c>
      <c r="BZ1515">
        <v>0</v>
      </c>
      <c r="CA1515">
        <v>0</v>
      </c>
      <c r="CB1515" s="1">
        <v>8589.7999999999993</v>
      </c>
      <c r="CC1515" t="s">
        <v>161</v>
      </c>
    </row>
    <row r="1516" spans="1:81" x14ac:dyDescent="0.25">
      <c r="A1516">
        <v>345</v>
      </c>
      <c r="B1516">
        <v>2</v>
      </c>
      <c r="C1516">
        <v>3842</v>
      </c>
      <c r="D1516" t="s">
        <v>8656</v>
      </c>
      <c r="E1516" t="s">
        <v>121</v>
      </c>
      <c r="F1516" t="s">
        <v>8657</v>
      </c>
      <c r="G1516" t="s">
        <v>8658</v>
      </c>
      <c r="H1516" t="s">
        <v>3410</v>
      </c>
      <c r="I1516" t="s">
        <v>8659</v>
      </c>
      <c r="J1516" t="s">
        <v>126</v>
      </c>
      <c r="K1516" t="s">
        <v>1853</v>
      </c>
      <c r="L1516" t="s">
        <v>128</v>
      </c>
      <c r="M1516" t="s">
        <v>1854</v>
      </c>
      <c r="N1516" t="s">
        <v>8660</v>
      </c>
      <c r="O1516" t="s">
        <v>296</v>
      </c>
      <c r="P1516">
        <v>0</v>
      </c>
      <c r="Q1516" t="s">
        <v>125</v>
      </c>
      <c r="R1516">
        <v>3</v>
      </c>
      <c r="S1516">
        <v>83</v>
      </c>
      <c r="T1516" t="s">
        <v>132</v>
      </c>
      <c r="U1516" t="s">
        <v>133</v>
      </c>
      <c r="V1516" s="1">
        <v>1700</v>
      </c>
      <c r="W1516">
        <v>0</v>
      </c>
      <c r="X1516" s="1">
        <v>1700</v>
      </c>
      <c r="Y1516">
        <v>7</v>
      </c>
      <c r="Z1516">
        <v>0</v>
      </c>
      <c r="AA1516">
        <v>7</v>
      </c>
      <c r="AB1516">
        <v>0</v>
      </c>
      <c r="AC1516">
        <v>0</v>
      </c>
      <c r="AD1516" t="s">
        <v>134</v>
      </c>
      <c r="AE1516" t="s">
        <v>134</v>
      </c>
      <c r="AF1516" s="2">
        <v>45945</v>
      </c>
      <c r="AG1516" s="2">
        <v>46015</v>
      </c>
      <c r="AH1516">
        <v>838.19</v>
      </c>
      <c r="AI1516" s="1">
        <v>1291.57</v>
      </c>
      <c r="AJ1516" s="1">
        <v>8381.9</v>
      </c>
      <c r="AK1516">
        <v>0</v>
      </c>
      <c r="AL1516">
        <v>0</v>
      </c>
      <c r="AM1516">
        <v>0</v>
      </c>
      <c r="AN1516" t="s">
        <v>135</v>
      </c>
      <c r="AO1516" t="s">
        <v>135</v>
      </c>
      <c r="AP1516" t="s">
        <v>136</v>
      </c>
      <c r="AQ1516" t="s">
        <v>137</v>
      </c>
      <c r="AR1516" t="s">
        <v>138</v>
      </c>
      <c r="AS1516" t="s">
        <v>150</v>
      </c>
      <c r="AT1516" t="s">
        <v>140</v>
      </c>
      <c r="AU1516">
        <v>106</v>
      </c>
      <c r="AV1516">
        <v>10</v>
      </c>
      <c r="AW1516">
        <v>1</v>
      </c>
      <c r="AX1516" s="2">
        <v>45951</v>
      </c>
      <c r="AY1516" t="s">
        <v>377</v>
      </c>
      <c r="AZ1516" s="2">
        <v>46028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 t="s">
        <v>135</v>
      </c>
      <c r="BH1516" t="s">
        <v>250</v>
      </c>
      <c r="BI1516" t="s">
        <v>135</v>
      </c>
      <c r="BJ1516">
        <v>0</v>
      </c>
      <c r="BK1516">
        <v>0</v>
      </c>
      <c r="BL1516">
        <v>0</v>
      </c>
      <c r="BM1516">
        <v>7</v>
      </c>
      <c r="BN1516">
        <v>5.6</v>
      </c>
      <c r="BO1516" s="1">
        <v>2956.76</v>
      </c>
      <c r="BP1516">
        <v>739.64</v>
      </c>
      <c r="BQ1516" s="1">
        <v>3696.4</v>
      </c>
      <c r="BR1516">
        <v>632.16999999999996</v>
      </c>
      <c r="BS1516">
        <v>7</v>
      </c>
      <c r="BT1516">
        <v>6.7</v>
      </c>
      <c r="BU1516" s="1">
        <v>3332.11</v>
      </c>
      <c r="BV1516">
        <v>149.69999999999999</v>
      </c>
      <c r="BW1516" s="1">
        <v>3481.81</v>
      </c>
      <c r="BX1516">
        <v>0</v>
      </c>
      <c r="BY1516">
        <v>0</v>
      </c>
      <c r="BZ1516">
        <v>0</v>
      </c>
      <c r="CA1516">
        <v>0</v>
      </c>
      <c r="CB1516" s="1">
        <v>1633.36</v>
      </c>
      <c r="CC1516" t="s">
        <v>161</v>
      </c>
    </row>
    <row r="1517" spans="1:81" x14ac:dyDescent="0.25">
      <c r="A1517">
        <v>345</v>
      </c>
      <c r="B1517">
        <v>2</v>
      </c>
      <c r="C1517">
        <v>3843</v>
      </c>
      <c r="D1517" t="s">
        <v>8661</v>
      </c>
      <c r="E1517" t="s">
        <v>121</v>
      </c>
      <c r="F1517" t="s">
        <v>8662</v>
      </c>
      <c r="G1517" t="s">
        <v>8663</v>
      </c>
      <c r="H1517" t="s">
        <v>8491</v>
      </c>
      <c r="I1517" t="s">
        <v>8664</v>
      </c>
      <c r="J1517" t="s">
        <v>4591</v>
      </c>
      <c r="K1517" t="s">
        <v>4248</v>
      </c>
      <c r="L1517" t="s">
        <v>128</v>
      </c>
      <c r="M1517" t="s">
        <v>1325</v>
      </c>
      <c r="N1517" t="s">
        <v>8665</v>
      </c>
      <c r="O1517" t="s">
        <v>167</v>
      </c>
      <c r="P1517">
        <v>0</v>
      </c>
      <c r="Q1517" t="s">
        <v>125</v>
      </c>
      <c r="R1517">
        <v>3</v>
      </c>
      <c r="S1517">
        <v>83</v>
      </c>
      <c r="T1517" t="s">
        <v>132</v>
      </c>
      <c r="U1517" t="s">
        <v>133</v>
      </c>
      <c r="V1517" s="1">
        <v>1000</v>
      </c>
      <c r="W1517">
        <v>0</v>
      </c>
      <c r="X1517" s="1">
        <v>1000</v>
      </c>
      <c r="Y1517">
        <v>7</v>
      </c>
      <c r="Z1517">
        <v>0</v>
      </c>
      <c r="AA1517">
        <v>0</v>
      </c>
      <c r="AB1517">
        <v>0</v>
      </c>
      <c r="AC1517">
        <v>0</v>
      </c>
      <c r="AD1517" t="s">
        <v>134</v>
      </c>
      <c r="AE1517" t="s">
        <v>134</v>
      </c>
      <c r="AF1517" s="2">
        <v>45946</v>
      </c>
      <c r="AG1517" t="s">
        <v>135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 t="s">
        <v>135</v>
      </c>
      <c r="AO1517" t="s">
        <v>135</v>
      </c>
      <c r="AP1517" t="s">
        <v>136</v>
      </c>
      <c r="AQ1517" t="s">
        <v>137</v>
      </c>
      <c r="AR1517" t="s">
        <v>138</v>
      </c>
      <c r="AS1517" t="s">
        <v>150</v>
      </c>
      <c r="AT1517" t="s">
        <v>140</v>
      </c>
      <c r="AU1517">
        <v>104</v>
      </c>
      <c r="AV1517">
        <v>10</v>
      </c>
      <c r="AW1517">
        <v>1</v>
      </c>
      <c r="AX1517" s="2">
        <v>45946</v>
      </c>
      <c r="AY1517" t="s">
        <v>308</v>
      </c>
      <c r="AZ1517" s="2">
        <v>46023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 t="s">
        <v>135</v>
      </c>
      <c r="BH1517" t="s">
        <v>250</v>
      </c>
      <c r="BI1517" t="s">
        <v>135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 t="s">
        <v>161</v>
      </c>
    </row>
    <row r="1518" spans="1:81" x14ac:dyDescent="0.25">
      <c r="A1518">
        <v>345</v>
      </c>
      <c r="B1518">
        <v>2</v>
      </c>
      <c r="C1518">
        <v>3844</v>
      </c>
      <c r="D1518" t="s">
        <v>8666</v>
      </c>
      <c r="E1518" t="s">
        <v>121</v>
      </c>
      <c r="F1518" t="s">
        <v>8667</v>
      </c>
      <c r="G1518" t="s">
        <v>8668</v>
      </c>
      <c r="H1518" t="s">
        <v>8669</v>
      </c>
      <c r="I1518" t="s">
        <v>8670</v>
      </c>
      <c r="J1518" t="s">
        <v>4271</v>
      </c>
      <c r="K1518" t="s">
        <v>127</v>
      </c>
      <c r="L1518" t="s">
        <v>128</v>
      </c>
      <c r="M1518" t="s">
        <v>129</v>
      </c>
      <c r="N1518" t="s">
        <v>8671</v>
      </c>
      <c r="O1518" t="s">
        <v>167</v>
      </c>
      <c r="P1518">
        <v>0</v>
      </c>
      <c r="Q1518" t="s">
        <v>125</v>
      </c>
      <c r="R1518">
        <v>3</v>
      </c>
      <c r="S1518">
        <v>83</v>
      </c>
      <c r="T1518" t="s">
        <v>132</v>
      </c>
      <c r="U1518" t="s">
        <v>133</v>
      </c>
      <c r="V1518" s="1">
        <v>1800</v>
      </c>
      <c r="W1518">
        <v>0</v>
      </c>
      <c r="X1518" s="1">
        <v>1800</v>
      </c>
      <c r="Y1518">
        <v>7</v>
      </c>
      <c r="Z1518">
        <v>0</v>
      </c>
      <c r="AA1518">
        <v>0</v>
      </c>
      <c r="AB1518">
        <v>0</v>
      </c>
      <c r="AC1518">
        <v>0</v>
      </c>
      <c r="AD1518" t="s">
        <v>134</v>
      </c>
      <c r="AE1518" t="s">
        <v>134</v>
      </c>
      <c r="AF1518" s="2">
        <v>45947</v>
      </c>
      <c r="AG1518" s="2">
        <v>45995</v>
      </c>
      <c r="AH1518">
        <v>182.38</v>
      </c>
      <c r="AI1518">
        <v>433.16</v>
      </c>
      <c r="AJ1518">
        <v>547.16</v>
      </c>
      <c r="AK1518">
        <v>0</v>
      </c>
      <c r="AL1518">
        <v>0</v>
      </c>
      <c r="AM1518">
        <v>0</v>
      </c>
      <c r="AN1518" t="s">
        <v>135</v>
      </c>
      <c r="AO1518" t="s">
        <v>135</v>
      </c>
      <c r="AP1518" t="s">
        <v>136</v>
      </c>
      <c r="AQ1518" t="s">
        <v>137</v>
      </c>
      <c r="AR1518" t="s">
        <v>138</v>
      </c>
      <c r="AS1518" t="s">
        <v>139</v>
      </c>
      <c r="AT1518" t="s">
        <v>140</v>
      </c>
      <c r="AU1518">
        <v>102</v>
      </c>
      <c r="AV1518">
        <v>10</v>
      </c>
      <c r="AW1518">
        <v>1</v>
      </c>
      <c r="AX1518" s="2">
        <v>45952</v>
      </c>
      <c r="AY1518" t="s">
        <v>168</v>
      </c>
      <c r="AZ1518" s="2">
        <v>46022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 t="s">
        <v>135</v>
      </c>
      <c r="BH1518" t="s">
        <v>250</v>
      </c>
      <c r="BI1518" t="s">
        <v>135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17.28</v>
      </c>
      <c r="BQ1518">
        <v>17.28</v>
      </c>
      <c r="BR1518">
        <v>0</v>
      </c>
      <c r="BS1518">
        <v>0</v>
      </c>
      <c r="BT1518">
        <v>0</v>
      </c>
      <c r="BU1518">
        <v>0</v>
      </c>
      <c r="BV1518">
        <v>433.16</v>
      </c>
      <c r="BW1518">
        <v>433.16</v>
      </c>
      <c r="BX1518">
        <v>0</v>
      </c>
      <c r="BY1518">
        <v>0</v>
      </c>
      <c r="BZ1518">
        <v>0</v>
      </c>
      <c r="CA1518">
        <v>0</v>
      </c>
      <c r="CB1518">
        <v>38</v>
      </c>
      <c r="CC1518" t="s">
        <v>161</v>
      </c>
    </row>
    <row r="1519" spans="1:81" x14ac:dyDescent="0.25">
      <c r="A1519">
        <v>345</v>
      </c>
      <c r="B1519">
        <v>2</v>
      </c>
      <c r="C1519">
        <v>3845</v>
      </c>
      <c r="D1519" t="s">
        <v>8672</v>
      </c>
      <c r="E1519" t="s">
        <v>121</v>
      </c>
      <c r="F1519" t="s">
        <v>8673</v>
      </c>
      <c r="G1519" t="s">
        <v>8674</v>
      </c>
      <c r="H1519" t="s">
        <v>8675</v>
      </c>
      <c r="I1519" t="s">
        <v>8676</v>
      </c>
      <c r="J1519" t="s">
        <v>3107</v>
      </c>
      <c r="K1519" t="s">
        <v>336</v>
      </c>
      <c r="L1519" t="s">
        <v>128</v>
      </c>
      <c r="M1519" t="s">
        <v>337</v>
      </c>
      <c r="N1519" t="s">
        <v>8677</v>
      </c>
      <c r="O1519" t="s">
        <v>201</v>
      </c>
      <c r="P1519">
        <v>0</v>
      </c>
      <c r="Q1519" t="s">
        <v>125</v>
      </c>
      <c r="R1519">
        <v>3</v>
      </c>
      <c r="S1519">
        <v>84</v>
      </c>
      <c r="T1519" t="s">
        <v>132</v>
      </c>
      <c r="U1519" t="s">
        <v>133</v>
      </c>
      <c r="V1519" s="1">
        <v>1000</v>
      </c>
      <c r="W1519">
        <v>0</v>
      </c>
      <c r="X1519" s="1">
        <v>1000</v>
      </c>
      <c r="Y1519">
        <v>7</v>
      </c>
      <c r="Z1519">
        <v>0</v>
      </c>
      <c r="AA1519">
        <v>2</v>
      </c>
      <c r="AB1519">
        <v>3</v>
      </c>
      <c r="AC1519">
        <v>50</v>
      </c>
      <c r="AD1519" t="s">
        <v>134</v>
      </c>
      <c r="AE1519" t="s">
        <v>134</v>
      </c>
      <c r="AF1519" s="2">
        <v>45947</v>
      </c>
      <c r="AG1519" s="2">
        <v>46014</v>
      </c>
      <c r="AH1519">
        <v>416.25</v>
      </c>
      <c r="AI1519">
        <v>597.22</v>
      </c>
      <c r="AJ1519">
        <v>832.51</v>
      </c>
      <c r="AK1519">
        <v>0</v>
      </c>
      <c r="AL1519">
        <v>0</v>
      </c>
      <c r="AM1519">
        <v>0</v>
      </c>
      <c r="AN1519" t="s">
        <v>135</v>
      </c>
      <c r="AO1519" t="s">
        <v>135</v>
      </c>
      <c r="AP1519" t="s">
        <v>136</v>
      </c>
      <c r="AQ1519" t="s">
        <v>137</v>
      </c>
      <c r="AR1519" t="s">
        <v>138</v>
      </c>
      <c r="AS1519" t="s">
        <v>139</v>
      </c>
      <c r="AT1519" t="s">
        <v>140</v>
      </c>
      <c r="AU1519">
        <v>100</v>
      </c>
      <c r="AV1519">
        <v>10</v>
      </c>
      <c r="AW1519">
        <v>1</v>
      </c>
      <c r="AX1519" s="2">
        <v>45950</v>
      </c>
      <c r="AY1519" t="s">
        <v>141</v>
      </c>
      <c r="AZ1519" s="2">
        <v>46027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 t="s">
        <v>135</v>
      </c>
      <c r="BH1519" t="s">
        <v>250</v>
      </c>
      <c r="BI1519" t="s">
        <v>135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2</v>
      </c>
      <c r="BT1519">
        <v>1.43</v>
      </c>
      <c r="BU1519">
        <v>597.22</v>
      </c>
      <c r="BV1519">
        <v>235.29</v>
      </c>
      <c r="BW1519">
        <v>832.51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 t="s">
        <v>161</v>
      </c>
    </row>
    <row r="1520" spans="1:81" x14ac:dyDescent="0.25">
      <c r="A1520">
        <v>345</v>
      </c>
      <c r="B1520">
        <v>2</v>
      </c>
      <c r="C1520">
        <v>3846</v>
      </c>
      <c r="D1520" t="s">
        <v>8678</v>
      </c>
      <c r="E1520" t="s">
        <v>121</v>
      </c>
      <c r="F1520" t="s">
        <v>8679</v>
      </c>
      <c r="G1520" t="s">
        <v>8680</v>
      </c>
      <c r="H1520" t="s">
        <v>8681</v>
      </c>
      <c r="I1520" t="s">
        <v>8682</v>
      </c>
      <c r="J1520" t="s">
        <v>3080</v>
      </c>
      <c r="K1520" t="s">
        <v>336</v>
      </c>
      <c r="L1520" t="s">
        <v>128</v>
      </c>
      <c r="M1520" t="s">
        <v>337</v>
      </c>
      <c r="N1520" t="s">
        <v>8683</v>
      </c>
      <c r="O1520" t="s">
        <v>201</v>
      </c>
      <c r="P1520">
        <v>0</v>
      </c>
      <c r="Q1520" t="s">
        <v>125</v>
      </c>
      <c r="R1520">
        <v>3</v>
      </c>
      <c r="S1520">
        <v>84</v>
      </c>
      <c r="T1520" t="s">
        <v>132</v>
      </c>
      <c r="U1520" t="s">
        <v>133</v>
      </c>
      <c r="V1520" s="1">
        <v>1200</v>
      </c>
      <c r="W1520">
        <v>121.15</v>
      </c>
      <c r="X1520" s="1">
        <v>1078.8499999999999</v>
      </c>
      <c r="Y1520">
        <v>7</v>
      </c>
      <c r="Z1520">
        <v>0</v>
      </c>
      <c r="AA1520">
        <v>7</v>
      </c>
      <c r="AB1520">
        <v>0</v>
      </c>
      <c r="AC1520">
        <v>0</v>
      </c>
      <c r="AD1520" t="s">
        <v>134</v>
      </c>
      <c r="AE1520" t="s">
        <v>134</v>
      </c>
      <c r="AF1520" s="2">
        <v>45947</v>
      </c>
      <c r="AG1520" s="2">
        <v>46017</v>
      </c>
      <c r="AH1520">
        <v>335.37</v>
      </c>
      <c r="AI1520">
        <v>581.87</v>
      </c>
      <c r="AJ1520" s="1">
        <v>1676.89</v>
      </c>
      <c r="AK1520">
        <v>0</v>
      </c>
      <c r="AL1520">
        <v>121.15</v>
      </c>
      <c r="AM1520">
        <v>296.89999999999998</v>
      </c>
      <c r="AN1520" t="s">
        <v>135</v>
      </c>
      <c r="AO1520" t="s">
        <v>135</v>
      </c>
      <c r="AP1520" t="s">
        <v>136</v>
      </c>
      <c r="AQ1520" t="s">
        <v>137</v>
      </c>
      <c r="AR1520" t="s">
        <v>138</v>
      </c>
      <c r="AS1520" t="s">
        <v>139</v>
      </c>
      <c r="AT1520" t="s">
        <v>140</v>
      </c>
      <c r="AU1520">
        <v>100</v>
      </c>
      <c r="AV1520">
        <v>10</v>
      </c>
      <c r="AW1520">
        <v>1</v>
      </c>
      <c r="AX1520" s="2">
        <v>45951</v>
      </c>
      <c r="AY1520" t="s">
        <v>377</v>
      </c>
      <c r="AZ1520" s="2">
        <v>46028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 t="s">
        <v>135</v>
      </c>
      <c r="BH1520" t="s">
        <v>250</v>
      </c>
      <c r="BI1520" t="s">
        <v>135</v>
      </c>
      <c r="BJ1520">
        <v>0</v>
      </c>
      <c r="BK1520">
        <v>0</v>
      </c>
      <c r="BL1520">
        <v>0</v>
      </c>
      <c r="BM1520">
        <v>7</v>
      </c>
      <c r="BN1520">
        <v>5.08</v>
      </c>
      <c r="BO1520">
        <v>359.7</v>
      </c>
      <c r="BP1520">
        <v>136.12</v>
      </c>
      <c r="BQ1520">
        <v>495.82</v>
      </c>
      <c r="BR1520">
        <v>359.7</v>
      </c>
      <c r="BS1520">
        <v>7</v>
      </c>
      <c r="BT1520">
        <v>7</v>
      </c>
      <c r="BU1520">
        <v>599.20000000000005</v>
      </c>
      <c r="BV1520">
        <v>0</v>
      </c>
      <c r="BW1520">
        <v>599.20000000000005</v>
      </c>
      <c r="BX1520">
        <v>121.15</v>
      </c>
      <c r="BY1520">
        <v>20.22</v>
      </c>
      <c r="BZ1520">
        <v>0</v>
      </c>
      <c r="CA1520">
        <v>0</v>
      </c>
      <c r="CB1520">
        <v>359.23</v>
      </c>
      <c r="CC1520" t="s">
        <v>161</v>
      </c>
    </row>
    <row r="1521" spans="1:81" x14ac:dyDescent="0.25">
      <c r="A1521">
        <v>345</v>
      </c>
      <c r="B1521">
        <v>2</v>
      </c>
      <c r="C1521">
        <v>3847</v>
      </c>
      <c r="D1521" t="s">
        <v>8684</v>
      </c>
      <c r="E1521" t="s">
        <v>121</v>
      </c>
      <c r="F1521" t="s">
        <v>8685</v>
      </c>
      <c r="G1521" t="s">
        <v>8686</v>
      </c>
      <c r="H1521" t="s">
        <v>8687</v>
      </c>
      <c r="I1521" t="s">
        <v>8688</v>
      </c>
      <c r="J1521" t="s">
        <v>126</v>
      </c>
      <c r="K1521" t="s">
        <v>466</v>
      </c>
      <c r="L1521" t="s">
        <v>128</v>
      </c>
      <c r="M1521" t="s">
        <v>467</v>
      </c>
      <c r="N1521" t="s">
        <v>8689</v>
      </c>
      <c r="O1521" t="s">
        <v>8690</v>
      </c>
      <c r="P1521">
        <v>0</v>
      </c>
      <c r="Q1521" t="s">
        <v>125</v>
      </c>
      <c r="R1521">
        <v>3</v>
      </c>
      <c r="S1521">
        <v>83</v>
      </c>
      <c r="T1521" t="s">
        <v>132</v>
      </c>
      <c r="U1521" t="s">
        <v>133</v>
      </c>
      <c r="V1521" s="1">
        <v>1000</v>
      </c>
      <c r="W1521">
        <v>0</v>
      </c>
      <c r="X1521" s="1">
        <v>1000</v>
      </c>
      <c r="Y1521">
        <v>7</v>
      </c>
      <c r="Z1521">
        <v>0</v>
      </c>
      <c r="AA1521">
        <v>9</v>
      </c>
      <c r="AB1521">
        <v>0</v>
      </c>
      <c r="AC1521">
        <v>0</v>
      </c>
      <c r="AD1521" t="s">
        <v>134</v>
      </c>
      <c r="AE1521" t="s">
        <v>134</v>
      </c>
      <c r="AF1521" s="2">
        <v>45950</v>
      </c>
      <c r="AG1521" s="2">
        <v>46004</v>
      </c>
      <c r="AH1521">
        <v>117.4</v>
      </c>
      <c r="AI1521">
        <v>229.55</v>
      </c>
      <c r="AJ1521">
        <v>352.2</v>
      </c>
      <c r="AK1521">
        <v>0</v>
      </c>
      <c r="AL1521">
        <v>0</v>
      </c>
      <c r="AM1521">
        <v>0</v>
      </c>
      <c r="AN1521" t="s">
        <v>135</v>
      </c>
      <c r="AO1521" t="s">
        <v>135</v>
      </c>
      <c r="AP1521" t="s">
        <v>136</v>
      </c>
      <c r="AQ1521" t="s">
        <v>137</v>
      </c>
      <c r="AR1521" t="s">
        <v>138</v>
      </c>
      <c r="AS1521" t="s">
        <v>150</v>
      </c>
      <c r="AT1521" t="s">
        <v>140</v>
      </c>
      <c r="AU1521">
        <v>105</v>
      </c>
      <c r="AV1521">
        <v>10</v>
      </c>
      <c r="AW1521">
        <v>1</v>
      </c>
      <c r="AX1521" s="2">
        <v>45954</v>
      </c>
      <c r="AY1521" t="s">
        <v>151</v>
      </c>
      <c r="AZ1521" s="2">
        <v>46024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 t="s">
        <v>135</v>
      </c>
      <c r="BH1521" t="s">
        <v>250</v>
      </c>
      <c r="BI1521" t="s">
        <v>135</v>
      </c>
      <c r="BJ1521">
        <v>0</v>
      </c>
      <c r="BK1521">
        <v>0</v>
      </c>
      <c r="BL1521">
        <v>0</v>
      </c>
      <c r="BM1521">
        <v>7</v>
      </c>
      <c r="BN1521">
        <v>1.44</v>
      </c>
      <c r="BO1521">
        <v>25.28</v>
      </c>
      <c r="BP1521">
        <v>97.37</v>
      </c>
      <c r="BQ1521">
        <v>122.65</v>
      </c>
      <c r="BR1521">
        <v>0</v>
      </c>
      <c r="BS1521">
        <v>9</v>
      </c>
      <c r="BT1521">
        <v>9</v>
      </c>
      <c r="BU1521">
        <v>229.55</v>
      </c>
      <c r="BV1521">
        <v>0</v>
      </c>
      <c r="BW1521">
        <v>229.55</v>
      </c>
      <c r="BX1521">
        <v>0</v>
      </c>
      <c r="BY1521">
        <v>0</v>
      </c>
      <c r="BZ1521">
        <v>0</v>
      </c>
      <c r="CA1521">
        <v>0</v>
      </c>
      <c r="CB1521">
        <v>40.880000000000003</v>
      </c>
      <c r="CC1521" t="s">
        <v>161</v>
      </c>
    </row>
    <row r="1522" spans="1:81" x14ac:dyDescent="0.25">
      <c r="A1522">
        <v>345</v>
      </c>
      <c r="B1522">
        <v>2</v>
      </c>
      <c r="C1522">
        <v>3848</v>
      </c>
      <c r="D1522" t="s">
        <v>8691</v>
      </c>
      <c r="E1522" t="s">
        <v>121</v>
      </c>
      <c r="F1522" t="s">
        <v>8692</v>
      </c>
      <c r="G1522" t="s">
        <v>8693</v>
      </c>
      <c r="H1522" t="s">
        <v>8694</v>
      </c>
      <c r="I1522" t="s">
        <v>8695</v>
      </c>
      <c r="J1522" t="s">
        <v>4569</v>
      </c>
      <c r="K1522" t="s">
        <v>336</v>
      </c>
      <c r="L1522" t="s">
        <v>128</v>
      </c>
      <c r="M1522" t="s">
        <v>337</v>
      </c>
      <c r="N1522" t="s">
        <v>8696</v>
      </c>
      <c r="O1522" t="s">
        <v>131</v>
      </c>
      <c r="P1522">
        <v>0</v>
      </c>
      <c r="Q1522" t="s">
        <v>125</v>
      </c>
      <c r="R1522">
        <v>3</v>
      </c>
      <c r="S1522">
        <v>86</v>
      </c>
      <c r="T1522" t="s">
        <v>132</v>
      </c>
      <c r="U1522" t="s">
        <v>133</v>
      </c>
      <c r="V1522" s="1">
        <v>2000</v>
      </c>
      <c r="W1522" s="1">
        <v>1160.7</v>
      </c>
      <c r="X1522">
        <v>839.3</v>
      </c>
      <c r="Y1522">
        <v>7</v>
      </c>
      <c r="Z1522">
        <v>0</v>
      </c>
      <c r="AA1522">
        <v>9</v>
      </c>
      <c r="AB1522">
        <v>0</v>
      </c>
      <c r="AC1522">
        <v>12</v>
      </c>
      <c r="AD1522" t="s">
        <v>134</v>
      </c>
      <c r="AE1522" t="s">
        <v>134</v>
      </c>
      <c r="AF1522" s="2">
        <v>45951</v>
      </c>
      <c r="AG1522" s="2">
        <v>46019</v>
      </c>
      <c r="AH1522" s="1">
        <v>1348.1</v>
      </c>
      <c r="AI1522" s="1">
        <v>2528.29</v>
      </c>
      <c r="AJ1522" s="1">
        <v>12132.93</v>
      </c>
      <c r="AK1522">
        <v>0</v>
      </c>
      <c r="AL1522" s="1">
        <v>1160.7</v>
      </c>
      <c r="AM1522">
        <v>0</v>
      </c>
      <c r="AN1522" t="s">
        <v>135</v>
      </c>
      <c r="AO1522" t="s">
        <v>135</v>
      </c>
      <c r="AP1522" t="s">
        <v>136</v>
      </c>
      <c r="AQ1522" t="s">
        <v>137</v>
      </c>
      <c r="AR1522" t="s">
        <v>138</v>
      </c>
      <c r="AS1522" t="s">
        <v>139</v>
      </c>
      <c r="AT1522" t="s">
        <v>140</v>
      </c>
      <c r="AU1522">
        <v>102</v>
      </c>
      <c r="AV1522">
        <v>10</v>
      </c>
      <c r="AW1522">
        <v>1</v>
      </c>
      <c r="AX1522" s="2">
        <v>45954</v>
      </c>
      <c r="AY1522" t="s">
        <v>151</v>
      </c>
      <c r="AZ1522" s="2">
        <v>46024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 t="s">
        <v>135</v>
      </c>
      <c r="BH1522" t="s">
        <v>250</v>
      </c>
      <c r="BI1522" t="s">
        <v>135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 s="1">
        <v>4199.62</v>
      </c>
      <c r="BQ1522" s="1">
        <v>4199.62</v>
      </c>
      <c r="BR1522">
        <v>0</v>
      </c>
      <c r="BS1522">
        <v>8.68</v>
      </c>
      <c r="BT1522">
        <v>4.2699999999999996</v>
      </c>
      <c r="BU1522" s="1">
        <v>3607.99</v>
      </c>
      <c r="BV1522" s="1">
        <v>3732.32</v>
      </c>
      <c r="BW1522" s="1">
        <v>7340.31</v>
      </c>
      <c r="BX1522" s="1">
        <v>1160.7</v>
      </c>
      <c r="BY1522">
        <v>32.17</v>
      </c>
      <c r="BZ1522">
        <v>0</v>
      </c>
      <c r="CA1522">
        <v>0</v>
      </c>
      <c r="CB1522" s="1">
        <v>1597.54</v>
      </c>
      <c r="CC1522" t="s">
        <v>161</v>
      </c>
    </row>
    <row r="1523" spans="1:81" x14ac:dyDescent="0.25">
      <c r="A1523">
        <v>345</v>
      </c>
      <c r="B1523">
        <v>2</v>
      </c>
      <c r="C1523">
        <v>3849</v>
      </c>
      <c r="D1523" t="s">
        <v>8697</v>
      </c>
      <c r="E1523" t="s">
        <v>121</v>
      </c>
      <c r="F1523" t="s">
        <v>8698</v>
      </c>
      <c r="G1523" t="s">
        <v>8699</v>
      </c>
      <c r="H1523" t="s">
        <v>8700</v>
      </c>
      <c r="I1523" t="s">
        <v>8701</v>
      </c>
      <c r="J1523" t="s">
        <v>126</v>
      </c>
      <c r="K1523" t="s">
        <v>473</v>
      </c>
      <c r="L1523" t="s">
        <v>128</v>
      </c>
      <c r="M1523" t="s">
        <v>474</v>
      </c>
      <c r="N1523" t="s">
        <v>8702</v>
      </c>
      <c r="O1523" t="s">
        <v>159</v>
      </c>
      <c r="P1523">
        <v>0</v>
      </c>
      <c r="Q1523" t="s">
        <v>125</v>
      </c>
      <c r="R1523">
        <v>4</v>
      </c>
      <c r="S1523">
        <v>79</v>
      </c>
      <c r="T1523" t="s">
        <v>132</v>
      </c>
      <c r="U1523" t="s">
        <v>133</v>
      </c>
      <c r="V1523" s="1">
        <v>1800</v>
      </c>
      <c r="W1523">
        <v>0</v>
      </c>
      <c r="X1523" s="1">
        <v>1800</v>
      </c>
      <c r="Y1523">
        <v>7</v>
      </c>
      <c r="Z1523">
        <v>0</v>
      </c>
      <c r="AA1523">
        <v>0</v>
      </c>
      <c r="AB1523">
        <v>0</v>
      </c>
      <c r="AC1523">
        <v>0</v>
      </c>
      <c r="AD1523" t="s">
        <v>134</v>
      </c>
      <c r="AE1523" t="s">
        <v>134</v>
      </c>
      <c r="AF1523" s="2">
        <v>45952</v>
      </c>
      <c r="AG1523" s="2">
        <v>46010</v>
      </c>
      <c r="AH1523">
        <v>857.24</v>
      </c>
      <c r="AI1523">
        <v>899</v>
      </c>
      <c r="AJ1523" s="1">
        <v>1714.49</v>
      </c>
      <c r="AK1523">
        <v>0</v>
      </c>
      <c r="AL1523">
        <v>0</v>
      </c>
      <c r="AM1523">
        <v>0</v>
      </c>
      <c r="AN1523" t="s">
        <v>135</v>
      </c>
      <c r="AO1523" t="s">
        <v>135</v>
      </c>
      <c r="AP1523" t="s">
        <v>136</v>
      </c>
      <c r="AQ1523" t="s">
        <v>137</v>
      </c>
      <c r="AR1523" t="s">
        <v>138</v>
      </c>
      <c r="AS1523" t="s">
        <v>150</v>
      </c>
      <c r="AT1523" t="s">
        <v>140</v>
      </c>
      <c r="AU1523">
        <v>105</v>
      </c>
      <c r="AV1523">
        <v>10</v>
      </c>
      <c r="AW1523">
        <v>1</v>
      </c>
      <c r="AX1523" s="2">
        <v>45952</v>
      </c>
      <c r="AY1523" t="s">
        <v>168</v>
      </c>
      <c r="AZ1523" s="2">
        <v>46022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 t="s">
        <v>135</v>
      </c>
      <c r="BH1523" t="s">
        <v>250</v>
      </c>
      <c r="BI1523" t="s">
        <v>135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899</v>
      </c>
      <c r="BQ1523">
        <v>899</v>
      </c>
      <c r="BR1523">
        <v>0</v>
      </c>
      <c r="BS1523">
        <v>0</v>
      </c>
      <c r="BT1523">
        <v>0</v>
      </c>
      <c r="BU1523">
        <v>0</v>
      </c>
      <c r="BV1523">
        <v>815.49</v>
      </c>
      <c r="BW1523">
        <v>815.49</v>
      </c>
      <c r="BX1523">
        <v>0</v>
      </c>
      <c r="BY1523">
        <v>0</v>
      </c>
      <c r="BZ1523">
        <v>0</v>
      </c>
      <c r="CA1523">
        <v>0</v>
      </c>
      <c r="CB1523">
        <v>299.66000000000003</v>
      </c>
      <c r="CC1523" t="s">
        <v>161</v>
      </c>
    </row>
    <row r="1524" spans="1:81" x14ac:dyDescent="0.25">
      <c r="A1524">
        <v>345</v>
      </c>
      <c r="B1524">
        <v>2</v>
      </c>
      <c r="C1524">
        <v>3850</v>
      </c>
      <c r="D1524" t="s">
        <v>8703</v>
      </c>
      <c r="E1524" t="s">
        <v>121</v>
      </c>
      <c r="F1524" t="s">
        <v>8704</v>
      </c>
      <c r="G1524" t="s">
        <v>8705</v>
      </c>
      <c r="H1524" t="s">
        <v>8706</v>
      </c>
      <c r="I1524" t="s">
        <v>8707</v>
      </c>
      <c r="J1524" t="s">
        <v>606</v>
      </c>
      <c r="K1524" t="s">
        <v>336</v>
      </c>
      <c r="L1524" t="s">
        <v>128</v>
      </c>
      <c r="M1524" t="s">
        <v>337</v>
      </c>
      <c r="N1524" t="s">
        <v>8708</v>
      </c>
      <c r="O1524" t="s">
        <v>149</v>
      </c>
      <c r="P1524">
        <v>0</v>
      </c>
      <c r="Q1524" t="s">
        <v>125</v>
      </c>
      <c r="R1524">
        <v>3</v>
      </c>
      <c r="S1524">
        <v>87</v>
      </c>
      <c r="T1524" t="s">
        <v>132</v>
      </c>
      <c r="U1524" t="s">
        <v>133</v>
      </c>
      <c r="V1524" s="1">
        <v>1400</v>
      </c>
      <c r="W1524">
        <v>0</v>
      </c>
      <c r="X1524" s="1">
        <v>1400</v>
      </c>
      <c r="Y1524">
        <v>7</v>
      </c>
      <c r="Z1524">
        <v>0</v>
      </c>
      <c r="AA1524">
        <v>0</v>
      </c>
      <c r="AB1524">
        <v>0</v>
      </c>
      <c r="AC1524">
        <v>0</v>
      </c>
      <c r="AD1524" t="s">
        <v>134</v>
      </c>
      <c r="AE1524" t="s">
        <v>134</v>
      </c>
      <c r="AF1524" s="2">
        <v>45953</v>
      </c>
      <c r="AG1524" s="2">
        <v>46014</v>
      </c>
      <c r="AH1524">
        <v>604.99</v>
      </c>
      <c r="AI1524" s="1">
        <v>1547.1</v>
      </c>
      <c r="AJ1524" s="1">
        <v>7259.91</v>
      </c>
      <c r="AK1524">
        <v>0</v>
      </c>
      <c r="AL1524">
        <v>0</v>
      </c>
      <c r="AM1524">
        <v>0</v>
      </c>
      <c r="AN1524" t="s">
        <v>135</v>
      </c>
      <c r="AO1524" t="s">
        <v>135</v>
      </c>
      <c r="AP1524" t="s">
        <v>136</v>
      </c>
      <c r="AQ1524" t="s">
        <v>137</v>
      </c>
      <c r="AR1524" t="s">
        <v>138</v>
      </c>
      <c r="AS1524" t="s">
        <v>139</v>
      </c>
      <c r="AT1524" t="s">
        <v>140</v>
      </c>
      <c r="AU1524">
        <v>104</v>
      </c>
      <c r="AV1524">
        <v>10</v>
      </c>
      <c r="AW1524">
        <v>1</v>
      </c>
      <c r="AX1524" s="2">
        <v>45992</v>
      </c>
      <c r="AY1524" t="s">
        <v>141</v>
      </c>
      <c r="AZ1524" s="2">
        <v>46027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 t="s">
        <v>135</v>
      </c>
      <c r="BH1524" t="s">
        <v>250</v>
      </c>
      <c r="BI1524" t="s">
        <v>135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 s="1">
        <v>4918.03</v>
      </c>
      <c r="BQ1524" s="1">
        <v>4918.03</v>
      </c>
      <c r="BR1524">
        <v>0</v>
      </c>
      <c r="BS1524">
        <v>0</v>
      </c>
      <c r="BT1524">
        <v>0</v>
      </c>
      <c r="BU1524">
        <v>0</v>
      </c>
      <c r="BV1524" s="1">
        <v>1748.88</v>
      </c>
      <c r="BW1524" s="1">
        <v>1748.88</v>
      </c>
      <c r="BX1524">
        <v>0</v>
      </c>
      <c r="BY1524">
        <v>0</v>
      </c>
      <c r="BZ1524">
        <v>0</v>
      </c>
      <c r="CA1524">
        <v>0</v>
      </c>
      <c r="CB1524" s="1">
        <v>1837.01</v>
      </c>
      <c r="CC1524" t="s">
        <v>161</v>
      </c>
    </row>
    <row r="1525" spans="1:81" x14ac:dyDescent="0.25">
      <c r="A1525">
        <v>345</v>
      </c>
      <c r="B1525">
        <v>2</v>
      </c>
      <c r="C1525">
        <v>3851</v>
      </c>
      <c r="D1525" t="s">
        <v>8709</v>
      </c>
      <c r="E1525" t="s">
        <v>121</v>
      </c>
      <c r="F1525" t="s">
        <v>8710</v>
      </c>
      <c r="G1525" t="s">
        <v>8711</v>
      </c>
      <c r="H1525" t="s">
        <v>8712</v>
      </c>
      <c r="I1525" t="s">
        <v>8713</v>
      </c>
      <c r="J1525" t="s">
        <v>606</v>
      </c>
      <c r="K1525" t="s">
        <v>336</v>
      </c>
      <c r="L1525" t="s">
        <v>128</v>
      </c>
      <c r="M1525" t="s">
        <v>337</v>
      </c>
      <c r="N1525" t="s">
        <v>8714</v>
      </c>
      <c r="O1525" t="s">
        <v>167</v>
      </c>
      <c r="P1525">
        <v>0</v>
      </c>
      <c r="Q1525" t="s">
        <v>125</v>
      </c>
      <c r="R1525">
        <v>3</v>
      </c>
      <c r="S1525">
        <v>83</v>
      </c>
      <c r="T1525" t="s">
        <v>132</v>
      </c>
      <c r="U1525" t="s">
        <v>133</v>
      </c>
      <c r="V1525" s="1">
        <v>1800</v>
      </c>
      <c r="W1525">
        <v>0</v>
      </c>
      <c r="X1525" s="1">
        <v>1800</v>
      </c>
      <c r="Y1525">
        <v>7</v>
      </c>
      <c r="Z1525">
        <v>0</v>
      </c>
      <c r="AA1525">
        <v>0</v>
      </c>
      <c r="AB1525">
        <v>0</v>
      </c>
      <c r="AC1525">
        <v>0</v>
      </c>
      <c r="AD1525" t="s">
        <v>134</v>
      </c>
      <c r="AE1525" t="s">
        <v>134</v>
      </c>
      <c r="AF1525" s="2">
        <v>45954</v>
      </c>
      <c r="AG1525" s="2">
        <v>45975</v>
      </c>
      <c r="AH1525">
        <v>59.3</v>
      </c>
      <c r="AI1525">
        <v>59.3</v>
      </c>
      <c r="AJ1525">
        <v>59.3</v>
      </c>
      <c r="AK1525">
        <v>0</v>
      </c>
      <c r="AL1525">
        <v>0</v>
      </c>
      <c r="AM1525">
        <v>0</v>
      </c>
      <c r="AN1525" t="s">
        <v>135</v>
      </c>
      <c r="AO1525" t="s">
        <v>135</v>
      </c>
      <c r="AP1525" t="s">
        <v>136</v>
      </c>
      <c r="AQ1525" t="s">
        <v>137</v>
      </c>
      <c r="AR1525" t="s">
        <v>138</v>
      </c>
      <c r="AS1525" t="s">
        <v>139</v>
      </c>
      <c r="AT1525" t="s">
        <v>140</v>
      </c>
      <c r="AU1525">
        <v>101</v>
      </c>
      <c r="AV1525">
        <v>10</v>
      </c>
      <c r="AW1525">
        <v>1</v>
      </c>
      <c r="AX1525" s="2">
        <v>45959</v>
      </c>
      <c r="AY1525" t="s">
        <v>168</v>
      </c>
      <c r="AZ1525" s="2">
        <v>46022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 t="s">
        <v>135</v>
      </c>
      <c r="BH1525" t="s">
        <v>250</v>
      </c>
      <c r="BI1525" t="s">
        <v>135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59.3</v>
      </c>
      <c r="BQ1525">
        <v>59.3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19.760000000000002</v>
      </c>
      <c r="CC1525" t="s">
        <v>161</v>
      </c>
    </row>
    <row r="1526" spans="1:81" x14ac:dyDescent="0.25">
      <c r="A1526">
        <v>345</v>
      </c>
      <c r="B1526">
        <v>2</v>
      </c>
      <c r="C1526">
        <v>3852</v>
      </c>
      <c r="D1526" t="s">
        <v>8715</v>
      </c>
      <c r="E1526" t="s">
        <v>121</v>
      </c>
      <c r="F1526" t="s">
        <v>8716</v>
      </c>
      <c r="G1526" t="s">
        <v>8717</v>
      </c>
      <c r="H1526" t="s">
        <v>3235</v>
      </c>
      <c r="I1526" t="s">
        <v>8718</v>
      </c>
      <c r="J1526" t="s">
        <v>1263</v>
      </c>
      <c r="K1526" t="s">
        <v>466</v>
      </c>
      <c r="L1526" t="s">
        <v>128</v>
      </c>
      <c r="M1526" t="s">
        <v>467</v>
      </c>
      <c r="N1526" t="s">
        <v>8719</v>
      </c>
      <c r="O1526" t="s">
        <v>159</v>
      </c>
      <c r="P1526">
        <v>0</v>
      </c>
      <c r="Q1526" t="s">
        <v>125</v>
      </c>
      <c r="R1526">
        <v>5</v>
      </c>
      <c r="S1526">
        <v>74</v>
      </c>
      <c r="T1526" t="s">
        <v>132</v>
      </c>
      <c r="U1526" t="s">
        <v>133</v>
      </c>
      <c r="V1526" s="1">
        <v>1700</v>
      </c>
      <c r="W1526">
        <v>0</v>
      </c>
      <c r="X1526" s="1">
        <v>1700</v>
      </c>
      <c r="Y1526">
        <v>7</v>
      </c>
      <c r="Z1526">
        <v>0</v>
      </c>
      <c r="AA1526">
        <v>0</v>
      </c>
      <c r="AB1526">
        <v>0</v>
      </c>
      <c r="AC1526">
        <v>0</v>
      </c>
      <c r="AD1526" t="s">
        <v>134</v>
      </c>
      <c r="AE1526" t="s">
        <v>134</v>
      </c>
      <c r="AF1526" s="2">
        <v>45954</v>
      </c>
      <c r="AG1526" t="s">
        <v>135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t="s">
        <v>135</v>
      </c>
      <c r="AO1526" t="s">
        <v>135</v>
      </c>
      <c r="AP1526" t="s">
        <v>136</v>
      </c>
      <c r="AQ1526" t="s">
        <v>137</v>
      </c>
      <c r="AR1526" t="s">
        <v>138</v>
      </c>
      <c r="AS1526" t="s">
        <v>150</v>
      </c>
      <c r="AT1526" t="s">
        <v>140</v>
      </c>
      <c r="AU1526">
        <v>106</v>
      </c>
      <c r="AV1526">
        <v>10</v>
      </c>
      <c r="AW1526">
        <v>1</v>
      </c>
      <c r="AX1526" s="2">
        <v>45960</v>
      </c>
      <c r="AY1526" t="s">
        <v>308</v>
      </c>
      <c r="AZ1526" s="2">
        <v>46023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 t="s">
        <v>135</v>
      </c>
      <c r="BH1526" t="s">
        <v>250</v>
      </c>
      <c r="BI1526" t="s">
        <v>135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 t="s">
        <v>161</v>
      </c>
    </row>
    <row r="1527" spans="1:81" x14ac:dyDescent="0.25">
      <c r="A1527">
        <v>345</v>
      </c>
      <c r="B1527">
        <v>2</v>
      </c>
      <c r="C1527">
        <v>3853</v>
      </c>
      <c r="D1527" t="s">
        <v>8720</v>
      </c>
      <c r="E1527" t="s">
        <v>121</v>
      </c>
      <c r="F1527" t="s">
        <v>8721</v>
      </c>
      <c r="G1527" t="s">
        <v>8722</v>
      </c>
      <c r="H1527" t="s">
        <v>8723</v>
      </c>
      <c r="I1527" t="s">
        <v>8724</v>
      </c>
      <c r="J1527" t="s">
        <v>1263</v>
      </c>
      <c r="K1527" t="s">
        <v>466</v>
      </c>
      <c r="L1527" t="s">
        <v>128</v>
      </c>
      <c r="M1527" t="s">
        <v>467</v>
      </c>
      <c r="N1527" t="s">
        <v>8725</v>
      </c>
      <c r="O1527" t="s">
        <v>159</v>
      </c>
      <c r="P1527">
        <v>0</v>
      </c>
      <c r="Q1527" t="s">
        <v>125</v>
      </c>
      <c r="R1527">
        <v>4</v>
      </c>
      <c r="S1527">
        <v>81</v>
      </c>
      <c r="T1527" t="s">
        <v>132</v>
      </c>
      <c r="U1527" t="s">
        <v>133</v>
      </c>
      <c r="V1527" s="1">
        <v>2100</v>
      </c>
      <c r="W1527" s="1">
        <v>2077.35</v>
      </c>
      <c r="X1527">
        <v>22.65</v>
      </c>
      <c r="Y1527">
        <v>7</v>
      </c>
      <c r="Z1527">
        <v>0</v>
      </c>
      <c r="AA1527">
        <v>9</v>
      </c>
      <c r="AB1527">
        <v>0</v>
      </c>
      <c r="AC1527">
        <v>0</v>
      </c>
      <c r="AD1527" t="s">
        <v>134</v>
      </c>
      <c r="AE1527" t="s">
        <v>134</v>
      </c>
      <c r="AF1527" s="2">
        <v>45954</v>
      </c>
      <c r="AG1527" s="2">
        <v>46018</v>
      </c>
      <c r="AH1527" s="1">
        <v>1252.96</v>
      </c>
      <c r="AI1527" s="1">
        <v>2077.35</v>
      </c>
      <c r="AJ1527" s="1">
        <v>6264.84</v>
      </c>
      <c r="AK1527">
        <v>0</v>
      </c>
      <c r="AL1527" s="1">
        <v>2077.35</v>
      </c>
      <c r="AM1527">
        <v>47.89</v>
      </c>
      <c r="AN1527" t="s">
        <v>135</v>
      </c>
      <c r="AO1527" t="s">
        <v>135</v>
      </c>
      <c r="AP1527" t="s">
        <v>136</v>
      </c>
      <c r="AQ1527" t="s">
        <v>137</v>
      </c>
      <c r="AR1527" t="s">
        <v>138</v>
      </c>
      <c r="AS1527" t="s">
        <v>139</v>
      </c>
      <c r="AT1527" t="s">
        <v>140</v>
      </c>
      <c r="AU1527">
        <v>106</v>
      </c>
      <c r="AV1527">
        <v>10</v>
      </c>
      <c r="AW1527">
        <v>1</v>
      </c>
      <c r="AX1527" s="2">
        <v>45968</v>
      </c>
      <c r="AY1527" t="s">
        <v>151</v>
      </c>
      <c r="AZ1527" s="2">
        <v>46024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 t="s">
        <v>135</v>
      </c>
      <c r="BH1527" t="s">
        <v>250</v>
      </c>
      <c r="BI1527" t="s">
        <v>135</v>
      </c>
      <c r="BJ1527">
        <v>0</v>
      </c>
      <c r="BK1527">
        <v>0</v>
      </c>
      <c r="BL1527">
        <v>0</v>
      </c>
      <c r="BM1527">
        <v>7</v>
      </c>
      <c r="BN1527">
        <v>1.98</v>
      </c>
      <c r="BO1527">
        <v>994.85</v>
      </c>
      <c r="BP1527" s="1">
        <v>2530.04</v>
      </c>
      <c r="BQ1527" s="1">
        <v>3524.89</v>
      </c>
      <c r="BR1527">
        <v>994.85</v>
      </c>
      <c r="BS1527">
        <v>9</v>
      </c>
      <c r="BT1527">
        <v>9</v>
      </c>
      <c r="BU1527" s="1">
        <v>2077.35</v>
      </c>
      <c r="BV1527">
        <v>0</v>
      </c>
      <c r="BW1527" s="1">
        <v>2077.35</v>
      </c>
      <c r="BX1527" s="1">
        <v>2077.35</v>
      </c>
      <c r="BY1527">
        <v>100</v>
      </c>
      <c r="BZ1527">
        <v>0</v>
      </c>
      <c r="CA1527">
        <v>0</v>
      </c>
      <c r="CB1527" s="1">
        <v>1395.83</v>
      </c>
      <c r="CC1527" t="s">
        <v>161</v>
      </c>
    </row>
    <row r="1528" spans="1:81" x14ac:dyDescent="0.25">
      <c r="A1528">
        <v>345</v>
      </c>
      <c r="B1528">
        <v>2</v>
      </c>
      <c r="C1528">
        <v>3854</v>
      </c>
      <c r="D1528" t="s">
        <v>8726</v>
      </c>
      <c r="E1528" t="s">
        <v>121</v>
      </c>
      <c r="F1528" t="s">
        <v>8727</v>
      </c>
      <c r="G1528" t="s">
        <v>8728</v>
      </c>
      <c r="H1528" t="s">
        <v>8729</v>
      </c>
      <c r="I1528" t="s">
        <v>8730</v>
      </c>
      <c r="J1528" t="s">
        <v>3074</v>
      </c>
      <c r="K1528" t="s">
        <v>1853</v>
      </c>
      <c r="L1528" t="s">
        <v>128</v>
      </c>
      <c r="M1528" t="s">
        <v>1854</v>
      </c>
      <c r="N1528" t="s">
        <v>8731</v>
      </c>
      <c r="O1528" t="s">
        <v>3115</v>
      </c>
      <c r="P1528">
        <v>0</v>
      </c>
      <c r="Q1528" t="s">
        <v>125</v>
      </c>
      <c r="R1528">
        <v>4</v>
      </c>
      <c r="S1528">
        <v>81</v>
      </c>
      <c r="T1528" t="s">
        <v>132</v>
      </c>
      <c r="U1528" t="s">
        <v>133</v>
      </c>
      <c r="V1528" s="1">
        <v>1000</v>
      </c>
      <c r="W1528">
        <v>0</v>
      </c>
      <c r="X1528" s="1">
        <v>1000</v>
      </c>
      <c r="Y1528">
        <v>7</v>
      </c>
      <c r="Z1528">
        <v>0</v>
      </c>
      <c r="AA1528">
        <v>0</v>
      </c>
      <c r="AB1528">
        <v>0</v>
      </c>
      <c r="AC1528">
        <v>0</v>
      </c>
      <c r="AD1528" t="s">
        <v>134</v>
      </c>
      <c r="AE1528" t="s">
        <v>134</v>
      </c>
      <c r="AF1528" s="2">
        <v>45954</v>
      </c>
      <c r="AG1528" t="s">
        <v>135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t="s">
        <v>135</v>
      </c>
      <c r="AO1528" t="s">
        <v>135</v>
      </c>
      <c r="AP1528" t="s">
        <v>136</v>
      </c>
      <c r="AQ1528" t="s">
        <v>137</v>
      </c>
      <c r="AR1528" t="s">
        <v>138</v>
      </c>
      <c r="AS1528" t="s">
        <v>150</v>
      </c>
      <c r="AT1528" t="s">
        <v>140</v>
      </c>
      <c r="AU1528">
        <v>500</v>
      </c>
      <c r="AV1528">
        <v>10</v>
      </c>
      <c r="AW1528">
        <v>1</v>
      </c>
      <c r="AX1528" s="2">
        <v>45957</v>
      </c>
      <c r="AY1528" t="s">
        <v>141</v>
      </c>
      <c r="AZ1528" s="2">
        <v>46027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 t="s">
        <v>135</v>
      </c>
      <c r="BH1528" t="s">
        <v>250</v>
      </c>
      <c r="BI1528" t="s">
        <v>135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 t="s">
        <v>161</v>
      </c>
    </row>
    <row r="1529" spans="1:81" x14ac:dyDescent="0.25">
      <c r="A1529">
        <v>345</v>
      </c>
      <c r="B1529">
        <v>2</v>
      </c>
      <c r="C1529">
        <v>3855</v>
      </c>
      <c r="D1529" t="s">
        <v>8732</v>
      </c>
      <c r="E1529" t="s">
        <v>121</v>
      </c>
      <c r="F1529" t="s">
        <v>8733</v>
      </c>
      <c r="G1529" t="s">
        <v>8734</v>
      </c>
      <c r="H1529" t="s">
        <v>8735</v>
      </c>
      <c r="I1529" t="s">
        <v>8736</v>
      </c>
      <c r="J1529" t="s">
        <v>126</v>
      </c>
      <c r="K1529" t="s">
        <v>336</v>
      </c>
      <c r="L1529" t="s">
        <v>128</v>
      </c>
      <c r="M1529" t="s">
        <v>337</v>
      </c>
      <c r="N1529" t="s">
        <v>8737</v>
      </c>
      <c r="O1529" t="s">
        <v>131</v>
      </c>
      <c r="P1529">
        <v>0</v>
      </c>
      <c r="Q1529" t="s">
        <v>125</v>
      </c>
      <c r="R1529">
        <v>3</v>
      </c>
      <c r="S1529">
        <v>83</v>
      </c>
      <c r="T1529" t="s">
        <v>132</v>
      </c>
      <c r="U1529" t="s">
        <v>133</v>
      </c>
      <c r="V1529" s="1">
        <v>1100</v>
      </c>
      <c r="W1529">
        <v>0</v>
      </c>
      <c r="X1529" s="1">
        <v>1100</v>
      </c>
      <c r="Y1529">
        <v>7</v>
      </c>
      <c r="Z1529">
        <v>0</v>
      </c>
      <c r="AA1529">
        <v>0</v>
      </c>
      <c r="AB1529">
        <v>0</v>
      </c>
      <c r="AC1529">
        <v>0</v>
      </c>
      <c r="AD1529" t="s">
        <v>134</v>
      </c>
      <c r="AE1529" t="s">
        <v>134</v>
      </c>
      <c r="AF1529" s="2">
        <v>45957</v>
      </c>
      <c r="AG1529" s="2">
        <v>46018</v>
      </c>
      <c r="AH1529">
        <v>418.61</v>
      </c>
      <c r="AI1529">
        <v>503.88</v>
      </c>
      <c r="AJ1529">
        <v>837.22</v>
      </c>
      <c r="AK1529">
        <v>0</v>
      </c>
      <c r="AL1529">
        <v>0</v>
      </c>
      <c r="AM1529">
        <v>0</v>
      </c>
      <c r="AN1529" t="s">
        <v>135</v>
      </c>
      <c r="AO1529" t="s">
        <v>135</v>
      </c>
      <c r="AP1529" t="s">
        <v>136</v>
      </c>
      <c r="AQ1529" t="s">
        <v>137</v>
      </c>
      <c r="AR1529" t="s">
        <v>138</v>
      </c>
      <c r="AS1529" t="s">
        <v>150</v>
      </c>
      <c r="AT1529" t="s">
        <v>140</v>
      </c>
      <c r="AU1529">
        <v>101</v>
      </c>
      <c r="AV1529">
        <v>10</v>
      </c>
      <c r="AW1529">
        <v>1</v>
      </c>
      <c r="AX1529" s="2">
        <v>45960</v>
      </c>
      <c r="AY1529" t="s">
        <v>308</v>
      </c>
      <c r="AZ1529" s="2">
        <v>46023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 t="s">
        <v>135</v>
      </c>
      <c r="BH1529" t="s">
        <v>250</v>
      </c>
      <c r="BI1529" t="s">
        <v>135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503.88</v>
      </c>
      <c r="BQ1529">
        <v>503.88</v>
      </c>
      <c r="BR1529">
        <v>0</v>
      </c>
      <c r="BS1529">
        <v>0</v>
      </c>
      <c r="BT1529">
        <v>0</v>
      </c>
      <c r="BU1529">
        <v>0</v>
      </c>
      <c r="BV1529">
        <v>333.34</v>
      </c>
      <c r="BW1529">
        <v>333.34</v>
      </c>
      <c r="BX1529">
        <v>0</v>
      </c>
      <c r="BY1529">
        <v>0</v>
      </c>
      <c r="BZ1529">
        <v>0</v>
      </c>
      <c r="CA1529">
        <v>0</v>
      </c>
      <c r="CB1529">
        <v>167.96</v>
      </c>
      <c r="CC1529" t="s">
        <v>5072</v>
      </c>
    </row>
    <row r="1530" spans="1:81" x14ac:dyDescent="0.25">
      <c r="A1530">
        <v>345</v>
      </c>
      <c r="B1530">
        <v>2</v>
      </c>
      <c r="C1530">
        <v>3856</v>
      </c>
      <c r="D1530" t="s">
        <v>8738</v>
      </c>
      <c r="E1530" t="s">
        <v>121</v>
      </c>
      <c r="F1530" t="s">
        <v>8739</v>
      </c>
      <c r="G1530" t="s">
        <v>8740</v>
      </c>
      <c r="H1530" t="s">
        <v>8741</v>
      </c>
      <c r="I1530" t="s">
        <v>8742</v>
      </c>
      <c r="J1530" t="s">
        <v>735</v>
      </c>
      <c r="K1530" t="s">
        <v>336</v>
      </c>
      <c r="L1530" t="s">
        <v>128</v>
      </c>
      <c r="M1530" t="s">
        <v>337</v>
      </c>
      <c r="N1530" t="s">
        <v>8743</v>
      </c>
      <c r="O1530" t="s">
        <v>131</v>
      </c>
      <c r="P1530">
        <v>0</v>
      </c>
      <c r="Q1530" t="s">
        <v>125</v>
      </c>
      <c r="R1530">
        <v>3</v>
      </c>
      <c r="S1530">
        <v>87</v>
      </c>
      <c r="T1530" t="s">
        <v>132</v>
      </c>
      <c r="U1530" t="s">
        <v>133</v>
      </c>
      <c r="V1530" s="1">
        <v>1000</v>
      </c>
      <c r="W1530">
        <v>0</v>
      </c>
      <c r="X1530" s="1">
        <v>1000</v>
      </c>
      <c r="Y1530">
        <v>7</v>
      </c>
      <c r="Z1530">
        <v>0</v>
      </c>
      <c r="AA1530">
        <v>0</v>
      </c>
      <c r="AB1530">
        <v>0</v>
      </c>
      <c r="AC1530">
        <v>0</v>
      </c>
      <c r="AD1530" t="s">
        <v>134</v>
      </c>
      <c r="AE1530" t="s">
        <v>134</v>
      </c>
      <c r="AF1530" s="2">
        <v>45957</v>
      </c>
      <c r="AG1530" s="2">
        <v>46021</v>
      </c>
      <c r="AH1530">
        <v>565.61</v>
      </c>
      <c r="AI1530" s="1">
        <v>1965.78</v>
      </c>
      <c r="AJ1530" s="1">
        <v>4524.93</v>
      </c>
      <c r="AK1530">
        <v>0</v>
      </c>
      <c r="AL1530">
        <v>0</v>
      </c>
      <c r="AM1530">
        <v>0</v>
      </c>
      <c r="AN1530" t="s">
        <v>135</v>
      </c>
      <c r="AO1530" t="s">
        <v>135</v>
      </c>
      <c r="AP1530" t="s">
        <v>136</v>
      </c>
      <c r="AQ1530" t="s">
        <v>137</v>
      </c>
      <c r="AR1530" t="s">
        <v>138</v>
      </c>
      <c r="AS1530" t="s">
        <v>139</v>
      </c>
      <c r="AT1530" t="s">
        <v>140</v>
      </c>
      <c r="AU1530">
        <v>101</v>
      </c>
      <c r="AV1530">
        <v>10</v>
      </c>
      <c r="AW1530">
        <v>1</v>
      </c>
      <c r="AX1530" s="2">
        <v>45957</v>
      </c>
      <c r="AY1530" t="s">
        <v>141</v>
      </c>
      <c r="AZ1530" s="2">
        <v>46027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 t="s">
        <v>135</v>
      </c>
      <c r="BH1530" t="s">
        <v>250</v>
      </c>
      <c r="BI1530" t="s">
        <v>135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 s="1">
        <v>1250.17</v>
      </c>
      <c r="BQ1530" s="1">
        <v>1250.17</v>
      </c>
      <c r="BR1530">
        <v>0</v>
      </c>
      <c r="BS1530">
        <v>0</v>
      </c>
      <c r="BT1530">
        <v>0</v>
      </c>
      <c r="BU1530">
        <v>0</v>
      </c>
      <c r="BV1530" s="1">
        <v>3261.61</v>
      </c>
      <c r="BW1530" s="1">
        <v>3261.61</v>
      </c>
      <c r="BX1530">
        <v>0</v>
      </c>
      <c r="BY1530">
        <v>0</v>
      </c>
      <c r="BZ1530">
        <v>0</v>
      </c>
      <c r="CA1530">
        <v>0</v>
      </c>
      <c r="CB1530">
        <v>421.1</v>
      </c>
      <c r="CC1530" t="s">
        <v>161</v>
      </c>
    </row>
    <row r="1531" spans="1:81" x14ac:dyDescent="0.25">
      <c r="A1531">
        <v>345</v>
      </c>
      <c r="B1531">
        <v>2</v>
      </c>
      <c r="C1531">
        <v>3857</v>
      </c>
      <c r="D1531" t="s">
        <v>8744</v>
      </c>
      <c r="E1531" t="s">
        <v>121</v>
      </c>
      <c r="F1531" t="s">
        <v>8745</v>
      </c>
      <c r="G1531" t="s">
        <v>8746</v>
      </c>
      <c r="H1531" t="s">
        <v>8747</v>
      </c>
      <c r="I1531" t="s">
        <v>8748</v>
      </c>
      <c r="J1531" t="s">
        <v>3074</v>
      </c>
      <c r="K1531" t="s">
        <v>1853</v>
      </c>
      <c r="L1531" t="s">
        <v>128</v>
      </c>
      <c r="M1531" t="s">
        <v>1854</v>
      </c>
      <c r="N1531" t="s">
        <v>8749</v>
      </c>
      <c r="O1531" t="s">
        <v>159</v>
      </c>
      <c r="P1531">
        <v>0</v>
      </c>
      <c r="Q1531" t="s">
        <v>125</v>
      </c>
      <c r="R1531">
        <v>3</v>
      </c>
      <c r="S1531">
        <v>83</v>
      </c>
      <c r="T1531" t="s">
        <v>132</v>
      </c>
      <c r="U1531" t="s">
        <v>133</v>
      </c>
      <c r="V1531" s="1">
        <v>1000</v>
      </c>
      <c r="W1531">
        <v>0</v>
      </c>
      <c r="X1531" s="1">
        <v>1000</v>
      </c>
      <c r="Y1531">
        <v>7</v>
      </c>
      <c r="Z1531">
        <v>0</v>
      </c>
      <c r="AA1531">
        <v>0</v>
      </c>
      <c r="AB1531">
        <v>0</v>
      </c>
      <c r="AC1531">
        <v>0</v>
      </c>
      <c r="AD1531" t="s">
        <v>134</v>
      </c>
      <c r="AE1531" t="s">
        <v>134</v>
      </c>
      <c r="AF1531" s="2">
        <v>45957</v>
      </c>
      <c r="AG1531" t="s">
        <v>135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 t="s">
        <v>135</v>
      </c>
      <c r="AO1531" t="s">
        <v>135</v>
      </c>
      <c r="AP1531" t="s">
        <v>136</v>
      </c>
      <c r="AQ1531" t="s">
        <v>137</v>
      </c>
      <c r="AR1531" t="s">
        <v>138</v>
      </c>
      <c r="AS1531" t="s">
        <v>150</v>
      </c>
      <c r="AT1531" t="s">
        <v>140</v>
      </c>
      <c r="AU1531">
        <v>106</v>
      </c>
      <c r="AV1531">
        <v>10</v>
      </c>
      <c r="AW1531">
        <v>1</v>
      </c>
      <c r="AX1531" s="2">
        <v>45958</v>
      </c>
      <c r="AY1531" t="s">
        <v>377</v>
      </c>
      <c r="AZ1531" s="2">
        <v>46028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 t="s">
        <v>135</v>
      </c>
      <c r="BH1531" t="s">
        <v>250</v>
      </c>
      <c r="BI1531" t="s">
        <v>135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 t="s">
        <v>161</v>
      </c>
    </row>
    <row r="1532" spans="1:81" x14ac:dyDescent="0.25">
      <c r="A1532">
        <v>345</v>
      </c>
      <c r="B1532">
        <v>2</v>
      </c>
      <c r="C1532">
        <v>3858</v>
      </c>
      <c r="D1532" t="s">
        <v>8750</v>
      </c>
      <c r="E1532" t="s">
        <v>121</v>
      </c>
      <c r="F1532" t="s">
        <v>8751</v>
      </c>
      <c r="G1532" t="s">
        <v>8752</v>
      </c>
      <c r="H1532" t="s">
        <v>8753</v>
      </c>
      <c r="I1532" t="s">
        <v>8754</v>
      </c>
      <c r="J1532" t="s">
        <v>4569</v>
      </c>
      <c r="K1532" t="s">
        <v>127</v>
      </c>
      <c r="L1532" t="s">
        <v>128</v>
      </c>
      <c r="M1532" t="s">
        <v>129</v>
      </c>
      <c r="N1532" t="s">
        <v>8755</v>
      </c>
      <c r="O1532" t="s">
        <v>131</v>
      </c>
      <c r="P1532">
        <v>0</v>
      </c>
      <c r="Q1532" t="s">
        <v>125</v>
      </c>
      <c r="R1532">
        <v>3</v>
      </c>
      <c r="S1532">
        <v>85</v>
      </c>
      <c r="T1532" t="s">
        <v>132</v>
      </c>
      <c r="U1532" t="s">
        <v>133</v>
      </c>
      <c r="V1532" s="1">
        <v>2100</v>
      </c>
      <c r="W1532" s="1">
        <v>1176.71</v>
      </c>
      <c r="X1532">
        <v>923.29</v>
      </c>
      <c r="Y1532">
        <v>7</v>
      </c>
      <c r="Z1532">
        <v>0</v>
      </c>
      <c r="AA1532">
        <v>9</v>
      </c>
      <c r="AB1532">
        <v>0</v>
      </c>
      <c r="AC1532">
        <v>0</v>
      </c>
      <c r="AD1532" t="s">
        <v>134</v>
      </c>
      <c r="AE1532" t="s">
        <v>134</v>
      </c>
      <c r="AF1532" s="2">
        <v>45957</v>
      </c>
      <c r="AG1532" s="2">
        <v>46018</v>
      </c>
      <c r="AH1532" s="1">
        <v>1310.1300000000001</v>
      </c>
      <c r="AI1532" s="1">
        <v>1809.72</v>
      </c>
      <c r="AJ1532" s="1">
        <v>9170.91</v>
      </c>
      <c r="AK1532">
        <v>0</v>
      </c>
      <c r="AL1532" s="1">
        <v>1176.71</v>
      </c>
      <c r="AM1532">
        <v>80.5</v>
      </c>
      <c r="AN1532" t="s">
        <v>135</v>
      </c>
      <c r="AO1532" t="s">
        <v>135</v>
      </c>
      <c r="AP1532" t="s">
        <v>136</v>
      </c>
      <c r="AQ1532" t="s">
        <v>137</v>
      </c>
      <c r="AR1532" t="s">
        <v>138</v>
      </c>
      <c r="AS1532" t="s">
        <v>139</v>
      </c>
      <c r="AT1532" t="s">
        <v>140</v>
      </c>
      <c r="AU1532">
        <v>102</v>
      </c>
      <c r="AV1532">
        <v>10</v>
      </c>
      <c r="AW1532">
        <v>1</v>
      </c>
      <c r="AX1532" s="2">
        <v>45995</v>
      </c>
      <c r="AY1532" t="s">
        <v>308</v>
      </c>
      <c r="AZ1532" s="2">
        <v>46023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 t="s">
        <v>135</v>
      </c>
      <c r="BH1532" t="s">
        <v>250</v>
      </c>
      <c r="BI1532" t="s">
        <v>135</v>
      </c>
      <c r="BJ1532">
        <v>0</v>
      </c>
      <c r="BK1532">
        <v>0</v>
      </c>
      <c r="BL1532">
        <v>0</v>
      </c>
      <c r="BM1532">
        <v>7.99</v>
      </c>
      <c r="BN1532">
        <v>5.1100000000000003</v>
      </c>
      <c r="BO1532" s="1">
        <v>1921.46</v>
      </c>
      <c r="BP1532" s="1">
        <v>1082.79</v>
      </c>
      <c r="BQ1532" s="1">
        <v>3004.25</v>
      </c>
      <c r="BR1532">
        <v>947.23</v>
      </c>
      <c r="BS1532">
        <v>8.27</v>
      </c>
      <c r="BT1532">
        <v>5.46</v>
      </c>
      <c r="BU1532" s="1">
        <v>4070.44</v>
      </c>
      <c r="BV1532" s="1">
        <v>2096.2199999999998</v>
      </c>
      <c r="BW1532" s="1">
        <v>6166.66</v>
      </c>
      <c r="BX1532" s="1">
        <v>1176.71</v>
      </c>
      <c r="BY1532">
        <v>28.91</v>
      </c>
      <c r="BZ1532">
        <v>0</v>
      </c>
      <c r="CA1532">
        <v>0</v>
      </c>
      <c r="CB1532" s="1">
        <v>1001.41</v>
      </c>
      <c r="CC1532" t="s">
        <v>161</v>
      </c>
    </row>
    <row r="1533" spans="1:81" x14ac:dyDescent="0.25">
      <c r="A1533">
        <v>345</v>
      </c>
      <c r="B1533">
        <v>2</v>
      </c>
      <c r="C1533">
        <v>3859</v>
      </c>
      <c r="D1533" t="s">
        <v>8756</v>
      </c>
      <c r="E1533" t="s">
        <v>121</v>
      </c>
      <c r="F1533" t="s">
        <v>8757</v>
      </c>
      <c r="G1533" t="s">
        <v>8758</v>
      </c>
      <c r="H1533" t="s">
        <v>3700</v>
      </c>
      <c r="I1533" t="s">
        <v>8759</v>
      </c>
      <c r="J1533" t="s">
        <v>1263</v>
      </c>
      <c r="K1533" t="s">
        <v>466</v>
      </c>
      <c r="L1533" t="s">
        <v>128</v>
      </c>
      <c r="M1533" t="s">
        <v>467</v>
      </c>
      <c r="N1533" t="s">
        <v>8760</v>
      </c>
      <c r="O1533" t="s">
        <v>3115</v>
      </c>
      <c r="P1533">
        <v>0</v>
      </c>
      <c r="Q1533" t="s">
        <v>125</v>
      </c>
      <c r="R1533">
        <v>4</v>
      </c>
      <c r="S1533">
        <v>81</v>
      </c>
      <c r="T1533" t="s">
        <v>132</v>
      </c>
      <c r="U1533" t="s">
        <v>133</v>
      </c>
      <c r="V1533" s="1">
        <v>1000</v>
      </c>
      <c r="W1533">
        <v>0</v>
      </c>
      <c r="X1533" s="1">
        <v>1000</v>
      </c>
      <c r="Y1533">
        <v>7</v>
      </c>
      <c r="Z1533">
        <v>0</v>
      </c>
      <c r="AA1533">
        <v>0</v>
      </c>
      <c r="AB1533">
        <v>0</v>
      </c>
      <c r="AC1533">
        <v>0</v>
      </c>
      <c r="AD1533" t="s">
        <v>134</v>
      </c>
      <c r="AE1533" t="s">
        <v>134</v>
      </c>
      <c r="AF1533" s="2">
        <v>45957</v>
      </c>
      <c r="AG1533" s="2">
        <v>46006</v>
      </c>
      <c r="AH1533">
        <v>208.94</v>
      </c>
      <c r="AI1533">
        <v>369.24</v>
      </c>
      <c r="AJ1533">
        <v>626.84</v>
      </c>
      <c r="AK1533">
        <v>0</v>
      </c>
      <c r="AL1533">
        <v>0</v>
      </c>
      <c r="AM1533">
        <v>0</v>
      </c>
      <c r="AN1533" t="s">
        <v>135</v>
      </c>
      <c r="AO1533" t="s">
        <v>135</v>
      </c>
      <c r="AP1533" t="s">
        <v>136</v>
      </c>
      <c r="AQ1533" t="s">
        <v>137</v>
      </c>
      <c r="AR1533" t="s">
        <v>138</v>
      </c>
      <c r="AS1533" t="s">
        <v>150</v>
      </c>
      <c r="AT1533" t="s">
        <v>140</v>
      </c>
      <c r="AU1533">
        <v>106</v>
      </c>
      <c r="AV1533">
        <v>10</v>
      </c>
      <c r="AW1533">
        <v>1</v>
      </c>
      <c r="AX1533" s="2">
        <v>45962</v>
      </c>
      <c r="AY1533" t="s">
        <v>160</v>
      </c>
      <c r="AZ1533" s="2">
        <v>46025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 t="s">
        <v>135</v>
      </c>
      <c r="BH1533" t="s">
        <v>250</v>
      </c>
      <c r="BI1533" t="s">
        <v>135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224.6</v>
      </c>
      <c r="BQ1533">
        <v>224.6</v>
      </c>
      <c r="BR1533">
        <v>0</v>
      </c>
      <c r="BS1533">
        <v>0</v>
      </c>
      <c r="BT1533">
        <v>0</v>
      </c>
      <c r="BU1533">
        <v>0</v>
      </c>
      <c r="BV1533">
        <v>402.24</v>
      </c>
      <c r="BW1533">
        <v>402.24</v>
      </c>
      <c r="BX1533">
        <v>0</v>
      </c>
      <c r="BY1533">
        <v>0</v>
      </c>
      <c r="BZ1533">
        <v>0</v>
      </c>
      <c r="CA1533">
        <v>0</v>
      </c>
      <c r="CB1533">
        <v>74.86</v>
      </c>
      <c r="CC1533" t="s">
        <v>161</v>
      </c>
    </row>
    <row r="1534" spans="1:81" x14ac:dyDescent="0.25">
      <c r="A1534">
        <v>345</v>
      </c>
      <c r="B1534">
        <v>2</v>
      </c>
      <c r="C1534">
        <v>3860</v>
      </c>
      <c r="D1534" t="s">
        <v>8761</v>
      </c>
      <c r="E1534" t="s">
        <v>121</v>
      </c>
      <c r="F1534" t="s">
        <v>3789</v>
      </c>
      <c r="G1534" t="s">
        <v>8762</v>
      </c>
      <c r="H1534" t="s">
        <v>5763</v>
      </c>
      <c r="I1534" t="s">
        <v>8763</v>
      </c>
      <c r="J1534" t="s">
        <v>126</v>
      </c>
      <c r="K1534" t="s">
        <v>1853</v>
      </c>
      <c r="L1534" t="s">
        <v>128</v>
      </c>
      <c r="M1534" t="s">
        <v>1854</v>
      </c>
      <c r="N1534" t="s">
        <v>8764</v>
      </c>
      <c r="O1534" t="s">
        <v>167</v>
      </c>
      <c r="P1534">
        <v>0</v>
      </c>
      <c r="Q1534" t="s">
        <v>125</v>
      </c>
      <c r="R1534">
        <v>4</v>
      </c>
      <c r="S1534">
        <v>81</v>
      </c>
      <c r="T1534" t="s">
        <v>132</v>
      </c>
      <c r="U1534" t="s">
        <v>133</v>
      </c>
      <c r="V1534" s="1">
        <v>1000</v>
      </c>
      <c r="W1534">
        <v>0</v>
      </c>
      <c r="X1534" s="1">
        <v>1000</v>
      </c>
      <c r="Y1534">
        <v>7</v>
      </c>
      <c r="Z1534">
        <v>0</v>
      </c>
      <c r="AA1534">
        <v>0</v>
      </c>
      <c r="AB1534">
        <v>0</v>
      </c>
      <c r="AC1534">
        <v>0</v>
      </c>
      <c r="AD1534" t="s">
        <v>134</v>
      </c>
      <c r="AE1534" t="s">
        <v>134</v>
      </c>
      <c r="AF1534" s="2">
        <v>45957</v>
      </c>
      <c r="AG1534" s="2">
        <v>46015</v>
      </c>
      <c r="AH1534">
        <v>604.87</v>
      </c>
      <c r="AI1534" s="1">
        <v>1551.98</v>
      </c>
      <c r="AJ1534" s="1">
        <v>2419.5</v>
      </c>
      <c r="AK1534">
        <v>0</v>
      </c>
      <c r="AL1534">
        <v>0</v>
      </c>
      <c r="AM1534">
        <v>0</v>
      </c>
      <c r="AN1534" t="s">
        <v>135</v>
      </c>
      <c r="AO1534" t="s">
        <v>135</v>
      </c>
      <c r="AP1534" t="s">
        <v>136</v>
      </c>
      <c r="AQ1534" t="s">
        <v>137</v>
      </c>
      <c r="AR1534" t="s">
        <v>138</v>
      </c>
      <c r="AS1534" t="s">
        <v>150</v>
      </c>
      <c r="AT1534" t="s">
        <v>140</v>
      </c>
      <c r="AU1534">
        <v>106</v>
      </c>
      <c r="AV1534">
        <v>10</v>
      </c>
      <c r="AW1534">
        <v>1</v>
      </c>
      <c r="AX1534" s="2">
        <v>45958</v>
      </c>
      <c r="AY1534" t="s">
        <v>377</v>
      </c>
      <c r="AZ1534" s="2">
        <v>46028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 t="s">
        <v>135</v>
      </c>
      <c r="BH1534" t="s">
        <v>250</v>
      </c>
      <c r="BI1534" t="s">
        <v>135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867.52</v>
      </c>
      <c r="BQ1534">
        <v>867.52</v>
      </c>
      <c r="BR1534">
        <v>0</v>
      </c>
      <c r="BS1534">
        <v>0</v>
      </c>
      <c r="BT1534">
        <v>0</v>
      </c>
      <c r="BU1534">
        <v>0</v>
      </c>
      <c r="BV1534" s="1">
        <v>1551.98</v>
      </c>
      <c r="BW1534" s="1">
        <v>1551.98</v>
      </c>
      <c r="BX1534">
        <v>0</v>
      </c>
      <c r="BY1534">
        <v>0</v>
      </c>
      <c r="BZ1534">
        <v>0</v>
      </c>
      <c r="CA1534">
        <v>0</v>
      </c>
      <c r="CB1534">
        <v>289.17</v>
      </c>
      <c r="CC1534" t="s">
        <v>161</v>
      </c>
    </row>
    <row r="1535" spans="1:81" x14ac:dyDescent="0.25">
      <c r="A1535">
        <v>345</v>
      </c>
      <c r="B1535">
        <v>2</v>
      </c>
      <c r="C1535">
        <v>3862</v>
      </c>
      <c r="D1535" t="s">
        <v>8765</v>
      </c>
      <c r="E1535" t="s">
        <v>121</v>
      </c>
      <c r="F1535" t="s">
        <v>8766</v>
      </c>
      <c r="G1535" t="s">
        <v>8767</v>
      </c>
      <c r="H1535" t="s">
        <v>8768</v>
      </c>
      <c r="I1535" t="s">
        <v>7536</v>
      </c>
      <c r="J1535" t="s">
        <v>4247</v>
      </c>
      <c r="K1535" t="s">
        <v>4248</v>
      </c>
      <c r="L1535" t="s">
        <v>128</v>
      </c>
      <c r="M1535" t="s">
        <v>1325</v>
      </c>
      <c r="N1535" t="s">
        <v>8769</v>
      </c>
      <c r="O1535" t="s">
        <v>159</v>
      </c>
      <c r="P1535">
        <v>0</v>
      </c>
      <c r="Q1535" t="s">
        <v>125</v>
      </c>
      <c r="R1535">
        <v>3</v>
      </c>
      <c r="S1535">
        <v>83</v>
      </c>
      <c r="T1535" t="s">
        <v>132</v>
      </c>
      <c r="U1535" t="s">
        <v>133</v>
      </c>
      <c r="V1535" s="1">
        <v>2000</v>
      </c>
      <c r="W1535">
        <v>0</v>
      </c>
      <c r="X1535" s="1">
        <v>2000</v>
      </c>
      <c r="Y1535">
        <v>7</v>
      </c>
      <c r="Z1535">
        <v>0</v>
      </c>
      <c r="AA1535">
        <v>0</v>
      </c>
      <c r="AB1535">
        <v>0</v>
      </c>
      <c r="AC1535">
        <v>0</v>
      </c>
      <c r="AD1535" t="s">
        <v>134</v>
      </c>
      <c r="AE1535" t="s">
        <v>134</v>
      </c>
      <c r="AF1535" s="2">
        <v>45958</v>
      </c>
      <c r="AG1535" s="2">
        <v>46011</v>
      </c>
      <c r="AH1535">
        <v>737.89</v>
      </c>
      <c r="AI1535" s="1">
        <v>1696.72</v>
      </c>
      <c r="AJ1535" s="1">
        <v>3689.49</v>
      </c>
      <c r="AK1535">
        <v>0</v>
      </c>
      <c r="AL1535">
        <v>0</v>
      </c>
      <c r="AM1535">
        <v>0</v>
      </c>
      <c r="AN1535" t="s">
        <v>135</v>
      </c>
      <c r="AO1535" t="s">
        <v>135</v>
      </c>
      <c r="AP1535" t="s">
        <v>136</v>
      </c>
      <c r="AQ1535" t="s">
        <v>137</v>
      </c>
      <c r="AR1535" t="s">
        <v>138</v>
      </c>
      <c r="AS1535" t="s">
        <v>139</v>
      </c>
      <c r="AT1535" t="s">
        <v>140</v>
      </c>
      <c r="AU1535">
        <v>104</v>
      </c>
      <c r="AV1535">
        <v>10</v>
      </c>
      <c r="AW1535">
        <v>1</v>
      </c>
      <c r="AX1535" s="2">
        <v>45960</v>
      </c>
      <c r="AY1535" t="s">
        <v>308</v>
      </c>
      <c r="AZ1535" s="2">
        <v>46023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 t="s">
        <v>135</v>
      </c>
      <c r="BH1535" t="s">
        <v>250</v>
      </c>
      <c r="BI1535" t="s">
        <v>135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 s="1">
        <v>1959.06</v>
      </c>
      <c r="BQ1535" s="1">
        <v>1959.06</v>
      </c>
      <c r="BR1535">
        <v>0</v>
      </c>
      <c r="BS1535">
        <v>0</v>
      </c>
      <c r="BT1535">
        <v>0</v>
      </c>
      <c r="BU1535">
        <v>0</v>
      </c>
      <c r="BV1535" s="1">
        <v>1730.43</v>
      </c>
      <c r="BW1535" s="1">
        <v>1730.43</v>
      </c>
      <c r="BX1535">
        <v>0</v>
      </c>
      <c r="BY1535">
        <v>0</v>
      </c>
      <c r="BZ1535">
        <v>0</v>
      </c>
      <c r="CA1535">
        <v>0</v>
      </c>
      <c r="CB1535">
        <v>653.02</v>
      </c>
      <c r="CC1535" t="s">
        <v>161</v>
      </c>
    </row>
    <row r="1536" spans="1:81" x14ac:dyDescent="0.25">
      <c r="A1536">
        <v>345</v>
      </c>
      <c r="B1536">
        <v>2</v>
      </c>
      <c r="C1536">
        <v>3863</v>
      </c>
      <c r="D1536" t="s">
        <v>8770</v>
      </c>
      <c r="E1536" t="s">
        <v>121</v>
      </c>
      <c r="F1536" t="s">
        <v>8771</v>
      </c>
      <c r="G1536" t="s">
        <v>8772</v>
      </c>
      <c r="H1536" t="s">
        <v>8773</v>
      </c>
      <c r="I1536" t="s">
        <v>8774</v>
      </c>
      <c r="J1536" t="s">
        <v>4569</v>
      </c>
      <c r="K1536" t="s">
        <v>336</v>
      </c>
      <c r="L1536" t="s">
        <v>128</v>
      </c>
      <c r="M1536" t="s">
        <v>337</v>
      </c>
      <c r="N1536" t="s">
        <v>8775</v>
      </c>
      <c r="O1536" t="s">
        <v>201</v>
      </c>
      <c r="P1536">
        <v>0</v>
      </c>
      <c r="Q1536" t="s">
        <v>125</v>
      </c>
      <c r="R1536">
        <v>3</v>
      </c>
      <c r="S1536">
        <v>86</v>
      </c>
      <c r="T1536" t="s">
        <v>132</v>
      </c>
      <c r="U1536" t="s">
        <v>133</v>
      </c>
      <c r="V1536" s="1">
        <v>1700</v>
      </c>
      <c r="W1536">
        <v>0</v>
      </c>
      <c r="X1536" s="1">
        <v>1700</v>
      </c>
      <c r="Y1536">
        <v>7</v>
      </c>
      <c r="Z1536">
        <v>0</v>
      </c>
      <c r="AA1536">
        <v>0</v>
      </c>
      <c r="AB1536">
        <v>0</v>
      </c>
      <c r="AC1536">
        <v>0</v>
      </c>
      <c r="AD1536" t="s">
        <v>134</v>
      </c>
      <c r="AE1536" t="s">
        <v>134</v>
      </c>
      <c r="AF1536" s="2">
        <v>45959</v>
      </c>
      <c r="AG1536" s="2">
        <v>46002</v>
      </c>
      <c r="AH1536">
        <v>944.42</v>
      </c>
      <c r="AI1536" s="1">
        <v>1440.86</v>
      </c>
      <c r="AJ1536" s="1">
        <v>3777.68</v>
      </c>
      <c r="AK1536">
        <v>0</v>
      </c>
      <c r="AL1536">
        <v>0</v>
      </c>
      <c r="AM1536">
        <v>0</v>
      </c>
      <c r="AN1536" t="s">
        <v>135</v>
      </c>
      <c r="AO1536" t="s">
        <v>135</v>
      </c>
      <c r="AP1536" t="s">
        <v>136</v>
      </c>
      <c r="AQ1536" t="s">
        <v>137</v>
      </c>
      <c r="AR1536" t="s">
        <v>138</v>
      </c>
      <c r="AS1536" t="s">
        <v>139</v>
      </c>
      <c r="AT1536" t="s">
        <v>140</v>
      </c>
      <c r="AU1536">
        <v>101</v>
      </c>
      <c r="AV1536">
        <v>10</v>
      </c>
      <c r="AW1536">
        <v>1</v>
      </c>
      <c r="AX1536" s="2">
        <v>45973</v>
      </c>
      <c r="AY1536" t="s">
        <v>168</v>
      </c>
      <c r="AZ1536" s="2">
        <v>46022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 t="s">
        <v>135</v>
      </c>
      <c r="BH1536" t="s">
        <v>250</v>
      </c>
      <c r="BI1536" t="s">
        <v>135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 s="1">
        <v>2414.8200000000002</v>
      </c>
      <c r="BQ1536" s="1">
        <v>2414.8200000000002</v>
      </c>
      <c r="BR1536">
        <v>0</v>
      </c>
      <c r="BS1536">
        <v>0</v>
      </c>
      <c r="BT1536">
        <v>0</v>
      </c>
      <c r="BU1536">
        <v>0</v>
      </c>
      <c r="BV1536" s="1">
        <v>1362.86</v>
      </c>
      <c r="BW1536" s="1">
        <v>1362.86</v>
      </c>
      <c r="BX1536">
        <v>0</v>
      </c>
      <c r="BY1536">
        <v>0</v>
      </c>
      <c r="BZ1536">
        <v>0</v>
      </c>
      <c r="CA1536">
        <v>0</v>
      </c>
      <c r="CB1536">
        <v>804.94</v>
      </c>
      <c r="CC1536" t="s">
        <v>161</v>
      </c>
    </row>
    <row r="1537" spans="1:81" x14ac:dyDescent="0.25">
      <c r="A1537">
        <v>345</v>
      </c>
      <c r="B1537">
        <v>2</v>
      </c>
      <c r="C1537">
        <v>3864</v>
      </c>
      <c r="D1537" t="s">
        <v>8776</v>
      </c>
      <c r="E1537" t="s">
        <v>121</v>
      </c>
      <c r="F1537" t="s">
        <v>8777</v>
      </c>
      <c r="G1537" t="s">
        <v>8778</v>
      </c>
      <c r="H1537" t="s">
        <v>8779</v>
      </c>
      <c r="I1537" t="s">
        <v>3564</v>
      </c>
      <c r="J1537" t="s">
        <v>1861</v>
      </c>
      <c r="K1537" t="s">
        <v>336</v>
      </c>
      <c r="L1537" t="s">
        <v>128</v>
      </c>
      <c r="M1537" t="s">
        <v>337</v>
      </c>
      <c r="N1537" t="s">
        <v>8780</v>
      </c>
      <c r="O1537" t="s">
        <v>131</v>
      </c>
      <c r="P1537">
        <v>0</v>
      </c>
      <c r="Q1537" t="s">
        <v>125</v>
      </c>
      <c r="R1537">
        <v>3</v>
      </c>
      <c r="S1537">
        <v>85</v>
      </c>
      <c r="T1537" t="s">
        <v>132</v>
      </c>
      <c r="U1537" t="s">
        <v>133</v>
      </c>
      <c r="V1537" s="1">
        <v>1000</v>
      </c>
      <c r="W1537">
        <v>0</v>
      </c>
      <c r="X1537" s="1">
        <v>1000</v>
      </c>
      <c r="Y1537">
        <v>7</v>
      </c>
      <c r="Z1537">
        <v>0</v>
      </c>
      <c r="AA1537">
        <v>7</v>
      </c>
      <c r="AB1537">
        <v>0</v>
      </c>
      <c r="AC1537">
        <v>0</v>
      </c>
      <c r="AD1537" t="s">
        <v>134</v>
      </c>
      <c r="AE1537" t="s">
        <v>134</v>
      </c>
      <c r="AF1537" s="2">
        <v>45959</v>
      </c>
      <c r="AG1537" s="2">
        <v>46018</v>
      </c>
      <c r="AH1537">
        <v>111.47</v>
      </c>
      <c r="AI1537">
        <v>160.44</v>
      </c>
      <c r="AJ1537">
        <v>668.84</v>
      </c>
      <c r="AK1537">
        <v>0</v>
      </c>
      <c r="AL1537">
        <v>0</v>
      </c>
      <c r="AM1537">
        <v>0</v>
      </c>
      <c r="AN1537" t="s">
        <v>135</v>
      </c>
      <c r="AO1537" t="s">
        <v>135</v>
      </c>
      <c r="AP1537" t="s">
        <v>136</v>
      </c>
      <c r="AQ1537" t="s">
        <v>137</v>
      </c>
      <c r="AR1537" t="s">
        <v>138</v>
      </c>
      <c r="AS1537" t="s">
        <v>150</v>
      </c>
      <c r="AT1537" t="s">
        <v>140</v>
      </c>
      <c r="AU1537">
        <v>101</v>
      </c>
      <c r="AV1537">
        <v>10</v>
      </c>
      <c r="AW1537">
        <v>1</v>
      </c>
      <c r="AX1537" s="2">
        <v>45959</v>
      </c>
      <c r="AY1537" t="s">
        <v>168</v>
      </c>
      <c r="AZ1537" s="2">
        <v>46022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 t="s">
        <v>135</v>
      </c>
      <c r="BH1537" t="s">
        <v>250</v>
      </c>
      <c r="BI1537" t="s">
        <v>135</v>
      </c>
      <c r="BJ1537">
        <v>0</v>
      </c>
      <c r="BK1537">
        <v>0</v>
      </c>
      <c r="BL1537">
        <v>0</v>
      </c>
      <c r="BM1537">
        <v>7</v>
      </c>
      <c r="BN1537">
        <v>3.55</v>
      </c>
      <c r="BO1537">
        <v>113.75</v>
      </c>
      <c r="BP1537">
        <v>110.78</v>
      </c>
      <c r="BQ1537">
        <v>224.53</v>
      </c>
      <c r="BR1537">
        <v>0</v>
      </c>
      <c r="BS1537">
        <v>0</v>
      </c>
      <c r="BT1537">
        <v>0</v>
      </c>
      <c r="BU1537">
        <v>0</v>
      </c>
      <c r="BV1537">
        <v>444.31</v>
      </c>
      <c r="BW1537">
        <v>444.31</v>
      </c>
      <c r="BX1537">
        <v>0</v>
      </c>
      <c r="BY1537">
        <v>0</v>
      </c>
      <c r="BZ1537">
        <v>0</v>
      </c>
      <c r="CA1537">
        <v>0</v>
      </c>
      <c r="CB1537">
        <v>74.84</v>
      </c>
      <c r="CC1537" t="s">
        <v>339</v>
      </c>
    </row>
    <row r="1538" spans="1:81" x14ac:dyDescent="0.25">
      <c r="A1538">
        <v>345</v>
      </c>
      <c r="B1538">
        <v>2</v>
      </c>
      <c r="C1538">
        <v>3865</v>
      </c>
      <c r="D1538" t="s">
        <v>8781</v>
      </c>
      <c r="E1538" t="s">
        <v>121</v>
      </c>
      <c r="F1538" t="s">
        <v>8782</v>
      </c>
      <c r="G1538" t="s">
        <v>8783</v>
      </c>
      <c r="H1538" t="s">
        <v>8784</v>
      </c>
      <c r="I1538" t="s">
        <v>8785</v>
      </c>
      <c r="J1538" t="s">
        <v>3311</v>
      </c>
      <c r="K1538" t="s">
        <v>466</v>
      </c>
      <c r="L1538" t="s">
        <v>128</v>
      </c>
      <c r="M1538" t="s">
        <v>467</v>
      </c>
      <c r="N1538" t="s">
        <v>8786</v>
      </c>
      <c r="O1538" t="s">
        <v>201</v>
      </c>
      <c r="P1538">
        <v>0</v>
      </c>
      <c r="Q1538" t="s">
        <v>125</v>
      </c>
      <c r="R1538">
        <v>4</v>
      </c>
      <c r="S1538">
        <v>77</v>
      </c>
      <c r="T1538" t="s">
        <v>132</v>
      </c>
      <c r="U1538" t="s">
        <v>133</v>
      </c>
      <c r="V1538">
        <v>863</v>
      </c>
      <c r="W1538">
        <v>815.67</v>
      </c>
      <c r="X1538">
        <v>47.33</v>
      </c>
      <c r="Y1538">
        <v>7</v>
      </c>
      <c r="Z1538">
        <v>0</v>
      </c>
      <c r="AA1538">
        <v>7</v>
      </c>
      <c r="AB1538">
        <v>14</v>
      </c>
      <c r="AC1538">
        <v>100</v>
      </c>
      <c r="AD1538" t="s">
        <v>134</v>
      </c>
      <c r="AE1538" t="s">
        <v>134</v>
      </c>
      <c r="AF1538" s="2">
        <v>45960</v>
      </c>
      <c r="AG1538" s="2">
        <v>46017</v>
      </c>
      <c r="AH1538">
        <v>591.64</v>
      </c>
      <c r="AI1538">
        <v>815.67</v>
      </c>
      <c r="AJ1538" s="1">
        <v>1774.92</v>
      </c>
      <c r="AK1538">
        <v>0</v>
      </c>
      <c r="AL1538">
        <v>815.67</v>
      </c>
      <c r="AM1538">
        <v>46.2</v>
      </c>
      <c r="AN1538" t="s">
        <v>135</v>
      </c>
      <c r="AO1538" t="s">
        <v>135</v>
      </c>
      <c r="AP1538" t="s">
        <v>136</v>
      </c>
      <c r="AQ1538" t="s">
        <v>137</v>
      </c>
      <c r="AR1538" t="s">
        <v>138</v>
      </c>
      <c r="AS1538" t="s">
        <v>150</v>
      </c>
      <c r="AT1538" t="s">
        <v>140</v>
      </c>
      <c r="AU1538">
        <v>100</v>
      </c>
      <c r="AV1538">
        <v>10</v>
      </c>
      <c r="AW1538">
        <v>1</v>
      </c>
      <c r="AX1538" s="2">
        <v>45966</v>
      </c>
      <c r="AY1538" t="s">
        <v>168</v>
      </c>
      <c r="AZ1538" s="2">
        <v>46022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 t="s">
        <v>135</v>
      </c>
      <c r="BH1538" t="s">
        <v>250</v>
      </c>
      <c r="BI1538" t="s">
        <v>135</v>
      </c>
      <c r="BJ1538">
        <v>0</v>
      </c>
      <c r="BK1538">
        <v>0</v>
      </c>
      <c r="BL1538">
        <v>0</v>
      </c>
      <c r="BM1538">
        <v>7</v>
      </c>
      <c r="BN1538">
        <v>7</v>
      </c>
      <c r="BO1538">
        <v>959.25</v>
      </c>
      <c r="BP1538">
        <v>0</v>
      </c>
      <c r="BQ1538">
        <v>959.25</v>
      </c>
      <c r="BR1538">
        <v>376.88</v>
      </c>
      <c r="BS1538">
        <v>7</v>
      </c>
      <c r="BT1538">
        <v>7</v>
      </c>
      <c r="BU1538">
        <v>815.67</v>
      </c>
      <c r="BV1538">
        <v>0</v>
      </c>
      <c r="BW1538">
        <v>815.67</v>
      </c>
      <c r="BX1538">
        <v>815.67</v>
      </c>
      <c r="BY1538">
        <v>100</v>
      </c>
      <c r="BZ1538">
        <v>0</v>
      </c>
      <c r="CA1538">
        <v>0</v>
      </c>
      <c r="CB1538">
        <v>319.75</v>
      </c>
      <c r="CC1538" t="s">
        <v>161</v>
      </c>
    </row>
    <row r="1539" spans="1:81" x14ac:dyDescent="0.25">
      <c r="A1539">
        <v>345</v>
      </c>
      <c r="B1539">
        <v>2</v>
      </c>
      <c r="C1539">
        <v>3866</v>
      </c>
      <c r="D1539" t="s">
        <v>8787</v>
      </c>
      <c r="E1539" t="s">
        <v>121</v>
      </c>
      <c r="F1539" t="s">
        <v>8788</v>
      </c>
      <c r="G1539" t="s">
        <v>8789</v>
      </c>
      <c r="H1539" t="s">
        <v>8790</v>
      </c>
      <c r="I1539" t="s">
        <v>8791</v>
      </c>
      <c r="J1539" t="s">
        <v>1556</v>
      </c>
      <c r="K1539" t="s">
        <v>473</v>
      </c>
      <c r="L1539" t="s">
        <v>128</v>
      </c>
      <c r="M1539" t="s">
        <v>474</v>
      </c>
      <c r="N1539" t="s">
        <v>8792</v>
      </c>
      <c r="O1539" t="s">
        <v>131</v>
      </c>
      <c r="P1539">
        <v>0</v>
      </c>
      <c r="Q1539" t="s">
        <v>125</v>
      </c>
      <c r="R1539">
        <v>3</v>
      </c>
      <c r="S1539">
        <v>85</v>
      </c>
      <c r="T1539" t="s">
        <v>132</v>
      </c>
      <c r="U1539" t="s">
        <v>133</v>
      </c>
      <c r="V1539" s="1">
        <v>1000</v>
      </c>
      <c r="W1539">
        <v>0</v>
      </c>
      <c r="X1539" s="1">
        <v>1000</v>
      </c>
      <c r="Y1539">
        <v>7</v>
      </c>
      <c r="Z1539">
        <v>0</v>
      </c>
      <c r="AA1539">
        <v>0</v>
      </c>
      <c r="AB1539">
        <v>0</v>
      </c>
      <c r="AC1539">
        <v>0</v>
      </c>
      <c r="AD1539" t="s">
        <v>134</v>
      </c>
      <c r="AE1539" t="s">
        <v>134</v>
      </c>
      <c r="AF1539" s="2">
        <v>45960</v>
      </c>
      <c r="AG1539" t="s">
        <v>135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 t="s">
        <v>135</v>
      </c>
      <c r="AO1539" t="s">
        <v>135</v>
      </c>
      <c r="AP1539" t="s">
        <v>136</v>
      </c>
      <c r="AQ1539" t="s">
        <v>137</v>
      </c>
      <c r="AR1539" t="s">
        <v>138</v>
      </c>
      <c r="AS1539" t="s">
        <v>139</v>
      </c>
      <c r="AT1539" t="s">
        <v>140</v>
      </c>
      <c r="AU1539">
        <v>102</v>
      </c>
      <c r="AV1539">
        <v>10</v>
      </c>
      <c r="AW1539">
        <v>1</v>
      </c>
      <c r="AX1539" s="2">
        <v>45960</v>
      </c>
      <c r="AY1539" t="s">
        <v>308</v>
      </c>
      <c r="AZ1539" s="2">
        <v>46023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 t="s">
        <v>135</v>
      </c>
      <c r="BH1539" t="s">
        <v>250</v>
      </c>
      <c r="BI1539" t="s">
        <v>135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 t="s">
        <v>161</v>
      </c>
    </row>
    <row r="1540" spans="1:81" x14ac:dyDescent="0.25">
      <c r="A1540">
        <v>345</v>
      </c>
      <c r="B1540">
        <v>2</v>
      </c>
      <c r="C1540">
        <v>3867</v>
      </c>
      <c r="D1540" t="s">
        <v>8793</v>
      </c>
      <c r="E1540" t="s">
        <v>121</v>
      </c>
      <c r="F1540" t="s">
        <v>8794</v>
      </c>
      <c r="G1540" t="s">
        <v>8795</v>
      </c>
      <c r="H1540" t="s">
        <v>8796</v>
      </c>
      <c r="I1540" t="s">
        <v>8797</v>
      </c>
      <c r="J1540" t="s">
        <v>3080</v>
      </c>
      <c r="K1540" t="s">
        <v>336</v>
      </c>
      <c r="L1540" t="s">
        <v>128</v>
      </c>
      <c r="M1540" t="s">
        <v>337</v>
      </c>
      <c r="N1540" t="s">
        <v>8798</v>
      </c>
      <c r="O1540" t="s">
        <v>167</v>
      </c>
      <c r="P1540">
        <v>0</v>
      </c>
      <c r="Q1540" t="s">
        <v>125</v>
      </c>
      <c r="R1540">
        <v>3</v>
      </c>
      <c r="S1540">
        <v>84</v>
      </c>
      <c r="T1540" t="s">
        <v>132</v>
      </c>
      <c r="U1540" t="s">
        <v>133</v>
      </c>
      <c r="V1540" s="1">
        <v>1800</v>
      </c>
      <c r="W1540">
        <v>437.72</v>
      </c>
      <c r="X1540" s="1">
        <v>1362.28</v>
      </c>
      <c r="Y1540">
        <v>7</v>
      </c>
      <c r="Z1540">
        <v>0</v>
      </c>
      <c r="AA1540">
        <v>7</v>
      </c>
      <c r="AB1540">
        <v>0</v>
      </c>
      <c r="AC1540">
        <v>0</v>
      </c>
      <c r="AD1540" t="s">
        <v>134</v>
      </c>
      <c r="AE1540" t="s">
        <v>134</v>
      </c>
      <c r="AF1540" s="2">
        <v>45965</v>
      </c>
      <c r="AG1540" s="2">
        <v>46017</v>
      </c>
      <c r="AH1540">
        <v>423.1</v>
      </c>
      <c r="AI1540">
        <v>437.72</v>
      </c>
      <c r="AJ1540">
        <v>846.21</v>
      </c>
      <c r="AK1540">
        <v>0</v>
      </c>
      <c r="AL1540">
        <v>437.72</v>
      </c>
      <c r="AM1540">
        <v>0</v>
      </c>
      <c r="AN1540" t="s">
        <v>135</v>
      </c>
      <c r="AO1540" t="s">
        <v>135</v>
      </c>
      <c r="AP1540" t="s">
        <v>136</v>
      </c>
      <c r="AQ1540" t="s">
        <v>137</v>
      </c>
      <c r="AR1540" t="s">
        <v>138</v>
      </c>
      <c r="AS1540" t="s">
        <v>139</v>
      </c>
      <c r="AT1540" t="s">
        <v>140</v>
      </c>
      <c r="AU1540">
        <v>100</v>
      </c>
      <c r="AV1540">
        <v>10</v>
      </c>
      <c r="AW1540">
        <v>1</v>
      </c>
      <c r="AX1540" s="2">
        <v>45965</v>
      </c>
      <c r="AY1540" t="s">
        <v>377</v>
      </c>
      <c r="AZ1540" s="2">
        <v>46028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 t="s">
        <v>135</v>
      </c>
      <c r="BH1540" t="s">
        <v>250</v>
      </c>
      <c r="BI1540" t="s">
        <v>135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7</v>
      </c>
      <c r="BT1540">
        <v>7</v>
      </c>
      <c r="BU1540">
        <v>846.21</v>
      </c>
      <c r="BV1540">
        <v>0</v>
      </c>
      <c r="BW1540">
        <v>846.21</v>
      </c>
      <c r="BX1540">
        <v>437.72</v>
      </c>
      <c r="BY1540">
        <v>51.73</v>
      </c>
      <c r="BZ1540">
        <v>0</v>
      </c>
      <c r="CA1540">
        <v>0</v>
      </c>
      <c r="CB1540">
        <v>0</v>
      </c>
      <c r="CC1540" t="s">
        <v>161</v>
      </c>
    </row>
    <row r="1541" spans="1:81" x14ac:dyDescent="0.25">
      <c r="A1541">
        <v>345</v>
      </c>
      <c r="B1541">
        <v>2</v>
      </c>
      <c r="C1541">
        <v>3868</v>
      </c>
      <c r="D1541" t="s">
        <v>8799</v>
      </c>
      <c r="E1541" t="s">
        <v>121</v>
      </c>
      <c r="F1541" t="s">
        <v>8800</v>
      </c>
      <c r="G1541" t="s">
        <v>8801</v>
      </c>
      <c r="H1541" t="s">
        <v>8802</v>
      </c>
      <c r="I1541" t="s">
        <v>8803</v>
      </c>
      <c r="J1541" t="s">
        <v>1263</v>
      </c>
      <c r="K1541" t="s">
        <v>466</v>
      </c>
      <c r="L1541" t="s">
        <v>128</v>
      </c>
      <c r="M1541" t="s">
        <v>467</v>
      </c>
      <c r="N1541" t="s">
        <v>8804</v>
      </c>
      <c r="O1541" t="s">
        <v>3115</v>
      </c>
      <c r="P1541">
        <v>0</v>
      </c>
      <c r="Q1541" t="s">
        <v>125</v>
      </c>
      <c r="R1541">
        <v>3</v>
      </c>
      <c r="S1541">
        <v>85</v>
      </c>
      <c r="T1541" t="s">
        <v>132</v>
      </c>
      <c r="U1541" t="s">
        <v>133</v>
      </c>
      <c r="V1541" s="1">
        <v>1000</v>
      </c>
      <c r="W1541">
        <v>0</v>
      </c>
      <c r="X1541" s="1">
        <v>1000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134</v>
      </c>
      <c r="AE1541" t="s">
        <v>134</v>
      </c>
      <c r="AF1541" s="2">
        <v>45966</v>
      </c>
      <c r="AG1541" t="s">
        <v>135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 t="s">
        <v>135</v>
      </c>
      <c r="AO1541" t="s">
        <v>135</v>
      </c>
      <c r="AP1541" t="s">
        <v>136</v>
      </c>
      <c r="AQ1541" t="s">
        <v>137</v>
      </c>
      <c r="AR1541" t="s">
        <v>138</v>
      </c>
      <c r="AS1541" t="s">
        <v>139</v>
      </c>
      <c r="AT1541" t="s">
        <v>140</v>
      </c>
      <c r="AU1541">
        <v>500</v>
      </c>
      <c r="AV1541">
        <v>10</v>
      </c>
      <c r="AW1541">
        <v>1</v>
      </c>
      <c r="AX1541" s="2">
        <v>45972</v>
      </c>
      <c r="AY1541" t="s">
        <v>377</v>
      </c>
      <c r="AZ1541" s="2">
        <v>46028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 t="s">
        <v>135</v>
      </c>
      <c r="BH1541" t="s">
        <v>250</v>
      </c>
      <c r="BI1541" t="s">
        <v>135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 t="s">
        <v>161</v>
      </c>
    </row>
    <row r="1542" spans="1:81" x14ac:dyDescent="0.25">
      <c r="A1542">
        <v>345</v>
      </c>
      <c r="B1542">
        <v>2</v>
      </c>
      <c r="C1542">
        <v>3869</v>
      </c>
      <c r="D1542" t="s">
        <v>8805</v>
      </c>
      <c r="E1542" t="s">
        <v>121</v>
      </c>
      <c r="F1542" t="s">
        <v>8806</v>
      </c>
      <c r="G1542" t="s">
        <v>8807</v>
      </c>
      <c r="H1542" t="s">
        <v>5930</v>
      </c>
      <c r="I1542" t="s">
        <v>8808</v>
      </c>
      <c r="J1542" t="s">
        <v>5932</v>
      </c>
      <c r="K1542" t="s">
        <v>336</v>
      </c>
      <c r="L1542" t="s">
        <v>128</v>
      </c>
      <c r="M1542" t="s">
        <v>337</v>
      </c>
      <c r="N1542" t="s">
        <v>8809</v>
      </c>
      <c r="O1542" t="s">
        <v>619</v>
      </c>
      <c r="P1542">
        <v>0</v>
      </c>
      <c r="Q1542" t="s">
        <v>125</v>
      </c>
      <c r="R1542">
        <v>3</v>
      </c>
      <c r="S1542">
        <v>86</v>
      </c>
      <c r="T1542" t="s">
        <v>132</v>
      </c>
      <c r="U1542" t="s">
        <v>133</v>
      </c>
      <c r="V1542" s="1">
        <v>1600</v>
      </c>
      <c r="W1542">
        <v>0</v>
      </c>
      <c r="X1542" s="1">
        <v>1600</v>
      </c>
      <c r="Y1542">
        <v>7</v>
      </c>
      <c r="Z1542">
        <v>0</v>
      </c>
      <c r="AA1542">
        <v>7</v>
      </c>
      <c r="AB1542">
        <v>0</v>
      </c>
      <c r="AC1542">
        <v>0</v>
      </c>
      <c r="AD1542" t="s">
        <v>134</v>
      </c>
      <c r="AE1542" t="s">
        <v>134</v>
      </c>
      <c r="AF1542" s="2">
        <v>45966</v>
      </c>
      <c r="AG1542" s="2">
        <v>46002</v>
      </c>
      <c r="AH1542">
        <v>196.16</v>
      </c>
      <c r="AI1542">
        <v>196.16</v>
      </c>
      <c r="AJ1542">
        <v>196.16</v>
      </c>
      <c r="AK1542">
        <v>0</v>
      </c>
      <c r="AL1542">
        <v>0</v>
      </c>
      <c r="AM1542">
        <v>0</v>
      </c>
      <c r="AN1542" t="s">
        <v>135</v>
      </c>
      <c r="AO1542" t="s">
        <v>135</v>
      </c>
      <c r="AP1542" t="s">
        <v>136</v>
      </c>
      <c r="AQ1542" t="s">
        <v>137</v>
      </c>
      <c r="AR1542" t="s">
        <v>138</v>
      </c>
      <c r="AS1542" t="s">
        <v>139</v>
      </c>
      <c r="AT1542" t="s">
        <v>140</v>
      </c>
      <c r="AU1542">
        <v>101</v>
      </c>
      <c r="AV1542">
        <v>10</v>
      </c>
      <c r="AW1542">
        <v>1</v>
      </c>
      <c r="AX1542" s="2">
        <v>45966</v>
      </c>
      <c r="AY1542" t="s">
        <v>168</v>
      </c>
      <c r="AZ1542" s="2">
        <v>46022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 t="s">
        <v>135</v>
      </c>
      <c r="BH1542" t="s">
        <v>250</v>
      </c>
      <c r="BI1542" t="s">
        <v>135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7</v>
      </c>
      <c r="BT1542">
        <v>7</v>
      </c>
      <c r="BU1542">
        <v>196.16</v>
      </c>
      <c r="BV1542">
        <v>0</v>
      </c>
      <c r="BW1542">
        <v>196.16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 t="s">
        <v>161</v>
      </c>
    </row>
    <row r="1543" spans="1:81" x14ac:dyDescent="0.25">
      <c r="A1543">
        <v>345</v>
      </c>
      <c r="B1543">
        <v>2</v>
      </c>
      <c r="C1543">
        <v>3871</v>
      </c>
      <c r="D1543" t="s">
        <v>8810</v>
      </c>
      <c r="E1543" t="s">
        <v>121</v>
      </c>
      <c r="F1543" t="s">
        <v>8811</v>
      </c>
      <c r="G1543" t="s">
        <v>8812</v>
      </c>
      <c r="H1543" t="s">
        <v>8813</v>
      </c>
      <c r="I1543" t="s">
        <v>8814</v>
      </c>
      <c r="J1543" t="s">
        <v>1021</v>
      </c>
      <c r="K1543" t="s">
        <v>473</v>
      </c>
      <c r="L1543" t="s">
        <v>128</v>
      </c>
      <c r="M1543" t="s">
        <v>474</v>
      </c>
      <c r="N1543" t="s">
        <v>8815</v>
      </c>
      <c r="O1543" t="s">
        <v>8816</v>
      </c>
      <c r="P1543">
        <v>0</v>
      </c>
      <c r="Q1543" t="s">
        <v>125</v>
      </c>
      <c r="R1543">
        <v>5</v>
      </c>
      <c r="S1543">
        <v>59</v>
      </c>
      <c r="T1543" t="s">
        <v>132</v>
      </c>
      <c r="U1543" t="s">
        <v>133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134</v>
      </c>
      <c r="AE1543" t="s">
        <v>134</v>
      </c>
      <c r="AF1543" s="2">
        <v>45967</v>
      </c>
      <c r="AG1543" t="s">
        <v>135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 t="s">
        <v>135</v>
      </c>
      <c r="AO1543" t="s">
        <v>135</v>
      </c>
      <c r="AP1543" t="s">
        <v>136</v>
      </c>
      <c r="AQ1543" t="s">
        <v>137</v>
      </c>
      <c r="AR1543" t="s">
        <v>138</v>
      </c>
      <c r="AS1543" t="s">
        <v>139</v>
      </c>
      <c r="AT1543" t="s">
        <v>140</v>
      </c>
      <c r="AU1543">
        <v>102</v>
      </c>
      <c r="AV1543">
        <v>10</v>
      </c>
      <c r="AW1543">
        <v>1</v>
      </c>
      <c r="AX1543" s="2">
        <v>45972</v>
      </c>
      <c r="AY1543" t="s">
        <v>377</v>
      </c>
      <c r="AZ1543" s="2">
        <v>46028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 t="s">
        <v>135</v>
      </c>
      <c r="BH1543" t="s">
        <v>250</v>
      </c>
      <c r="BI1543" t="s">
        <v>135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 t="s">
        <v>161</v>
      </c>
    </row>
    <row r="1544" spans="1:81" x14ac:dyDescent="0.25">
      <c r="A1544">
        <v>345</v>
      </c>
      <c r="B1544">
        <v>2</v>
      </c>
      <c r="C1544">
        <v>3872</v>
      </c>
      <c r="D1544" t="s">
        <v>8817</v>
      </c>
      <c r="E1544" t="s">
        <v>121</v>
      </c>
      <c r="F1544" t="s">
        <v>8818</v>
      </c>
      <c r="G1544" t="s">
        <v>8819</v>
      </c>
      <c r="H1544" t="s">
        <v>8820</v>
      </c>
      <c r="I1544" t="s">
        <v>8821</v>
      </c>
      <c r="J1544" t="s">
        <v>8588</v>
      </c>
      <c r="K1544" t="s">
        <v>127</v>
      </c>
      <c r="L1544" t="s">
        <v>128</v>
      </c>
      <c r="M1544" t="s">
        <v>129</v>
      </c>
      <c r="N1544" t="s">
        <v>8822</v>
      </c>
      <c r="O1544" t="s">
        <v>149</v>
      </c>
      <c r="P1544">
        <v>0</v>
      </c>
      <c r="Q1544" t="s">
        <v>125</v>
      </c>
      <c r="R1544">
        <v>3</v>
      </c>
      <c r="S1544">
        <v>85</v>
      </c>
      <c r="T1544" t="s">
        <v>132</v>
      </c>
      <c r="U1544" t="s">
        <v>133</v>
      </c>
      <c r="V1544" s="1">
        <v>1000</v>
      </c>
      <c r="W1544">
        <v>197.84</v>
      </c>
      <c r="X1544">
        <v>802.16</v>
      </c>
      <c r="Y1544">
        <v>7</v>
      </c>
      <c r="Z1544">
        <v>0</v>
      </c>
      <c r="AA1544">
        <v>9</v>
      </c>
      <c r="AB1544">
        <v>0</v>
      </c>
      <c r="AC1544">
        <v>0</v>
      </c>
      <c r="AD1544" t="s">
        <v>134</v>
      </c>
      <c r="AE1544" t="s">
        <v>134</v>
      </c>
      <c r="AF1544" s="2">
        <v>45967</v>
      </c>
      <c r="AG1544" s="2">
        <v>46018</v>
      </c>
      <c r="AH1544">
        <v>261.02999999999997</v>
      </c>
      <c r="AI1544">
        <v>324.22000000000003</v>
      </c>
      <c r="AJ1544">
        <v>522.05999999999995</v>
      </c>
      <c r="AK1544">
        <v>0</v>
      </c>
      <c r="AL1544">
        <v>197.84</v>
      </c>
      <c r="AM1544">
        <v>0</v>
      </c>
      <c r="AN1544" t="s">
        <v>135</v>
      </c>
      <c r="AO1544" t="s">
        <v>135</v>
      </c>
      <c r="AP1544" t="s">
        <v>136</v>
      </c>
      <c r="AQ1544" t="s">
        <v>137</v>
      </c>
      <c r="AR1544" t="s">
        <v>138</v>
      </c>
      <c r="AS1544" t="s">
        <v>139</v>
      </c>
      <c r="AT1544" t="s">
        <v>140</v>
      </c>
      <c r="AU1544">
        <v>102</v>
      </c>
      <c r="AV1544">
        <v>10</v>
      </c>
      <c r="AW1544">
        <v>1</v>
      </c>
      <c r="AX1544" s="2">
        <v>46008</v>
      </c>
      <c r="AY1544" t="s">
        <v>168</v>
      </c>
      <c r="AZ1544" s="2">
        <v>46022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 t="s">
        <v>135</v>
      </c>
      <c r="BH1544" t="s">
        <v>250</v>
      </c>
      <c r="BI1544" t="s">
        <v>135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6.52</v>
      </c>
      <c r="BT1544">
        <v>6.52</v>
      </c>
      <c r="BU1544">
        <v>522.05999999999995</v>
      </c>
      <c r="BV1544">
        <v>0</v>
      </c>
      <c r="BW1544">
        <v>522.05999999999995</v>
      </c>
      <c r="BX1544">
        <v>197.84</v>
      </c>
      <c r="BY1544">
        <v>37.9</v>
      </c>
      <c r="BZ1544">
        <v>0</v>
      </c>
      <c r="CA1544">
        <v>0</v>
      </c>
      <c r="CB1544">
        <v>0</v>
      </c>
      <c r="CC1544" t="s">
        <v>161</v>
      </c>
    </row>
    <row r="1545" spans="1:81" x14ac:dyDescent="0.25">
      <c r="A1545">
        <v>345</v>
      </c>
      <c r="B1545">
        <v>2</v>
      </c>
      <c r="C1545">
        <v>3873</v>
      </c>
      <c r="D1545" t="s">
        <v>8823</v>
      </c>
      <c r="E1545" t="s">
        <v>121</v>
      </c>
      <c r="F1545" t="s">
        <v>8824</v>
      </c>
      <c r="G1545" t="s">
        <v>8825</v>
      </c>
      <c r="H1545" t="s">
        <v>7225</v>
      </c>
      <c r="I1545" t="s">
        <v>8826</v>
      </c>
      <c r="J1545" t="s">
        <v>1263</v>
      </c>
      <c r="K1545" t="s">
        <v>466</v>
      </c>
      <c r="L1545" t="s">
        <v>128</v>
      </c>
      <c r="M1545" t="s">
        <v>467</v>
      </c>
      <c r="N1545" t="s">
        <v>8827</v>
      </c>
      <c r="O1545" t="s">
        <v>1146</v>
      </c>
      <c r="P1545">
        <v>0</v>
      </c>
      <c r="Q1545" t="s">
        <v>125</v>
      </c>
      <c r="R1545">
        <v>3</v>
      </c>
      <c r="S1545">
        <v>84</v>
      </c>
      <c r="T1545" t="s">
        <v>132</v>
      </c>
      <c r="U1545" t="s">
        <v>133</v>
      </c>
      <c r="V1545" s="1">
        <v>5000</v>
      </c>
      <c r="W1545">
        <v>0</v>
      </c>
      <c r="X1545" s="1">
        <v>5000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234</v>
      </c>
      <c r="AE1545" t="s">
        <v>134</v>
      </c>
      <c r="AF1545" s="2">
        <v>45968</v>
      </c>
      <c r="AG1545" s="2">
        <v>45975</v>
      </c>
      <c r="AH1545" s="1">
        <v>4188.8</v>
      </c>
      <c r="AI1545" s="1">
        <v>4188.8</v>
      </c>
      <c r="AJ1545" s="1">
        <v>4188.8</v>
      </c>
      <c r="AK1545">
        <v>0</v>
      </c>
      <c r="AL1545">
        <v>0</v>
      </c>
      <c r="AM1545">
        <v>0</v>
      </c>
      <c r="AN1545" t="s">
        <v>135</v>
      </c>
      <c r="AO1545" t="s">
        <v>135</v>
      </c>
      <c r="AP1545" t="s">
        <v>136</v>
      </c>
      <c r="AQ1545" t="s">
        <v>137</v>
      </c>
      <c r="AR1545" t="s">
        <v>138</v>
      </c>
      <c r="AS1545" t="s">
        <v>139</v>
      </c>
      <c r="AT1545" t="s">
        <v>140</v>
      </c>
      <c r="AU1545">
        <v>106</v>
      </c>
      <c r="AV1545">
        <v>10</v>
      </c>
      <c r="AW1545">
        <v>1</v>
      </c>
      <c r="AX1545" s="2">
        <v>45974</v>
      </c>
      <c r="AY1545" t="s">
        <v>308</v>
      </c>
      <c r="AZ1545" s="2">
        <v>46023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 t="s">
        <v>135</v>
      </c>
      <c r="BH1545" t="s">
        <v>250</v>
      </c>
      <c r="BI1545" t="s">
        <v>135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 s="1">
        <v>4188.8</v>
      </c>
      <c r="BQ1545" s="1">
        <v>4188.8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 s="1">
        <v>1396.26</v>
      </c>
      <c r="CC1545" t="s">
        <v>161</v>
      </c>
    </row>
    <row r="1546" spans="1:81" x14ac:dyDescent="0.25">
      <c r="A1546">
        <v>345</v>
      </c>
      <c r="B1546">
        <v>2</v>
      </c>
      <c r="C1546">
        <v>3874</v>
      </c>
      <c r="D1546" t="s">
        <v>8828</v>
      </c>
      <c r="E1546" t="s">
        <v>121</v>
      </c>
      <c r="F1546" t="s">
        <v>8829</v>
      </c>
      <c r="G1546" t="s">
        <v>8830</v>
      </c>
      <c r="H1546" t="s">
        <v>8831</v>
      </c>
      <c r="I1546" t="s">
        <v>8832</v>
      </c>
      <c r="J1546" t="s">
        <v>5724</v>
      </c>
      <c r="K1546" t="s">
        <v>336</v>
      </c>
      <c r="L1546" t="s">
        <v>128</v>
      </c>
      <c r="M1546" t="s">
        <v>337</v>
      </c>
      <c r="N1546" t="s">
        <v>8833</v>
      </c>
      <c r="O1546" t="s">
        <v>131</v>
      </c>
      <c r="P1546">
        <v>0</v>
      </c>
      <c r="Q1546" t="s">
        <v>125</v>
      </c>
      <c r="R1546">
        <v>3</v>
      </c>
      <c r="S1546">
        <v>87</v>
      </c>
      <c r="T1546" t="s">
        <v>132</v>
      </c>
      <c r="U1546" t="s">
        <v>133</v>
      </c>
      <c r="V1546">
        <v>668</v>
      </c>
      <c r="W1546">
        <v>0</v>
      </c>
      <c r="X1546">
        <v>668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134</v>
      </c>
      <c r="AE1546" t="s">
        <v>134</v>
      </c>
      <c r="AF1546" s="2">
        <v>45968</v>
      </c>
      <c r="AG1546" s="2">
        <v>46004</v>
      </c>
      <c r="AH1546">
        <v>419.54</v>
      </c>
      <c r="AI1546">
        <v>705.39</v>
      </c>
      <c r="AJ1546" s="1">
        <v>1678.19</v>
      </c>
      <c r="AK1546">
        <v>0</v>
      </c>
      <c r="AL1546">
        <v>0</v>
      </c>
      <c r="AM1546">
        <v>0</v>
      </c>
      <c r="AN1546" t="s">
        <v>135</v>
      </c>
      <c r="AO1546" t="s">
        <v>135</v>
      </c>
      <c r="AP1546" t="s">
        <v>136</v>
      </c>
      <c r="AQ1546" t="s">
        <v>137</v>
      </c>
      <c r="AR1546" t="s">
        <v>138</v>
      </c>
      <c r="AS1546" t="s">
        <v>139</v>
      </c>
      <c r="AT1546" t="s">
        <v>140</v>
      </c>
      <c r="AU1546">
        <v>101</v>
      </c>
      <c r="AV1546">
        <v>10</v>
      </c>
      <c r="AW1546">
        <v>1</v>
      </c>
      <c r="AX1546" s="2">
        <v>45968</v>
      </c>
      <c r="AY1546" t="s">
        <v>151</v>
      </c>
      <c r="AZ1546" s="2">
        <v>46024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 t="s">
        <v>135</v>
      </c>
      <c r="BH1546" t="s">
        <v>250</v>
      </c>
      <c r="BI1546" t="s">
        <v>135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 s="1">
        <v>1124.99</v>
      </c>
      <c r="BQ1546" s="1">
        <v>1124.99</v>
      </c>
      <c r="BR1546">
        <v>0</v>
      </c>
      <c r="BS1546">
        <v>0</v>
      </c>
      <c r="BT1546">
        <v>0</v>
      </c>
      <c r="BU1546">
        <v>0</v>
      </c>
      <c r="BV1546">
        <v>553.20000000000005</v>
      </c>
      <c r="BW1546">
        <v>553.20000000000005</v>
      </c>
      <c r="BX1546">
        <v>0</v>
      </c>
      <c r="BY1546">
        <v>0</v>
      </c>
      <c r="BZ1546">
        <v>0</v>
      </c>
      <c r="CA1546">
        <v>0</v>
      </c>
      <c r="CB1546">
        <v>374.99</v>
      </c>
      <c r="CC1546" t="s">
        <v>161</v>
      </c>
    </row>
    <row r="1547" spans="1:81" x14ac:dyDescent="0.25">
      <c r="A1547">
        <v>345</v>
      </c>
      <c r="B1547">
        <v>2</v>
      </c>
      <c r="C1547">
        <v>3875</v>
      </c>
      <c r="D1547" t="s">
        <v>8834</v>
      </c>
      <c r="E1547" t="s">
        <v>121</v>
      </c>
      <c r="F1547" t="s">
        <v>8835</v>
      </c>
      <c r="G1547" t="s">
        <v>8836</v>
      </c>
      <c r="H1547" t="s">
        <v>8837</v>
      </c>
      <c r="I1547" t="s">
        <v>8838</v>
      </c>
      <c r="J1547" t="s">
        <v>126</v>
      </c>
      <c r="K1547" t="s">
        <v>466</v>
      </c>
      <c r="L1547" t="s">
        <v>128</v>
      </c>
      <c r="M1547" t="s">
        <v>467</v>
      </c>
      <c r="N1547" t="s">
        <v>8839</v>
      </c>
      <c r="O1547" t="s">
        <v>195</v>
      </c>
      <c r="P1547">
        <v>0</v>
      </c>
      <c r="Q1547" t="s">
        <v>125</v>
      </c>
      <c r="R1547">
        <v>3</v>
      </c>
      <c r="S1547">
        <v>84</v>
      </c>
      <c r="T1547" t="s">
        <v>132</v>
      </c>
      <c r="U1547" t="s">
        <v>133</v>
      </c>
      <c r="V1547">
        <v>440</v>
      </c>
      <c r="W1547">
        <v>0</v>
      </c>
      <c r="X1547">
        <v>440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134</v>
      </c>
      <c r="AE1547" t="s">
        <v>134</v>
      </c>
      <c r="AF1547" s="2">
        <v>45968</v>
      </c>
      <c r="AG1547" s="2">
        <v>46004</v>
      </c>
      <c r="AH1547">
        <v>217.17</v>
      </c>
      <c r="AI1547">
        <v>221.56</v>
      </c>
      <c r="AJ1547">
        <v>434.34</v>
      </c>
      <c r="AK1547">
        <v>0</v>
      </c>
      <c r="AL1547">
        <v>0</v>
      </c>
      <c r="AM1547">
        <v>0</v>
      </c>
      <c r="AN1547" t="s">
        <v>135</v>
      </c>
      <c r="AO1547" t="s">
        <v>135</v>
      </c>
      <c r="AP1547" t="s">
        <v>136</v>
      </c>
      <c r="AQ1547" t="s">
        <v>137</v>
      </c>
      <c r="AR1547" t="s">
        <v>138</v>
      </c>
      <c r="AS1547" t="s">
        <v>139</v>
      </c>
      <c r="AT1547" t="s">
        <v>140</v>
      </c>
      <c r="AU1547">
        <v>105</v>
      </c>
      <c r="AV1547">
        <v>10</v>
      </c>
      <c r="AW1547">
        <v>1</v>
      </c>
      <c r="AX1547" s="2">
        <v>45968</v>
      </c>
      <c r="AY1547" t="s">
        <v>151</v>
      </c>
      <c r="AZ1547" s="2">
        <v>46024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 t="s">
        <v>135</v>
      </c>
      <c r="BH1547" t="s">
        <v>250</v>
      </c>
      <c r="BI1547" t="s">
        <v>135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212.78</v>
      </c>
      <c r="BQ1547">
        <v>212.78</v>
      </c>
      <c r="BR1547">
        <v>0</v>
      </c>
      <c r="BS1547">
        <v>0</v>
      </c>
      <c r="BT1547">
        <v>0</v>
      </c>
      <c r="BU1547">
        <v>0</v>
      </c>
      <c r="BV1547">
        <v>221.56</v>
      </c>
      <c r="BW1547">
        <v>221.56</v>
      </c>
      <c r="BX1547">
        <v>0</v>
      </c>
      <c r="BY1547">
        <v>0</v>
      </c>
      <c r="BZ1547">
        <v>0</v>
      </c>
      <c r="CA1547">
        <v>0</v>
      </c>
      <c r="CB1547">
        <v>70.92</v>
      </c>
      <c r="CC1547" t="s">
        <v>161</v>
      </c>
    </row>
    <row r="1548" spans="1:81" x14ac:dyDescent="0.25">
      <c r="A1548">
        <v>345</v>
      </c>
      <c r="B1548">
        <v>2</v>
      </c>
      <c r="C1548">
        <v>3876</v>
      </c>
      <c r="D1548" t="s">
        <v>8840</v>
      </c>
      <c r="E1548" t="s">
        <v>121</v>
      </c>
      <c r="F1548" t="s">
        <v>8841</v>
      </c>
      <c r="G1548" t="s">
        <v>8842</v>
      </c>
      <c r="H1548" t="s">
        <v>8843</v>
      </c>
      <c r="I1548" t="s">
        <v>6350</v>
      </c>
      <c r="J1548" t="s">
        <v>5140</v>
      </c>
      <c r="K1548" t="s">
        <v>1853</v>
      </c>
      <c r="L1548" t="s">
        <v>128</v>
      </c>
      <c r="M1548" t="s">
        <v>1854</v>
      </c>
      <c r="N1548" t="s">
        <v>8844</v>
      </c>
      <c r="O1548" t="s">
        <v>3269</v>
      </c>
      <c r="P1548">
        <v>0</v>
      </c>
      <c r="Q1548" t="s">
        <v>125</v>
      </c>
      <c r="R1548">
        <v>3</v>
      </c>
      <c r="S1548">
        <v>87</v>
      </c>
      <c r="T1548" t="s">
        <v>132</v>
      </c>
      <c r="U1548" t="s">
        <v>133</v>
      </c>
      <c r="V1548" s="1">
        <v>1000</v>
      </c>
      <c r="W1548">
        <v>408.46</v>
      </c>
      <c r="X1548">
        <v>591.54</v>
      </c>
      <c r="Y1548">
        <v>7</v>
      </c>
      <c r="Z1548">
        <v>0</v>
      </c>
      <c r="AA1548">
        <v>7</v>
      </c>
      <c r="AB1548">
        <v>0</v>
      </c>
      <c r="AC1548">
        <v>0</v>
      </c>
      <c r="AD1548" t="s">
        <v>134</v>
      </c>
      <c r="AE1548" t="s">
        <v>134</v>
      </c>
      <c r="AF1548" s="2">
        <v>45972</v>
      </c>
      <c r="AG1548" s="2">
        <v>46021</v>
      </c>
      <c r="AH1548">
        <v>392.97</v>
      </c>
      <c r="AI1548">
        <v>663.39</v>
      </c>
      <c r="AJ1548" s="1">
        <v>2357.86</v>
      </c>
      <c r="AK1548">
        <v>0</v>
      </c>
      <c r="AL1548">
        <v>408.46</v>
      </c>
      <c r="AM1548">
        <v>0</v>
      </c>
      <c r="AN1548" t="s">
        <v>135</v>
      </c>
      <c r="AO1548" t="s">
        <v>135</v>
      </c>
      <c r="AP1548" t="s">
        <v>136</v>
      </c>
      <c r="AQ1548" t="s">
        <v>137</v>
      </c>
      <c r="AR1548" t="s">
        <v>138</v>
      </c>
      <c r="AS1548" t="s">
        <v>139</v>
      </c>
      <c r="AT1548" t="s">
        <v>140</v>
      </c>
      <c r="AU1548">
        <v>103</v>
      </c>
      <c r="AV1548">
        <v>10</v>
      </c>
      <c r="AW1548">
        <v>1</v>
      </c>
      <c r="AX1548" s="2">
        <v>45978</v>
      </c>
      <c r="AY1548" t="s">
        <v>141</v>
      </c>
      <c r="AZ1548" s="2">
        <v>46027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 t="s">
        <v>135</v>
      </c>
      <c r="BH1548" t="s">
        <v>250</v>
      </c>
      <c r="BI1548" t="s">
        <v>135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242.6</v>
      </c>
      <c r="BQ1548">
        <v>242.6</v>
      </c>
      <c r="BR1548">
        <v>0</v>
      </c>
      <c r="BS1548">
        <v>7</v>
      </c>
      <c r="BT1548">
        <v>6.42</v>
      </c>
      <c r="BU1548" s="1">
        <v>1940.24</v>
      </c>
      <c r="BV1548">
        <v>175.02</v>
      </c>
      <c r="BW1548" s="1">
        <v>2115.2600000000002</v>
      </c>
      <c r="BX1548">
        <v>408.46</v>
      </c>
      <c r="BY1548">
        <v>21.05</v>
      </c>
      <c r="BZ1548">
        <v>0</v>
      </c>
      <c r="CA1548">
        <v>0</v>
      </c>
      <c r="CB1548">
        <v>80.86</v>
      </c>
      <c r="CC1548" t="s">
        <v>161</v>
      </c>
    </row>
    <row r="1549" spans="1:81" x14ac:dyDescent="0.25">
      <c r="A1549">
        <v>345</v>
      </c>
      <c r="B1549">
        <v>2</v>
      </c>
      <c r="C1549">
        <v>3877</v>
      </c>
      <c r="D1549" t="s">
        <v>8845</v>
      </c>
      <c r="E1549" t="s">
        <v>121</v>
      </c>
      <c r="F1549" t="s">
        <v>8846</v>
      </c>
      <c r="G1549" t="s">
        <v>8847</v>
      </c>
      <c r="H1549" t="s">
        <v>7889</v>
      </c>
      <c r="I1549" t="s">
        <v>8848</v>
      </c>
      <c r="J1549" t="s">
        <v>3074</v>
      </c>
      <c r="K1549" t="s">
        <v>1853</v>
      </c>
      <c r="L1549" t="s">
        <v>128</v>
      </c>
      <c r="M1549" t="s">
        <v>1854</v>
      </c>
      <c r="N1549" t="s">
        <v>8849</v>
      </c>
      <c r="O1549" t="s">
        <v>159</v>
      </c>
      <c r="P1549">
        <v>0</v>
      </c>
      <c r="Q1549" t="s">
        <v>125</v>
      </c>
      <c r="R1549">
        <v>3</v>
      </c>
      <c r="S1549">
        <v>82</v>
      </c>
      <c r="T1549" t="s">
        <v>132</v>
      </c>
      <c r="U1549" t="s">
        <v>133</v>
      </c>
      <c r="V1549" s="1">
        <v>1700</v>
      </c>
      <c r="W1549">
        <v>0</v>
      </c>
      <c r="X1549" s="1">
        <v>1700</v>
      </c>
      <c r="Y1549">
        <v>7</v>
      </c>
      <c r="Z1549">
        <v>0</v>
      </c>
      <c r="AA1549">
        <v>0</v>
      </c>
      <c r="AB1549">
        <v>0</v>
      </c>
      <c r="AC1549">
        <v>0</v>
      </c>
      <c r="AD1549" t="s">
        <v>234</v>
      </c>
      <c r="AE1549" t="s">
        <v>134</v>
      </c>
      <c r="AF1549" s="2">
        <v>45973</v>
      </c>
      <c r="AG1549" s="2">
        <v>46009</v>
      </c>
      <c r="AH1549" s="1">
        <v>6842.4</v>
      </c>
      <c r="AI1549" s="1">
        <v>6842.4</v>
      </c>
      <c r="AJ1549" s="1">
        <v>6842.4</v>
      </c>
      <c r="AK1549">
        <v>0</v>
      </c>
      <c r="AL1549">
        <v>0</v>
      </c>
      <c r="AM1549">
        <v>0</v>
      </c>
      <c r="AN1549" t="s">
        <v>135</v>
      </c>
      <c r="AO1549" t="s">
        <v>135</v>
      </c>
      <c r="AP1549" t="s">
        <v>136</v>
      </c>
      <c r="AQ1549" t="s">
        <v>137</v>
      </c>
      <c r="AR1549" t="s">
        <v>138</v>
      </c>
      <c r="AS1549" t="s">
        <v>150</v>
      </c>
      <c r="AT1549" t="s">
        <v>140</v>
      </c>
      <c r="AU1549">
        <v>106</v>
      </c>
      <c r="AV1549">
        <v>10</v>
      </c>
      <c r="AW1549">
        <v>1</v>
      </c>
      <c r="AX1549" s="2">
        <v>45979</v>
      </c>
      <c r="AY1549" t="s">
        <v>377</v>
      </c>
      <c r="AZ1549" s="2">
        <v>46028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 t="s">
        <v>135</v>
      </c>
      <c r="BH1549" t="s">
        <v>250</v>
      </c>
      <c r="BI1549" t="s">
        <v>135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 s="1">
        <v>6842.4</v>
      </c>
      <c r="BW1549" s="1">
        <v>6842.4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 t="s">
        <v>161</v>
      </c>
    </row>
    <row r="1550" spans="1:81" x14ac:dyDescent="0.25">
      <c r="A1550">
        <v>345</v>
      </c>
      <c r="B1550">
        <v>2</v>
      </c>
      <c r="C1550">
        <v>3878</v>
      </c>
      <c r="D1550" t="s">
        <v>8850</v>
      </c>
      <c r="E1550" t="s">
        <v>121</v>
      </c>
      <c r="F1550" t="s">
        <v>8851</v>
      </c>
      <c r="G1550" t="s">
        <v>8852</v>
      </c>
      <c r="H1550" t="s">
        <v>8853</v>
      </c>
      <c r="I1550" t="s">
        <v>8854</v>
      </c>
      <c r="J1550" t="s">
        <v>126</v>
      </c>
      <c r="K1550" t="s">
        <v>466</v>
      </c>
      <c r="L1550" t="s">
        <v>128</v>
      </c>
      <c r="M1550" t="s">
        <v>467</v>
      </c>
      <c r="N1550" t="s">
        <v>8855</v>
      </c>
      <c r="O1550" t="s">
        <v>167</v>
      </c>
      <c r="P1550">
        <v>0</v>
      </c>
      <c r="Q1550" t="s">
        <v>125</v>
      </c>
      <c r="R1550">
        <v>3</v>
      </c>
      <c r="S1550">
        <v>83</v>
      </c>
      <c r="T1550" t="s">
        <v>132</v>
      </c>
      <c r="U1550" t="s">
        <v>133</v>
      </c>
      <c r="V1550">
        <v>860</v>
      </c>
      <c r="W1550">
        <v>0</v>
      </c>
      <c r="X1550">
        <v>860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134</v>
      </c>
      <c r="AE1550" t="s">
        <v>134</v>
      </c>
      <c r="AF1550" s="2">
        <v>45974</v>
      </c>
      <c r="AG1550" s="2">
        <v>46019</v>
      </c>
      <c r="AH1550">
        <v>532.69000000000005</v>
      </c>
      <c r="AI1550">
        <v>651.32000000000005</v>
      </c>
      <c r="AJ1550" s="1">
        <v>2663.45</v>
      </c>
      <c r="AK1550">
        <v>0</v>
      </c>
      <c r="AL1550">
        <v>0</v>
      </c>
      <c r="AM1550">
        <v>0</v>
      </c>
      <c r="AN1550" t="s">
        <v>135</v>
      </c>
      <c r="AO1550" t="s">
        <v>135</v>
      </c>
      <c r="AP1550" t="s">
        <v>136</v>
      </c>
      <c r="AQ1550" t="s">
        <v>137</v>
      </c>
      <c r="AR1550" t="s">
        <v>138</v>
      </c>
      <c r="AS1550" t="s">
        <v>139</v>
      </c>
      <c r="AT1550" t="s">
        <v>140</v>
      </c>
      <c r="AU1550">
        <v>105</v>
      </c>
      <c r="AV1550">
        <v>10</v>
      </c>
      <c r="AW1550">
        <v>1</v>
      </c>
      <c r="AX1550" s="2">
        <v>45974</v>
      </c>
      <c r="AY1550" t="s">
        <v>308</v>
      </c>
      <c r="AZ1550" s="2">
        <v>46023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 t="s">
        <v>135</v>
      </c>
      <c r="BH1550" t="s">
        <v>250</v>
      </c>
      <c r="BI1550" t="s">
        <v>135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869.23</v>
      </c>
      <c r="BQ1550">
        <v>869.23</v>
      </c>
      <c r="BR1550">
        <v>0</v>
      </c>
      <c r="BS1550">
        <v>0</v>
      </c>
      <c r="BT1550">
        <v>0</v>
      </c>
      <c r="BU1550">
        <v>0</v>
      </c>
      <c r="BV1550" s="1">
        <v>1794.22</v>
      </c>
      <c r="BW1550" s="1">
        <v>1794.22</v>
      </c>
      <c r="BX1550">
        <v>0</v>
      </c>
      <c r="BY1550">
        <v>0</v>
      </c>
      <c r="BZ1550">
        <v>0</v>
      </c>
      <c r="CA1550">
        <v>0</v>
      </c>
      <c r="CB1550">
        <v>289.74</v>
      </c>
      <c r="CC1550" t="s">
        <v>161</v>
      </c>
    </row>
    <row r="1551" spans="1:81" x14ac:dyDescent="0.25">
      <c r="A1551">
        <v>345</v>
      </c>
      <c r="B1551">
        <v>2</v>
      </c>
      <c r="C1551">
        <v>3879</v>
      </c>
      <c r="D1551" t="s">
        <v>8856</v>
      </c>
      <c r="E1551" t="s">
        <v>121</v>
      </c>
      <c r="F1551" t="s">
        <v>8857</v>
      </c>
      <c r="G1551" t="s">
        <v>8858</v>
      </c>
      <c r="H1551" t="s">
        <v>8859</v>
      </c>
      <c r="I1551" t="s">
        <v>8860</v>
      </c>
      <c r="J1551" t="s">
        <v>4569</v>
      </c>
      <c r="K1551" t="s">
        <v>473</v>
      </c>
      <c r="L1551" t="s">
        <v>128</v>
      </c>
      <c r="M1551" t="s">
        <v>474</v>
      </c>
      <c r="N1551" t="s">
        <v>8861</v>
      </c>
      <c r="O1551" t="s">
        <v>167</v>
      </c>
      <c r="P1551">
        <v>0</v>
      </c>
      <c r="Q1551" t="s">
        <v>125</v>
      </c>
      <c r="R1551">
        <v>3</v>
      </c>
      <c r="S1551">
        <v>84</v>
      </c>
      <c r="T1551" t="s">
        <v>132</v>
      </c>
      <c r="U1551" t="s">
        <v>133</v>
      </c>
      <c r="V1551" s="1">
        <v>1800</v>
      </c>
      <c r="W1551">
        <v>0</v>
      </c>
      <c r="X1551" s="1">
        <v>1800</v>
      </c>
      <c r="Y1551">
        <v>7</v>
      </c>
      <c r="Z1551">
        <v>0</v>
      </c>
      <c r="AA1551">
        <v>0</v>
      </c>
      <c r="AB1551">
        <v>0</v>
      </c>
      <c r="AC1551">
        <v>0</v>
      </c>
      <c r="AD1551" t="s">
        <v>134</v>
      </c>
      <c r="AE1551" t="s">
        <v>134</v>
      </c>
      <c r="AF1551" s="2">
        <v>45975</v>
      </c>
      <c r="AG1551" t="s">
        <v>135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 t="s">
        <v>135</v>
      </c>
      <c r="AO1551" t="s">
        <v>135</v>
      </c>
      <c r="AP1551" t="s">
        <v>136</v>
      </c>
      <c r="AQ1551" t="s">
        <v>137</v>
      </c>
      <c r="AR1551" t="s">
        <v>138</v>
      </c>
      <c r="AS1551" t="s">
        <v>139</v>
      </c>
      <c r="AT1551" t="s">
        <v>140</v>
      </c>
      <c r="AU1551">
        <v>105</v>
      </c>
      <c r="AV1551">
        <v>10</v>
      </c>
      <c r="AW1551">
        <v>1</v>
      </c>
      <c r="AX1551" s="2">
        <v>45980</v>
      </c>
      <c r="AY1551" t="s">
        <v>168</v>
      </c>
      <c r="AZ1551" s="2">
        <v>46022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 t="s">
        <v>135</v>
      </c>
      <c r="BH1551" t="s">
        <v>250</v>
      </c>
      <c r="BI1551" t="s">
        <v>135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 t="s">
        <v>161</v>
      </c>
    </row>
    <row r="1552" spans="1:81" x14ac:dyDescent="0.25">
      <c r="A1552">
        <v>345</v>
      </c>
      <c r="B1552">
        <v>2</v>
      </c>
      <c r="C1552">
        <v>3881</v>
      </c>
      <c r="D1552" t="s">
        <v>8862</v>
      </c>
      <c r="E1552" t="s">
        <v>121</v>
      </c>
      <c r="F1552" t="s">
        <v>8863</v>
      </c>
      <c r="G1552" t="s">
        <v>8864</v>
      </c>
      <c r="H1552" t="s">
        <v>8865</v>
      </c>
      <c r="I1552" t="s">
        <v>8866</v>
      </c>
      <c r="J1552" t="s">
        <v>600</v>
      </c>
      <c r="K1552" t="s">
        <v>336</v>
      </c>
      <c r="L1552" t="s">
        <v>128</v>
      </c>
      <c r="M1552" t="s">
        <v>337</v>
      </c>
      <c r="N1552" t="s">
        <v>8867</v>
      </c>
      <c r="O1552" t="s">
        <v>167</v>
      </c>
      <c r="P1552">
        <v>0</v>
      </c>
      <c r="Q1552" t="s">
        <v>125</v>
      </c>
      <c r="R1552">
        <v>3</v>
      </c>
      <c r="S1552">
        <v>83</v>
      </c>
      <c r="T1552" t="s">
        <v>132</v>
      </c>
      <c r="U1552" t="s">
        <v>133</v>
      </c>
      <c r="V1552" s="1">
        <v>1174</v>
      </c>
      <c r="W1552">
        <v>0</v>
      </c>
      <c r="X1552" s="1">
        <v>1174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134</v>
      </c>
      <c r="AE1552" t="s">
        <v>134</v>
      </c>
      <c r="AF1552" s="2">
        <v>45975</v>
      </c>
      <c r="AG1552" s="2">
        <v>46019</v>
      </c>
      <c r="AH1552">
        <v>404.82</v>
      </c>
      <c r="AI1552">
        <v>601.41999999999996</v>
      </c>
      <c r="AJ1552" s="1">
        <v>1619.29</v>
      </c>
      <c r="AK1552">
        <v>0</v>
      </c>
      <c r="AL1552">
        <v>0</v>
      </c>
      <c r="AM1552">
        <v>0</v>
      </c>
      <c r="AN1552" t="s">
        <v>135</v>
      </c>
      <c r="AO1552" t="s">
        <v>135</v>
      </c>
      <c r="AP1552" t="s">
        <v>136</v>
      </c>
      <c r="AQ1552" t="s">
        <v>137</v>
      </c>
      <c r="AR1552" t="s">
        <v>138</v>
      </c>
      <c r="AS1552" t="s">
        <v>139</v>
      </c>
      <c r="AT1552" t="s">
        <v>140</v>
      </c>
      <c r="AU1552">
        <v>102</v>
      </c>
      <c r="AV1552">
        <v>10</v>
      </c>
      <c r="AW1552">
        <v>1</v>
      </c>
      <c r="AX1552" s="2">
        <v>45975</v>
      </c>
      <c r="AY1552" t="s">
        <v>151</v>
      </c>
      <c r="AZ1552" s="2">
        <v>46024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 t="s">
        <v>135</v>
      </c>
      <c r="BH1552" t="s">
        <v>250</v>
      </c>
      <c r="BI1552" t="s">
        <v>135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593</v>
      </c>
      <c r="BQ1552">
        <v>593</v>
      </c>
      <c r="BR1552">
        <v>0</v>
      </c>
      <c r="BS1552">
        <v>0</v>
      </c>
      <c r="BT1552">
        <v>0</v>
      </c>
      <c r="BU1552">
        <v>0</v>
      </c>
      <c r="BV1552" s="1">
        <v>1026.29</v>
      </c>
      <c r="BW1552" s="1">
        <v>1026.29</v>
      </c>
      <c r="BX1552">
        <v>0</v>
      </c>
      <c r="BY1552">
        <v>0</v>
      </c>
      <c r="BZ1552">
        <v>0</v>
      </c>
      <c r="CA1552">
        <v>0</v>
      </c>
      <c r="CB1552">
        <v>197.66</v>
      </c>
      <c r="CC1552" t="s">
        <v>161</v>
      </c>
    </row>
    <row r="1553" spans="1:81" x14ac:dyDescent="0.25">
      <c r="A1553">
        <v>345</v>
      </c>
      <c r="B1553">
        <v>2</v>
      </c>
      <c r="C1553">
        <v>3882</v>
      </c>
      <c r="D1553" t="s">
        <v>8868</v>
      </c>
      <c r="E1553" t="s">
        <v>121</v>
      </c>
      <c r="F1553" t="s">
        <v>8869</v>
      </c>
      <c r="G1553" t="s">
        <v>8870</v>
      </c>
      <c r="H1553" t="s">
        <v>8871</v>
      </c>
      <c r="I1553" t="s">
        <v>8872</v>
      </c>
      <c r="J1553" t="s">
        <v>126</v>
      </c>
      <c r="K1553" t="s">
        <v>336</v>
      </c>
      <c r="L1553" t="s">
        <v>128</v>
      </c>
      <c r="M1553" t="s">
        <v>337</v>
      </c>
      <c r="N1553" t="s">
        <v>8873</v>
      </c>
      <c r="O1553" t="s">
        <v>131</v>
      </c>
      <c r="P1553">
        <v>0</v>
      </c>
      <c r="Q1553" t="s">
        <v>125</v>
      </c>
      <c r="R1553">
        <v>2</v>
      </c>
      <c r="S1553">
        <v>91</v>
      </c>
      <c r="T1553" t="s">
        <v>132</v>
      </c>
      <c r="U1553" t="s">
        <v>133</v>
      </c>
      <c r="V1553" s="1">
        <v>1000</v>
      </c>
      <c r="W1553">
        <v>0</v>
      </c>
      <c r="X1553" s="1">
        <v>1000</v>
      </c>
      <c r="Y1553">
        <v>7</v>
      </c>
      <c r="Z1553">
        <v>0</v>
      </c>
      <c r="AA1553">
        <v>0</v>
      </c>
      <c r="AB1553">
        <v>0</v>
      </c>
      <c r="AC1553">
        <v>0</v>
      </c>
      <c r="AD1553" t="s">
        <v>134</v>
      </c>
      <c r="AE1553" t="s">
        <v>134</v>
      </c>
      <c r="AF1553" s="2">
        <v>45975</v>
      </c>
      <c r="AG1553" t="s">
        <v>135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t="s">
        <v>135</v>
      </c>
      <c r="AO1553" t="s">
        <v>135</v>
      </c>
      <c r="AP1553" t="s">
        <v>136</v>
      </c>
      <c r="AQ1553" t="s">
        <v>137</v>
      </c>
      <c r="AR1553" t="s">
        <v>138</v>
      </c>
      <c r="AS1553" t="s">
        <v>139</v>
      </c>
      <c r="AT1553" t="s">
        <v>140</v>
      </c>
      <c r="AU1553">
        <v>100</v>
      </c>
      <c r="AV1553">
        <v>10</v>
      </c>
      <c r="AW1553">
        <v>1</v>
      </c>
      <c r="AX1553" s="2">
        <v>45989</v>
      </c>
      <c r="AY1553" t="s">
        <v>151</v>
      </c>
      <c r="AZ1553" s="2">
        <v>46031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 t="s">
        <v>135</v>
      </c>
      <c r="BH1553" t="s">
        <v>250</v>
      </c>
      <c r="BI1553" t="s">
        <v>135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 t="s">
        <v>143</v>
      </c>
    </row>
    <row r="1554" spans="1:81" x14ac:dyDescent="0.25">
      <c r="A1554">
        <v>345</v>
      </c>
      <c r="B1554">
        <v>2</v>
      </c>
      <c r="C1554">
        <v>3883</v>
      </c>
      <c r="D1554" t="s">
        <v>8874</v>
      </c>
      <c r="E1554" t="s">
        <v>121</v>
      </c>
      <c r="F1554" t="s">
        <v>8875</v>
      </c>
      <c r="G1554" t="s">
        <v>8876</v>
      </c>
      <c r="H1554" t="s">
        <v>8877</v>
      </c>
      <c r="I1554" t="s">
        <v>8878</v>
      </c>
      <c r="J1554" t="s">
        <v>8879</v>
      </c>
      <c r="K1554" t="s">
        <v>4248</v>
      </c>
      <c r="L1554" t="s">
        <v>128</v>
      </c>
      <c r="M1554" t="s">
        <v>1325</v>
      </c>
      <c r="N1554" t="s">
        <v>8880</v>
      </c>
      <c r="O1554" t="s">
        <v>5475</v>
      </c>
      <c r="P1554">
        <v>0</v>
      </c>
      <c r="Q1554" t="s">
        <v>125</v>
      </c>
      <c r="R1554">
        <v>4</v>
      </c>
      <c r="S1554">
        <v>76</v>
      </c>
      <c r="T1554" t="s">
        <v>132</v>
      </c>
      <c r="U1554" t="s">
        <v>133</v>
      </c>
      <c r="V1554" s="1">
        <v>1000</v>
      </c>
      <c r="W1554">
        <v>0</v>
      </c>
      <c r="X1554" s="1">
        <v>1000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134</v>
      </c>
      <c r="AE1554" t="s">
        <v>134</v>
      </c>
      <c r="AF1554" s="2">
        <v>45978</v>
      </c>
      <c r="AG1554" t="s">
        <v>135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t="s">
        <v>135</v>
      </c>
      <c r="AO1554" t="s">
        <v>135</v>
      </c>
      <c r="AP1554" t="s">
        <v>136</v>
      </c>
      <c r="AQ1554" t="s">
        <v>137</v>
      </c>
      <c r="AR1554" t="s">
        <v>138</v>
      </c>
      <c r="AS1554" t="s">
        <v>150</v>
      </c>
      <c r="AT1554" t="s">
        <v>140</v>
      </c>
      <c r="AU1554">
        <v>104</v>
      </c>
      <c r="AV1554">
        <v>10</v>
      </c>
      <c r="AW1554">
        <v>1</v>
      </c>
      <c r="AX1554" s="2">
        <v>45979</v>
      </c>
      <c r="AY1554" t="s">
        <v>377</v>
      </c>
      <c r="AZ1554" s="2">
        <v>46028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 t="s">
        <v>135</v>
      </c>
      <c r="BH1554" t="s">
        <v>250</v>
      </c>
      <c r="BI1554" t="s">
        <v>135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 t="s">
        <v>161</v>
      </c>
    </row>
    <row r="1555" spans="1:81" x14ac:dyDescent="0.25">
      <c r="A1555">
        <v>345</v>
      </c>
      <c r="B1555">
        <v>2</v>
      </c>
      <c r="C1555">
        <v>3884</v>
      </c>
      <c r="D1555" t="s">
        <v>8881</v>
      </c>
      <c r="E1555" t="s">
        <v>121</v>
      </c>
      <c r="F1555" t="s">
        <v>8882</v>
      </c>
      <c r="G1555" t="s">
        <v>8883</v>
      </c>
      <c r="H1555" t="s">
        <v>8884</v>
      </c>
      <c r="I1555" t="s">
        <v>8885</v>
      </c>
      <c r="J1555" t="s">
        <v>6166</v>
      </c>
      <c r="K1555" t="s">
        <v>336</v>
      </c>
      <c r="L1555" t="s">
        <v>128</v>
      </c>
      <c r="M1555" t="s">
        <v>337</v>
      </c>
      <c r="N1555" t="s">
        <v>8886</v>
      </c>
      <c r="O1555" t="s">
        <v>159</v>
      </c>
      <c r="P1555">
        <v>0</v>
      </c>
      <c r="Q1555" t="s">
        <v>125</v>
      </c>
      <c r="R1555">
        <v>3</v>
      </c>
      <c r="S1555">
        <v>82</v>
      </c>
      <c r="T1555" t="s">
        <v>132</v>
      </c>
      <c r="U1555" t="s">
        <v>133</v>
      </c>
      <c r="V1555" s="1">
        <v>1652</v>
      </c>
      <c r="W1555">
        <v>0</v>
      </c>
      <c r="X1555" s="1">
        <v>1652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134</v>
      </c>
      <c r="AE1555" t="s">
        <v>134</v>
      </c>
      <c r="AF1555" s="2">
        <v>45978</v>
      </c>
      <c r="AG1555" s="2">
        <v>46020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 t="s">
        <v>135</v>
      </c>
      <c r="AO1555" t="s">
        <v>135</v>
      </c>
      <c r="AP1555" t="s">
        <v>136</v>
      </c>
      <c r="AQ1555" t="s">
        <v>137</v>
      </c>
      <c r="AR1555" t="s">
        <v>138</v>
      </c>
      <c r="AS1555" t="s">
        <v>150</v>
      </c>
      <c r="AT1555" t="s">
        <v>140</v>
      </c>
      <c r="AU1555">
        <v>501</v>
      </c>
      <c r="AV1555">
        <v>10</v>
      </c>
      <c r="AW1555">
        <v>1</v>
      </c>
      <c r="AX1555" s="2">
        <v>45978</v>
      </c>
      <c r="AY1555" t="s">
        <v>141</v>
      </c>
      <c r="AZ1555" s="2">
        <v>46027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 t="s">
        <v>135</v>
      </c>
      <c r="BH1555" t="s">
        <v>250</v>
      </c>
      <c r="BI1555" t="s">
        <v>135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 t="s">
        <v>161</v>
      </c>
    </row>
    <row r="1556" spans="1:81" x14ac:dyDescent="0.25">
      <c r="A1556">
        <v>345</v>
      </c>
      <c r="B1556">
        <v>2</v>
      </c>
      <c r="C1556">
        <v>3885</v>
      </c>
      <c r="D1556" t="s">
        <v>8887</v>
      </c>
      <c r="E1556" t="s">
        <v>121</v>
      </c>
      <c r="F1556" t="s">
        <v>8888</v>
      </c>
      <c r="G1556" t="s">
        <v>8889</v>
      </c>
      <c r="H1556" t="s">
        <v>8890</v>
      </c>
      <c r="I1556" t="s">
        <v>8891</v>
      </c>
      <c r="J1556" t="s">
        <v>4569</v>
      </c>
      <c r="K1556" t="s">
        <v>473</v>
      </c>
      <c r="L1556" t="s">
        <v>128</v>
      </c>
      <c r="M1556" t="s">
        <v>474</v>
      </c>
      <c r="N1556" t="s">
        <v>8892</v>
      </c>
      <c r="O1556" t="s">
        <v>167</v>
      </c>
      <c r="P1556">
        <v>0</v>
      </c>
      <c r="Q1556" t="s">
        <v>125</v>
      </c>
      <c r="R1556">
        <v>3</v>
      </c>
      <c r="S1556">
        <v>83</v>
      </c>
      <c r="T1556" t="s">
        <v>132</v>
      </c>
      <c r="U1556" t="s">
        <v>133</v>
      </c>
      <c r="V1556">
        <v>491</v>
      </c>
      <c r="W1556">
        <v>0</v>
      </c>
      <c r="X1556">
        <v>491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134</v>
      </c>
      <c r="AE1556" t="s">
        <v>134</v>
      </c>
      <c r="AF1556" s="2">
        <v>45981</v>
      </c>
      <c r="AG1556" s="2">
        <v>46018</v>
      </c>
      <c r="AH1556">
        <v>348.81</v>
      </c>
      <c r="AI1556">
        <v>720.93</v>
      </c>
      <c r="AJ1556" s="1">
        <v>1744.09</v>
      </c>
      <c r="AK1556">
        <v>0</v>
      </c>
      <c r="AL1556">
        <v>0</v>
      </c>
      <c r="AM1556">
        <v>0</v>
      </c>
      <c r="AN1556" t="s">
        <v>135</v>
      </c>
      <c r="AO1556" t="s">
        <v>135</v>
      </c>
      <c r="AP1556" t="s">
        <v>136</v>
      </c>
      <c r="AQ1556" t="s">
        <v>137</v>
      </c>
      <c r="AR1556" t="s">
        <v>138</v>
      </c>
      <c r="AS1556" t="s">
        <v>139</v>
      </c>
      <c r="AT1556" t="s">
        <v>140</v>
      </c>
      <c r="AU1556">
        <v>105</v>
      </c>
      <c r="AV1556">
        <v>10</v>
      </c>
      <c r="AW1556">
        <v>1</v>
      </c>
      <c r="AX1556" s="2">
        <v>45987</v>
      </c>
      <c r="AY1556" t="s">
        <v>168</v>
      </c>
      <c r="AZ1556" s="2">
        <v>46022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 t="s">
        <v>135</v>
      </c>
      <c r="BH1556" t="s">
        <v>250</v>
      </c>
      <c r="BI1556" t="s">
        <v>135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248.34</v>
      </c>
      <c r="BQ1556">
        <v>248.34</v>
      </c>
      <c r="BR1556">
        <v>0</v>
      </c>
      <c r="BS1556">
        <v>0</v>
      </c>
      <c r="BT1556">
        <v>0</v>
      </c>
      <c r="BU1556">
        <v>0</v>
      </c>
      <c r="BV1556" s="1">
        <v>1495.75</v>
      </c>
      <c r="BW1556" s="1">
        <v>1495.75</v>
      </c>
      <c r="BX1556">
        <v>0</v>
      </c>
      <c r="BY1556">
        <v>0</v>
      </c>
      <c r="BZ1556">
        <v>0</v>
      </c>
      <c r="CA1556">
        <v>0</v>
      </c>
      <c r="CB1556">
        <v>82.78</v>
      </c>
      <c r="CC1556" t="s">
        <v>161</v>
      </c>
    </row>
    <row r="1557" spans="1:81" x14ac:dyDescent="0.25">
      <c r="A1557">
        <v>345</v>
      </c>
      <c r="B1557">
        <v>2</v>
      </c>
      <c r="C1557">
        <v>3886</v>
      </c>
      <c r="D1557" t="s">
        <v>8893</v>
      </c>
      <c r="E1557" t="s">
        <v>121</v>
      </c>
      <c r="F1557" t="s">
        <v>8894</v>
      </c>
      <c r="G1557" t="s">
        <v>8895</v>
      </c>
      <c r="H1557" t="s">
        <v>8896</v>
      </c>
      <c r="I1557" t="s">
        <v>8897</v>
      </c>
      <c r="J1557" t="s">
        <v>612</v>
      </c>
      <c r="K1557" t="s">
        <v>473</v>
      </c>
      <c r="L1557" t="s">
        <v>128</v>
      </c>
      <c r="M1557" t="s">
        <v>474</v>
      </c>
      <c r="N1557" t="s">
        <v>8898</v>
      </c>
      <c r="O1557" t="s">
        <v>159</v>
      </c>
      <c r="P1557">
        <v>0</v>
      </c>
      <c r="Q1557" t="s">
        <v>125</v>
      </c>
      <c r="R1557">
        <v>3</v>
      </c>
      <c r="S1557">
        <v>82</v>
      </c>
      <c r="T1557" t="s">
        <v>132</v>
      </c>
      <c r="U1557" t="s">
        <v>133</v>
      </c>
      <c r="V1557" s="1">
        <v>1700</v>
      </c>
      <c r="W1557">
        <v>0</v>
      </c>
      <c r="X1557" s="1">
        <v>1700</v>
      </c>
      <c r="Y1557">
        <v>7</v>
      </c>
      <c r="Z1557">
        <v>0</v>
      </c>
      <c r="AA1557">
        <v>0</v>
      </c>
      <c r="AB1557">
        <v>0</v>
      </c>
      <c r="AC1557">
        <v>0</v>
      </c>
      <c r="AD1557" t="s">
        <v>134</v>
      </c>
      <c r="AE1557" t="s">
        <v>134</v>
      </c>
      <c r="AF1557" s="2">
        <v>45981</v>
      </c>
      <c r="AG1557" s="2">
        <v>46008</v>
      </c>
      <c r="AH1557" s="1">
        <v>1625.48</v>
      </c>
      <c r="AI1557" s="1">
        <v>1916.24</v>
      </c>
      <c r="AJ1557" s="1">
        <v>3250.96</v>
      </c>
      <c r="AK1557">
        <v>0</v>
      </c>
      <c r="AL1557">
        <v>0</v>
      </c>
      <c r="AM1557">
        <v>0</v>
      </c>
      <c r="AN1557" t="s">
        <v>135</v>
      </c>
      <c r="AO1557" t="s">
        <v>135</v>
      </c>
      <c r="AP1557" t="s">
        <v>136</v>
      </c>
      <c r="AQ1557" t="s">
        <v>137</v>
      </c>
      <c r="AR1557" t="s">
        <v>138</v>
      </c>
      <c r="AS1557" t="s">
        <v>150</v>
      </c>
      <c r="AT1557" t="s">
        <v>140</v>
      </c>
      <c r="AU1557">
        <v>102</v>
      </c>
      <c r="AV1557">
        <v>10</v>
      </c>
      <c r="AW1557">
        <v>1</v>
      </c>
      <c r="AX1557" s="2">
        <v>45986</v>
      </c>
      <c r="AY1557" t="s">
        <v>377</v>
      </c>
      <c r="AZ1557" s="2">
        <v>46028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 t="s">
        <v>135</v>
      </c>
      <c r="BH1557" t="s">
        <v>250</v>
      </c>
      <c r="BI1557" t="s">
        <v>135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 s="1">
        <v>3250.96</v>
      </c>
      <c r="BW1557" s="1">
        <v>3250.96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 t="s">
        <v>161</v>
      </c>
    </row>
    <row r="1558" spans="1:81" x14ac:dyDescent="0.25">
      <c r="A1558">
        <v>345</v>
      </c>
      <c r="B1558">
        <v>2</v>
      </c>
      <c r="C1558">
        <v>3887</v>
      </c>
      <c r="D1558" t="s">
        <v>8899</v>
      </c>
      <c r="E1558" t="s">
        <v>121</v>
      </c>
      <c r="F1558" t="s">
        <v>8900</v>
      </c>
      <c r="G1558" t="s">
        <v>8901</v>
      </c>
      <c r="H1558" t="s">
        <v>3066</v>
      </c>
      <c r="I1558" t="s">
        <v>8902</v>
      </c>
      <c r="J1558" t="s">
        <v>1263</v>
      </c>
      <c r="K1558" t="s">
        <v>466</v>
      </c>
      <c r="L1558" t="s">
        <v>128</v>
      </c>
      <c r="M1558" t="s">
        <v>467</v>
      </c>
      <c r="N1558" t="s">
        <v>8903</v>
      </c>
      <c r="O1558" t="s">
        <v>159</v>
      </c>
      <c r="P1558">
        <v>0</v>
      </c>
      <c r="Q1558" t="s">
        <v>125</v>
      </c>
      <c r="R1558">
        <v>4</v>
      </c>
      <c r="S1558">
        <v>81</v>
      </c>
      <c r="T1558" t="s">
        <v>132</v>
      </c>
      <c r="U1558" t="s">
        <v>133</v>
      </c>
      <c r="V1558" s="1">
        <v>1700</v>
      </c>
      <c r="W1558" s="1">
        <v>1691.16</v>
      </c>
      <c r="X1558">
        <v>8.84</v>
      </c>
      <c r="Y1558">
        <v>7</v>
      </c>
      <c r="Z1558">
        <v>0</v>
      </c>
      <c r="AA1558">
        <v>7</v>
      </c>
      <c r="AB1558">
        <v>0</v>
      </c>
      <c r="AC1558">
        <v>0</v>
      </c>
      <c r="AD1558" t="s">
        <v>134</v>
      </c>
      <c r="AE1558" t="s">
        <v>134</v>
      </c>
      <c r="AF1558" s="2">
        <v>45981</v>
      </c>
      <c r="AG1558" s="2">
        <v>46017</v>
      </c>
      <c r="AH1558" s="1">
        <v>1211.1400000000001</v>
      </c>
      <c r="AI1558" s="1">
        <v>1691.16</v>
      </c>
      <c r="AJ1558" s="1">
        <v>3633.43</v>
      </c>
      <c r="AK1558">
        <v>0</v>
      </c>
      <c r="AL1558" s="1">
        <v>1691.16</v>
      </c>
      <c r="AM1558">
        <v>0</v>
      </c>
      <c r="AN1558" t="s">
        <v>135</v>
      </c>
      <c r="AO1558" t="s">
        <v>135</v>
      </c>
      <c r="AP1558" t="s">
        <v>136</v>
      </c>
      <c r="AQ1558" t="s">
        <v>137</v>
      </c>
      <c r="AR1558" t="s">
        <v>138</v>
      </c>
      <c r="AS1558" t="s">
        <v>150</v>
      </c>
      <c r="AT1558" t="s">
        <v>140</v>
      </c>
      <c r="AU1558">
        <v>106</v>
      </c>
      <c r="AV1558">
        <v>10</v>
      </c>
      <c r="AW1558">
        <v>1</v>
      </c>
      <c r="AX1558" s="2">
        <v>45981</v>
      </c>
      <c r="AY1558" t="s">
        <v>308</v>
      </c>
      <c r="AZ1558" s="2">
        <v>46023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 t="s">
        <v>135</v>
      </c>
      <c r="BH1558" t="s">
        <v>250</v>
      </c>
      <c r="BI1558" t="s">
        <v>135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299.2</v>
      </c>
      <c r="BQ1558">
        <v>299.2</v>
      </c>
      <c r="BR1558">
        <v>0</v>
      </c>
      <c r="BS1558">
        <v>7</v>
      </c>
      <c r="BT1558">
        <v>7</v>
      </c>
      <c r="BU1558" s="1">
        <v>3334.23</v>
      </c>
      <c r="BV1558">
        <v>0</v>
      </c>
      <c r="BW1558" s="1">
        <v>3334.23</v>
      </c>
      <c r="BX1558" s="1">
        <v>1691.16</v>
      </c>
      <c r="BY1558">
        <v>50.72</v>
      </c>
      <c r="BZ1558">
        <v>0</v>
      </c>
      <c r="CA1558">
        <v>0</v>
      </c>
      <c r="CB1558">
        <v>99.73</v>
      </c>
      <c r="CC1558" t="s">
        <v>161</v>
      </c>
    </row>
    <row r="1559" spans="1:81" x14ac:dyDescent="0.25">
      <c r="A1559">
        <v>345</v>
      </c>
      <c r="B1559">
        <v>2</v>
      </c>
      <c r="C1559">
        <v>3888</v>
      </c>
      <c r="D1559" t="s">
        <v>8904</v>
      </c>
      <c r="E1559" t="s">
        <v>121</v>
      </c>
      <c r="F1559" t="s">
        <v>8905</v>
      </c>
      <c r="G1559" t="s">
        <v>8906</v>
      </c>
      <c r="H1559" t="s">
        <v>8907</v>
      </c>
      <c r="I1559" t="s">
        <v>8908</v>
      </c>
      <c r="J1559" t="s">
        <v>5604</v>
      </c>
      <c r="K1559" t="s">
        <v>127</v>
      </c>
      <c r="L1559" t="s">
        <v>128</v>
      </c>
      <c r="M1559" t="s">
        <v>8909</v>
      </c>
      <c r="N1559" t="s">
        <v>8910</v>
      </c>
      <c r="O1559" t="s">
        <v>195</v>
      </c>
      <c r="P1559">
        <v>0</v>
      </c>
      <c r="Q1559" t="s">
        <v>125</v>
      </c>
      <c r="R1559">
        <v>3</v>
      </c>
      <c r="S1559">
        <v>84</v>
      </c>
      <c r="T1559" t="s">
        <v>132</v>
      </c>
      <c r="U1559" t="s">
        <v>133</v>
      </c>
      <c r="V1559" s="1">
        <v>1000</v>
      </c>
      <c r="W1559">
        <v>176.51</v>
      </c>
      <c r="X1559">
        <v>823.49</v>
      </c>
      <c r="Y1559">
        <v>7</v>
      </c>
      <c r="Z1559">
        <v>0</v>
      </c>
      <c r="AA1559">
        <v>9</v>
      </c>
      <c r="AB1559">
        <v>0</v>
      </c>
      <c r="AC1559">
        <v>0</v>
      </c>
      <c r="AD1559" t="s">
        <v>134</v>
      </c>
      <c r="AE1559" t="s">
        <v>134</v>
      </c>
      <c r="AF1559" s="2">
        <v>45985</v>
      </c>
      <c r="AG1559" s="2">
        <v>46018</v>
      </c>
      <c r="AH1559">
        <v>173.78</v>
      </c>
      <c r="AI1559">
        <v>195.34</v>
      </c>
      <c r="AJ1559">
        <v>521.35</v>
      </c>
      <c r="AK1559">
        <v>0</v>
      </c>
      <c r="AL1559">
        <v>176.51</v>
      </c>
      <c r="AM1559">
        <v>0</v>
      </c>
      <c r="AN1559" t="s">
        <v>135</v>
      </c>
      <c r="AO1559" t="s">
        <v>135</v>
      </c>
      <c r="AP1559" t="s">
        <v>136</v>
      </c>
      <c r="AQ1559" t="s">
        <v>137</v>
      </c>
      <c r="AR1559" t="s">
        <v>138</v>
      </c>
      <c r="AS1559" t="s">
        <v>139</v>
      </c>
      <c r="AT1559" t="s">
        <v>140</v>
      </c>
      <c r="AU1559">
        <v>102</v>
      </c>
      <c r="AV1559">
        <v>10</v>
      </c>
      <c r="AW1559">
        <v>1</v>
      </c>
      <c r="AX1559" s="2">
        <v>45995</v>
      </c>
      <c r="AY1559" t="s">
        <v>308</v>
      </c>
      <c r="AZ1559" s="2">
        <v>46023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 t="s">
        <v>135</v>
      </c>
      <c r="BH1559" t="s">
        <v>250</v>
      </c>
      <c r="BI1559" t="s">
        <v>135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9</v>
      </c>
      <c r="BT1559">
        <v>3.05</v>
      </c>
      <c r="BU1559">
        <v>176.51</v>
      </c>
      <c r="BV1559">
        <v>344.84</v>
      </c>
      <c r="BW1559">
        <v>521.35</v>
      </c>
      <c r="BX1559">
        <v>176.51</v>
      </c>
      <c r="BY1559">
        <v>100</v>
      </c>
      <c r="BZ1559">
        <v>0</v>
      </c>
      <c r="CA1559">
        <v>0</v>
      </c>
      <c r="CB1559">
        <v>0</v>
      </c>
      <c r="CC1559" t="s">
        <v>161</v>
      </c>
    </row>
    <row r="1560" spans="1:81" x14ac:dyDescent="0.25">
      <c r="A1560">
        <v>345</v>
      </c>
      <c r="B1560">
        <v>2</v>
      </c>
      <c r="C1560">
        <v>3889</v>
      </c>
      <c r="D1560" t="s">
        <v>8911</v>
      </c>
      <c r="E1560" t="s">
        <v>121</v>
      </c>
      <c r="F1560" t="s">
        <v>8912</v>
      </c>
      <c r="G1560" t="s">
        <v>8913</v>
      </c>
      <c r="H1560" t="s">
        <v>4956</v>
      </c>
      <c r="I1560" t="s">
        <v>8914</v>
      </c>
      <c r="J1560" t="s">
        <v>126</v>
      </c>
      <c r="K1560" t="s">
        <v>4248</v>
      </c>
      <c r="L1560" t="s">
        <v>128</v>
      </c>
      <c r="M1560" t="s">
        <v>1325</v>
      </c>
      <c r="N1560" t="s">
        <v>8915</v>
      </c>
      <c r="O1560" t="s">
        <v>159</v>
      </c>
      <c r="P1560">
        <v>0</v>
      </c>
      <c r="Q1560" t="s">
        <v>125</v>
      </c>
      <c r="R1560">
        <v>4</v>
      </c>
      <c r="S1560">
        <v>77</v>
      </c>
      <c r="T1560" t="s">
        <v>132</v>
      </c>
      <c r="U1560" t="s">
        <v>133</v>
      </c>
      <c r="V1560" s="1">
        <v>1700</v>
      </c>
      <c r="W1560">
        <v>0</v>
      </c>
      <c r="X1560" s="1">
        <v>1700</v>
      </c>
      <c r="Y1560">
        <v>7</v>
      </c>
      <c r="Z1560">
        <v>0</v>
      </c>
      <c r="AA1560">
        <v>0</v>
      </c>
      <c r="AB1560">
        <v>0</v>
      </c>
      <c r="AC1560">
        <v>0</v>
      </c>
      <c r="AD1560" t="s">
        <v>134</v>
      </c>
      <c r="AE1560" t="s">
        <v>134</v>
      </c>
      <c r="AF1560" s="2">
        <v>45986</v>
      </c>
      <c r="AG1560" t="s">
        <v>135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t="s">
        <v>135</v>
      </c>
      <c r="AO1560" t="s">
        <v>135</v>
      </c>
      <c r="AP1560" t="s">
        <v>136</v>
      </c>
      <c r="AQ1560" t="s">
        <v>137</v>
      </c>
      <c r="AR1560" t="s">
        <v>138</v>
      </c>
      <c r="AS1560" t="s">
        <v>139</v>
      </c>
      <c r="AT1560" t="s">
        <v>140</v>
      </c>
      <c r="AU1560">
        <v>104</v>
      </c>
      <c r="AV1560">
        <v>10</v>
      </c>
      <c r="AW1560">
        <v>1</v>
      </c>
      <c r="AX1560" s="2">
        <v>45989</v>
      </c>
      <c r="AY1560" t="s">
        <v>151</v>
      </c>
      <c r="AZ1560" s="2">
        <v>46024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 t="s">
        <v>135</v>
      </c>
      <c r="BH1560" t="s">
        <v>250</v>
      </c>
      <c r="BI1560" t="s">
        <v>135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 t="s">
        <v>161</v>
      </c>
    </row>
    <row r="1561" spans="1:81" x14ac:dyDescent="0.25">
      <c r="A1561">
        <v>345</v>
      </c>
      <c r="B1561">
        <v>2</v>
      </c>
      <c r="C1561">
        <v>3891</v>
      </c>
      <c r="D1561" t="s">
        <v>8916</v>
      </c>
      <c r="E1561" t="s">
        <v>121</v>
      </c>
      <c r="F1561" t="s">
        <v>8917</v>
      </c>
      <c r="G1561" t="s">
        <v>8918</v>
      </c>
      <c r="H1561" t="s">
        <v>8919</v>
      </c>
      <c r="I1561" t="s">
        <v>8920</v>
      </c>
      <c r="J1561" t="s">
        <v>126</v>
      </c>
      <c r="K1561" t="s">
        <v>127</v>
      </c>
      <c r="L1561" t="s">
        <v>128</v>
      </c>
      <c r="M1561" t="s">
        <v>129</v>
      </c>
      <c r="N1561" t="s">
        <v>8921</v>
      </c>
      <c r="O1561" t="s">
        <v>159</v>
      </c>
      <c r="P1561">
        <v>0</v>
      </c>
      <c r="Q1561" t="s">
        <v>125</v>
      </c>
      <c r="R1561">
        <v>3</v>
      </c>
      <c r="S1561">
        <v>82</v>
      </c>
      <c r="T1561" t="s">
        <v>132</v>
      </c>
      <c r="U1561" t="s">
        <v>133</v>
      </c>
      <c r="V1561" s="1">
        <v>1700</v>
      </c>
      <c r="W1561">
        <v>0</v>
      </c>
      <c r="X1561" s="1">
        <v>1700</v>
      </c>
      <c r="Y1561">
        <v>7</v>
      </c>
      <c r="Z1561">
        <v>0</v>
      </c>
      <c r="AA1561">
        <v>0</v>
      </c>
      <c r="AB1561">
        <v>0</v>
      </c>
      <c r="AC1561">
        <v>0</v>
      </c>
      <c r="AD1561" t="s">
        <v>234</v>
      </c>
      <c r="AE1561" t="s">
        <v>134</v>
      </c>
      <c r="AF1561" s="2">
        <v>45987</v>
      </c>
      <c r="AG1561" s="2">
        <v>46018</v>
      </c>
      <c r="AH1561">
        <v>494.21</v>
      </c>
      <c r="AI1561">
        <v>762.4</v>
      </c>
      <c r="AJ1561">
        <v>988.42</v>
      </c>
      <c r="AK1561">
        <v>0</v>
      </c>
      <c r="AL1561">
        <v>0</v>
      </c>
      <c r="AM1561">
        <v>0</v>
      </c>
      <c r="AN1561" t="s">
        <v>135</v>
      </c>
      <c r="AO1561" t="s">
        <v>135</v>
      </c>
      <c r="AP1561" t="s">
        <v>136</v>
      </c>
      <c r="AQ1561" t="s">
        <v>137</v>
      </c>
      <c r="AR1561" t="s">
        <v>138</v>
      </c>
      <c r="AS1561" t="s">
        <v>150</v>
      </c>
      <c r="AT1561" t="s">
        <v>140</v>
      </c>
      <c r="AU1561">
        <v>102</v>
      </c>
      <c r="AV1561">
        <v>10</v>
      </c>
      <c r="AW1561">
        <v>1</v>
      </c>
      <c r="AX1561" s="2">
        <v>45987</v>
      </c>
      <c r="AY1561" t="s">
        <v>168</v>
      </c>
      <c r="AZ1561" s="2">
        <v>46022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 t="s">
        <v>135</v>
      </c>
      <c r="BH1561" t="s">
        <v>250</v>
      </c>
      <c r="BI1561" t="s">
        <v>135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988.42</v>
      </c>
      <c r="BW1561">
        <v>988.42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 t="s">
        <v>161</v>
      </c>
    </row>
    <row r="1562" spans="1:81" x14ac:dyDescent="0.25">
      <c r="A1562">
        <v>345</v>
      </c>
      <c r="B1562">
        <v>2</v>
      </c>
      <c r="C1562">
        <v>3892</v>
      </c>
      <c r="D1562" t="s">
        <v>8922</v>
      </c>
      <c r="E1562" t="s">
        <v>121</v>
      </c>
      <c r="F1562" t="s">
        <v>8923</v>
      </c>
      <c r="G1562" t="s">
        <v>3542</v>
      </c>
      <c r="H1562" t="s">
        <v>3505</v>
      </c>
      <c r="I1562" t="s">
        <v>8924</v>
      </c>
      <c r="J1562" t="s">
        <v>1263</v>
      </c>
      <c r="K1562" t="s">
        <v>466</v>
      </c>
      <c r="L1562" t="s">
        <v>128</v>
      </c>
      <c r="M1562" t="s">
        <v>467</v>
      </c>
      <c r="N1562" t="s">
        <v>8925</v>
      </c>
      <c r="O1562" t="s">
        <v>159</v>
      </c>
      <c r="P1562">
        <v>0</v>
      </c>
      <c r="Q1562" t="s">
        <v>125</v>
      </c>
      <c r="R1562">
        <v>3</v>
      </c>
      <c r="S1562">
        <v>82</v>
      </c>
      <c r="T1562" t="s">
        <v>132</v>
      </c>
      <c r="U1562" t="s">
        <v>133</v>
      </c>
      <c r="V1562" s="1">
        <v>1652</v>
      </c>
      <c r="W1562">
        <v>0</v>
      </c>
      <c r="X1562" s="1">
        <v>1652</v>
      </c>
      <c r="Y1562">
        <v>0</v>
      </c>
      <c r="Z1562">
        <v>0</v>
      </c>
      <c r="AA1562">
        <v>7</v>
      </c>
      <c r="AB1562">
        <v>0</v>
      </c>
      <c r="AC1562">
        <v>0</v>
      </c>
      <c r="AD1562" t="s">
        <v>134</v>
      </c>
      <c r="AE1562" t="s">
        <v>134</v>
      </c>
      <c r="AF1562" s="2">
        <v>45987</v>
      </c>
      <c r="AG1562" s="2">
        <v>46001</v>
      </c>
      <c r="AH1562" s="1">
        <v>1486.03</v>
      </c>
      <c r="AI1562" s="1">
        <v>1486.03</v>
      </c>
      <c r="AJ1562" s="1">
        <v>1486.03</v>
      </c>
      <c r="AK1562">
        <v>0</v>
      </c>
      <c r="AL1562">
        <v>0</v>
      </c>
      <c r="AM1562">
        <v>0</v>
      </c>
      <c r="AN1562" t="s">
        <v>135</v>
      </c>
      <c r="AO1562" t="s">
        <v>135</v>
      </c>
      <c r="AP1562" t="s">
        <v>136</v>
      </c>
      <c r="AQ1562" t="s">
        <v>137</v>
      </c>
      <c r="AR1562" t="s">
        <v>138</v>
      </c>
      <c r="AS1562" t="s">
        <v>150</v>
      </c>
      <c r="AT1562" t="s">
        <v>140</v>
      </c>
      <c r="AU1562">
        <v>500</v>
      </c>
      <c r="AV1562">
        <v>10</v>
      </c>
      <c r="AW1562">
        <v>1</v>
      </c>
      <c r="AX1562" s="2">
        <v>45993</v>
      </c>
      <c r="AY1562" t="s">
        <v>377</v>
      </c>
      <c r="AZ1562" s="2">
        <v>46028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 t="s">
        <v>135</v>
      </c>
      <c r="BH1562" t="s">
        <v>250</v>
      </c>
      <c r="BI1562" t="s">
        <v>135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7</v>
      </c>
      <c r="BT1562">
        <v>7</v>
      </c>
      <c r="BU1562" s="1">
        <v>1486.03</v>
      </c>
      <c r="BV1562">
        <v>0</v>
      </c>
      <c r="BW1562" s="1">
        <v>1486.03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 t="s">
        <v>161</v>
      </c>
    </row>
    <row r="1563" spans="1:81" x14ac:dyDescent="0.25">
      <c r="A1563">
        <v>345</v>
      </c>
      <c r="B1563">
        <v>2</v>
      </c>
      <c r="C1563">
        <v>3893</v>
      </c>
      <c r="D1563" t="s">
        <v>8926</v>
      </c>
      <c r="E1563" t="s">
        <v>121</v>
      </c>
      <c r="F1563" t="s">
        <v>8927</v>
      </c>
      <c r="G1563" t="s">
        <v>8928</v>
      </c>
      <c r="H1563" t="s">
        <v>8929</v>
      </c>
      <c r="I1563" t="s">
        <v>8930</v>
      </c>
      <c r="J1563" t="s">
        <v>126</v>
      </c>
      <c r="K1563" t="s">
        <v>1853</v>
      </c>
      <c r="L1563" t="s">
        <v>128</v>
      </c>
      <c r="M1563" t="s">
        <v>1854</v>
      </c>
      <c r="N1563" t="s">
        <v>8931</v>
      </c>
      <c r="O1563" t="s">
        <v>159</v>
      </c>
      <c r="P1563">
        <v>0</v>
      </c>
      <c r="Q1563" t="s">
        <v>125</v>
      </c>
      <c r="R1563">
        <v>3</v>
      </c>
      <c r="S1563">
        <v>82</v>
      </c>
      <c r="T1563" t="s">
        <v>132</v>
      </c>
      <c r="U1563" t="s">
        <v>133</v>
      </c>
      <c r="V1563" s="1">
        <v>1652</v>
      </c>
      <c r="W1563">
        <v>0</v>
      </c>
      <c r="X1563" s="1">
        <v>1652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134</v>
      </c>
      <c r="AE1563" t="s">
        <v>134</v>
      </c>
      <c r="AF1563" s="2">
        <v>45987</v>
      </c>
      <c r="AG1563" s="2">
        <v>46009</v>
      </c>
      <c r="AH1563">
        <v>780.02</v>
      </c>
      <c r="AI1563">
        <v>844.8</v>
      </c>
      <c r="AJ1563" s="1">
        <v>1560.04</v>
      </c>
      <c r="AK1563">
        <v>0</v>
      </c>
      <c r="AL1563">
        <v>0</v>
      </c>
      <c r="AM1563">
        <v>0</v>
      </c>
      <c r="AN1563" t="s">
        <v>135</v>
      </c>
      <c r="AO1563" t="s">
        <v>135</v>
      </c>
      <c r="AP1563" t="s">
        <v>136</v>
      </c>
      <c r="AQ1563" t="s">
        <v>137</v>
      </c>
      <c r="AR1563" t="s">
        <v>138</v>
      </c>
      <c r="AS1563" t="s">
        <v>150</v>
      </c>
      <c r="AT1563" t="s">
        <v>140</v>
      </c>
      <c r="AU1563">
        <v>103</v>
      </c>
      <c r="AV1563">
        <v>10</v>
      </c>
      <c r="AW1563">
        <v>1</v>
      </c>
      <c r="AX1563" s="2">
        <v>45987</v>
      </c>
      <c r="AY1563" t="s">
        <v>168</v>
      </c>
      <c r="AZ1563" s="2">
        <v>46022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 t="s">
        <v>135</v>
      </c>
      <c r="BH1563" t="s">
        <v>250</v>
      </c>
      <c r="BI1563" t="s">
        <v>135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 s="1">
        <v>1560.04</v>
      </c>
      <c r="BW1563" s="1">
        <v>1560.04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 t="s">
        <v>161</v>
      </c>
    </row>
    <row r="1564" spans="1:81" x14ac:dyDescent="0.25">
      <c r="A1564">
        <v>345</v>
      </c>
      <c r="B1564">
        <v>2</v>
      </c>
      <c r="C1564">
        <v>3894</v>
      </c>
      <c r="D1564" t="s">
        <v>8932</v>
      </c>
      <c r="E1564" t="s">
        <v>121</v>
      </c>
      <c r="F1564" t="s">
        <v>8933</v>
      </c>
      <c r="G1564" t="s">
        <v>8934</v>
      </c>
      <c r="H1564" t="s">
        <v>8935</v>
      </c>
      <c r="I1564" t="s">
        <v>8936</v>
      </c>
      <c r="J1564" t="s">
        <v>600</v>
      </c>
      <c r="K1564" t="s">
        <v>336</v>
      </c>
      <c r="L1564" t="s">
        <v>128</v>
      </c>
      <c r="M1564" t="s">
        <v>337</v>
      </c>
      <c r="N1564" t="s">
        <v>8937</v>
      </c>
      <c r="O1564" t="s">
        <v>149</v>
      </c>
      <c r="P1564">
        <v>0</v>
      </c>
      <c r="Q1564" t="s">
        <v>125</v>
      </c>
      <c r="R1564">
        <v>4</v>
      </c>
      <c r="S1564">
        <v>80</v>
      </c>
      <c r="T1564" t="s">
        <v>132</v>
      </c>
      <c r="U1564" t="s">
        <v>133</v>
      </c>
      <c r="V1564" s="1">
        <v>1000</v>
      </c>
      <c r="W1564">
        <v>376.83</v>
      </c>
      <c r="X1564">
        <v>623.16999999999996</v>
      </c>
      <c r="Y1564">
        <v>7</v>
      </c>
      <c r="Z1564">
        <v>0</v>
      </c>
      <c r="AA1564">
        <v>9</v>
      </c>
      <c r="AB1564">
        <v>0</v>
      </c>
      <c r="AC1564">
        <v>0</v>
      </c>
      <c r="AD1564" t="s">
        <v>134</v>
      </c>
      <c r="AE1564" t="s">
        <v>134</v>
      </c>
      <c r="AF1564" s="2">
        <v>45987</v>
      </c>
      <c r="AG1564" s="2">
        <v>46019</v>
      </c>
      <c r="AH1564">
        <v>536.66999999999996</v>
      </c>
      <c r="AI1564">
        <v>910.46</v>
      </c>
      <c r="AJ1564" s="1">
        <v>2146.69</v>
      </c>
      <c r="AK1564">
        <v>0</v>
      </c>
      <c r="AL1564">
        <v>376.83</v>
      </c>
      <c r="AM1564">
        <v>0</v>
      </c>
      <c r="AN1564" t="s">
        <v>135</v>
      </c>
      <c r="AO1564" t="s">
        <v>135</v>
      </c>
      <c r="AP1564" t="s">
        <v>136</v>
      </c>
      <c r="AQ1564" t="s">
        <v>137</v>
      </c>
      <c r="AR1564" t="s">
        <v>138</v>
      </c>
      <c r="AS1564" t="s">
        <v>139</v>
      </c>
      <c r="AT1564" t="s">
        <v>140</v>
      </c>
      <c r="AU1564">
        <v>102</v>
      </c>
      <c r="AV1564">
        <v>10</v>
      </c>
      <c r="AW1564">
        <v>1</v>
      </c>
      <c r="AX1564" s="2">
        <v>45987</v>
      </c>
      <c r="AY1564" t="s">
        <v>168</v>
      </c>
      <c r="AZ1564" s="2">
        <v>46022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 t="s">
        <v>135</v>
      </c>
      <c r="BH1564" t="s">
        <v>250</v>
      </c>
      <c r="BI1564" t="s">
        <v>135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8.8000000000000007</v>
      </c>
      <c r="BT1564">
        <v>7.69</v>
      </c>
      <c r="BU1564" s="1">
        <v>1875.65</v>
      </c>
      <c r="BV1564">
        <v>271.04000000000002</v>
      </c>
      <c r="BW1564" s="1">
        <v>2146.69</v>
      </c>
      <c r="BX1564">
        <v>376.83</v>
      </c>
      <c r="BY1564">
        <v>20.09</v>
      </c>
      <c r="BZ1564">
        <v>0</v>
      </c>
      <c r="CA1564">
        <v>0</v>
      </c>
      <c r="CB1564">
        <v>0</v>
      </c>
      <c r="CC1564" t="s">
        <v>161</v>
      </c>
    </row>
    <row r="1565" spans="1:81" x14ac:dyDescent="0.25">
      <c r="A1565">
        <v>345</v>
      </c>
      <c r="B1565">
        <v>2</v>
      </c>
      <c r="C1565">
        <v>3895</v>
      </c>
      <c r="D1565" t="s">
        <v>8938</v>
      </c>
      <c r="E1565" t="s">
        <v>121</v>
      </c>
      <c r="F1565" t="s">
        <v>8939</v>
      </c>
      <c r="G1565" t="s">
        <v>8940</v>
      </c>
      <c r="H1565" t="s">
        <v>8941</v>
      </c>
      <c r="I1565" t="s">
        <v>8942</v>
      </c>
      <c r="J1565" t="s">
        <v>3074</v>
      </c>
      <c r="K1565" t="s">
        <v>1853</v>
      </c>
      <c r="L1565" t="s">
        <v>128</v>
      </c>
      <c r="M1565" t="s">
        <v>1854</v>
      </c>
      <c r="N1565" t="s">
        <v>8943</v>
      </c>
      <c r="O1565" t="s">
        <v>201</v>
      </c>
      <c r="P1565">
        <v>0</v>
      </c>
      <c r="Q1565" t="s">
        <v>125</v>
      </c>
      <c r="R1565">
        <v>3</v>
      </c>
      <c r="S1565">
        <v>84</v>
      </c>
      <c r="T1565" t="s">
        <v>132</v>
      </c>
      <c r="U1565" t="s">
        <v>133</v>
      </c>
      <c r="V1565" s="1">
        <v>1000</v>
      </c>
      <c r="W1565">
        <v>288.83999999999997</v>
      </c>
      <c r="X1565">
        <v>711.16</v>
      </c>
      <c r="Y1565">
        <v>0</v>
      </c>
      <c r="Z1565">
        <v>0</v>
      </c>
      <c r="AA1565">
        <v>5</v>
      </c>
      <c r="AB1565">
        <v>4</v>
      </c>
      <c r="AC1565">
        <v>0</v>
      </c>
      <c r="AD1565" t="s">
        <v>134</v>
      </c>
      <c r="AE1565" t="s">
        <v>134</v>
      </c>
      <c r="AF1565" s="2">
        <v>45988</v>
      </c>
      <c r="AG1565" s="2">
        <v>46010</v>
      </c>
      <c r="AH1565">
        <v>227.32</v>
      </c>
      <c r="AI1565">
        <v>288.83999999999997</v>
      </c>
      <c r="AJ1565">
        <v>454.64</v>
      </c>
      <c r="AK1565">
        <v>288.83999999999997</v>
      </c>
      <c r="AL1565">
        <v>0</v>
      </c>
      <c r="AM1565">
        <v>0</v>
      </c>
      <c r="AN1565" t="s">
        <v>135</v>
      </c>
      <c r="AO1565" t="s">
        <v>135</v>
      </c>
      <c r="AP1565" t="s">
        <v>136</v>
      </c>
      <c r="AQ1565" t="s">
        <v>137</v>
      </c>
      <c r="AR1565" t="s">
        <v>138</v>
      </c>
      <c r="AS1565" t="s">
        <v>150</v>
      </c>
      <c r="AT1565" t="s">
        <v>140</v>
      </c>
      <c r="AU1565">
        <v>106</v>
      </c>
      <c r="AV1565">
        <v>10</v>
      </c>
      <c r="AW1565">
        <v>1</v>
      </c>
      <c r="AX1565" s="2">
        <v>45988</v>
      </c>
      <c r="AY1565" t="s">
        <v>308</v>
      </c>
      <c r="AZ1565" s="2">
        <v>46023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 t="s">
        <v>135</v>
      </c>
      <c r="BH1565" t="s">
        <v>250</v>
      </c>
      <c r="BI1565" t="s">
        <v>135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3.18</v>
      </c>
      <c r="BU1565">
        <v>288.83999999999997</v>
      </c>
      <c r="BV1565">
        <v>165.8</v>
      </c>
      <c r="BW1565">
        <v>454.64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 t="s">
        <v>161</v>
      </c>
    </row>
    <row r="1566" spans="1:81" x14ac:dyDescent="0.25">
      <c r="A1566">
        <v>345</v>
      </c>
      <c r="B1566">
        <v>2</v>
      </c>
      <c r="C1566">
        <v>3896</v>
      </c>
      <c r="D1566" t="s">
        <v>8944</v>
      </c>
      <c r="E1566" t="s">
        <v>121</v>
      </c>
      <c r="F1566" t="s">
        <v>8945</v>
      </c>
      <c r="G1566" t="s">
        <v>8946</v>
      </c>
      <c r="H1566" t="s">
        <v>2468</v>
      </c>
      <c r="I1566" t="s">
        <v>8947</v>
      </c>
      <c r="J1566" t="s">
        <v>126</v>
      </c>
      <c r="K1566" t="s">
        <v>466</v>
      </c>
      <c r="L1566" t="s">
        <v>128</v>
      </c>
      <c r="M1566" t="s">
        <v>467</v>
      </c>
      <c r="N1566" t="s">
        <v>8948</v>
      </c>
      <c r="O1566" t="s">
        <v>159</v>
      </c>
      <c r="P1566">
        <v>0</v>
      </c>
      <c r="Q1566" t="s">
        <v>125</v>
      </c>
      <c r="R1566">
        <v>3</v>
      </c>
      <c r="S1566">
        <v>84</v>
      </c>
      <c r="T1566" t="s">
        <v>132</v>
      </c>
      <c r="U1566" t="s">
        <v>133</v>
      </c>
      <c r="V1566" s="1">
        <v>1652</v>
      </c>
      <c r="W1566">
        <v>0</v>
      </c>
      <c r="X1566" s="1">
        <v>1652</v>
      </c>
      <c r="Y1566">
        <v>0</v>
      </c>
      <c r="Z1566">
        <v>0</v>
      </c>
      <c r="AA1566">
        <v>0</v>
      </c>
      <c r="AB1566">
        <v>0</v>
      </c>
      <c r="AC1566">
        <v>0</v>
      </c>
      <c r="AD1566" t="s">
        <v>134</v>
      </c>
      <c r="AE1566" t="s">
        <v>134</v>
      </c>
      <c r="AF1566" s="2">
        <v>45988</v>
      </c>
      <c r="AG1566" t="s">
        <v>135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t="s">
        <v>135</v>
      </c>
      <c r="AO1566" t="s">
        <v>135</v>
      </c>
      <c r="AP1566" t="s">
        <v>136</v>
      </c>
      <c r="AQ1566" t="s">
        <v>137</v>
      </c>
      <c r="AR1566" t="s">
        <v>138</v>
      </c>
      <c r="AS1566" t="s">
        <v>139</v>
      </c>
      <c r="AT1566" t="s">
        <v>140</v>
      </c>
      <c r="AU1566">
        <v>105</v>
      </c>
      <c r="AV1566">
        <v>10</v>
      </c>
      <c r="AW1566">
        <v>1</v>
      </c>
      <c r="AX1566" s="2">
        <v>45993</v>
      </c>
      <c r="AY1566" t="s">
        <v>377</v>
      </c>
      <c r="AZ1566" s="2">
        <v>46028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 t="s">
        <v>135</v>
      </c>
      <c r="BH1566" t="s">
        <v>250</v>
      </c>
      <c r="BI1566" t="s">
        <v>135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 t="s">
        <v>161</v>
      </c>
    </row>
    <row r="1567" spans="1:81" x14ac:dyDescent="0.25">
      <c r="A1567">
        <v>345</v>
      </c>
      <c r="B1567">
        <v>2</v>
      </c>
      <c r="C1567">
        <v>3897</v>
      </c>
      <c r="D1567" t="s">
        <v>8949</v>
      </c>
      <c r="E1567" t="s">
        <v>121</v>
      </c>
      <c r="F1567" t="s">
        <v>8950</v>
      </c>
      <c r="G1567" t="s">
        <v>8951</v>
      </c>
      <c r="H1567" t="s">
        <v>8952</v>
      </c>
      <c r="I1567" t="s">
        <v>8953</v>
      </c>
      <c r="J1567" t="s">
        <v>4569</v>
      </c>
      <c r="K1567" t="s">
        <v>127</v>
      </c>
      <c r="L1567" t="s">
        <v>128</v>
      </c>
      <c r="M1567" t="s">
        <v>129</v>
      </c>
      <c r="N1567" t="s">
        <v>8954</v>
      </c>
      <c r="O1567" t="s">
        <v>131</v>
      </c>
      <c r="P1567">
        <v>0</v>
      </c>
      <c r="Q1567" t="s">
        <v>125</v>
      </c>
      <c r="R1567">
        <v>3</v>
      </c>
      <c r="S1567">
        <v>87</v>
      </c>
      <c r="T1567" t="s">
        <v>132</v>
      </c>
      <c r="U1567" t="s">
        <v>133</v>
      </c>
      <c r="V1567" s="1">
        <v>1000</v>
      </c>
      <c r="W1567">
        <v>0</v>
      </c>
      <c r="X1567" s="1">
        <v>1000</v>
      </c>
      <c r="Y1567">
        <v>7</v>
      </c>
      <c r="Z1567">
        <v>0</v>
      </c>
      <c r="AA1567">
        <v>9</v>
      </c>
      <c r="AB1567">
        <v>0</v>
      </c>
      <c r="AC1567">
        <v>0</v>
      </c>
      <c r="AD1567" t="s">
        <v>134</v>
      </c>
      <c r="AE1567" t="s">
        <v>134</v>
      </c>
      <c r="AF1567" s="2">
        <v>45989</v>
      </c>
      <c r="AG1567" s="2">
        <v>46011</v>
      </c>
      <c r="AH1567">
        <v>495.71</v>
      </c>
      <c r="AI1567">
        <v>537.62</v>
      </c>
      <c r="AJ1567">
        <v>991.43</v>
      </c>
      <c r="AK1567">
        <v>0</v>
      </c>
      <c r="AL1567">
        <v>0</v>
      </c>
      <c r="AM1567">
        <v>0</v>
      </c>
      <c r="AN1567" t="s">
        <v>135</v>
      </c>
      <c r="AO1567" t="s">
        <v>135</v>
      </c>
      <c r="AP1567" t="s">
        <v>136</v>
      </c>
      <c r="AQ1567" t="s">
        <v>137</v>
      </c>
      <c r="AR1567" t="s">
        <v>138</v>
      </c>
      <c r="AS1567" t="s">
        <v>139</v>
      </c>
      <c r="AT1567" t="s">
        <v>140</v>
      </c>
      <c r="AU1567">
        <v>102</v>
      </c>
      <c r="AV1567">
        <v>10</v>
      </c>
      <c r="AW1567">
        <v>1</v>
      </c>
      <c r="AX1567" s="2">
        <v>45994</v>
      </c>
      <c r="AY1567" t="s">
        <v>168</v>
      </c>
      <c r="AZ1567" s="2">
        <v>46022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 t="s">
        <v>135</v>
      </c>
      <c r="BH1567" t="s">
        <v>250</v>
      </c>
      <c r="BI1567" t="s">
        <v>135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7.92</v>
      </c>
      <c r="BT1567">
        <v>7.92</v>
      </c>
      <c r="BU1567">
        <v>991.43</v>
      </c>
      <c r="BV1567">
        <v>0</v>
      </c>
      <c r="BW1567">
        <v>991.43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 t="s">
        <v>161</v>
      </c>
    </row>
    <row r="1568" spans="1:81" x14ac:dyDescent="0.25">
      <c r="A1568">
        <v>345</v>
      </c>
      <c r="B1568">
        <v>2</v>
      </c>
      <c r="C1568">
        <v>3898</v>
      </c>
      <c r="D1568" t="s">
        <v>8955</v>
      </c>
      <c r="E1568" t="s">
        <v>121</v>
      </c>
      <c r="F1568" t="s">
        <v>8956</v>
      </c>
      <c r="G1568" t="s">
        <v>8957</v>
      </c>
      <c r="H1568" t="s">
        <v>8958</v>
      </c>
      <c r="I1568" t="s">
        <v>8959</v>
      </c>
      <c r="J1568" t="s">
        <v>126</v>
      </c>
      <c r="K1568" t="s">
        <v>4248</v>
      </c>
      <c r="L1568" t="s">
        <v>128</v>
      </c>
      <c r="M1568" t="s">
        <v>1325</v>
      </c>
      <c r="N1568" t="s">
        <v>8960</v>
      </c>
      <c r="O1568" t="s">
        <v>159</v>
      </c>
      <c r="P1568">
        <v>0</v>
      </c>
      <c r="Q1568" t="s">
        <v>125</v>
      </c>
      <c r="R1568">
        <v>3</v>
      </c>
      <c r="S1568">
        <v>84</v>
      </c>
      <c r="T1568" t="s">
        <v>132</v>
      </c>
      <c r="U1568" t="s">
        <v>133</v>
      </c>
      <c r="V1568" s="1">
        <v>1700</v>
      </c>
      <c r="W1568">
        <v>0</v>
      </c>
      <c r="X1568" s="1">
        <v>1700</v>
      </c>
      <c r="Y1568">
        <v>7</v>
      </c>
      <c r="Z1568">
        <v>0</v>
      </c>
      <c r="AA1568">
        <v>0</v>
      </c>
      <c r="AB1568">
        <v>0</v>
      </c>
      <c r="AC1568">
        <v>0</v>
      </c>
      <c r="AD1568" t="s">
        <v>134</v>
      </c>
      <c r="AE1568" t="s">
        <v>134</v>
      </c>
      <c r="AF1568" s="2">
        <v>45989</v>
      </c>
      <c r="AG1568" s="2">
        <v>46011</v>
      </c>
      <c r="AH1568">
        <v>140.31</v>
      </c>
      <c r="AI1568">
        <v>140.31</v>
      </c>
      <c r="AJ1568">
        <v>140.31</v>
      </c>
      <c r="AK1568">
        <v>0</v>
      </c>
      <c r="AL1568">
        <v>0</v>
      </c>
      <c r="AM1568">
        <v>0</v>
      </c>
      <c r="AN1568" t="s">
        <v>135</v>
      </c>
      <c r="AO1568" t="s">
        <v>135</v>
      </c>
      <c r="AP1568" t="s">
        <v>136</v>
      </c>
      <c r="AQ1568" t="s">
        <v>137</v>
      </c>
      <c r="AR1568" t="s">
        <v>138</v>
      </c>
      <c r="AS1568" t="s">
        <v>139</v>
      </c>
      <c r="AT1568" t="s">
        <v>140</v>
      </c>
      <c r="AU1568">
        <v>104</v>
      </c>
      <c r="AV1568">
        <v>10</v>
      </c>
      <c r="AW1568">
        <v>1</v>
      </c>
      <c r="AX1568" s="2">
        <v>45989</v>
      </c>
      <c r="AY1568" t="s">
        <v>151</v>
      </c>
      <c r="AZ1568" s="2">
        <v>46024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 t="s">
        <v>135</v>
      </c>
      <c r="BH1568" t="s">
        <v>250</v>
      </c>
      <c r="BI1568" t="s">
        <v>135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140.31</v>
      </c>
      <c r="BW1568">
        <v>140.31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 t="s">
        <v>161</v>
      </c>
    </row>
    <row r="1569" spans="1:81" x14ac:dyDescent="0.25">
      <c r="A1569">
        <v>345</v>
      </c>
      <c r="B1569">
        <v>2</v>
      </c>
      <c r="C1569">
        <v>3899</v>
      </c>
      <c r="D1569" t="s">
        <v>8961</v>
      </c>
      <c r="E1569" t="s">
        <v>121</v>
      </c>
      <c r="F1569" t="s">
        <v>8962</v>
      </c>
      <c r="G1569" t="s">
        <v>8963</v>
      </c>
      <c r="H1569" t="s">
        <v>8964</v>
      </c>
      <c r="I1569" t="s">
        <v>8965</v>
      </c>
      <c r="J1569" t="s">
        <v>126</v>
      </c>
      <c r="K1569" t="s">
        <v>4248</v>
      </c>
      <c r="L1569" t="s">
        <v>128</v>
      </c>
      <c r="M1569" t="s">
        <v>1325</v>
      </c>
      <c r="N1569" t="s">
        <v>8966</v>
      </c>
      <c r="O1569" t="s">
        <v>149</v>
      </c>
      <c r="P1569">
        <v>0</v>
      </c>
      <c r="Q1569" t="s">
        <v>125</v>
      </c>
      <c r="R1569">
        <v>3</v>
      </c>
      <c r="S1569">
        <v>85</v>
      </c>
      <c r="T1569" t="s">
        <v>132</v>
      </c>
      <c r="U1569" t="s">
        <v>133</v>
      </c>
      <c r="V1569" s="1">
        <v>1000</v>
      </c>
      <c r="W1569">
        <v>0</v>
      </c>
      <c r="X1569" s="1">
        <v>1000</v>
      </c>
      <c r="Y1569">
        <v>7</v>
      </c>
      <c r="Z1569">
        <v>0</v>
      </c>
      <c r="AA1569">
        <v>0</v>
      </c>
      <c r="AB1569">
        <v>0</v>
      </c>
      <c r="AC1569">
        <v>0</v>
      </c>
      <c r="AD1569" t="s">
        <v>134</v>
      </c>
      <c r="AE1569" t="s">
        <v>134</v>
      </c>
      <c r="AF1569" s="2">
        <v>45989</v>
      </c>
      <c r="AG1569" s="2">
        <v>46011</v>
      </c>
      <c r="AH1569">
        <v>411.84</v>
      </c>
      <c r="AI1569">
        <v>411.84</v>
      </c>
      <c r="AJ1569">
        <v>411.84</v>
      </c>
      <c r="AK1569">
        <v>0</v>
      </c>
      <c r="AL1569">
        <v>0</v>
      </c>
      <c r="AM1569">
        <v>0</v>
      </c>
      <c r="AN1569" t="s">
        <v>135</v>
      </c>
      <c r="AO1569" t="s">
        <v>135</v>
      </c>
      <c r="AP1569" t="s">
        <v>136</v>
      </c>
      <c r="AQ1569" t="s">
        <v>137</v>
      </c>
      <c r="AR1569" t="s">
        <v>138</v>
      </c>
      <c r="AS1569" t="s">
        <v>150</v>
      </c>
      <c r="AT1569" t="s">
        <v>140</v>
      </c>
      <c r="AU1569">
        <v>104</v>
      </c>
      <c r="AV1569">
        <v>10</v>
      </c>
      <c r="AW1569">
        <v>1</v>
      </c>
      <c r="AX1569" s="2">
        <v>45989</v>
      </c>
      <c r="AY1569" t="s">
        <v>151</v>
      </c>
      <c r="AZ1569" s="2">
        <v>46024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 t="s">
        <v>135</v>
      </c>
      <c r="BH1569" t="s">
        <v>250</v>
      </c>
      <c r="BI1569" t="s">
        <v>135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411.84</v>
      </c>
      <c r="BW1569">
        <v>411.84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 t="s">
        <v>161</v>
      </c>
    </row>
    <row r="1570" spans="1:81" x14ac:dyDescent="0.25">
      <c r="A1570">
        <v>345</v>
      </c>
      <c r="B1570">
        <v>2</v>
      </c>
      <c r="C1570">
        <v>3900</v>
      </c>
      <c r="D1570" t="s">
        <v>8967</v>
      </c>
      <c r="E1570" t="s">
        <v>121</v>
      </c>
      <c r="F1570" t="s">
        <v>8968</v>
      </c>
      <c r="G1570" t="s">
        <v>8969</v>
      </c>
      <c r="H1570" t="s">
        <v>8970</v>
      </c>
      <c r="I1570" t="s">
        <v>4543</v>
      </c>
      <c r="J1570" t="s">
        <v>565</v>
      </c>
      <c r="K1570" t="s">
        <v>336</v>
      </c>
      <c r="L1570" t="s">
        <v>128</v>
      </c>
      <c r="M1570" t="s">
        <v>337</v>
      </c>
      <c r="N1570" t="s">
        <v>8971</v>
      </c>
      <c r="O1570" t="s">
        <v>201</v>
      </c>
      <c r="P1570">
        <v>0</v>
      </c>
      <c r="Q1570" t="s">
        <v>125</v>
      </c>
      <c r="R1570">
        <v>3</v>
      </c>
      <c r="S1570">
        <v>86</v>
      </c>
      <c r="T1570" t="s">
        <v>132</v>
      </c>
      <c r="U1570" t="s">
        <v>133</v>
      </c>
      <c r="V1570" s="1">
        <v>1000</v>
      </c>
      <c r="W1570">
        <v>0</v>
      </c>
      <c r="X1570" s="1">
        <v>1000</v>
      </c>
      <c r="Y1570">
        <v>7</v>
      </c>
      <c r="Z1570">
        <v>0</v>
      </c>
      <c r="AA1570">
        <v>0</v>
      </c>
      <c r="AB1570">
        <v>0</v>
      </c>
      <c r="AC1570">
        <v>0</v>
      </c>
      <c r="AD1570" t="s">
        <v>134</v>
      </c>
      <c r="AE1570" t="s">
        <v>134</v>
      </c>
      <c r="AF1570" s="2">
        <v>45992</v>
      </c>
      <c r="AG1570" s="2">
        <v>46014</v>
      </c>
      <c r="AH1570">
        <v>358.92</v>
      </c>
      <c r="AI1570">
        <v>459.64</v>
      </c>
      <c r="AJ1570" s="1">
        <v>1076.76</v>
      </c>
      <c r="AK1570">
        <v>0</v>
      </c>
      <c r="AL1570">
        <v>285.37</v>
      </c>
      <c r="AM1570">
        <v>0</v>
      </c>
      <c r="AN1570" t="s">
        <v>135</v>
      </c>
      <c r="AO1570" t="s">
        <v>135</v>
      </c>
      <c r="AP1570" t="s">
        <v>136</v>
      </c>
      <c r="AQ1570" t="s">
        <v>137</v>
      </c>
      <c r="AR1570" t="s">
        <v>138</v>
      </c>
      <c r="AS1570" t="s">
        <v>139</v>
      </c>
      <c r="AT1570" t="s">
        <v>140</v>
      </c>
      <c r="AU1570">
        <v>104</v>
      </c>
      <c r="AV1570">
        <v>10</v>
      </c>
      <c r="AW1570">
        <v>1</v>
      </c>
      <c r="AX1570" s="2">
        <v>45992</v>
      </c>
      <c r="AY1570" t="s">
        <v>141</v>
      </c>
      <c r="AZ1570" s="2">
        <v>46027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 t="s">
        <v>135</v>
      </c>
      <c r="BH1570" t="s">
        <v>250</v>
      </c>
      <c r="BI1570" t="s">
        <v>135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 s="1">
        <v>1076.76</v>
      </c>
      <c r="BW1570" s="1">
        <v>1076.76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 t="s">
        <v>161</v>
      </c>
    </row>
    <row r="1571" spans="1:81" x14ac:dyDescent="0.25">
      <c r="A1571">
        <v>345</v>
      </c>
      <c r="B1571">
        <v>2</v>
      </c>
      <c r="C1571">
        <v>3901</v>
      </c>
      <c r="D1571" t="s">
        <v>8972</v>
      </c>
      <c r="E1571" t="s">
        <v>121</v>
      </c>
      <c r="F1571" t="s">
        <v>8973</v>
      </c>
      <c r="G1571" t="s">
        <v>8974</v>
      </c>
      <c r="H1571" t="s">
        <v>8486</v>
      </c>
      <c r="I1571" t="s">
        <v>8975</v>
      </c>
      <c r="J1571" t="s">
        <v>3074</v>
      </c>
      <c r="K1571" t="s">
        <v>1853</v>
      </c>
      <c r="L1571" t="s">
        <v>128</v>
      </c>
      <c r="M1571" t="s">
        <v>1854</v>
      </c>
      <c r="N1571" t="s">
        <v>8976</v>
      </c>
      <c r="O1571" t="s">
        <v>3115</v>
      </c>
      <c r="P1571">
        <v>0</v>
      </c>
      <c r="Q1571" t="s">
        <v>125</v>
      </c>
      <c r="R1571">
        <v>3</v>
      </c>
      <c r="S1571">
        <v>83</v>
      </c>
      <c r="T1571" t="s">
        <v>132</v>
      </c>
      <c r="U1571" t="s">
        <v>133</v>
      </c>
      <c r="V1571" s="1">
        <v>1000</v>
      </c>
      <c r="W1571">
        <v>0</v>
      </c>
      <c r="X1571" s="1">
        <v>1000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134</v>
      </c>
      <c r="AE1571" t="s">
        <v>134</v>
      </c>
      <c r="AF1571" s="2">
        <v>45992</v>
      </c>
      <c r="AG1571" s="2">
        <v>46000</v>
      </c>
      <c r="AH1571" s="1">
        <v>1001.4</v>
      </c>
      <c r="AI1571" s="1">
        <v>1001.4</v>
      </c>
      <c r="AJ1571" s="1">
        <v>1001.4</v>
      </c>
      <c r="AK1571">
        <v>0</v>
      </c>
      <c r="AL1571">
        <v>0</v>
      </c>
      <c r="AM1571">
        <v>0</v>
      </c>
      <c r="AN1571" t="s">
        <v>135</v>
      </c>
      <c r="AO1571" t="s">
        <v>135</v>
      </c>
      <c r="AP1571" t="s">
        <v>136</v>
      </c>
      <c r="AQ1571" t="s">
        <v>137</v>
      </c>
      <c r="AR1571" t="s">
        <v>138</v>
      </c>
      <c r="AS1571" t="s">
        <v>150</v>
      </c>
      <c r="AT1571" t="s">
        <v>140</v>
      </c>
      <c r="AU1571">
        <v>500</v>
      </c>
      <c r="AV1571">
        <v>10</v>
      </c>
      <c r="AW1571">
        <v>1</v>
      </c>
      <c r="AX1571" s="2">
        <v>45992</v>
      </c>
      <c r="AY1571" t="s">
        <v>141</v>
      </c>
      <c r="AZ1571" s="2">
        <v>46027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 t="s">
        <v>135</v>
      </c>
      <c r="BH1571" t="s">
        <v>250</v>
      </c>
      <c r="BI1571" t="s">
        <v>135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 s="1">
        <v>1001.4</v>
      </c>
      <c r="BW1571" s="1">
        <v>1001.4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 t="s">
        <v>161</v>
      </c>
    </row>
    <row r="1572" spans="1:81" x14ac:dyDescent="0.25">
      <c r="A1572">
        <v>345</v>
      </c>
      <c r="B1572">
        <v>2</v>
      </c>
      <c r="C1572">
        <v>3902</v>
      </c>
      <c r="D1572" t="s">
        <v>8977</v>
      </c>
      <c r="E1572" t="s">
        <v>121</v>
      </c>
      <c r="F1572" t="s">
        <v>8978</v>
      </c>
      <c r="G1572" t="s">
        <v>8979</v>
      </c>
      <c r="H1572" t="s">
        <v>8980</v>
      </c>
      <c r="I1572" t="s">
        <v>8981</v>
      </c>
      <c r="J1572" t="s">
        <v>1465</v>
      </c>
      <c r="K1572" t="s">
        <v>466</v>
      </c>
      <c r="L1572" t="s">
        <v>128</v>
      </c>
      <c r="M1572" t="s">
        <v>467</v>
      </c>
      <c r="N1572" t="s">
        <v>8982</v>
      </c>
      <c r="O1572" t="s">
        <v>195</v>
      </c>
      <c r="P1572">
        <v>0</v>
      </c>
      <c r="Q1572" t="s">
        <v>125</v>
      </c>
      <c r="R1572">
        <v>3</v>
      </c>
      <c r="S1572">
        <v>84</v>
      </c>
      <c r="T1572" t="s">
        <v>132</v>
      </c>
      <c r="U1572" t="s">
        <v>133</v>
      </c>
      <c r="V1572">
        <v>783</v>
      </c>
      <c r="W1572">
        <v>0</v>
      </c>
      <c r="X1572">
        <v>783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">
        <v>134</v>
      </c>
      <c r="AE1572" t="s">
        <v>134</v>
      </c>
      <c r="AF1572" s="2">
        <v>45993</v>
      </c>
      <c r="AG1572" s="2">
        <v>46017</v>
      </c>
      <c r="AH1572">
        <v>761.86</v>
      </c>
      <c r="AI1572" s="1">
        <v>1016.14</v>
      </c>
      <c r="AJ1572" s="1">
        <v>2285.59</v>
      </c>
      <c r="AK1572">
        <v>0</v>
      </c>
      <c r="AL1572">
        <v>0</v>
      </c>
      <c r="AM1572">
        <v>0</v>
      </c>
      <c r="AN1572" t="s">
        <v>135</v>
      </c>
      <c r="AO1572" t="s">
        <v>135</v>
      </c>
      <c r="AP1572" t="s">
        <v>136</v>
      </c>
      <c r="AQ1572" t="s">
        <v>137</v>
      </c>
      <c r="AR1572" t="s">
        <v>138</v>
      </c>
      <c r="AS1572" t="s">
        <v>139</v>
      </c>
      <c r="AT1572" t="s">
        <v>140</v>
      </c>
      <c r="AU1572">
        <v>100</v>
      </c>
      <c r="AV1572">
        <v>10</v>
      </c>
      <c r="AW1572">
        <v>1</v>
      </c>
      <c r="AX1572" s="2">
        <v>45994</v>
      </c>
      <c r="AY1572" t="s">
        <v>168</v>
      </c>
      <c r="AZ1572" s="2">
        <v>46022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 t="s">
        <v>135</v>
      </c>
      <c r="BH1572" t="s">
        <v>250</v>
      </c>
      <c r="BI1572" t="s">
        <v>135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 s="1">
        <v>2285.59</v>
      </c>
      <c r="BW1572" s="1">
        <v>2285.59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 t="s">
        <v>161</v>
      </c>
    </row>
    <row r="1573" spans="1:81" x14ac:dyDescent="0.25">
      <c r="A1573">
        <v>345</v>
      </c>
      <c r="B1573">
        <v>2</v>
      </c>
      <c r="C1573">
        <v>3903</v>
      </c>
      <c r="D1573" t="s">
        <v>8983</v>
      </c>
      <c r="E1573" t="s">
        <v>121</v>
      </c>
      <c r="F1573" t="s">
        <v>8984</v>
      </c>
      <c r="G1573" t="s">
        <v>8985</v>
      </c>
      <c r="H1573" t="s">
        <v>8986</v>
      </c>
      <c r="I1573" t="s">
        <v>8987</v>
      </c>
      <c r="J1573" t="s">
        <v>1263</v>
      </c>
      <c r="K1573" t="s">
        <v>466</v>
      </c>
      <c r="L1573" t="s">
        <v>128</v>
      </c>
      <c r="M1573" t="s">
        <v>467</v>
      </c>
      <c r="N1573" t="s">
        <v>8988</v>
      </c>
      <c r="O1573" t="s">
        <v>5369</v>
      </c>
      <c r="P1573">
        <v>0</v>
      </c>
      <c r="Q1573" t="s">
        <v>125</v>
      </c>
      <c r="R1573">
        <v>3</v>
      </c>
      <c r="S1573">
        <v>85</v>
      </c>
      <c r="T1573" t="s">
        <v>132</v>
      </c>
      <c r="U1573" t="s">
        <v>133</v>
      </c>
      <c r="V1573">
        <v>478</v>
      </c>
      <c r="W1573">
        <v>0</v>
      </c>
      <c r="X1573">
        <v>478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134</v>
      </c>
      <c r="AE1573" t="s">
        <v>134</v>
      </c>
      <c r="AF1573" s="2">
        <v>45993</v>
      </c>
      <c r="AG1573" t="s">
        <v>135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 t="s">
        <v>135</v>
      </c>
      <c r="AO1573" t="s">
        <v>135</v>
      </c>
      <c r="AP1573" t="s">
        <v>136</v>
      </c>
      <c r="AQ1573" t="s">
        <v>137</v>
      </c>
      <c r="AR1573" t="s">
        <v>138</v>
      </c>
      <c r="AS1573" t="s">
        <v>139</v>
      </c>
      <c r="AT1573" t="s">
        <v>140</v>
      </c>
      <c r="AU1573">
        <v>500</v>
      </c>
      <c r="AV1573">
        <v>10</v>
      </c>
      <c r="AW1573">
        <v>1</v>
      </c>
      <c r="AX1573" s="2">
        <v>45993</v>
      </c>
      <c r="AY1573" t="s">
        <v>377</v>
      </c>
      <c r="AZ1573" s="2">
        <v>46028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 t="s">
        <v>135</v>
      </c>
      <c r="BH1573" t="s">
        <v>250</v>
      </c>
      <c r="BI1573" t="s">
        <v>135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 t="s">
        <v>161</v>
      </c>
    </row>
    <row r="1574" spans="1:81" x14ac:dyDescent="0.25">
      <c r="A1574">
        <v>345</v>
      </c>
      <c r="B1574">
        <v>2</v>
      </c>
      <c r="C1574">
        <v>3904</v>
      </c>
      <c r="D1574" t="s">
        <v>8989</v>
      </c>
      <c r="E1574" t="s">
        <v>121</v>
      </c>
      <c r="F1574" t="s">
        <v>8990</v>
      </c>
      <c r="G1574" t="s">
        <v>8991</v>
      </c>
      <c r="H1574" t="s">
        <v>8992</v>
      </c>
      <c r="I1574" t="s">
        <v>8993</v>
      </c>
      <c r="J1574" t="s">
        <v>126</v>
      </c>
      <c r="K1574" t="s">
        <v>466</v>
      </c>
      <c r="L1574" t="s">
        <v>128</v>
      </c>
      <c r="M1574" t="s">
        <v>467</v>
      </c>
      <c r="N1574" t="s">
        <v>8994</v>
      </c>
      <c r="O1574" t="s">
        <v>201</v>
      </c>
      <c r="P1574">
        <v>0</v>
      </c>
      <c r="Q1574" t="s">
        <v>125</v>
      </c>
      <c r="R1574">
        <v>3</v>
      </c>
      <c r="S1574">
        <v>84</v>
      </c>
      <c r="T1574" t="s">
        <v>132</v>
      </c>
      <c r="U1574" t="s">
        <v>133</v>
      </c>
      <c r="V1574" s="1">
        <v>1000</v>
      </c>
      <c r="W1574">
        <v>0</v>
      </c>
      <c r="X1574" s="1">
        <v>1000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134</v>
      </c>
      <c r="AE1574" t="s">
        <v>134</v>
      </c>
      <c r="AF1574" s="2">
        <v>45993</v>
      </c>
      <c r="AG1574" s="2">
        <v>46004</v>
      </c>
      <c r="AH1574">
        <v>86.52</v>
      </c>
      <c r="AI1574">
        <v>86.52</v>
      </c>
      <c r="AJ1574">
        <v>86.52</v>
      </c>
      <c r="AK1574">
        <v>0</v>
      </c>
      <c r="AL1574">
        <v>0</v>
      </c>
      <c r="AM1574">
        <v>0</v>
      </c>
      <c r="AN1574" t="s">
        <v>135</v>
      </c>
      <c r="AO1574" t="s">
        <v>135</v>
      </c>
      <c r="AP1574" t="s">
        <v>136</v>
      </c>
      <c r="AQ1574" t="s">
        <v>137</v>
      </c>
      <c r="AR1574" t="s">
        <v>138</v>
      </c>
      <c r="AS1574" t="s">
        <v>150</v>
      </c>
      <c r="AT1574" t="s">
        <v>140</v>
      </c>
      <c r="AU1574">
        <v>105</v>
      </c>
      <c r="AV1574">
        <v>10</v>
      </c>
      <c r="AW1574">
        <v>1</v>
      </c>
      <c r="AX1574" s="2">
        <v>45996</v>
      </c>
      <c r="AY1574" t="s">
        <v>151</v>
      </c>
      <c r="AZ1574" s="2">
        <v>46024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 t="s">
        <v>135</v>
      </c>
      <c r="BH1574" t="s">
        <v>250</v>
      </c>
      <c r="BI1574" t="s">
        <v>135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86.52</v>
      </c>
      <c r="BW1574">
        <v>86.52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 t="s">
        <v>161</v>
      </c>
    </row>
    <row r="1575" spans="1:81" x14ac:dyDescent="0.25">
      <c r="A1575">
        <v>345</v>
      </c>
      <c r="B1575">
        <v>2</v>
      </c>
      <c r="C1575">
        <v>3905</v>
      </c>
      <c r="D1575" t="s">
        <v>8995</v>
      </c>
      <c r="E1575" t="s">
        <v>121</v>
      </c>
      <c r="F1575" t="s">
        <v>8996</v>
      </c>
      <c r="G1575" t="s">
        <v>8997</v>
      </c>
      <c r="H1575" t="s">
        <v>8998</v>
      </c>
      <c r="I1575" t="s">
        <v>8999</v>
      </c>
      <c r="J1575" t="s">
        <v>4569</v>
      </c>
      <c r="K1575" t="s">
        <v>1853</v>
      </c>
      <c r="L1575" t="s">
        <v>128</v>
      </c>
      <c r="M1575" t="s">
        <v>1854</v>
      </c>
      <c r="N1575" t="s">
        <v>9000</v>
      </c>
      <c r="O1575" t="s">
        <v>3269</v>
      </c>
      <c r="P1575">
        <v>0</v>
      </c>
      <c r="Q1575" t="s">
        <v>125</v>
      </c>
      <c r="R1575">
        <v>3</v>
      </c>
      <c r="S1575">
        <v>85</v>
      </c>
      <c r="T1575" t="s">
        <v>132</v>
      </c>
      <c r="U1575" t="s">
        <v>133</v>
      </c>
      <c r="V1575" s="1">
        <v>1000</v>
      </c>
      <c r="W1575">
        <v>0</v>
      </c>
      <c r="X1575" s="1">
        <v>1000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s">
        <v>134</v>
      </c>
      <c r="AE1575" t="s">
        <v>134</v>
      </c>
      <c r="AF1575" s="2">
        <v>45994</v>
      </c>
      <c r="AG1575" s="2">
        <v>46018</v>
      </c>
      <c r="AH1575">
        <v>343.01</v>
      </c>
      <c r="AI1575">
        <v>442.67</v>
      </c>
      <c r="AJ1575" s="1">
        <v>1029.04</v>
      </c>
      <c r="AK1575">
        <v>0</v>
      </c>
      <c r="AL1575">
        <v>0</v>
      </c>
      <c r="AM1575">
        <v>0</v>
      </c>
      <c r="AN1575" t="s">
        <v>135</v>
      </c>
      <c r="AO1575" t="s">
        <v>135</v>
      </c>
      <c r="AP1575" t="s">
        <v>136</v>
      </c>
      <c r="AQ1575" t="s">
        <v>137</v>
      </c>
      <c r="AR1575" t="s">
        <v>138</v>
      </c>
      <c r="AS1575" t="s">
        <v>150</v>
      </c>
      <c r="AT1575" t="s">
        <v>140</v>
      </c>
      <c r="AU1575">
        <v>103</v>
      </c>
      <c r="AV1575">
        <v>10</v>
      </c>
      <c r="AW1575">
        <v>1</v>
      </c>
      <c r="AX1575" s="2">
        <v>45995</v>
      </c>
      <c r="AY1575" t="s">
        <v>308</v>
      </c>
      <c r="AZ1575" s="2">
        <v>46023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 t="s">
        <v>135</v>
      </c>
      <c r="BH1575" t="s">
        <v>250</v>
      </c>
      <c r="BI1575" t="s">
        <v>135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 s="1">
        <v>1029.04</v>
      </c>
      <c r="BW1575" s="1">
        <v>1029.04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 t="s">
        <v>161</v>
      </c>
    </row>
    <row r="1576" spans="1:81" x14ac:dyDescent="0.25">
      <c r="A1576">
        <v>345</v>
      </c>
      <c r="B1576">
        <v>2</v>
      </c>
      <c r="C1576">
        <v>3906</v>
      </c>
      <c r="D1576" t="s">
        <v>9001</v>
      </c>
      <c r="E1576" t="s">
        <v>121</v>
      </c>
      <c r="F1576" t="s">
        <v>9002</v>
      </c>
      <c r="G1576" t="s">
        <v>9003</v>
      </c>
      <c r="H1576" t="s">
        <v>4719</v>
      </c>
      <c r="I1576" t="s">
        <v>9004</v>
      </c>
      <c r="J1576" t="s">
        <v>4308</v>
      </c>
      <c r="K1576" t="s">
        <v>4248</v>
      </c>
      <c r="L1576" t="s">
        <v>128</v>
      </c>
      <c r="M1576" t="s">
        <v>1325</v>
      </c>
      <c r="N1576" t="s">
        <v>9005</v>
      </c>
      <c r="O1576" t="s">
        <v>5475</v>
      </c>
      <c r="P1576">
        <v>0</v>
      </c>
      <c r="Q1576" t="s">
        <v>125</v>
      </c>
      <c r="R1576">
        <v>3</v>
      </c>
      <c r="S1576">
        <v>87</v>
      </c>
      <c r="T1576" t="s">
        <v>132</v>
      </c>
      <c r="U1576" t="s">
        <v>133</v>
      </c>
      <c r="V1576" s="1">
        <v>1000</v>
      </c>
      <c r="W1576">
        <v>0</v>
      </c>
      <c r="X1576" s="1">
        <v>1000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">
        <v>134</v>
      </c>
      <c r="AE1576" t="s">
        <v>134</v>
      </c>
      <c r="AF1576" s="2">
        <v>45995</v>
      </c>
      <c r="AG1576" s="2">
        <v>46010</v>
      </c>
      <c r="AH1576">
        <v>128.76</v>
      </c>
      <c r="AI1576">
        <v>128.76</v>
      </c>
      <c r="AJ1576">
        <v>128.76</v>
      </c>
      <c r="AK1576">
        <v>0</v>
      </c>
      <c r="AL1576">
        <v>0</v>
      </c>
      <c r="AM1576">
        <v>0</v>
      </c>
      <c r="AN1576" t="s">
        <v>135</v>
      </c>
      <c r="AO1576" t="s">
        <v>135</v>
      </c>
      <c r="AP1576" t="s">
        <v>136</v>
      </c>
      <c r="AQ1576" t="s">
        <v>137</v>
      </c>
      <c r="AR1576" t="s">
        <v>138</v>
      </c>
      <c r="AS1576" t="s">
        <v>139</v>
      </c>
      <c r="AT1576" t="s">
        <v>140</v>
      </c>
      <c r="AU1576">
        <v>104</v>
      </c>
      <c r="AV1576">
        <v>10</v>
      </c>
      <c r="AW1576">
        <v>1</v>
      </c>
      <c r="AX1576" s="2">
        <v>46001</v>
      </c>
      <c r="AY1576" t="s">
        <v>168</v>
      </c>
      <c r="AZ1576" s="2">
        <v>46022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 t="s">
        <v>135</v>
      </c>
      <c r="BH1576" t="s">
        <v>250</v>
      </c>
      <c r="BI1576" t="s">
        <v>135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128.76</v>
      </c>
      <c r="BW1576">
        <v>128.76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 t="s">
        <v>161</v>
      </c>
    </row>
    <row r="1577" spans="1:81" x14ac:dyDescent="0.25">
      <c r="A1577">
        <v>345</v>
      </c>
      <c r="B1577">
        <v>2</v>
      </c>
      <c r="C1577">
        <v>3907</v>
      </c>
      <c r="D1577" t="s">
        <v>9006</v>
      </c>
      <c r="E1577" t="s">
        <v>121</v>
      </c>
      <c r="F1577" t="s">
        <v>9007</v>
      </c>
      <c r="G1577" t="s">
        <v>9008</v>
      </c>
      <c r="H1577" t="s">
        <v>9009</v>
      </c>
      <c r="I1577" t="s">
        <v>9010</v>
      </c>
      <c r="J1577" t="s">
        <v>4247</v>
      </c>
      <c r="K1577" t="s">
        <v>4248</v>
      </c>
      <c r="L1577" t="s">
        <v>128</v>
      </c>
      <c r="M1577" t="s">
        <v>1325</v>
      </c>
      <c r="N1577" t="s">
        <v>9011</v>
      </c>
      <c r="O1577" t="s">
        <v>201</v>
      </c>
      <c r="P1577">
        <v>0</v>
      </c>
      <c r="Q1577" t="s">
        <v>125</v>
      </c>
      <c r="R1577">
        <v>3</v>
      </c>
      <c r="S1577">
        <v>86</v>
      </c>
      <c r="T1577" t="s">
        <v>132</v>
      </c>
      <c r="U1577" t="s">
        <v>133</v>
      </c>
      <c r="V1577" s="1">
        <v>1000</v>
      </c>
      <c r="W1577">
        <v>0</v>
      </c>
      <c r="X1577" s="1">
        <v>1000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">
        <v>134</v>
      </c>
      <c r="AE1577" t="s">
        <v>134</v>
      </c>
      <c r="AF1577" s="2">
        <v>45995</v>
      </c>
      <c r="AG1577" s="2">
        <v>46010</v>
      </c>
      <c r="AH1577">
        <v>220.56</v>
      </c>
      <c r="AI1577">
        <v>220.56</v>
      </c>
      <c r="AJ1577">
        <v>220.56</v>
      </c>
      <c r="AK1577">
        <v>0</v>
      </c>
      <c r="AL1577">
        <v>0</v>
      </c>
      <c r="AM1577">
        <v>0</v>
      </c>
      <c r="AN1577" t="s">
        <v>135</v>
      </c>
      <c r="AO1577" t="s">
        <v>135</v>
      </c>
      <c r="AP1577" t="s">
        <v>136</v>
      </c>
      <c r="AQ1577" t="s">
        <v>137</v>
      </c>
      <c r="AR1577" t="s">
        <v>138</v>
      </c>
      <c r="AS1577" t="s">
        <v>139</v>
      </c>
      <c r="AT1577" t="s">
        <v>140</v>
      </c>
      <c r="AU1577">
        <v>104</v>
      </c>
      <c r="AV1577">
        <v>10</v>
      </c>
      <c r="AW1577">
        <v>1</v>
      </c>
      <c r="AX1577" s="2">
        <v>46001</v>
      </c>
      <c r="AY1577" t="s">
        <v>168</v>
      </c>
      <c r="AZ1577" s="2">
        <v>46022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 t="s">
        <v>135</v>
      </c>
      <c r="BH1577" t="s">
        <v>250</v>
      </c>
      <c r="BI1577" t="s">
        <v>135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220.56</v>
      </c>
      <c r="BW1577">
        <v>220.56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 t="s">
        <v>161</v>
      </c>
    </row>
    <row r="1578" spans="1:81" x14ac:dyDescent="0.25">
      <c r="A1578">
        <v>345</v>
      </c>
      <c r="B1578">
        <v>2</v>
      </c>
      <c r="C1578">
        <v>3908</v>
      </c>
      <c r="D1578" t="s">
        <v>9012</v>
      </c>
      <c r="E1578" t="s">
        <v>121</v>
      </c>
      <c r="F1578" t="s">
        <v>9013</v>
      </c>
      <c r="G1578" t="s">
        <v>9014</v>
      </c>
      <c r="H1578" t="s">
        <v>4847</v>
      </c>
      <c r="I1578" t="s">
        <v>9015</v>
      </c>
      <c r="J1578" t="s">
        <v>4247</v>
      </c>
      <c r="K1578" t="s">
        <v>4248</v>
      </c>
      <c r="L1578" t="s">
        <v>128</v>
      </c>
      <c r="M1578" t="s">
        <v>1325</v>
      </c>
      <c r="N1578" t="s">
        <v>9016</v>
      </c>
      <c r="O1578" t="s">
        <v>167</v>
      </c>
      <c r="P1578">
        <v>0</v>
      </c>
      <c r="Q1578" t="s">
        <v>125</v>
      </c>
      <c r="R1578">
        <v>3</v>
      </c>
      <c r="S1578">
        <v>84</v>
      </c>
      <c r="T1578" t="s">
        <v>132</v>
      </c>
      <c r="U1578" t="s">
        <v>133</v>
      </c>
      <c r="V1578" s="1">
        <v>1711</v>
      </c>
      <c r="W1578">
        <v>0</v>
      </c>
      <c r="X1578" s="1">
        <v>1711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">
        <v>134</v>
      </c>
      <c r="AE1578" t="s">
        <v>134</v>
      </c>
      <c r="AF1578" s="2">
        <v>45995</v>
      </c>
      <c r="AG1578" s="2">
        <v>46010</v>
      </c>
      <c r="AH1578">
        <v>161.04</v>
      </c>
      <c r="AI1578">
        <v>161.04</v>
      </c>
      <c r="AJ1578">
        <v>161.04</v>
      </c>
      <c r="AK1578">
        <v>0</v>
      </c>
      <c r="AL1578">
        <v>0</v>
      </c>
      <c r="AM1578">
        <v>0</v>
      </c>
      <c r="AN1578" t="s">
        <v>135</v>
      </c>
      <c r="AO1578" t="s">
        <v>135</v>
      </c>
      <c r="AP1578" t="s">
        <v>136</v>
      </c>
      <c r="AQ1578" t="s">
        <v>137</v>
      </c>
      <c r="AR1578" t="s">
        <v>138</v>
      </c>
      <c r="AS1578" t="s">
        <v>139</v>
      </c>
      <c r="AT1578" t="s">
        <v>140</v>
      </c>
      <c r="AU1578">
        <v>104</v>
      </c>
      <c r="AV1578">
        <v>10</v>
      </c>
      <c r="AW1578">
        <v>1</v>
      </c>
      <c r="AX1578" s="2">
        <v>46001</v>
      </c>
      <c r="AY1578" t="s">
        <v>168</v>
      </c>
      <c r="AZ1578" s="2">
        <v>46022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 t="s">
        <v>135</v>
      </c>
      <c r="BH1578" t="s">
        <v>250</v>
      </c>
      <c r="BI1578" t="s">
        <v>135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161.04</v>
      </c>
      <c r="BW1578">
        <v>161.04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 t="s">
        <v>161</v>
      </c>
    </row>
    <row r="1579" spans="1:81" x14ac:dyDescent="0.25">
      <c r="A1579">
        <v>345</v>
      </c>
      <c r="B1579">
        <v>2</v>
      </c>
      <c r="C1579">
        <v>3909</v>
      </c>
      <c r="D1579" t="s">
        <v>9017</v>
      </c>
      <c r="E1579" t="s">
        <v>121</v>
      </c>
      <c r="F1579" t="s">
        <v>9018</v>
      </c>
      <c r="G1579" t="s">
        <v>9019</v>
      </c>
      <c r="H1579" t="s">
        <v>9020</v>
      </c>
      <c r="I1579" t="s">
        <v>9021</v>
      </c>
      <c r="J1579" t="s">
        <v>3074</v>
      </c>
      <c r="K1579" t="s">
        <v>1853</v>
      </c>
      <c r="L1579" t="s">
        <v>128</v>
      </c>
      <c r="M1579" t="s">
        <v>1854</v>
      </c>
      <c r="N1579" t="s">
        <v>9022</v>
      </c>
      <c r="O1579" t="s">
        <v>167</v>
      </c>
      <c r="P1579">
        <v>0</v>
      </c>
      <c r="Q1579" t="s">
        <v>125</v>
      </c>
      <c r="R1579">
        <v>3</v>
      </c>
      <c r="S1579">
        <v>84</v>
      </c>
      <c r="T1579" t="s">
        <v>132</v>
      </c>
      <c r="U1579" t="s">
        <v>133</v>
      </c>
      <c r="V1579" s="1">
        <v>1711</v>
      </c>
      <c r="W1579">
        <v>0</v>
      </c>
      <c r="X1579" s="1">
        <v>1711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s">
        <v>134</v>
      </c>
      <c r="AE1579" t="s">
        <v>134</v>
      </c>
      <c r="AF1579" s="2">
        <v>45995</v>
      </c>
      <c r="AG1579" s="2">
        <v>46017</v>
      </c>
      <c r="AH1579" s="1">
        <v>1810.21</v>
      </c>
      <c r="AI1579" s="1">
        <v>1831.34</v>
      </c>
      <c r="AJ1579" s="1">
        <v>3620.43</v>
      </c>
      <c r="AK1579">
        <v>0</v>
      </c>
      <c r="AL1579">
        <v>0</v>
      </c>
      <c r="AM1579">
        <v>0</v>
      </c>
      <c r="AN1579" t="s">
        <v>135</v>
      </c>
      <c r="AO1579" t="s">
        <v>135</v>
      </c>
      <c r="AP1579" t="s">
        <v>136</v>
      </c>
      <c r="AQ1579" t="s">
        <v>137</v>
      </c>
      <c r="AR1579" t="s">
        <v>138</v>
      </c>
      <c r="AS1579" t="s">
        <v>139</v>
      </c>
      <c r="AT1579" t="s">
        <v>140</v>
      </c>
      <c r="AU1579">
        <v>106</v>
      </c>
      <c r="AV1579">
        <v>10</v>
      </c>
      <c r="AW1579">
        <v>1</v>
      </c>
      <c r="AX1579" s="2">
        <v>46001</v>
      </c>
      <c r="AY1579" t="s">
        <v>168</v>
      </c>
      <c r="AZ1579" s="2">
        <v>46022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 t="s">
        <v>135</v>
      </c>
      <c r="BH1579" t="s">
        <v>250</v>
      </c>
      <c r="BI1579" t="s">
        <v>135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 s="1">
        <v>3620.43</v>
      </c>
      <c r="BW1579" s="1">
        <v>3620.43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 t="s">
        <v>161</v>
      </c>
    </row>
    <row r="1580" spans="1:81" x14ac:dyDescent="0.25">
      <c r="A1580">
        <v>345</v>
      </c>
      <c r="B1580">
        <v>2</v>
      </c>
      <c r="C1580">
        <v>3910</v>
      </c>
      <c r="D1580" t="s">
        <v>9023</v>
      </c>
      <c r="E1580" t="s">
        <v>121</v>
      </c>
      <c r="F1580" t="s">
        <v>9024</v>
      </c>
      <c r="G1580" t="s">
        <v>9025</v>
      </c>
      <c r="H1580" t="s">
        <v>9026</v>
      </c>
      <c r="I1580" t="s">
        <v>9027</v>
      </c>
      <c r="J1580" t="s">
        <v>126</v>
      </c>
      <c r="K1580" t="s">
        <v>466</v>
      </c>
      <c r="L1580" t="s">
        <v>128</v>
      </c>
      <c r="M1580" t="s">
        <v>467</v>
      </c>
      <c r="N1580" t="s">
        <v>9028</v>
      </c>
      <c r="O1580" t="s">
        <v>167</v>
      </c>
      <c r="P1580">
        <v>0</v>
      </c>
      <c r="Q1580" t="s">
        <v>125</v>
      </c>
      <c r="R1580">
        <v>3</v>
      </c>
      <c r="S1580">
        <v>84</v>
      </c>
      <c r="T1580" t="s">
        <v>132</v>
      </c>
      <c r="U1580" t="s">
        <v>133</v>
      </c>
      <c r="V1580" s="1">
        <v>1735</v>
      </c>
      <c r="W1580">
        <v>0</v>
      </c>
      <c r="X1580" s="1">
        <v>1735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s">
        <v>134</v>
      </c>
      <c r="AE1580" t="s">
        <v>134</v>
      </c>
      <c r="AF1580" s="2">
        <v>45996</v>
      </c>
      <c r="AG1580" s="2">
        <v>46013</v>
      </c>
      <c r="AH1580">
        <v>158.6</v>
      </c>
      <c r="AI1580">
        <v>158.6</v>
      </c>
      <c r="AJ1580">
        <v>158.6</v>
      </c>
      <c r="AK1580">
        <v>0</v>
      </c>
      <c r="AL1580">
        <v>0</v>
      </c>
      <c r="AM1580">
        <v>0</v>
      </c>
      <c r="AN1580" t="s">
        <v>135</v>
      </c>
      <c r="AO1580" t="s">
        <v>135</v>
      </c>
      <c r="AP1580" t="s">
        <v>136</v>
      </c>
      <c r="AQ1580" t="s">
        <v>137</v>
      </c>
      <c r="AR1580" t="s">
        <v>138</v>
      </c>
      <c r="AS1580" t="s">
        <v>139</v>
      </c>
      <c r="AT1580" t="s">
        <v>140</v>
      </c>
      <c r="AU1580">
        <v>105</v>
      </c>
      <c r="AV1580">
        <v>10</v>
      </c>
      <c r="AW1580">
        <v>1</v>
      </c>
      <c r="AX1580" s="2">
        <v>45996</v>
      </c>
      <c r="AY1580" t="s">
        <v>151</v>
      </c>
      <c r="AZ1580" s="2">
        <v>46024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 t="s">
        <v>135</v>
      </c>
      <c r="BH1580" t="s">
        <v>250</v>
      </c>
      <c r="BI1580" t="s">
        <v>135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158.6</v>
      </c>
      <c r="BW1580">
        <v>158.6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 t="s">
        <v>161</v>
      </c>
    </row>
    <row r="1581" spans="1:81" x14ac:dyDescent="0.25">
      <c r="A1581">
        <v>345</v>
      </c>
      <c r="B1581">
        <v>2</v>
      </c>
      <c r="C1581">
        <v>3911</v>
      </c>
      <c r="D1581" t="s">
        <v>9029</v>
      </c>
      <c r="E1581" t="s">
        <v>121</v>
      </c>
      <c r="F1581" t="s">
        <v>9030</v>
      </c>
      <c r="G1581" t="s">
        <v>9031</v>
      </c>
      <c r="H1581" t="s">
        <v>9032</v>
      </c>
      <c r="I1581" t="s">
        <v>9033</v>
      </c>
      <c r="J1581" t="s">
        <v>4569</v>
      </c>
      <c r="K1581" t="s">
        <v>466</v>
      </c>
      <c r="L1581" t="s">
        <v>128</v>
      </c>
      <c r="M1581" t="s">
        <v>1325</v>
      </c>
      <c r="N1581" t="s">
        <v>9034</v>
      </c>
      <c r="O1581" t="s">
        <v>9035</v>
      </c>
      <c r="P1581">
        <v>0</v>
      </c>
      <c r="Q1581" t="s">
        <v>125</v>
      </c>
      <c r="R1581">
        <v>3</v>
      </c>
      <c r="S1581">
        <v>84</v>
      </c>
      <c r="T1581" t="s">
        <v>132</v>
      </c>
      <c r="U1581" t="s">
        <v>133</v>
      </c>
      <c r="V1581" s="1">
        <v>1456</v>
      </c>
      <c r="W1581">
        <v>0</v>
      </c>
      <c r="X1581" s="1">
        <v>1456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134</v>
      </c>
      <c r="AE1581" t="s">
        <v>134</v>
      </c>
      <c r="AF1581" s="2">
        <v>45999</v>
      </c>
      <c r="AG1581" t="s">
        <v>135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 t="s">
        <v>135</v>
      </c>
      <c r="AO1581" t="s">
        <v>135</v>
      </c>
      <c r="AP1581" t="s">
        <v>136</v>
      </c>
      <c r="AQ1581" t="s">
        <v>137</v>
      </c>
      <c r="AR1581" t="s">
        <v>138</v>
      </c>
      <c r="AS1581" t="s">
        <v>139</v>
      </c>
      <c r="AT1581" t="s">
        <v>140</v>
      </c>
      <c r="AU1581">
        <v>104</v>
      </c>
      <c r="AV1581">
        <v>10</v>
      </c>
      <c r="AW1581">
        <v>1</v>
      </c>
      <c r="AX1581" s="2">
        <v>46001</v>
      </c>
      <c r="AY1581" t="s">
        <v>168</v>
      </c>
      <c r="AZ1581" s="2">
        <v>46022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 t="s">
        <v>135</v>
      </c>
      <c r="BH1581" t="s">
        <v>250</v>
      </c>
      <c r="BI1581" t="s">
        <v>135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 t="s">
        <v>161</v>
      </c>
    </row>
    <row r="1582" spans="1:81" x14ac:dyDescent="0.25">
      <c r="A1582">
        <v>345</v>
      </c>
      <c r="B1582">
        <v>2</v>
      </c>
      <c r="C1582">
        <v>3912</v>
      </c>
      <c r="D1582" t="s">
        <v>9036</v>
      </c>
      <c r="E1582" t="s">
        <v>121</v>
      </c>
      <c r="F1582" t="s">
        <v>9037</v>
      </c>
      <c r="G1582" t="s">
        <v>9038</v>
      </c>
      <c r="H1582" t="s">
        <v>9039</v>
      </c>
      <c r="I1582" t="s">
        <v>9040</v>
      </c>
      <c r="J1582" t="s">
        <v>4569</v>
      </c>
      <c r="K1582" t="s">
        <v>466</v>
      </c>
      <c r="L1582" t="s">
        <v>128</v>
      </c>
      <c r="M1582" t="s">
        <v>467</v>
      </c>
      <c r="N1582" t="s">
        <v>9041</v>
      </c>
      <c r="O1582" t="s">
        <v>149</v>
      </c>
      <c r="P1582">
        <v>0</v>
      </c>
      <c r="Q1582" t="s">
        <v>125</v>
      </c>
      <c r="R1582">
        <v>3</v>
      </c>
      <c r="S1582">
        <v>87</v>
      </c>
      <c r="T1582" t="s">
        <v>132</v>
      </c>
      <c r="U1582" t="s">
        <v>133</v>
      </c>
      <c r="V1582" s="1">
        <v>1000</v>
      </c>
      <c r="W1582">
        <v>0</v>
      </c>
      <c r="X1582" s="1">
        <v>1000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134</v>
      </c>
      <c r="AE1582" t="s">
        <v>134</v>
      </c>
      <c r="AF1582" s="2">
        <v>45999</v>
      </c>
      <c r="AG1582" t="s">
        <v>135</v>
      </c>
      <c r="AH1582">
        <v>126.79</v>
      </c>
      <c r="AI1582">
        <v>126.79</v>
      </c>
      <c r="AJ1582">
        <v>126.79</v>
      </c>
      <c r="AK1582">
        <v>0</v>
      </c>
      <c r="AL1582">
        <v>126.79</v>
      </c>
      <c r="AM1582">
        <v>0</v>
      </c>
      <c r="AN1582" t="s">
        <v>135</v>
      </c>
      <c r="AO1582" t="s">
        <v>135</v>
      </c>
      <c r="AP1582" t="s">
        <v>136</v>
      </c>
      <c r="AQ1582" t="s">
        <v>137</v>
      </c>
      <c r="AR1582" t="s">
        <v>138</v>
      </c>
      <c r="AS1582" t="s">
        <v>139</v>
      </c>
      <c r="AT1582" t="s">
        <v>140</v>
      </c>
      <c r="AU1582">
        <v>105</v>
      </c>
      <c r="AV1582">
        <v>10</v>
      </c>
      <c r="AW1582">
        <v>1</v>
      </c>
      <c r="AX1582" s="2">
        <v>45999</v>
      </c>
      <c r="AY1582" t="s">
        <v>141</v>
      </c>
      <c r="AZ1582" s="2">
        <v>46027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 t="s">
        <v>135</v>
      </c>
      <c r="BH1582" t="s">
        <v>250</v>
      </c>
      <c r="BI1582" t="s">
        <v>135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126.79</v>
      </c>
      <c r="BW1582">
        <v>126.79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 t="s">
        <v>161</v>
      </c>
    </row>
    <row r="1583" spans="1:81" x14ac:dyDescent="0.25">
      <c r="A1583">
        <v>345</v>
      </c>
      <c r="B1583">
        <v>2</v>
      </c>
      <c r="C1583">
        <v>3913</v>
      </c>
      <c r="D1583" t="s">
        <v>9042</v>
      </c>
      <c r="E1583" t="s">
        <v>121</v>
      </c>
      <c r="F1583" t="s">
        <v>9043</v>
      </c>
      <c r="G1583" t="s">
        <v>9044</v>
      </c>
      <c r="H1583" t="s">
        <v>9045</v>
      </c>
      <c r="I1583" t="s">
        <v>9046</v>
      </c>
      <c r="J1583" t="s">
        <v>9047</v>
      </c>
      <c r="K1583" t="s">
        <v>4248</v>
      </c>
      <c r="L1583" t="s">
        <v>128</v>
      </c>
      <c r="M1583" t="s">
        <v>1325</v>
      </c>
      <c r="N1583" t="s">
        <v>9048</v>
      </c>
      <c r="O1583" t="s">
        <v>167</v>
      </c>
      <c r="P1583">
        <v>0</v>
      </c>
      <c r="Q1583" t="s">
        <v>125</v>
      </c>
      <c r="R1583">
        <v>3</v>
      </c>
      <c r="S1583">
        <v>84</v>
      </c>
      <c r="T1583" t="s">
        <v>132</v>
      </c>
      <c r="U1583" t="s">
        <v>133</v>
      </c>
      <c r="V1583" s="1">
        <v>1735</v>
      </c>
      <c r="W1583">
        <v>0</v>
      </c>
      <c r="X1583" s="1">
        <v>1735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134</v>
      </c>
      <c r="AE1583" t="s">
        <v>134</v>
      </c>
      <c r="AF1583" s="2">
        <v>45999</v>
      </c>
      <c r="AG1583" t="s">
        <v>135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 t="s">
        <v>135</v>
      </c>
      <c r="AO1583" t="s">
        <v>135</v>
      </c>
      <c r="AP1583" t="s">
        <v>136</v>
      </c>
      <c r="AQ1583" t="s">
        <v>137</v>
      </c>
      <c r="AR1583" t="s">
        <v>138</v>
      </c>
      <c r="AS1583" t="s">
        <v>139</v>
      </c>
      <c r="AT1583" t="s">
        <v>140</v>
      </c>
      <c r="AU1583">
        <v>104</v>
      </c>
      <c r="AV1583">
        <v>10</v>
      </c>
      <c r="AW1583">
        <v>1</v>
      </c>
      <c r="AX1583" s="2">
        <v>46001</v>
      </c>
      <c r="AY1583" t="s">
        <v>168</v>
      </c>
      <c r="AZ1583" s="2">
        <v>46022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 t="s">
        <v>135</v>
      </c>
      <c r="BH1583" t="s">
        <v>250</v>
      </c>
      <c r="BI1583" t="s">
        <v>135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 t="s">
        <v>161</v>
      </c>
    </row>
    <row r="1584" spans="1:81" x14ac:dyDescent="0.25">
      <c r="A1584">
        <v>345</v>
      </c>
      <c r="B1584">
        <v>2</v>
      </c>
      <c r="C1584">
        <v>3914</v>
      </c>
      <c r="D1584" t="s">
        <v>9049</v>
      </c>
      <c r="E1584" t="s">
        <v>121</v>
      </c>
      <c r="F1584" t="s">
        <v>9050</v>
      </c>
      <c r="G1584" t="s">
        <v>9050</v>
      </c>
      <c r="H1584" t="s">
        <v>9051</v>
      </c>
      <c r="I1584" t="s">
        <v>9052</v>
      </c>
      <c r="J1584" t="s">
        <v>126</v>
      </c>
      <c r="K1584" t="s">
        <v>1853</v>
      </c>
      <c r="L1584" t="s">
        <v>128</v>
      </c>
      <c r="M1584" t="s">
        <v>1854</v>
      </c>
      <c r="N1584" t="s">
        <v>9053</v>
      </c>
      <c r="O1584" t="s">
        <v>159</v>
      </c>
      <c r="P1584">
        <v>0</v>
      </c>
      <c r="Q1584" t="s">
        <v>125</v>
      </c>
      <c r="R1584">
        <v>3</v>
      </c>
      <c r="S1584">
        <v>82</v>
      </c>
      <c r="T1584" t="s">
        <v>132</v>
      </c>
      <c r="U1584" t="s">
        <v>133</v>
      </c>
      <c r="V1584" s="1">
        <v>1740</v>
      </c>
      <c r="W1584">
        <v>0</v>
      </c>
      <c r="X1584" s="1">
        <v>1740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134</v>
      </c>
      <c r="AE1584" t="s">
        <v>134</v>
      </c>
      <c r="AF1584" s="2">
        <v>45999</v>
      </c>
      <c r="AG1584" s="2">
        <v>46017</v>
      </c>
      <c r="AH1584">
        <v>320.05</v>
      </c>
      <c r="AI1584">
        <v>387.2</v>
      </c>
      <c r="AJ1584">
        <v>640.1</v>
      </c>
      <c r="AK1584">
        <v>0</v>
      </c>
      <c r="AL1584">
        <v>0</v>
      </c>
      <c r="AM1584">
        <v>0</v>
      </c>
      <c r="AN1584" t="s">
        <v>135</v>
      </c>
      <c r="AO1584" t="s">
        <v>135</v>
      </c>
      <c r="AP1584" t="s">
        <v>136</v>
      </c>
      <c r="AQ1584" t="s">
        <v>137</v>
      </c>
      <c r="AR1584" t="s">
        <v>138</v>
      </c>
      <c r="AS1584" t="s">
        <v>150</v>
      </c>
      <c r="AT1584" t="s">
        <v>140</v>
      </c>
      <c r="AU1584">
        <v>103</v>
      </c>
      <c r="AV1584">
        <v>10</v>
      </c>
      <c r="AW1584">
        <v>1</v>
      </c>
      <c r="AX1584" s="2">
        <v>46000</v>
      </c>
      <c r="AY1584" t="s">
        <v>377</v>
      </c>
      <c r="AZ1584" s="2">
        <v>46028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 t="s">
        <v>135</v>
      </c>
      <c r="BH1584" t="s">
        <v>250</v>
      </c>
      <c r="BI1584" t="s">
        <v>135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640.1</v>
      </c>
      <c r="BW1584">
        <v>640.1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 t="s">
        <v>161</v>
      </c>
    </row>
    <row r="1585" spans="1:81" x14ac:dyDescent="0.25">
      <c r="A1585">
        <v>345</v>
      </c>
      <c r="B1585">
        <v>2</v>
      </c>
      <c r="C1585">
        <v>3915</v>
      </c>
      <c r="D1585" t="s">
        <v>9054</v>
      </c>
      <c r="E1585" t="s">
        <v>121</v>
      </c>
      <c r="F1585" t="s">
        <v>9055</v>
      </c>
      <c r="G1585" t="s">
        <v>9056</v>
      </c>
      <c r="H1585" t="s">
        <v>9057</v>
      </c>
      <c r="I1585" t="s">
        <v>9058</v>
      </c>
      <c r="J1585" t="s">
        <v>3074</v>
      </c>
      <c r="K1585" t="s">
        <v>1853</v>
      </c>
      <c r="L1585" t="s">
        <v>128</v>
      </c>
      <c r="M1585" t="s">
        <v>1854</v>
      </c>
      <c r="N1585" t="s">
        <v>9059</v>
      </c>
      <c r="O1585" t="s">
        <v>296</v>
      </c>
      <c r="P1585">
        <v>0</v>
      </c>
      <c r="Q1585" t="s">
        <v>125</v>
      </c>
      <c r="R1585">
        <v>3</v>
      </c>
      <c r="S1585">
        <v>85</v>
      </c>
      <c r="T1585" t="s">
        <v>132</v>
      </c>
      <c r="U1585" t="s">
        <v>133</v>
      </c>
      <c r="V1585" s="1">
        <v>1000</v>
      </c>
      <c r="W1585">
        <v>0</v>
      </c>
      <c r="X1585" s="1">
        <v>1000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134</v>
      </c>
      <c r="AE1585" t="s">
        <v>134</v>
      </c>
      <c r="AF1585" s="2">
        <v>45999</v>
      </c>
      <c r="AG1585" t="s">
        <v>135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 t="s">
        <v>135</v>
      </c>
      <c r="AO1585" t="s">
        <v>135</v>
      </c>
      <c r="AP1585" t="s">
        <v>136</v>
      </c>
      <c r="AQ1585" t="s">
        <v>137</v>
      </c>
      <c r="AR1585" t="s">
        <v>138</v>
      </c>
      <c r="AS1585" t="s">
        <v>150</v>
      </c>
      <c r="AT1585" t="s">
        <v>140</v>
      </c>
      <c r="AU1585">
        <v>106</v>
      </c>
      <c r="AV1585">
        <v>10</v>
      </c>
      <c r="AW1585">
        <v>1</v>
      </c>
      <c r="AX1585" s="2">
        <v>46001</v>
      </c>
      <c r="AY1585" t="s">
        <v>168</v>
      </c>
      <c r="AZ1585" s="2">
        <v>46022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 t="s">
        <v>135</v>
      </c>
      <c r="BH1585" t="s">
        <v>250</v>
      </c>
      <c r="BI1585" t="s">
        <v>135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 t="s">
        <v>161</v>
      </c>
    </row>
    <row r="1586" spans="1:81" x14ac:dyDescent="0.25">
      <c r="A1586">
        <v>345</v>
      </c>
      <c r="B1586">
        <v>2</v>
      </c>
      <c r="C1586">
        <v>3916</v>
      </c>
      <c r="D1586" t="s">
        <v>9060</v>
      </c>
      <c r="E1586" t="s">
        <v>121</v>
      </c>
      <c r="F1586" t="s">
        <v>9061</v>
      </c>
      <c r="G1586" t="s">
        <v>9062</v>
      </c>
      <c r="H1586" t="s">
        <v>9045</v>
      </c>
      <c r="I1586" t="s">
        <v>9063</v>
      </c>
      <c r="J1586" t="s">
        <v>9064</v>
      </c>
      <c r="K1586" t="s">
        <v>4248</v>
      </c>
      <c r="L1586" t="s">
        <v>128</v>
      </c>
      <c r="M1586" t="s">
        <v>1325</v>
      </c>
      <c r="N1586" t="s">
        <v>9065</v>
      </c>
      <c r="O1586" t="s">
        <v>149</v>
      </c>
      <c r="P1586">
        <v>0</v>
      </c>
      <c r="Q1586" t="s">
        <v>125</v>
      </c>
      <c r="R1586">
        <v>3</v>
      </c>
      <c r="S1586">
        <v>82</v>
      </c>
      <c r="T1586" t="s">
        <v>132</v>
      </c>
      <c r="U1586" t="s">
        <v>133</v>
      </c>
      <c r="V1586" s="1">
        <v>1000</v>
      </c>
      <c r="W1586">
        <v>0</v>
      </c>
      <c r="X1586" s="1">
        <v>1000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134</v>
      </c>
      <c r="AE1586" t="s">
        <v>134</v>
      </c>
      <c r="AF1586" s="2">
        <v>46000</v>
      </c>
      <c r="AG1586" t="s">
        <v>135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 t="s">
        <v>135</v>
      </c>
      <c r="AO1586" t="s">
        <v>135</v>
      </c>
      <c r="AP1586" t="s">
        <v>136</v>
      </c>
      <c r="AQ1586" t="s">
        <v>137</v>
      </c>
      <c r="AR1586" t="s">
        <v>138</v>
      </c>
      <c r="AS1586" t="s">
        <v>150</v>
      </c>
      <c r="AT1586" t="s">
        <v>140</v>
      </c>
      <c r="AU1586">
        <v>104</v>
      </c>
      <c r="AV1586">
        <v>10</v>
      </c>
      <c r="AW1586">
        <v>1</v>
      </c>
      <c r="AX1586" s="2">
        <v>46001</v>
      </c>
      <c r="AY1586" t="s">
        <v>168</v>
      </c>
      <c r="AZ1586" s="2">
        <v>46022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 t="s">
        <v>135</v>
      </c>
      <c r="BH1586" t="s">
        <v>250</v>
      </c>
      <c r="BI1586" t="s">
        <v>135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 t="s">
        <v>161</v>
      </c>
    </row>
    <row r="1587" spans="1:81" x14ac:dyDescent="0.25">
      <c r="A1587">
        <v>345</v>
      </c>
      <c r="B1587">
        <v>2</v>
      </c>
      <c r="C1587">
        <v>3917</v>
      </c>
      <c r="D1587" t="s">
        <v>9066</v>
      </c>
      <c r="E1587" t="s">
        <v>121</v>
      </c>
      <c r="F1587" t="s">
        <v>9067</v>
      </c>
      <c r="G1587" t="s">
        <v>9068</v>
      </c>
      <c r="H1587" t="s">
        <v>9069</v>
      </c>
      <c r="I1587" t="s">
        <v>9070</v>
      </c>
      <c r="J1587" t="s">
        <v>1201</v>
      </c>
      <c r="K1587" t="s">
        <v>466</v>
      </c>
      <c r="L1587" t="s">
        <v>128</v>
      </c>
      <c r="M1587" t="s">
        <v>3926</v>
      </c>
      <c r="N1587" t="s">
        <v>9071</v>
      </c>
      <c r="O1587" t="s">
        <v>201</v>
      </c>
      <c r="P1587">
        <v>0</v>
      </c>
      <c r="Q1587" t="s">
        <v>125</v>
      </c>
      <c r="R1587">
        <v>3</v>
      </c>
      <c r="S1587">
        <v>86</v>
      </c>
      <c r="T1587" t="s">
        <v>132</v>
      </c>
      <c r="U1587" t="s">
        <v>133</v>
      </c>
      <c r="V1587" s="1">
        <v>1000</v>
      </c>
      <c r="W1587">
        <v>0</v>
      </c>
      <c r="X1587" s="1">
        <v>1000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134</v>
      </c>
      <c r="AE1587" t="s">
        <v>134</v>
      </c>
      <c r="AF1587" s="2">
        <v>46001</v>
      </c>
      <c r="AG1587" s="2">
        <v>46008</v>
      </c>
      <c r="AH1587">
        <v>117.38</v>
      </c>
      <c r="AI1587">
        <v>118.6</v>
      </c>
      <c r="AJ1587">
        <v>234.76</v>
      </c>
      <c r="AK1587">
        <v>0</v>
      </c>
      <c r="AL1587">
        <v>118.6</v>
      </c>
      <c r="AM1587">
        <v>0</v>
      </c>
      <c r="AN1587" t="s">
        <v>135</v>
      </c>
      <c r="AO1587" t="s">
        <v>135</v>
      </c>
      <c r="AP1587" t="s">
        <v>136</v>
      </c>
      <c r="AQ1587" t="s">
        <v>137</v>
      </c>
      <c r="AR1587" t="s">
        <v>138</v>
      </c>
      <c r="AS1587" t="s">
        <v>139</v>
      </c>
      <c r="AT1587" t="s">
        <v>140</v>
      </c>
      <c r="AU1587">
        <v>103</v>
      </c>
      <c r="AV1587">
        <v>10</v>
      </c>
      <c r="AW1587">
        <v>1</v>
      </c>
      <c r="AX1587" s="2">
        <v>46007</v>
      </c>
      <c r="AY1587" t="s">
        <v>377</v>
      </c>
      <c r="AZ1587" s="2">
        <v>46028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 t="s">
        <v>135</v>
      </c>
      <c r="BH1587" t="s">
        <v>250</v>
      </c>
      <c r="BI1587" t="s">
        <v>135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234.76</v>
      </c>
      <c r="BW1587">
        <v>234.76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 t="s">
        <v>161</v>
      </c>
    </row>
    <row r="1588" spans="1:81" x14ac:dyDescent="0.25">
      <c r="A1588">
        <v>345</v>
      </c>
      <c r="B1588">
        <v>2</v>
      </c>
      <c r="C1588">
        <v>3918</v>
      </c>
      <c r="D1588" t="s">
        <v>9072</v>
      </c>
      <c r="E1588" t="s">
        <v>121</v>
      </c>
      <c r="F1588" t="s">
        <v>9073</v>
      </c>
      <c r="G1588" t="s">
        <v>9074</v>
      </c>
      <c r="H1588" t="s">
        <v>9075</v>
      </c>
      <c r="I1588" t="s">
        <v>9076</v>
      </c>
      <c r="J1588" t="s">
        <v>5604</v>
      </c>
      <c r="K1588" t="s">
        <v>127</v>
      </c>
      <c r="L1588" t="s">
        <v>128</v>
      </c>
      <c r="M1588" t="s">
        <v>129</v>
      </c>
      <c r="N1588" t="s">
        <v>9077</v>
      </c>
      <c r="O1588" t="s">
        <v>296</v>
      </c>
      <c r="P1588">
        <v>0</v>
      </c>
      <c r="Q1588" t="s">
        <v>125</v>
      </c>
      <c r="R1588">
        <v>3</v>
      </c>
      <c r="S1588">
        <v>87</v>
      </c>
      <c r="T1588" t="s">
        <v>132</v>
      </c>
      <c r="U1588" t="s">
        <v>133</v>
      </c>
      <c r="V1588" s="1">
        <v>1000</v>
      </c>
      <c r="W1588">
        <v>0</v>
      </c>
      <c r="X1588" s="1">
        <v>1000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134</v>
      </c>
      <c r="AE1588" t="s">
        <v>134</v>
      </c>
      <c r="AF1588" s="2">
        <v>46001</v>
      </c>
      <c r="AG1588" t="s">
        <v>135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 t="s">
        <v>135</v>
      </c>
      <c r="AO1588" t="s">
        <v>135</v>
      </c>
      <c r="AP1588" t="s">
        <v>136</v>
      </c>
      <c r="AQ1588" t="s">
        <v>137</v>
      </c>
      <c r="AR1588" t="s">
        <v>138</v>
      </c>
      <c r="AS1588" t="s">
        <v>139</v>
      </c>
      <c r="AT1588" t="s">
        <v>140</v>
      </c>
      <c r="AU1588">
        <v>102</v>
      </c>
      <c r="AV1588">
        <v>10</v>
      </c>
      <c r="AW1588">
        <v>1</v>
      </c>
      <c r="AX1588" s="2">
        <v>46001</v>
      </c>
      <c r="AY1588" t="s">
        <v>168</v>
      </c>
      <c r="AZ1588" s="2">
        <v>46022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 t="s">
        <v>135</v>
      </c>
      <c r="BH1588" t="s">
        <v>250</v>
      </c>
      <c r="BI1588" t="s">
        <v>135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 t="s">
        <v>161</v>
      </c>
    </row>
    <row r="1589" spans="1:81" x14ac:dyDescent="0.25">
      <c r="A1589">
        <v>345</v>
      </c>
      <c r="B1589">
        <v>2</v>
      </c>
      <c r="C1589">
        <v>3919</v>
      </c>
      <c r="D1589" t="s">
        <v>9078</v>
      </c>
      <c r="E1589" t="s">
        <v>121</v>
      </c>
      <c r="F1589" t="s">
        <v>9079</v>
      </c>
      <c r="G1589" t="s">
        <v>9080</v>
      </c>
      <c r="H1589" t="s">
        <v>8890</v>
      </c>
      <c r="I1589" t="s">
        <v>8469</v>
      </c>
      <c r="J1589" t="s">
        <v>4569</v>
      </c>
      <c r="K1589" t="s">
        <v>473</v>
      </c>
      <c r="L1589" t="s">
        <v>128</v>
      </c>
      <c r="M1589" t="s">
        <v>474</v>
      </c>
      <c r="N1589" t="s">
        <v>9081</v>
      </c>
      <c r="O1589" t="s">
        <v>167</v>
      </c>
      <c r="P1589">
        <v>0</v>
      </c>
      <c r="Q1589" t="s">
        <v>125</v>
      </c>
      <c r="R1589">
        <v>3</v>
      </c>
      <c r="S1589">
        <v>84</v>
      </c>
      <c r="T1589" t="s">
        <v>132</v>
      </c>
      <c r="U1589" t="s">
        <v>133</v>
      </c>
      <c r="V1589" s="1">
        <v>1735</v>
      </c>
      <c r="W1589">
        <v>0</v>
      </c>
      <c r="X1589" s="1">
        <v>1735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134</v>
      </c>
      <c r="AE1589" t="s">
        <v>134</v>
      </c>
      <c r="AF1589" s="2">
        <v>46002</v>
      </c>
      <c r="AG1589" s="2">
        <v>46018</v>
      </c>
      <c r="AH1589">
        <v>280.44</v>
      </c>
      <c r="AI1589">
        <v>423.82</v>
      </c>
      <c r="AJ1589">
        <v>560.89</v>
      </c>
      <c r="AK1589">
        <v>0</v>
      </c>
      <c r="AL1589">
        <v>0</v>
      </c>
      <c r="AM1589">
        <v>0</v>
      </c>
      <c r="AN1589" t="s">
        <v>135</v>
      </c>
      <c r="AO1589" t="s">
        <v>135</v>
      </c>
      <c r="AP1589" t="s">
        <v>136</v>
      </c>
      <c r="AQ1589" t="s">
        <v>137</v>
      </c>
      <c r="AR1589" t="s">
        <v>138</v>
      </c>
      <c r="AS1589" t="s">
        <v>139</v>
      </c>
      <c r="AT1589" t="s">
        <v>140</v>
      </c>
      <c r="AU1589">
        <v>105</v>
      </c>
      <c r="AV1589">
        <v>10</v>
      </c>
      <c r="AW1589">
        <v>1</v>
      </c>
      <c r="AX1589" s="2">
        <v>46008</v>
      </c>
      <c r="AY1589" t="s">
        <v>168</v>
      </c>
      <c r="AZ1589" s="2">
        <v>46022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 t="s">
        <v>135</v>
      </c>
      <c r="BH1589" t="s">
        <v>250</v>
      </c>
      <c r="BI1589" t="s">
        <v>135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560.89</v>
      </c>
      <c r="BW1589">
        <v>560.89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 t="s">
        <v>161</v>
      </c>
    </row>
    <row r="1590" spans="1:81" x14ac:dyDescent="0.25">
      <c r="A1590">
        <v>345</v>
      </c>
      <c r="B1590">
        <v>2</v>
      </c>
      <c r="C1590">
        <v>3920</v>
      </c>
      <c r="D1590" t="s">
        <v>9082</v>
      </c>
      <c r="E1590" t="s">
        <v>121</v>
      </c>
      <c r="F1590" t="s">
        <v>9083</v>
      </c>
      <c r="G1590" t="s">
        <v>9084</v>
      </c>
      <c r="H1590" t="s">
        <v>9085</v>
      </c>
      <c r="I1590" t="s">
        <v>8283</v>
      </c>
      <c r="J1590" t="s">
        <v>3074</v>
      </c>
      <c r="K1590" t="s">
        <v>1853</v>
      </c>
      <c r="L1590" t="s">
        <v>128</v>
      </c>
      <c r="M1590" t="s">
        <v>1854</v>
      </c>
      <c r="N1590" t="s">
        <v>9086</v>
      </c>
      <c r="O1590" t="s">
        <v>195</v>
      </c>
      <c r="P1590">
        <v>0</v>
      </c>
      <c r="Q1590" t="s">
        <v>125</v>
      </c>
      <c r="R1590">
        <v>6</v>
      </c>
      <c r="S1590">
        <v>38</v>
      </c>
      <c r="T1590" t="s">
        <v>132</v>
      </c>
      <c r="U1590" t="s">
        <v>133</v>
      </c>
      <c r="V1590">
        <v>801</v>
      </c>
      <c r="W1590">
        <v>0</v>
      </c>
      <c r="X1590">
        <v>801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">
        <v>134</v>
      </c>
      <c r="AE1590" t="s">
        <v>134</v>
      </c>
      <c r="AF1590" s="2">
        <v>46002</v>
      </c>
      <c r="AG1590" s="2">
        <v>46015</v>
      </c>
      <c r="AH1590">
        <v>554.23</v>
      </c>
      <c r="AI1590">
        <v>554.23</v>
      </c>
      <c r="AJ1590">
        <v>554.23</v>
      </c>
      <c r="AK1590">
        <v>0</v>
      </c>
      <c r="AL1590">
        <v>0</v>
      </c>
      <c r="AM1590">
        <v>0</v>
      </c>
      <c r="AN1590" t="s">
        <v>135</v>
      </c>
      <c r="AO1590" t="s">
        <v>135</v>
      </c>
      <c r="AP1590" t="s">
        <v>136</v>
      </c>
      <c r="AQ1590" t="s">
        <v>137</v>
      </c>
      <c r="AR1590" t="s">
        <v>138</v>
      </c>
      <c r="AS1590" t="s">
        <v>150</v>
      </c>
      <c r="AT1590" t="s">
        <v>140</v>
      </c>
      <c r="AU1590">
        <v>106</v>
      </c>
      <c r="AV1590">
        <v>10</v>
      </c>
      <c r="AW1590">
        <v>1</v>
      </c>
      <c r="AX1590" s="2">
        <v>46007</v>
      </c>
      <c r="AY1590" t="s">
        <v>377</v>
      </c>
      <c r="AZ1590" s="2">
        <v>46028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 t="s">
        <v>135</v>
      </c>
      <c r="BH1590" t="s">
        <v>250</v>
      </c>
      <c r="BI1590" t="s">
        <v>135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554.23</v>
      </c>
      <c r="BW1590">
        <v>554.23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 t="s">
        <v>161</v>
      </c>
    </row>
    <row r="1591" spans="1:81" x14ac:dyDescent="0.25">
      <c r="A1591">
        <v>345</v>
      </c>
      <c r="B1591">
        <v>2</v>
      </c>
      <c r="C1591">
        <v>3921</v>
      </c>
      <c r="D1591" t="s">
        <v>9087</v>
      </c>
      <c r="E1591" t="s">
        <v>121</v>
      </c>
      <c r="F1591" t="s">
        <v>9088</v>
      </c>
      <c r="G1591" t="s">
        <v>9089</v>
      </c>
      <c r="H1591" t="s">
        <v>9090</v>
      </c>
      <c r="I1591" t="s">
        <v>9091</v>
      </c>
      <c r="J1591" t="s">
        <v>459</v>
      </c>
      <c r="K1591" t="s">
        <v>336</v>
      </c>
      <c r="L1591" t="s">
        <v>128</v>
      </c>
      <c r="M1591" t="s">
        <v>6395</v>
      </c>
      <c r="N1591" t="s">
        <v>9092</v>
      </c>
      <c r="O1591" t="s">
        <v>195</v>
      </c>
      <c r="P1591">
        <v>0</v>
      </c>
      <c r="Q1591" t="s">
        <v>125</v>
      </c>
      <c r="R1591">
        <v>3</v>
      </c>
      <c r="S1591">
        <v>84</v>
      </c>
      <c r="T1591" t="s">
        <v>132</v>
      </c>
      <c r="U1591" t="s">
        <v>133</v>
      </c>
      <c r="V1591">
        <v>801</v>
      </c>
      <c r="W1591">
        <v>0</v>
      </c>
      <c r="X1591">
        <v>801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134</v>
      </c>
      <c r="AE1591" t="s">
        <v>134</v>
      </c>
      <c r="AF1591" s="2">
        <v>46002</v>
      </c>
      <c r="AG1591" s="2">
        <v>46015</v>
      </c>
      <c r="AH1591">
        <v>273.04000000000002</v>
      </c>
      <c r="AI1591">
        <v>415.48</v>
      </c>
      <c r="AJ1591">
        <v>819.14</v>
      </c>
      <c r="AK1591">
        <v>0</v>
      </c>
      <c r="AL1591">
        <v>415.48</v>
      </c>
      <c r="AM1591">
        <v>0</v>
      </c>
      <c r="AN1591" t="s">
        <v>135</v>
      </c>
      <c r="AO1591" t="s">
        <v>135</v>
      </c>
      <c r="AP1591" t="s">
        <v>136</v>
      </c>
      <c r="AQ1591" t="s">
        <v>137</v>
      </c>
      <c r="AR1591" t="s">
        <v>138</v>
      </c>
      <c r="AS1591" t="s">
        <v>139</v>
      </c>
      <c r="AT1591" t="s">
        <v>140</v>
      </c>
      <c r="AU1591">
        <v>100</v>
      </c>
      <c r="AV1591">
        <v>10</v>
      </c>
      <c r="AW1591">
        <v>1</v>
      </c>
      <c r="AX1591" s="2">
        <v>46006</v>
      </c>
      <c r="AY1591" t="s">
        <v>141</v>
      </c>
      <c r="AZ1591" s="2">
        <v>46027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 t="s">
        <v>135</v>
      </c>
      <c r="BH1591" t="s">
        <v>250</v>
      </c>
      <c r="BI1591" t="s">
        <v>135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819.14</v>
      </c>
      <c r="BW1591">
        <v>819.14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 t="s">
        <v>161</v>
      </c>
    </row>
    <row r="1592" spans="1:81" x14ac:dyDescent="0.25">
      <c r="A1592">
        <v>345</v>
      </c>
      <c r="B1592">
        <v>2</v>
      </c>
      <c r="C1592">
        <v>3922</v>
      </c>
      <c r="D1592" t="s">
        <v>9093</v>
      </c>
      <c r="E1592" t="s">
        <v>121</v>
      </c>
      <c r="F1592" t="s">
        <v>551</v>
      </c>
      <c r="G1592" t="s">
        <v>9094</v>
      </c>
      <c r="H1592" t="s">
        <v>9095</v>
      </c>
      <c r="I1592" t="s">
        <v>9096</v>
      </c>
      <c r="J1592" t="s">
        <v>206</v>
      </c>
      <c r="K1592" t="s">
        <v>127</v>
      </c>
      <c r="L1592" t="s">
        <v>128</v>
      </c>
      <c r="M1592" t="s">
        <v>129</v>
      </c>
      <c r="N1592" t="s">
        <v>9097</v>
      </c>
      <c r="O1592" t="s">
        <v>201</v>
      </c>
      <c r="P1592">
        <v>0</v>
      </c>
      <c r="Q1592" t="s">
        <v>125</v>
      </c>
      <c r="R1592">
        <v>6</v>
      </c>
      <c r="S1592">
        <v>36</v>
      </c>
      <c r="T1592" t="s">
        <v>132</v>
      </c>
      <c r="U1592" t="s">
        <v>133</v>
      </c>
      <c r="V1592" s="1">
        <v>1000</v>
      </c>
      <c r="W1592">
        <v>0</v>
      </c>
      <c r="X1592" s="1">
        <v>1000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134</v>
      </c>
      <c r="AE1592" t="s">
        <v>134</v>
      </c>
      <c r="AF1592" s="2">
        <v>46002</v>
      </c>
      <c r="AG1592" t="s">
        <v>135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 t="s">
        <v>135</v>
      </c>
      <c r="AO1592" t="s">
        <v>135</v>
      </c>
      <c r="AP1592" t="s">
        <v>136</v>
      </c>
      <c r="AQ1592" t="s">
        <v>137</v>
      </c>
      <c r="AR1592" t="s">
        <v>138</v>
      </c>
      <c r="AS1592" t="s">
        <v>139</v>
      </c>
      <c r="AT1592" t="s">
        <v>140</v>
      </c>
      <c r="AU1592">
        <v>102</v>
      </c>
      <c r="AV1592">
        <v>10</v>
      </c>
      <c r="AW1592">
        <v>1</v>
      </c>
      <c r="AX1592" s="2">
        <v>46006</v>
      </c>
      <c r="AY1592" t="s">
        <v>141</v>
      </c>
      <c r="AZ1592" s="2">
        <v>46027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 t="s">
        <v>135</v>
      </c>
      <c r="BH1592" t="s">
        <v>250</v>
      </c>
      <c r="BI1592" t="s">
        <v>135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 t="s">
        <v>161</v>
      </c>
    </row>
    <row r="1593" spans="1:81" x14ac:dyDescent="0.25">
      <c r="A1593">
        <v>345</v>
      </c>
      <c r="B1593">
        <v>2</v>
      </c>
      <c r="C1593">
        <v>3923</v>
      </c>
      <c r="D1593" t="s">
        <v>9098</v>
      </c>
      <c r="E1593" t="s">
        <v>121</v>
      </c>
      <c r="F1593" t="s">
        <v>9099</v>
      </c>
      <c r="G1593" t="s">
        <v>9100</v>
      </c>
      <c r="H1593" t="s">
        <v>3451</v>
      </c>
      <c r="I1593" t="s">
        <v>9101</v>
      </c>
      <c r="J1593" t="s">
        <v>1263</v>
      </c>
      <c r="K1593" t="s">
        <v>466</v>
      </c>
      <c r="L1593" t="s">
        <v>128</v>
      </c>
      <c r="M1593" t="s">
        <v>467</v>
      </c>
      <c r="N1593" t="s">
        <v>9102</v>
      </c>
      <c r="O1593" t="s">
        <v>167</v>
      </c>
      <c r="P1593">
        <v>0</v>
      </c>
      <c r="Q1593" t="s">
        <v>125</v>
      </c>
      <c r="R1593">
        <v>6</v>
      </c>
      <c r="S1593">
        <v>34</v>
      </c>
      <c r="T1593" t="s">
        <v>132</v>
      </c>
      <c r="U1593" t="s">
        <v>133</v>
      </c>
      <c r="V1593" s="1">
        <v>1735</v>
      </c>
      <c r="W1593">
        <v>0</v>
      </c>
      <c r="X1593" s="1">
        <v>1735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134</v>
      </c>
      <c r="AE1593" t="s">
        <v>134</v>
      </c>
      <c r="AF1593" s="2">
        <v>46003</v>
      </c>
      <c r="AG1593" s="2">
        <v>46010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 t="s">
        <v>135</v>
      </c>
      <c r="AO1593" t="s">
        <v>135</v>
      </c>
      <c r="AP1593" t="s">
        <v>136</v>
      </c>
      <c r="AQ1593" t="s">
        <v>137</v>
      </c>
      <c r="AR1593" t="s">
        <v>138</v>
      </c>
      <c r="AS1593" t="s">
        <v>139</v>
      </c>
      <c r="AT1593" t="s">
        <v>140</v>
      </c>
      <c r="AU1593">
        <v>106</v>
      </c>
      <c r="AV1593">
        <v>10</v>
      </c>
      <c r="AW1593">
        <v>1</v>
      </c>
      <c r="AX1593" s="2">
        <v>46009</v>
      </c>
      <c r="AY1593" t="s">
        <v>308</v>
      </c>
      <c r="AZ1593" s="2">
        <v>46023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 t="s">
        <v>135</v>
      </c>
      <c r="BH1593" t="s">
        <v>250</v>
      </c>
      <c r="BI1593" t="s">
        <v>135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 t="s">
        <v>161</v>
      </c>
    </row>
    <row r="1594" spans="1:81" x14ac:dyDescent="0.25">
      <c r="A1594">
        <v>345</v>
      </c>
      <c r="B1594">
        <v>2</v>
      </c>
      <c r="C1594">
        <v>3925</v>
      </c>
      <c r="D1594" t="s">
        <v>9103</v>
      </c>
      <c r="E1594" t="s">
        <v>121</v>
      </c>
      <c r="F1594" t="s">
        <v>9104</v>
      </c>
      <c r="G1594" t="s">
        <v>9105</v>
      </c>
      <c r="H1594" t="s">
        <v>9106</v>
      </c>
      <c r="I1594" t="s">
        <v>9107</v>
      </c>
      <c r="J1594" t="s">
        <v>1622</v>
      </c>
      <c r="K1594" t="s">
        <v>336</v>
      </c>
      <c r="L1594" t="s">
        <v>128</v>
      </c>
      <c r="M1594" t="s">
        <v>337</v>
      </c>
      <c r="N1594" t="s">
        <v>9108</v>
      </c>
      <c r="O1594" t="s">
        <v>167</v>
      </c>
      <c r="P1594">
        <v>0</v>
      </c>
      <c r="Q1594" t="s">
        <v>125</v>
      </c>
      <c r="R1594">
        <v>6</v>
      </c>
      <c r="S1594">
        <v>27</v>
      </c>
      <c r="T1594" t="s">
        <v>132</v>
      </c>
      <c r="U1594" t="s">
        <v>133</v>
      </c>
      <c r="V1594" s="1">
        <v>1735</v>
      </c>
      <c r="W1594">
        <v>0</v>
      </c>
      <c r="X1594" s="1">
        <v>1735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134</v>
      </c>
      <c r="AE1594" t="s">
        <v>134</v>
      </c>
      <c r="AF1594" s="2">
        <v>46006</v>
      </c>
      <c r="AG1594" t="s">
        <v>135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 t="s">
        <v>135</v>
      </c>
      <c r="AO1594" t="s">
        <v>135</v>
      </c>
      <c r="AP1594" t="s">
        <v>136</v>
      </c>
      <c r="AQ1594" t="s">
        <v>137</v>
      </c>
      <c r="AR1594" t="s">
        <v>138</v>
      </c>
      <c r="AS1594" t="s">
        <v>139</v>
      </c>
      <c r="AT1594" t="s">
        <v>140</v>
      </c>
      <c r="AU1594">
        <v>101</v>
      </c>
      <c r="AV1594">
        <v>10</v>
      </c>
      <c r="AW1594">
        <v>1</v>
      </c>
      <c r="AX1594" s="2">
        <v>46007</v>
      </c>
      <c r="AY1594" t="s">
        <v>377</v>
      </c>
      <c r="AZ1594" s="2">
        <v>46028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 t="s">
        <v>135</v>
      </c>
      <c r="BH1594" t="s">
        <v>250</v>
      </c>
      <c r="BI1594" t="s">
        <v>135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 t="s">
        <v>161</v>
      </c>
    </row>
    <row r="1595" spans="1:81" x14ac:dyDescent="0.25">
      <c r="A1595">
        <v>345</v>
      </c>
      <c r="B1595">
        <v>2</v>
      </c>
      <c r="C1595">
        <v>3926</v>
      </c>
      <c r="D1595" t="s">
        <v>9109</v>
      </c>
      <c r="E1595" t="s">
        <v>121</v>
      </c>
      <c r="F1595" t="s">
        <v>9110</v>
      </c>
      <c r="G1595" t="s">
        <v>9111</v>
      </c>
      <c r="H1595" t="s">
        <v>3235</v>
      </c>
      <c r="I1595" t="s">
        <v>9112</v>
      </c>
      <c r="J1595" t="s">
        <v>1263</v>
      </c>
      <c r="K1595" t="s">
        <v>466</v>
      </c>
      <c r="L1595" t="s">
        <v>128</v>
      </c>
      <c r="M1595" t="s">
        <v>467</v>
      </c>
      <c r="N1595" t="s">
        <v>9113</v>
      </c>
      <c r="O1595" t="s">
        <v>3115</v>
      </c>
      <c r="P1595">
        <v>0</v>
      </c>
      <c r="Q1595" t="s">
        <v>125</v>
      </c>
      <c r="R1595">
        <v>3</v>
      </c>
      <c r="S1595">
        <v>83</v>
      </c>
      <c r="T1595" t="s">
        <v>132</v>
      </c>
      <c r="U1595" t="s">
        <v>133</v>
      </c>
      <c r="V1595" s="1">
        <v>1000</v>
      </c>
      <c r="W1595">
        <v>0</v>
      </c>
      <c r="X1595" s="1">
        <v>1000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134</v>
      </c>
      <c r="AE1595" t="s">
        <v>134</v>
      </c>
      <c r="AF1595" s="2">
        <v>46006</v>
      </c>
      <c r="AG1595" t="s">
        <v>135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 t="s">
        <v>135</v>
      </c>
      <c r="AO1595" t="s">
        <v>135</v>
      </c>
      <c r="AP1595" t="s">
        <v>136</v>
      </c>
      <c r="AQ1595" t="s">
        <v>137</v>
      </c>
      <c r="AR1595" t="s">
        <v>138</v>
      </c>
      <c r="AS1595" t="s">
        <v>150</v>
      </c>
      <c r="AT1595" t="s">
        <v>140</v>
      </c>
      <c r="AU1595">
        <v>500</v>
      </c>
      <c r="AV1595">
        <v>10</v>
      </c>
      <c r="AW1595">
        <v>1</v>
      </c>
      <c r="AX1595" s="2">
        <v>46011</v>
      </c>
      <c r="AY1595" t="s">
        <v>160</v>
      </c>
      <c r="AZ1595" s="2">
        <v>46025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 t="s">
        <v>135</v>
      </c>
      <c r="BH1595" t="s">
        <v>250</v>
      </c>
      <c r="BI1595" t="s">
        <v>135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 t="s">
        <v>161</v>
      </c>
    </row>
    <row r="1596" spans="1:81" x14ac:dyDescent="0.25">
      <c r="A1596">
        <v>345</v>
      </c>
      <c r="B1596">
        <v>2</v>
      </c>
      <c r="C1596">
        <v>3927</v>
      </c>
      <c r="D1596" t="s">
        <v>9114</v>
      </c>
      <c r="E1596" t="s">
        <v>121</v>
      </c>
      <c r="F1596" t="s">
        <v>9115</v>
      </c>
      <c r="G1596" t="s">
        <v>9116</v>
      </c>
      <c r="H1596" t="s">
        <v>3066</v>
      </c>
      <c r="I1596" t="s">
        <v>9117</v>
      </c>
      <c r="J1596" t="s">
        <v>5682</v>
      </c>
      <c r="K1596" t="s">
        <v>4248</v>
      </c>
      <c r="L1596" t="s">
        <v>128</v>
      </c>
      <c r="M1596" t="s">
        <v>1325</v>
      </c>
      <c r="N1596" t="s">
        <v>9118</v>
      </c>
      <c r="O1596" t="s">
        <v>159</v>
      </c>
      <c r="P1596">
        <v>0</v>
      </c>
      <c r="Q1596" t="s">
        <v>125</v>
      </c>
      <c r="R1596">
        <v>3</v>
      </c>
      <c r="S1596">
        <v>82</v>
      </c>
      <c r="T1596" t="s">
        <v>132</v>
      </c>
      <c r="U1596" t="s">
        <v>133</v>
      </c>
      <c r="V1596" s="1">
        <v>1740</v>
      </c>
      <c r="W1596">
        <v>0</v>
      </c>
      <c r="X1596" s="1">
        <v>1740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134</v>
      </c>
      <c r="AE1596" t="s">
        <v>134</v>
      </c>
      <c r="AF1596" s="2">
        <v>46006</v>
      </c>
      <c r="AG1596" t="s">
        <v>135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 t="s">
        <v>135</v>
      </c>
      <c r="AO1596" t="s">
        <v>135</v>
      </c>
      <c r="AP1596" t="s">
        <v>136</v>
      </c>
      <c r="AQ1596" t="s">
        <v>137</v>
      </c>
      <c r="AR1596" t="s">
        <v>138</v>
      </c>
      <c r="AS1596" t="s">
        <v>150</v>
      </c>
      <c r="AT1596" t="s">
        <v>140</v>
      </c>
      <c r="AU1596">
        <v>104</v>
      </c>
      <c r="AV1596">
        <v>10</v>
      </c>
      <c r="AW1596">
        <v>1</v>
      </c>
      <c r="AX1596" s="2">
        <v>46009</v>
      </c>
      <c r="AY1596" t="s">
        <v>308</v>
      </c>
      <c r="AZ1596" s="2">
        <v>46023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 t="s">
        <v>135</v>
      </c>
      <c r="BH1596" t="s">
        <v>250</v>
      </c>
      <c r="BI1596" t="s">
        <v>135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 t="s">
        <v>161</v>
      </c>
    </row>
    <row r="1597" spans="1:81" x14ac:dyDescent="0.25">
      <c r="A1597">
        <v>345</v>
      </c>
      <c r="B1597">
        <v>2</v>
      </c>
      <c r="C1597">
        <v>3931</v>
      </c>
      <c r="D1597" t="s">
        <v>9119</v>
      </c>
      <c r="E1597" t="s">
        <v>121</v>
      </c>
      <c r="F1597" t="s">
        <v>9120</v>
      </c>
      <c r="G1597" t="s">
        <v>9121</v>
      </c>
      <c r="H1597" t="s">
        <v>9122</v>
      </c>
      <c r="I1597" t="s">
        <v>9123</v>
      </c>
      <c r="J1597" t="s">
        <v>4569</v>
      </c>
      <c r="K1597" t="s">
        <v>1853</v>
      </c>
      <c r="L1597" t="s">
        <v>128</v>
      </c>
      <c r="M1597" t="s">
        <v>1854</v>
      </c>
      <c r="N1597" t="s">
        <v>9124</v>
      </c>
      <c r="O1597" t="s">
        <v>201</v>
      </c>
      <c r="P1597">
        <v>0</v>
      </c>
      <c r="Q1597" t="s">
        <v>125</v>
      </c>
      <c r="R1597">
        <v>6</v>
      </c>
      <c r="S1597">
        <v>36</v>
      </c>
      <c r="T1597" t="s">
        <v>132</v>
      </c>
      <c r="U1597" t="s">
        <v>133</v>
      </c>
      <c r="V1597" s="1">
        <v>1000</v>
      </c>
      <c r="W1597">
        <v>0</v>
      </c>
      <c r="X1597" s="1">
        <v>1000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">
        <v>134</v>
      </c>
      <c r="AE1597" t="s">
        <v>134</v>
      </c>
      <c r="AF1597" s="2">
        <v>46007</v>
      </c>
      <c r="AG1597" s="2">
        <v>46014</v>
      </c>
      <c r="AH1597" s="1">
        <v>1604.48</v>
      </c>
      <c r="AI1597" s="1">
        <v>1604.48</v>
      </c>
      <c r="AJ1597" s="1">
        <v>1604.48</v>
      </c>
      <c r="AK1597">
        <v>0</v>
      </c>
      <c r="AL1597">
        <v>0</v>
      </c>
      <c r="AM1597">
        <v>0</v>
      </c>
      <c r="AN1597" t="s">
        <v>135</v>
      </c>
      <c r="AO1597" t="s">
        <v>135</v>
      </c>
      <c r="AP1597" t="s">
        <v>136</v>
      </c>
      <c r="AQ1597" t="s">
        <v>137</v>
      </c>
      <c r="AR1597" t="s">
        <v>138</v>
      </c>
      <c r="AS1597" t="s">
        <v>139</v>
      </c>
      <c r="AT1597" t="s">
        <v>140</v>
      </c>
      <c r="AU1597">
        <v>103</v>
      </c>
      <c r="AV1597">
        <v>10</v>
      </c>
      <c r="AW1597">
        <v>1</v>
      </c>
      <c r="AX1597" s="2">
        <v>46013</v>
      </c>
      <c r="AY1597" t="s">
        <v>141</v>
      </c>
      <c r="AZ1597" s="2">
        <v>46027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 t="s">
        <v>135</v>
      </c>
      <c r="BH1597" t="s">
        <v>250</v>
      </c>
      <c r="BI1597" t="s">
        <v>135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 s="1">
        <v>1604.48</v>
      </c>
      <c r="BW1597" s="1">
        <v>1604.48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 t="s">
        <v>161</v>
      </c>
    </row>
    <row r="1598" spans="1:81" x14ac:dyDescent="0.25">
      <c r="A1598">
        <v>345</v>
      </c>
      <c r="B1598">
        <v>2</v>
      </c>
      <c r="C1598">
        <v>3932</v>
      </c>
      <c r="D1598" t="s">
        <v>9125</v>
      </c>
      <c r="E1598" t="s">
        <v>121</v>
      </c>
      <c r="F1598" t="s">
        <v>9126</v>
      </c>
      <c r="G1598" t="s">
        <v>9127</v>
      </c>
      <c r="H1598" t="s">
        <v>9128</v>
      </c>
      <c r="I1598" t="s">
        <v>9129</v>
      </c>
      <c r="J1598" t="s">
        <v>4247</v>
      </c>
      <c r="K1598" t="s">
        <v>4248</v>
      </c>
      <c r="L1598" t="s">
        <v>128</v>
      </c>
      <c r="M1598" t="s">
        <v>1325</v>
      </c>
      <c r="N1598" t="s">
        <v>9130</v>
      </c>
      <c r="O1598" t="s">
        <v>159</v>
      </c>
      <c r="P1598">
        <v>0</v>
      </c>
      <c r="Q1598" t="s">
        <v>125</v>
      </c>
      <c r="R1598">
        <v>3</v>
      </c>
      <c r="S1598">
        <v>84</v>
      </c>
      <c r="T1598" t="s">
        <v>132</v>
      </c>
      <c r="U1598" t="s">
        <v>133</v>
      </c>
      <c r="V1598" s="1">
        <v>1740</v>
      </c>
      <c r="W1598">
        <v>0</v>
      </c>
      <c r="X1598" s="1">
        <v>1740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134</v>
      </c>
      <c r="AE1598" t="s">
        <v>134</v>
      </c>
      <c r="AF1598" s="2">
        <v>46008</v>
      </c>
      <c r="AG1598" t="s">
        <v>135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 t="s">
        <v>135</v>
      </c>
      <c r="AO1598" t="s">
        <v>135</v>
      </c>
      <c r="AP1598" t="s">
        <v>136</v>
      </c>
      <c r="AQ1598" t="s">
        <v>137</v>
      </c>
      <c r="AR1598" t="s">
        <v>138</v>
      </c>
      <c r="AS1598" t="s">
        <v>139</v>
      </c>
      <c r="AT1598" t="s">
        <v>140</v>
      </c>
      <c r="AU1598">
        <v>104</v>
      </c>
      <c r="AV1598">
        <v>10</v>
      </c>
      <c r="AW1598">
        <v>1</v>
      </c>
      <c r="AX1598" s="2">
        <v>46010</v>
      </c>
      <c r="AY1598" t="s">
        <v>151</v>
      </c>
      <c r="AZ1598" s="2">
        <v>46024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 t="s">
        <v>135</v>
      </c>
      <c r="BH1598" t="s">
        <v>250</v>
      </c>
      <c r="BI1598" t="s">
        <v>135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 t="s">
        <v>161</v>
      </c>
    </row>
    <row r="1599" spans="1:81" x14ac:dyDescent="0.25">
      <c r="A1599">
        <v>345</v>
      </c>
      <c r="B1599">
        <v>2</v>
      </c>
      <c r="C1599">
        <v>3933</v>
      </c>
      <c r="D1599" t="s">
        <v>9131</v>
      </c>
      <c r="E1599" t="s">
        <v>121</v>
      </c>
      <c r="F1599" t="s">
        <v>9132</v>
      </c>
      <c r="G1599" t="s">
        <v>9133</v>
      </c>
      <c r="H1599" t="s">
        <v>3993</v>
      </c>
      <c r="I1599" t="s">
        <v>9134</v>
      </c>
      <c r="J1599" t="s">
        <v>1263</v>
      </c>
      <c r="K1599" t="s">
        <v>466</v>
      </c>
      <c r="L1599" t="s">
        <v>128</v>
      </c>
      <c r="M1599" t="s">
        <v>467</v>
      </c>
      <c r="N1599" t="s">
        <v>9135</v>
      </c>
      <c r="O1599" t="s">
        <v>159</v>
      </c>
      <c r="P1599">
        <v>0</v>
      </c>
      <c r="Q1599" t="s">
        <v>125</v>
      </c>
      <c r="R1599">
        <v>3</v>
      </c>
      <c r="S1599">
        <v>82</v>
      </c>
      <c r="T1599" t="s">
        <v>132</v>
      </c>
      <c r="U1599" t="s">
        <v>133</v>
      </c>
      <c r="V1599" s="1">
        <v>1740</v>
      </c>
      <c r="W1599">
        <v>0</v>
      </c>
      <c r="X1599" s="1">
        <v>1740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134</v>
      </c>
      <c r="AE1599" t="s">
        <v>134</v>
      </c>
      <c r="AF1599" s="2">
        <v>46009</v>
      </c>
      <c r="AG1599" t="s">
        <v>135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 t="s">
        <v>135</v>
      </c>
      <c r="AO1599" t="s">
        <v>135</v>
      </c>
      <c r="AP1599" t="s">
        <v>136</v>
      </c>
      <c r="AQ1599" t="s">
        <v>137</v>
      </c>
      <c r="AR1599" t="s">
        <v>138</v>
      </c>
      <c r="AS1599" t="s">
        <v>150</v>
      </c>
      <c r="AT1599" t="s">
        <v>140</v>
      </c>
      <c r="AU1599">
        <v>106</v>
      </c>
      <c r="AV1599">
        <v>10</v>
      </c>
      <c r="AW1599">
        <v>1</v>
      </c>
      <c r="AX1599" s="2">
        <v>46009</v>
      </c>
      <c r="AY1599" t="s">
        <v>308</v>
      </c>
      <c r="AZ1599" s="2">
        <v>46023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 t="s">
        <v>135</v>
      </c>
      <c r="BH1599" t="s">
        <v>250</v>
      </c>
      <c r="BI1599" t="s">
        <v>135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 t="s">
        <v>161</v>
      </c>
    </row>
    <row r="1600" spans="1:81" x14ac:dyDescent="0.25">
      <c r="A1600">
        <v>345</v>
      </c>
      <c r="B1600">
        <v>2</v>
      </c>
      <c r="C1600">
        <v>3934</v>
      </c>
      <c r="D1600" t="s">
        <v>9136</v>
      </c>
      <c r="E1600" t="s">
        <v>121</v>
      </c>
      <c r="F1600" t="s">
        <v>9137</v>
      </c>
      <c r="G1600" t="s">
        <v>9138</v>
      </c>
      <c r="H1600" t="s">
        <v>7121</v>
      </c>
      <c r="I1600" t="s">
        <v>9139</v>
      </c>
      <c r="J1600" t="s">
        <v>3608</v>
      </c>
      <c r="K1600" t="s">
        <v>1853</v>
      </c>
      <c r="L1600" t="s">
        <v>128</v>
      </c>
      <c r="M1600" t="s">
        <v>1854</v>
      </c>
      <c r="N1600" t="s">
        <v>9140</v>
      </c>
      <c r="O1600" t="s">
        <v>3115</v>
      </c>
      <c r="P1600">
        <v>0</v>
      </c>
      <c r="Q1600" t="s">
        <v>125</v>
      </c>
      <c r="R1600">
        <v>3</v>
      </c>
      <c r="S1600">
        <v>83</v>
      </c>
      <c r="T1600" t="s">
        <v>132</v>
      </c>
      <c r="U1600" t="s">
        <v>133</v>
      </c>
      <c r="V1600" s="1">
        <v>1000</v>
      </c>
      <c r="W1600">
        <v>0</v>
      </c>
      <c r="X1600" s="1">
        <v>1000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134</v>
      </c>
      <c r="AE1600" t="s">
        <v>134</v>
      </c>
      <c r="AF1600" s="2">
        <v>46009</v>
      </c>
      <c r="AG1600" s="2">
        <v>46021</v>
      </c>
      <c r="AH1600" s="1">
        <v>23852.36</v>
      </c>
      <c r="AI1600" s="1">
        <v>38256.660000000003</v>
      </c>
      <c r="AJ1600" s="1">
        <v>47704.72</v>
      </c>
      <c r="AK1600" s="1">
        <v>9448.06</v>
      </c>
      <c r="AL1600">
        <v>0</v>
      </c>
      <c r="AM1600">
        <v>0</v>
      </c>
      <c r="AN1600" t="s">
        <v>135</v>
      </c>
      <c r="AO1600" t="s">
        <v>135</v>
      </c>
      <c r="AP1600" t="s">
        <v>136</v>
      </c>
      <c r="AQ1600" t="s">
        <v>137</v>
      </c>
      <c r="AR1600" t="s">
        <v>138</v>
      </c>
      <c r="AS1600" t="s">
        <v>150</v>
      </c>
      <c r="AT1600" t="s">
        <v>140</v>
      </c>
      <c r="AU1600">
        <v>500</v>
      </c>
      <c r="AV1600">
        <v>10</v>
      </c>
      <c r="AW1600">
        <v>1</v>
      </c>
      <c r="AX1600" s="2">
        <v>46013</v>
      </c>
      <c r="AY1600" t="s">
        <v>141</v>
      </c>
      <c r="AZ1600" s="2">
        <v>46027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 t="s">
        <v>135</v>
      </c>
      <c r="BH1600" t="s">
        <v>250</v>
      </c>
      <c r="BI1600" t="s">
        <v>135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 s="1">
        <v>47704.72</v>
      </c>
      <c r="BW1600" s="1">
        <v>47704.72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 t="s">
        <v>161</v>
      </c>
    </row>
    <row r="1601" spans="1:81" x14ac:dyDescent="0.25">
      <c r="A1601">
        <v>345</v>
      </c>
      <c r="B1601">
        <v>2</v>
      </c>
      <c r="C1601">
        <v>3935</v>
      </c>
      <c r="D1601" t="s">
        <v>9141</v>
      </c>
      <c r="E1601" t="s">
        <v>121</v>
      </c>
      <c r="F1601" t="s">
        <v>9142</v>
      </c>
      <c r="G1601" t="s">
        <v>9143</v>
      </c>
      <c r="H1601" t="s">
        <v>3066</v>
      </c>
      <c r="I1601" t="s">
        <v>9144</v>
      </c>
      <c r="J1601" t="s">
        <v>1263</v>
      </c>
      <c r="K1601" t="s">
        <v>466</v>
      </c>
      <c r="L1601" t="s">
        <v>128</v>
      </c>
      <c r="M1601" t="s">
        <v>467</v>
      </c>
      <c r="N1601" t="s">
        <v>9145</v>
      </c>
      <c r="O1601" t="s">
        <v>159</v>
      </c>
      <c r="P1601">
        <v>0</v>
      </c>
      <c r="Q1601" t="s">
        <v>125</v>
      </c>
      <c r="R1601">
        <v>3</v>
      </c>
      <c r="S1601">
        <v>82</v>
      </c>
      <c r="T1601" t="s">
        <v>132</v>
      </c>
      <c r="U1601" t="s">
        <v>133</v>
      </c>
      <c r="V1601" s="1">
        <v>1740</v>
      </c>
      <c r="W1601">
        <v>0</v>
      </c>
      <c r="X1601" s="1">
        <v>1740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134</v>
      </c>
      <c r="AE1601" t="s">
        <v>134</v>
      </c>
      <c r="AF1601" s="2">
        <v>46009</v>
      </c>
      <c r="AG1601" t="s">
        <v>135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 t="s">
        <v>135</v>
      </c>
      <c r="AO1601" t="s">
        <v>135</v>
      </c>
      <c r="AP1601" t="s">
        <v>136</v>
      </c>
      <c r="AQ1601" t="s">
        <v>137</v>
      </c>
      <c r="AR1601" t="s">
        <v>138</v>
      </c>
      <c r="AS1601" t="s">
        <v>150</v>
      </c>
      <c r="AT1601" t="s">
        <v>140</v>
      </c>
      <c r="AU1601">
        <v>106</v>
      </c>
      <c r="AV1601">
        <v>10</v>
      </c>
      <c r="AW1601">
        <v>1</v>
      </c>
      <c r="AX1601" s="2">
        <v>46009</v>
      </c>
      <c r="AY1601" t="s">
        <v>308</v>
      </c>
      <c r="AZ1601" s="2">
        <v>46023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 t="s">
        <v>135</v>
      </c>
      <c r="BH1601" t="s">
        <v>250</v>
      </c>
      <c r="BI1601" t="s">
        <v>135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 t="s">
        <v>161</v>
      </c>
    </row>
    <row r="1602" spans="1:81" x14ac:dyDescent="0.25">
      <c r="A1602">
        <v>345</v>
      </c>
      <c r="B1602">
        <v>2</v>
      </c>
      <c r="C1602">
        <v>3936</v>
      </c>
      <c r="D1602" t="s">
        <v>9146</v>
      </c>
      <c r="E1602" t="s">
        <v>121</v>
      </c>
      <c r="F1602" t="s">
        <v>9147</v>
      </c>
      <c r="G1602" t="s">
        <v>9148</v>
      </c>
      <c r="H1602" t="s">
        <v>8213</v>
      </c>
      <c r="I1602" t="s">
        <v>9149</v>
      </c>
      <c r="J1602" t="s">
        <v>4569</v>
      </c>
      <c r="K1602" t="s">
        <v>473</v>
      </c>
      <c r="L1602" t="s">
        <v>128</v>
      </c>
      <c r="M1602" t="s">
        <v>474</v>
      </c>
      <c r="N1602" t="s">
        <v>9150</v>
      </c>
      <c r="O1602" t="s">
        <v>167</v>
      </c>
      <c r="P1602">
        <v>0</v>
      </c>
      <c r="Q1602" t="s">
        <v>125</v>
      </c>
      <c r="R1602">
        <v>6</v>
      </c>
      <c r="S1602">
        <v>34</v>
      </c>
      <c r="T1602" t="s">
        <v>132</v>
      </c>
      <c r="U1602" t="s">
        <v>133</v>
      </c>
      <c r="V1602" s="1">
        <v>1735</v>
      </c>
      <c r="W1602">
        <v>0</v>
      </c>
      <c r="X1602" s="1">
        <v>1735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134</v>
      </c>
      <c r="AE1602" t="s">
        <v>134</v>
      </c>
      <c r="AF1602" s="2">
        <v>46014</v>
      </c>
      <c r="AG1602" t="s">
        <v>135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 t="s">
        <v>135</v>
      </c>
      <c r="AO1602" t="s">
        <v>135</v>
      </c>
      <c r="AP1602" t="s">
        <v>136</v>
      </c>
      <c r="AQ1602" t="s">
        <v>137</v>
      </c>
      <c r="AR1602" t="s">
        <v>138</v>
      </c>
      <c r="AS1602" t="s">
        <v>139</v>
      </c>
      <c r="AT1602" t="s">
        <v>140</v>
      </c>
      <c r="AU1602">
        <v>105</v>
      </c>
      <c r="AV1602">
        <v>10</v>
      </c>
      <c r="AW1602">
        <v>1</v>
      </c>
      <c r="AX1602" s="2">
        <v>46020</v>
      </c>
      <c r="AY1602" t="s">
        <v>141</v>
      </c>
      <c r="AZ1602" s="2">
        <v>46027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 t="s">
        <v>135</v>
      </c>
      <c r="BH1602" t="s">
        <v>250</v>
      </c>
      <c r="BI1602" t="s">
        <v>135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 t="s">
        <v>161</v>
      </c>
    </row>
    <row r="1603" spans="1:81" x14ac:dyDescent="0.25">
      <c r="A1603">
        <v>345</v>
      </c>
      <c r="B1603">
        <v>2</v>
      </c>
      <c r="C1603">
        <v>3938</v>
      </c>
      <c r="D1603" t="s">
        <v>9151</v>
      </c>
      <c r="E1603" t="s">
        <v>121</v>
      </c>
      <c r="F1603" t="s">
        <v>9152</v>
      </c>
      <c r="G1603" t="s">
        <v>9153</v>
      </c>
      <c r="H1603" t="s">
        <v>3066</v>
      </c>
      <c r="I1603" t="s">
        <v>9154</v>
      </c>
      <c r="J1603" t="s">
        <v>5682</v>
      </c>
      <c r="K1603" t="s">
        <v>4248</v>
      </c>
      <c r="L1603" t="s">
        <v>128</v>
      </c>
      <c r="M1603" t="s">
        <v>1325</v>
      </c>
      <c r="N1603" t="s">
        <v>9155</v>
      </c>
      <c r="O1603" t="s">
        <v>159</v>
      </c>
      <c r="P1603">
        <v>0</v>
      </c>
      <c r="Q1603" t="s">
        <v>125</v>
      </c>
      <c r="R1603">
        <v>4</v>
      </c>
      <c r="S1603">
        <v>76</v>
      </c>
      <c r="T1603" t="s">
        <v>132</v>
      </c>
      <c r="U1603" t="s">
        <v>133</v>
      </c>
      <c r="V1603" s="1">
        <v>1740</v>
      </c>
      <c r="W1603">
        <v>0</v>
      </c>
      <c r="X1603" s="1">
        <v>1740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134</v>
      </c>
      <c r="AE1603" t="s">
        <v>134</v>
      </c>
      <c r="AF1603" s="2">
        <v>46015</v>
      </c>
      <c r="AG1603" t="s">
        <v>135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 t="s">
        <v>135</v>
      </c>
      <c r="AO1603" t="s">
        <v>135</v>
      </c>
      <c r="AP1603" t="s">
        <v>136</v>
      </c>
      <c r="AQ1603" t="s">
        <v>137</v>
      </c>
      <c r="AR1603" t="s">
        <v>138</v>
      </c>
      <c r="AS1603" t="s">
        <v>150</v>
      </c>
      <c r="AT1603" t="s">
        <v>140</v>
      </c>
      <c r="AU1603">
        <v>104</v>
      </c>
      <c r="AV1603">
        <v>10</v>
      </c>
      <c r="AW1603">
        <v>1</v>
      </c>
      <c r="AX1603" s="2">
        <v>46016</v>
      </c>
      <c r="AY1603" t="s">
        <v>308</v>
      </c>
      <c r="AZ1603" s="2">
        <v>46023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 t="s">
        <v>135</v>
      </c>
      <c r="BH1603" t="s">
        <v>250</v>
      </c>
      <c r="BI1603" t="s">
        <v>135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 t="s">
        <v>161</v>
      </c>
    </row>
    <row r="1604" spans="1:81" x14ac:dyDescent="0.25">
      <c r="A1604">
        <v>345</v>
      </c>
      <c r="B1604">
        <v>2</v>
      </c>
      <c r="C1604">
        <v>3943</v>
      </c>
      <c r="D1604" t="s">
        <v>9156</v>
      </c>
      <c r="E1604" t="s">
        <v>121</v>
      </c>
      <c r="F1604" t="s">
        <v>9157</v>
      </c>
      <c r="G1604" t="s">
        <v>9158</v>
      </c>
      <c r="H1604" t="s">
        <v>9159</v>
      </c>
      <c r="I1604" t="s">
        <v>9160</v>
      </c>
      <c r="J1604" t="s">
        <v>1263</v>
      </c>
      <c r="K1604" t="s">
        <v>466</v>
      </c>
      <c r="L1604" t="s">
        <v>128</v>
      </c>
      <c r="M1604" t="s">
        <v>467</v>
      </c>
      <c r="N1604" t="s">
        <v>3068</v>
      </c>
      <c r="O1604" t="s">
        <v>3115</v>
      </c>
      <c r="P1604">
        <v>0</v>
      </c>
      <c r="Q1604" t="s">
        <v>125</v>
      </c>
      <c r="R1604">
        <v>3</v>
      </c>
      <c r="S1604">
        <v>83</v>
      </c>
      <c r="T1604" t="s">
        <v>132</v>
      </c>
      <c r="U1604" t="s">
        <v>133</v>
      </c>
      <c r="V1604" s="1">
        <v>1000</v>
      </c>
      <c r="W1604">
        <v>0</v>
      </c>
      <c r="X1604" s="1">
        <v>1000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134</v>
      </c>
      <c r="AE1604" t="s">
        <v>134</v>
      </c>
      <c r="AF1604" s="2">
        <v>46020</v>
      </c>
      <c r="AG1604" t="s">
        <v>135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 t="s">
        <v>135</v>
      </c>
      <c r="AO1604" t="s">
        <v>135</v>
      </c>
      <c r="AP1604" t="s">
        <v>136</v>
      </c>
      <c r="AQ1604" t="s">
        <v>137</v>
      </c>
      <c r="AR1604" t="s">
        <v>138</v>
      </c>
      <c r="AS1604" t="s">
        <v>150</v>
      </c>
      <c r="AT1604" t="s">
        <v>140</v>
      </c>
      <c r="AU1604">
        <v>106</v>
      </c>
      <c r="AV1604">
        <v>10</v>
      </c>
      <c r="AW1604">
        <v>1</v>
      </c>
      <c r="AX1604" s="2">
        <v>46024</v>
      </c>
      <c r="AY1604" t="s">
        <v>151</v>
      </c>
      <c r="AZ1604" s="2">
        <v>46024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 t="s">
        <v>135</v>
      </c>
      <c r="BH1604" t="s">
        <v>250</v>
      </c>
      <c r="BI1604" t="s">
        <v>135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 t="s">
        <v>161</v>
      </c>
    </row>
    <row r="1605" spans="1:81" x14ac:dyDescent="0.25">
      <c r="A1605">
        <v>345</v>
      </c>
      <c r="B1605">
        <v>2</v>
      </c>
      <c r="C1605">
        <v>14858</v>
      </c>
      <c r="D1605" t="s">
        <v>9161</v>
      </c>
      <c r="E1605" t="s">
        <v>121</v>
      </c>
      <c r="F1605" t="s">
        <v>9162</v>
      </c>
      <c r="G1605" t="s">
        <v>9163</v>
      </c>
      <c r="H1605" t="s">
        <v>9164</v>
      </c>
      <c r="I1605" t="s">
        <v>125</v>
      </c>
      <c r="J1605" t="s">
        <v>9165</v>
      </c>
      <c r="K1605" t="s">
        <v>5481</v>
      </c>
      <c r="L1605" t="s">
        <v>128</v>
      </c>
      <c r="M1605" t="s">
        <v>9166</v>
      </c>
      <c r="N1605" t="s">
        <v>9167</v>
      </c>
      <c r="O1605" t="s">
        <v>9168</v>
      </c>
      <c r="P1605">
        <v>0</v>
      </c>
      <c r="Q1605" t="s">
        <v>125</v>
      </c>
      <c r="R1605">
        <v>6</v>
      </c>
      <c r="S1605">
        <v>37</v>
      </c>
      <c r="T1605" t="s">
        <v>132</v>
      </c>
      <c r="U1605" t="s">
        <v>133</v>
      </c>
      <c r="V1605">
        <v>0</v>
      </c>
      <c r="W1605">
        <v>0</v>
      </c>
      <c r="X1605">
        <v>0</v>
      </c>
      <c r="Y1605">
        <v>14</v>
      </c>
      <c r="Z1605">
        <v>0</v>
      </c>
      <c r="AA1605">
        <v>0</v>
      </c>
      <c r="AB1605">
        <v>0</v>
      </c>
      <c r="AC1605">
        <v>0</v>
      </c>
      <c r="AD1605" t="s">
        <v>134</v>
      </c>
      <c r="AE1605" t="s">
        <v>134</v>
      </c>
      <c r="AF1605" s="2">
        <v>45527</v>
      </c>
      <c r="AG1605" s="2">
        <v>45560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 t="s">
        <v>135</v>
      </c>
      <c r="AO1605" t="s">
        <v>135</v>
      </c>
      <c r="AP1605" t="s">
        <v>136</v>
      </c>
      <c r="AQ1605" t="s">
        <v>137</v>
      </c>
      <c r="AR1605" t="s">
        <v>138</v>
      </c>
      <c r="AS1605" t="s">
        <v>139</v>
      </c>
      <c r="AT1605" t="s">
        <v>140</v>
      </c>
      <c r="AU1605">
        <v>997</v>
      </c>
      <c r="AV1605">
        <v>99</v>
      </c>
      <c r="AW1605">
        <v>9</v>
      </c>
      <c r="AX1605" s="2">
        <v>45529</v>
      </c>
      <c r="AY1605" t="s">
        <v>142</v>
      </c>
      <c r="AZ1605" s="2">
        <v>46026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 t="s">
        <v>135</v>
      </c>
      <c r="BH1605" t="s">
        <v>250</v>
      </c>
      <c r="BI1605" t="s">
        <v>135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 t="s">
        <v>161</v>
      </c>
    </row>
    <row r="1606" spans="1:81" x14ac:dyDescent="0.25">
      <c r="A1606">
        <v>345</v>
      </c>
      <c r="B1606">
        <v>2</v>
      </c>
      <c r="C1606">
        <v>90000</v>
      </c>
      <c r="D1606" t="s">
        <v>9169</v>
      </c>
      <c r="E1606" t="s">
        <v>121</v>
      </c>
      <c r="F1606" t="s">
        <v>9170</v>
      </c>
      <c r="G1606" t="s">
        <v>9171</v>
      </c>
      <c r="H1606" t="s">
        <v>9172</v>
      </c>
      <c r="I1606" t="s">
        <v>125</v>
      </c>
      <c r="J1606" t="s">
        <v>1671</v>
      </c>
      <c r="K1606" t="s">
        <v>466</v>
      </c>
      <c r="L1606" t="s">
        <v>128</v>
      </c>
      <c r="M1606" t="s">
        <v>467</v>
      </c>
      <c r="N1606" t="s">
        <v>9173</v>
      </c>
      <c r="O1606" t="s">
        <v>149</v>
      </c>
      <c r="P1606">
        <v>0</v>
      </c>
      <c r="Q1606" t="s">
        <v>125</v>
      </c>
      <c r="R1606">
        <v>6</v>
      </c>
      <c r="S1606">
        <v>43</v>
      </c>
      <c r="T1606" t="s">
        <v>132</v>
      </c>
      <c r="U1606" t="s">
        <v>133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134</v>
      </c>
      <c r="AE1606" t="s">
        <v>134</v>
      </c>
      <c r="AF1606" s="2">
        <v>45512</v>
      </c>
      <c r="AG1606" t="s">
        <v>135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 t="s">
        <v>135</v>
      </c>
      <c r="AO1606" t="s">
        <v>135</v>
      </c>
      <c r="AP1606" t="s">
        <v>136</v>
      </c>
      <c r="AQ1606" t="s">
        <v>137</v>
      </c>
      <c r="AR1606" t="s">
        <v>138</v>
      </c>
      <c r="AS1606" t="s">
        <v>150</v>
      </c>
      <c r="AT1606" t="s">
        <v>140</v>
      </c>
      <c r="AU1606">
        <v>995</v>
      </c>
      <c r="AV1606">
        <v>99</v>
      </c>
      <c r="AW1606">
        <v>9</v>
      </c>
      <c r="AX1606" s="2">
        <v>45533</v>
      </c>
      <c r="AY1606" t="s">
        <v>308</v>
      </c>
      <c r="AZ1606" s="2">
        <v>46023</v>
      </c>
      <c r="BA1606">
        <v>0</v>
      </c>
      <c r="BB1606">
        <v>0</v>
      </c>
      <c r="BC1606">
        <v>0</v>
      </c>
      <c r="BD1606">
        <v>700</v>
      </c>
      <c r="BE1606">
        <v>70</v>
      </c>
      <c r="BF1606">
        <v>9</v>
      </c>
      <c r="BG1606" s="2">
        <v>45536</v>
      </c>
      <c r="BH1606" t="s">
        <v>142</v>
      </c>
      <c r="BI1606" s="2">
        <v>46026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 t="s">
        <v>152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87A8BC-B1C2-4DE3-9837-7ABFBBFE6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Cruz</vt:lpstr>
      <vt:lpstr>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CAPITALI</dc:creator>
  <cp:lastModifiedBy>User</cp:lastModifiedBy>
  <dcterms:created xsi:type="dcterms:W3CDTF">2026-01-06T17:17:34Z</dcterms:created>
  <dcterms:modified xsi:type="dcterms:W3CDTF">2026-03-30T19:02:35Z</dcterms:modified>
</cp:coreProperties>
</file>